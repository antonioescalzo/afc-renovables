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🎯 Dashboard" sheetId="1" r:id="rId5"/>
    <sheet state="visible" name="📊 Stock Actual" sheetId="2" r:id="rId6"/>
    <sheet state="visible" name="📥 Entradas" sheetId="3" r:id="rId7"/>
    <sheet state="visible" name="📤 Salidas" sheetId="4" r:id="rId8"/>
    <sheet state="visible" name="📦 Maestro Productos" sheetId="5" r:id="rId9"/>
    <sheet state="visible" name="📋 Proyectos" sheetId="6" r:id="rId10"/>
    <sheet state="visible" name="⏱️ Horas MO" sheetId="7" r:id="rId11"/>
    <sheet state="visible" name="⚠️ Incidencias" sheetId="8" r:id="rId12"/>
    <sheet state="visible" name="👥 Control Equipos" sheetId="9" r:id="rId13"/>
    <sheet state="visible" name="💰 Rentabilidad" sheetId="10" r:id="rId14"/>
    <sheet state="visible" name="📐 Plantillas Presupuesto" sheetId="11" r:id="rId15"/>
    <sheet state="visible" name="🔧 Garantías y Mantenimiento" sheetId="12" r:id="rId16"/>
    <sheet state="visible" name="🛒 Previsión Compras" sheetId="13" r:id="rId17"/>
    <sheet state="visible" name="📈 Gráficos" sheetId="14" r:id="rId18"/>
    <sheet state="visible" name="⚡ Arquitectura n8n+BQ" sheetId="15" r:id="rId19"/>
    <sheet state="visible" name="📋 Instrucciones" sheetId="16" r:id="rId20"/>
  </sheets>
  <definedNames/>
  <calcPr/>
</workbook>
</file>

<file path=xl/sharedStrings.xml><?xml version="1.0" encoding="utf-8"?>
<sst xmlns="http://schemas.openxmlformats.org/spreadsheetml/2006/main" count="1135" uniqueCount="665">
  <si>
    <t>🎯  DASHBOARD — Resumen Ejecutivo de Inventario</t>
  </si>
  <si>
    <t>📦 TOTAL REFERENCIAS</t>
  </si>
  <si>
    <t>🟢 PRODUCTOS EN STOCK OK</t>
  </si>
  <si>
    <t>🟠 STOCK BAJO MÍNIMO</t>
  </si>
  <si>
    <t>🔴 SIN STOCK</t>
  </si>
  <si>
    <t>📥 ENTRADAS HOY (€)</t>
  </si>
  <si>
    <t>📤 SALIDAS HOY (€)</t>
  </si>
  <si>
    <t>📥 ENTRADAS MES (€)</t>
  </si>
  <si>
    <t>📤 SALIDAS MES (€)</t>
  </si>
  <si>
    <t>⚠️  ALERTAS DE STOCK — Productos que requieren atención</t>
  </si>
  <si>
    <t>REF</t>
  </si>
  <si>
    <t>Descripción</t>
  </si>
  <si>
    <t>Stock Actual</t>
  </si>
  <si>
    <t>Stock Mínimo</t>
  </si>
  <si>
    <t>Diferencia</t>
  </si>
  <si>
    <t>Estado</t>
  </si>
  <si>
    <t>Acción Recomendada</t>
  </si>
  <si>
    <t>💰  RESUMEN FINANCIERO DE MOVIMIENTOS</t>
  </si>
  <si>
    <t>Concepto</t>
  </si>
  <si>
    <t>Importe (€)</t>
  </si>
  <si>
    <t>Total Compras (Entradas) — Acumulado</t>
  </si>
  <si>
    <t>Total Ventas (Salidas) — Acumulado</t>
  </si>
  <si>
    <t>Margen Bruto Estimado</t>
  </si>
  <si>
    <t>% Margen sobre Ventas</t>
  </si>
  <si>
    <t>📊  STOCK ACTUAL — Vista en tiempo real del inventario</t>
  </si>
  <si>
    <t>🔄  Esta hoja se calcula automáticamente. Stock = Stock Inicial + Entradas - Salidas</t>
  </si>
  <si>
    <t>Categoría</t>
  </si>
  <si>
    <t>Unidad</t>
  </si>
  <si>
    <t>Stock Inicial</t>
  </si>
  <si>
    <t>Total Entradas</t>
  </si>
  <si>
    <t>Total Salidas</t>
  </si>
  <si>
    <t>STOCK ACTUAL</t>
  </si>
  <si>
    <t>Stock Máximo</t>
  </si>
  <si>
    <t>% Ocupación</t>
  </si>
  <si>
    <t>ESTADO</t>
  </si>
  <si>
    <t>📥  REGISTRO DE ENTRADAS DE MATERIAL</t>
  </si>
  <si>
    <t>✏️  Registrar cada entrada: compra a proveedor, devolución de obra, ajuste de inventario, etc.</t>
  </si>
  <si>
    <t>Nº Mov.</t>
  </si>
  <si>
    <t>REF Producto</t>
  </si>
  <si>
    <t>Tipo Entrada</t>
  </si>
  <si>
    <t>Cantidad</t>
  </si>
  <si>
    <t>Precio Coste (€)</t>
  </si>
  <si>
    <t>Importe Total (€)</t>
  </si>
  <si>
    <t>Fecha</t>
  </si>
  <si>
    <t>Proveedor / Origen</t>
  </si>
  <si>
    <t>Nº Albarán / Factura</t>
  </si>
  <si>
    <t>Responsable</t>
  </si>
  <si>
    <t>Observaciones</t>
  </si>
  <si>
    <t>E-001</t>
  </si>
  <si>
    <t>SOL-001</t>
  </si>
  <si>
    <t>Compra Proveedor</t>
  </si>
  <si>
    <t>Jinko Solar SL</t>
  </si>
  <si>
    <t>FAC-2025-0001</t>
  </si>
  <si>
    <t>Carlos M.</t>
  </si>
  <si>
    <t>Pedido inicial temporada</t>
  </si>
  <si>
    <t>E-002</t>
  </si>
  <si>
    <t>INV-001</t>
  </si>
  <si>
    <t>Fronius Iberia</t>
  </si>
  <si>
    <t>FAC-2025-0002</t>
  </si>
  <si>
    <t>E-003</t>
  </si>
  <si>
    <t>SOL-002</t>
  </si>
  <si>
    <t>Longi Solar</t>
  </si>
  <si>
    <t>FAC-2025-0003</t>
  </si>
  <si>
    <t>E-004</t>
  </si>
  <si>
    <t>AER-001</t>
  </si>
  <si>
    <t>Mitsubishi ES</t>
  </si>
  <si>
    <t>FAC-2025-0004</t>
  </si>
  <si>
    <t>Ana L.</t>
  </si>
  <si>
    <t>Campaña invierno</t>
  </si>
  <si>
    <t>E-005</t>
  </si>
  <si>
    <t>CAB-001</t>
  </si>
  <si>
    <t>Prysmian Group</t>
  </si>
  <si>
    <t>FAC-2025-0005</t>
  </si>
  <si>
    <t>E-006</t>
  </si>
  <si>
    <t>BAT-001</t>
  </si>
  <si>
    <t>Devolución Obra</t>
  </si>
  <si>
    <t>Obra Ref. 2024-087</t>
  </si>
  <si>
    <t>N/A</t>
  </si>
  <si>
    <t>Cambio especificaciones</t>
  </si>
  <si>
    <t>📤  REGISTRO DE SALIDAS DE MATERIAL</t>
  </si>
  <si>
    <t>✏️  Registrar cada salida: material a obra, venta directa, merma, etc. El REF debe coincidir exactamente.</t>
  </si>
  <si>
    <t>Tipo Salida</t>
  </si>
  <si>
    <t>Precio Venta (€)</t>
  </si>
  <si>
    <t>Destino / Obra / Cliente</t>
  </si>
  <si>
    <t>Nº Pedido / Factura</t>
  </si>
  <si>
    <t>S-001</t>
  </si>
  <si>
    <t>Obra Instalación</t>
  </si>
  <si>
    <t>Obra CL-2025-001 Getafe</t>
  </si>
  <si>
    <t>PED-001</t>
  </si>
  <si>
    <t>Luis G.</t>
  </si>
  <si>
    <t>Inst. fotovoltaica chalet</t>
  </si>
  <si>
    <t>S-002</t>
  </si>
  <si>
    <t>S-003</t>
  </si>
  <si>
    <t>EST-001</t>
  </si>
  <si>
    <t>S-004</t>
  </si>
  <si>
    <t>Obra CL-2025-002 Alcorcón</t>
  </si>
  <si>
    <t>PED-002</t>
  </si>
  <si>
    <t>María S.</t>
  </si>
  <si>
    <t>Aerotermia residencial</t>
  </si>
  <si>
    <t>S-005</t>
  </si>
  <si>
    <t>CAL-001</t>
  </si>
  <si>
    <t>Obra CL-2025-003 Leganés</t>
  </si>
  <si>
    <t>PED-003</t>
  </si>
  <si>
    <t>S-006</t>
  </si>
  <si>
    <t>Obra CL-2025-004 Majadahonda</t>
  </si>
  <si>
    <t>PED-004</t>
  </si>
  <si>
    <t>20 paneles proyecto grande</t>
  </si>
  <si>
    <t>S-007</t>
  </si>
  <si>
    <t>INV-002</t>
  </si>
  <si>
    <t>Venta Directa</t>
  </si>
  <si>
    <t>Cliente Particular - J.Ruiz</t>
  </si>
  <si>
    <t>PED-005</t>
  </si>
  <si>
    <t>Venta sin instalación</t>
  </si>
  <si>
    <t>S-008</t>
  </si>
  <si>
    <t>🏭  MAESTRO DE PRODUCTOS — Control de Inventario</t>
  </si>
  <si>
    <t>⚠️  NO modificar los códigos de referencia — son la clave de todo el sistema</t>
  </si>
  <si>
    <t>Descripción del Producto</t>
  </si>
  <si>
    <t>Marca/Fabricante</t>
  </si>
  <si>
    <t>Ubicación Almacén</t>
  </si>
  <si>
    <t>Panel Solar Monocristalino 400W</t>
  </si>
  <si>
    <t>Placas Solares</t>
  </si>
  <si>
    <t>Jinko Solar</t>
  </si>
  <si>
    <t>Ud.</t>
  </si>
  <si>
    <t>Nave A - Estante 1</t>
  </si>
  <si>
    <t>Panel Solar Monocristalino 450W</t>
  </si>
  <si>
    <t>SOL-003</t>
  </si>
  <si>
    <t>Panel Solar Bifacial 500W</t>
  </si>
  <si>
    <t>Trina Solar</t>
  </si>
  <si>
    <t>Nave A - Estante 2</t>
  </si>
  <si>
    <t>Inversor Monofásico 3kW</t>
  </si>
  <si>
    <t>Inversores</t>
  </si>
  <si>
    <t>Fronius</t>
  </si>
  <si>
    <t>Nave B - Estante 1</t>
  </si>
  <si>
    <t>Inversor Monofásico 5kW</t>
  </si>
  <si>
    <t>INV-003</t>
  </si>
  <si>
    <t>Inversor Trifásico 10kW</t>
  </si>
  <si>
    <t>SMA</t>
  </si>
  <si>
    <t>Nave B - Estante 2</t>
  </si>
  <si>
    <t>Batería LiFePO4 5kWh</t>
  </si>
  <si>
    <t>Baterías</t>
  </si>
  <si>
    <t>BYD</t>
  </si>
  <si>
    <t>Nave B - Estante 3</t>
  </si>
  <si>
    <t>BAT-002</t>
  </si>
  <si>
    <t>Batería LiFePO4 10kWh</t>
  </si>
  <si>
    <t>Aerotermia 8kW Monobloc</t>
  </si>
  <si>
    <t>Aerotermia</t>
  </si>
  <si>
    <t>Mitsubishi</t>
  </si>
  <si>
    <t>Nave C - Estante 1</t>
  </si>
  <si>
    <t>AER-002</t>
  </si>
  <si>
    <t>Aerotermia 12kW Split</t>
  </si>
  <si>
    <t>Daikin</t>
  </si>
  <si>
    <t>Caldera Gas Condensación 24kW</t>
  </si>
  <si>
    <t>Calefacción</t>
  </si>
  <si>
    <t>Vaillant</t>
  </si>
  <si>
    <t>Nave C - Estante 2</t>
  </si>
  <si>
    <t>CAL-002</t>
  </si>
  <si>
    <t>Radiador Aluminio 10 Elem.</t>
  </si>
  <si>
    <t>General</t>
  </si>
  <si>
    <t>Nave C - Estante 3</t>
  </si>
  <si>
    <t>Cable Solar 4mm² (m)</t>
  </si>
  <si>
    <t>Cableado</t>
  </si>
  <si>
    <t>Prysmian</t>
  </si>
  <si>
    <t>m</t>
  </si>
  <si>
    <t>Nave A - Bobinas</t>
  </si>
  <si>
    <t>CAB-002</t>
  </si>
  <si>
    <t>Cable Solar 6mm² (m)</t>
  </si>
  <si>
    <t>Estructura Tejado Inclinado (kit)</t>
  </si>
  <si>
    <t>Estructuras</t>
  </si>
  <si>
    <t>K2 Systems</t>
  </si>
  <si>
    <t>Kit</t>
  </si>
  <si>
    <t>Nave A - Suelo</t>
  </si>
  <si>
    <t>EST-002</t>
  </si>
  <si>
    <t>Estructura Cubierta Plana (kit)</t>
  </si>
  <si>
    <t>PRO-001</t>
  </si>
  <si>
    <t>Protección DC 1000V 2P</t>
  </si>
  <si>
    <t>Protecciones</t>
  </si>
  <si>
    <t>Hager</t>
  </si>
  <si>
    <t>Nave D - Estante 1</t>
  </si>
  <si>
    <t>PRO-002</t>
  </si>
  <si>
    <t>Contador Bidireccional Smart</t>
  </si>
  <si>
    <t>Schneider</t>
  </si>
  <si>
    <t>TUB-001</t>
  </si>
  <si>
    <t>Tubo Corrugado PG29 (m)</t>
  </si>
  <si>
    <t>Fontanería/Tuber.</t>
  </si>
  <si>
    <t>Ursa</t>
  </si>
  <si>
    <t>Nave D - Estante 2</t>
  </si>
  <si>
    <t>TUB-002</t>
  </si>
  <si>
    <t>Tubería Cobre 22mm (m)</t>
  </si>
  <si>
    <t>Roca</t>
  </si>
  <si>
    <t>📋  MAESTRO DE PROYECTOS — Control completo por obra</t>
  </si>
  <si>
    <t>Registra aquí cada proyecto. Los costes reales se calculan automáticamente desde las hojas de Salidas y Horas.</t>
  </si>
  <si>
    <t>⚙️  Tarifa hora MO (€/h):</t>
  </si>
  <si>
    <t>← Cambiar aquí la tarifa de mano de obra para recalcular todo</t>
  </si>
  <si>
    <t>IDENTIFICACIÓN</t>
  </si>
  <si>
    <t>CONTROL DE TIEMPO</t>
  </si>
  <si>
    <t>CONTROL DE MATERIAL</t>
  </si>
  <si>
    <t>MANO DE OBRA</t>
  </si>
  <si>
    <t>RESULTADO FINANCIERO</t>
  </si>
  <si>
    <t>CALIDAD</t>
  </si>
  <si>
    <t>Nº
Proyecto</t>
  </si>
  <si>
    <t>Cliente</t>
  </si>
  <si>
    <t>Localidad</t>
  </si>
  <si>
    <t>Tipo
Instalación</t>
  </si>
  <si>
    <t>Equipo
Asignado</t>
  </si>
  <si>
    <t>Fecha
Inicio</t>
  </si>
  <si>
    <t>Fecha Fin
Estimada</t>
  </si>
  <si>
    <t>Fecha Fin
Real</t>
  </si>
  <si>
    <t>Días
Estimados</t>
  </si>
  <si>
    <t>Días
Reales</t>
  </si>
  <si>
    <t>Desv.
Días</t>
  </si>
  <si>
    <t>Ppto. Material
Estimado (€)</t>
  </si>
  <si>
    <t>Coste Material
Real (€)</t>
  </si>
  <si>
    <t>Desv.
Material (€)</t>
  </si>
  <si>
    <t>% Desv.
Material</t>
  </si>
  <si>
    <t>Horas MO
Estimadas</t>
  </si>
  <si>
    <t>Horas MO
Reales</t>
  </si>
  <si>
    <t>Coste MO
Estimado (€)</t>
  </si>
  <si>
    <t>Coste MO
Real (€)</t>
  </si>
  <si>
    <t>Precio Venta
Total (€)</t>
  </si>
  <si>
    <t>Coste Total
Real (€)</t>
  </si>
  <si>
    <t>Margen
Bruto (€)</t>
  </si>
  <si>
    <t>% Margen</t>
  </si>
  <si>
    <t>Nº
Incidencias</t>
  </si>
  <si>
    <t>Rentab.
Semáforo</t>
  </si>
  <si>
    <t>PRY-001</t>
  </si>
  <si>
    <t>Familia Rodríguez</t>
  </si>
  <si>
    <t>Getafe (Madrid)</t>
  </si>
  <si>
    <t>Solar Residencial</t>
  </si>
  <si>
    <t>Equipo Alpha</t>
  </si>
  <si>
    <t>Completado</t>
  </si>
  <si>
    <t>PRY-002</t>
  </si>
  <si>
    <t>Comunidad Sta. Ana</t>
  </si>
  <si>
    <t>Alcorcón (Madrid)</t>
  </si>
  <si>
    <t>Solar Industrial</t>
  </si>
  <si>
    <t>Equipo Beta</t>
  </si>
  <si>
    <t>PRY-003</t>
  </si>
  <si>
    <t>José M. Herrera</t>
  </si>
  <si>
    <t>Leganés (Madrid)</t>
  </si>
  <si>
    <t>PRY-004</t>
  </si>
  <si>
    <t>Nave Industrial López</t>
  </si>
  <si>
    <t>Majadahonda (Madrid)</t>
  </si>
  <si>
    <t>Equipo Gamma</t>
  </si>
  <si>
    <t>En Ejecución</t>
  </si>
  <si>
    <t>PRY-005</t>
  </si>
  <si>
    <t>Hotel Mediterráneo</t>
  </si>
  <si>
    <t>Fuenlabrada (Madrid)</t>
  </si>
  <si>
    <t>Mixto Solar+Aero</t>
  </si>
  <si>
    <t>PRY-006</t>
  </si>
  <si>
    <t>Clínica Dental Pérez</t>
  </si>
  <si>
    <t>Móstoles (Madrid)</t>
  </si>
  <si>
    <t>Equipo Delta</t>
  </si>
  <si>
    <t>PRY-007</t>
  </si>
  <si>
    <t>Polideportivo Municipal</t>
  </si>
  <si>
    <t>Pozuelo (Madrid)</t>
  </si>
  <si>
    <t>PRY-008</t>
  </si>
  <si>
    <t>Residencia 3ª Edad</t>
  </si>
  <si>
    <t>Alcalá de Henares</t>
  </si>
  <si>
    <t>PRY-009</t>
  </si>
  <si>
    <t>Chalet García-Vega</t>
  </si>
  <si>
    <t>Boadilla del Monte</t>
  </si>
  <si>
    <t>En Presupuesto</t>
  </si>
  <si>
    <t>PRY-010</t>
  </si>
  <si>
    <t>Fábrica Textil Norte</t>
  </si>
  <si>
    <t>Torrejón de Ardoz</t>
  </si>
  <si>
    <t>⏱️  HORAS &amp; MANO DE OBRA — Registro por técnico y proyecto</t>
  </si>
  <si>
    <t>Cada fila = una jornada o actividad. El coste se calcula automáticamente con la tarifa definida en Proyectos (E3).</t>
  </si>
  <si>
    <t>Nº Proyecto</t>
  </si>
  <si>
    <t>Equipo</t>
  </si>
  <si>
    <t>Técnico</t>
  </si>
  <si>
    <t>Horas</t>
  </si>
  <si>
    <t>Tarifa €/h</t>
  </si>
  <si>
    <t>H-001</t>
  </si>
  <si>
    <t>Luis García</t>
  </si>
  <si>
    <t>Instalación paneles</t>
  </si>
  <si>
    <t>H-002</t>
  </si>
  <si>
    <t>Pedro Ruiz</t>
  </si>
  <si>
    <t>H-003</t>
  </si>
  <si>
    <t>Cableado y conexiones</t>
  </si>
  <si>
    <t>H-004</t>
  </si>
  <si>
    <t>H-005</t>
  </si>
  <si>
    <t>Puesta en marcha</t>
  </si>
  <si>
    <t>H-006</t>
  </si>
  <si>
    <t>Instalación aerotermia</t>
  </si>
  <si>
    <t>H-007</t>
  </si>
  <si>
    <t>Fontanería y conexiones</t>
  </si>
  <si>
    <t>H-008</t>
  </si>
  <si>
    <t>H-009</t>
  </si>
  <si>
    <t>Javier Martín</t>
  </si>
  <si>
    <t>Instalación calefacción</t>
  </si>
  <si>
    <t>H-010</t>
  </si>
  <si>
    <t>Elena Torres</t>
  </si>
  <si>
    <t>H-011</t>
  </si>
  <si>
    <t>Ajuste y puesta en marcha</t>
  </si>
  <si>
    <t>Revisita por mal ajuste</t>
  </si>
  <si>
    <t>H-012</t>
  </si>
  <si>
    <t>H-013</t>
  </si>
  <si>
    <t>Instalación estructura</t>
  </si>
  <si>
    <t>H-014</t>
  </si>
  <si>
    <t>H-015</t>
  </si>
  <si>
    <t>Ana López</t>
  </si>
  <si>
    <t>Paneles y cableado</t>
  </si>
  <si>
    <t>H-016</t>
  </si>
  <si>
    <t>H-017</t>
  </si>
  <si>
    <t>H-018</t>
  </si>
  <si>
    <t>María Sánchez</t>
  </si>
  <si>
    <t>H-019</t>
  </si>
  <si>
    <t>Puesta en marcha + ajuste</t>
  </si>
  <si>
    <t>Incidencia presión</t>
  </si>
  <si>
    <t>H-020</t>
  </si>
  <si>
    <t>H-021</t>
  </si>
  <si>
    <t>Retraso por lluvia</t>
  </si>
  <si>
    <t>H-022</t>
  </si>
  <si>
    <t>Instalación industrial</t>
  </si>
  <si>
    <t>H-023</t>
  </si>
  <si>
    <t>Cableado industrial</t>
  </si>
  <si>
    <t>H-024</t>
  </si>
  <si>
    <t>Inicio instalación</t>
  </si>
  <si>
    <t>⚠️  REGISTRO DE INCIDENCIAS — Revisitas, averías y reclamaciones</t>
  </si>
  <si>
    <t>Registrar TODA incidencia post-instalación. Es la clave para detectar qué equipos o materiales dan más problemas.</t>
  </si>
  <si>
    <t>Nº Inc.</t>
  </si>
  <si>
    <t>Técnico Responsable</t>
  </si>
  <si>
    <t>Fecha Inc.</t>
  </si>
  <si>
    <t>Tipo</t>
  </si>
  <si>
    <t>Horas Extra</t>
  </si>
  <si>
    <t>Coste Mat. Extra (€)</t>
  </si>
  <si>
    <t>Coste Total Inc. (€)</t>
  </si>
  <si>
    <t>Fecha Cierre</t>
  </si>
  <si>
    <t>INC-001</t>
  </si>
  <si>
    <t>Revisita</t>
  </si>
  <si>
    <t>Inversor no conecta con la red — configuración errónea</t>
  </si>
  <si>
    <t>Cerrada</t>
  </si>
  <si>
    <t>INC-002</t>
  </si>
  <si>
    <t>Ajuste Técnico</t>
  </si>
  <si>
    <t>Presión calefacción mal calibrada — revisita necesaria</t>
  </si>
  <si>
    <t>INC-003</t>
  </si>
  <si>
    <t>Avería Equipo</t>
  </si>
  <si>
    <t>Compresor aerotermia con ruido anómalo — revisión</t>
  </si>
  <si>
    <t>INC-004</t>
  </si>
  <si>
    <t>Reclamación Cliente</t>
  </si>
  <si>
    <t>Cliente reporta que app monitorización no funciona</t>
  </si>
  <si>
    <t>INC-005</t>
  </si>
  <si>
    <t>Fallo Material</t>
  </si>
  <si>
    <t>Microinversor defectuoso — sustitución en garantía</t>
  </si>
  <si>
    <t>INC-006</t>
  </si>
  <si>
    <t>Estructura no nivelada correctamente — corrección</t>
  </si>
  <si>
    <t>Abierta</t>
  </si>
  <si>
    <t>INC-007</t>
  </si>
  <si>
    <t>Cliente solicita reubicación de un panel durante instalación</t>
  </si>
  <si>
    <t>En Revisión</t>
  </si>
  <si>
    <t>👥  CONTROL DE EQUIPOS — Rendimiento comparativo</t>
  </si>
  <si>
    <t>Todos los datos se calculan automáticamente desde Proyectos, Horas e Incidencias. Solo lectura.</t>
  </si>
  <si>
    <t>🔵 EQUIPO ALPHA</t>
  </si>
  <si>
    <t>🔵 EQUIPO BETA</t>
  </si>
  <si>
    <t>🔵 EQUIPO GAMMA</t>
  </si>
  <si>
    <t>🔵 EQUIPO DELTA</t>
  </si>
  <si>
    <t>📋 Proyectos totales</t>
  </si>
  <si>
    <t>✅ Completados</t>
  </si>
  <si>
    <t>🔄 En Ejecución</t>
  </si>
  <si>
    <t>⏱️ Días medio por obra</t>
  </si>
  <si>
    <t>📅 Desv. tiempo (días)</t>
  </si>
  <si>
    <t>🔨 Horas totales MO</t>
  </si>
  <si>
    <t>💶 Coste MO total (€)</t>
  </si>
  <si>
    <t>📦 Desv. material (€)</t>
  </si>
  <si>
    <t>⚠️ Incidencias totales</t>
  </si>
  <si>
    <t>📊 Ratio inc./proyecto</t>
  </si>
  <si>
    <t>💰 Margen total generado</t>
  </si>
  <si>
    <t>📈 Margen medio %</t>
  </si>
  <si>
    <t>🏆 RANKING</t>
  </si>
  <si>
    <t>📊  COMPARATIVA ENTRE EQUIPOS</t>
  </si>
  <si>
    <t>Métrica</t>
  </si>
  <si>
    <t>🏆 MEJOR</t>
  </si>
  <si>
    <t>Proyectos completados</t>
  </si>
  <si>
    <t>Desv. media tiempo (días)</t>
  </si>
  <si>
    <t>Margen medio %</t>
  </si>
  <si>
    <t>Incidencias totales</t>
  </si>
  <si>
    <t>Ratio inc./proyecto</t>
  </si>
  <si>
    <t>💰  RENTABILIDAD POR PROYECTO — Qué obras nos dan más dinero</t>
  </si>
  <si>
    <t>Ranking automático. Columnas clave para contabilidad. Solo proyectos con datos completos aparecen rankados.</t>
  </si>
  <si>
    <t>Posición</t>
  </si>
  <si>
    <t>Coste Material (€)</t>
  </si>
  <si>
    <t>Coste MO (€)</t>
  </si>
  <si>
    <t>Coste Total (€)</t>
  </si>
  <si>
    <t>Margen Bruto (€)</t>
  </si>
  <si>
    <t>Semáforo</t>
  </si>
  <si>
    <t>📊  RESUMEN FINANCIERO POR TIPO DE INSTALACIÓN</t>
  </si>
  <si>
    <t>Tipo Instalación</t>
  </si>
  <si>
    <t>Nº Proyectos Completados</t>
  </si>
  <si>
    <t>Facturación Total (€)</t>
  </si>
  <si>
    <t>Coste Material Total (€)</t>
  </si>
  <si>
    <t>Coste MO Total (€)</t>
  </si>
  <si>
    <t>Margen Total (€)</t>
  </si>
  <si>
    <t>Margen Medio %</t>
  </si>
  <si>
    <t>TOTAL</t>
  </si>
  <si>
    <t>📐  PLANTILLAS DE PRESUPUESTO — Estándares por tipo de instalación</t>
  </si>
  <si>
    <t>Referencia de materiales y horas estándar. n8n usa esta hoja para validar desviaciones automáticamente.</t>
  </si>
  <si>
    <t>Tarifa MO (€/h):</t>
  </si>
  <si>
    <t>Margen mín:</t>
  </si>
  <si>
    <t>% merma:</t>
  </si>
  <si>
    <t>Contingencia:</t>
  </si>
  <si>
    <t>⚙️  MATERIALES ESTÁNDAR POR TIPO DE INSTALACIÓN</t>
  </si>
  <si>
    <t>Cant. Base</t>
  </si>
  <si>
    <t>P.Coste (€)</t>
  </si>
  <si>
    <t>Subtotal (€)</t>
  </si>
  <si>
    <t>+ Merma (€)</t>
  </si>
  <si>
    <t>Total c/merma (€)</t>
  </si>
  <si>
    <t>Horas MO</t>
  </si>
  <si>
    <t>Cant.Mín</t>
  </si>
  <si>
    <t>Cant.Máx</t>
  </si>
  <si>
    <t>Crítico</t>
  </si>
  <si>
    <t>Nota</t>
  </si>
  <si>
    <t>Panel Solar Mono 400W</t>
  </si>
  <si>
    <t>SÍ</t>
  </si>
  <si>
    <t>Base 4.8kWp</t>
  </si>
  <si>
    <t>1 inv/12 paneles</t>
  </si>
  <si>
    <t>Estructura Tejado Inclinado</t>
  </si>
  <si>
    <t>NO</t>
  </si>
  <si>
    <t>1 kit/4 paneles</t>
  </si>
  <si>
    <t>Cable Solar 4mm²</t>
  </si>
  <si>
    <t>10% extra incluido</t>
  </si>
  <si>
    <t>Protección DC 1000V</t>
  </si>
  <si>
    <t>Contador Bidireccional</t>
  </si>
  <si>
    <t>Obligatorio normativa</t>
  </si>
  <si>
    <t>Base 30kWp</t>
  </si>
  <si>
    <t>1 inv/20 paneles</t>
  </si>
  <si>
    <t>Estructura Cubierta Plana</t>
  </si>
  <si>
    <t>Cable Solar 6mm²</t>
  </si>
  <si>
    <t>Opcional</t>
  </si>
  <si>
    <t>Hasta 150m²</t>
  </si>
  <si>
    <t>Tubería Cobre 22mm</t>
  </si>
  <si>
    <t>Tubo Corrugado PG29</t>
  </si>
  <si>
    <t>Caldera Gas Condensación</t>
  </si>
  <si>
    <t>Radiador Aluminio 10 elem.</t>
  </si>
  <si>
    <t>Media 8/vivienda</t>
  </si>
  <si>
    <t>TOTAL MATERIAL — Solar Residencial</t>
  </si>
  <si>
    <t>TOTAL MATERIAL — Solar Industrial</t>
  </si>
  <si>
    <t>TOTAL MATERIAL — Aerotermia</t>
  </si>
  <si>
    <t>TOTAL MATERIAL — Calefacción</t>
  </si>
  <si>
    <t>🔧  GARANTÍAS &amp; MANTENIMIENTO — Control postventa y contratos recurrentes</t>
  </si>
  <si>
    <t>n8n revisa esta hoja cada lunes y lanza alertas automáticas de vencimientos. Los contratos de mantenimiento son ingresos recurrentes.</t>
  </si>
  <si>
    <t>Tipo Inst.</t>
  </si>
  <si>
    <t>Fecha Inst.</t>
  </si>
  <si>
    <t>Fin Garantía
Fabricante</t>
  </si>
  <si>
    <t>Fin Garantía
Instalación</t>
  </si>
  <si>
    <t>Días
para Vencer</t>
  </si>
  <si>
    <t>Contrato
Manto</t>
  </si>
  <si>
    <t>Precio Anual
Manto (€)</t>
  </si>
  <si>
    <t>Próxima
Revisión</t>
  </si>
  <si>
    <t>Revisiones
Realizadas</t>
  </si>
  <si>
    <t>Coste Última
Revisión (€)</t>
  </si>
  <si>
    <t>Alerta n8n</t>
  </si>
  <si>
    <t>Notas</t>
  </si>
  <si>
    <t>Contrato anual</t>
  </si>
  <si>
    <t>Tarifa especial comunidad</t>
  </si>
  <si>
    <t>Revisión semestral obligatoria</t>
  </si>
  <si>
    <t>Polideportivo Mun.</t>
  </si>
  <si>
    <t>Contrato premium</t>
  </si>
  <si>
    <t>📊  RESUMEN CONTRATOS DE MANTENIMIENTO</t>
  </si>
  <si>
    <t>Contratos activos</t>
  </si>
  <si>
    <t>Ingresos recurrentes/año</t>
  </si>
  <si>
    <t>Garantías urgentes &lt;30d</t>
  </si>
  <si>
    <t>Garantías vencidas</t>
  </si>
  <si>
    <t>🛒  PREVISIÓN DE COMPRAS — Material necesario para proyectos activos</t>
  </si>
  <si>
    <t>n8n actualiza esta hoja cada noche y envía el email de pedido sugerido al proveedor cuando hay urgencias.</t>
  </si>
  <si>
    <t>Horizonte previsión (días):</t>
  </si>
  <si>
    <t>← Cambiar para ajustar el horizonte temporal de la previsión</t>
  </si>
  <si>
    <t>📦  NECESIDADES DE MATERIAL — Proyectos activos en los próximos 60 días</t>
  </si>
  <si>
    <t>Stock
Actual</t>
  </si>
  <si>
    <t>Stock
Mínimo</t>
  </si>
  <si>
    <t>Consumo
Proyectado</t>
  </si>
  <si>
    <t>Stock
Resultante</t>
  </si>
  <si>
    <t>Uds. a
Pedir</t>
  </si>
  <si>
    <t>Precio
Coste (€)</t>
  </si>
  <si>
    <t>Importe
Pedido (€)</t>
  </si>
  <si>
    <t>Proveedor
Habitual</t>
  </si>
  <si>
    <t>Plazo
Entrega</t>
  </si>
  <si>
    <t>Urgencia</t>
  </si>
  <si>
    <t>Pedido
Generado</t>
  </si>
  <si>
    <t>Fecha
Sugerida</t>
  </si>
  <si>
    <t>Nota n8n</t>
  </si>
  <si>
    <t>7 días</t>
  </si>
  <si>
    <t>🔴 URGENTE</t>
  </si>
  <si>
    <t>PRY-004+PRY-005</t>
  </si>
  <si>
    <t>Panel Solar Mono 450W</t>
  </si>
  <si>
    <t>🟠 ALTA</t>
  </si>
  <si>
    <t>5 días</t>
  </si>
  <si>
    <t>10 días</t>
  </si>
  <si>
    <t>🟡 MEDIA</t>
  </si>
  <si>
    <t>3 días</t>
  </si>
  <si>
    <t>Varios proyectos</t>
  </si>
  <si>
    <t>BYD Europe</t>
  </si>
  <si>
    <t>14 días</t>
  </si>
  <si>
    <t>PRY-005 opcional</t>
  </si>
  <si>
    <t>Hager Iberia</t>
  </si>
  <si>
    <t>🟢 NORMAL</t>
  </si>
  <si>
    <t>Stock preventivo</t>
  </si>
  <si>
    <t>IMPORTE TOTAL PEDIDO SUGERIDO</t>
  </si>
  <si>
    <t>📈  GRÁFICOS PARA DIRECTIVOS — Visualización ejecutiva</t>
  </si>
  <si>
    <t>Los gráficos se actualizan automáticamente con los datos de Proyectos, Equipos y Stock.</t>
  </si>
  <si>
    <t>Nº Proyectos</t>
  </si>
  <si>
    <t>Facturación (€)</t>
  </si>
  <si>
    <t>Proyectos</t>
  </si>
  <si>
    <t>Incidencias</t>
  </si>
  <si>
    <t>Mes</t>
  </si>
  <si>
    <t>Ingresos (€)</t>
  </si>
  <si>
    <t>Compras (€)</t>
  </si>
  <si>
    <t>Alpha</t>
  </si>
  <si>
    <t>Ene</t>
  </si>
  <si>
    <t>Beta</t>
  </si>
  <si>
    <t>Feb</t>
  </si>
  <si>
    <t>Gamma</t>
  </si>
  <si>
    <t>Mar</t>
  </si>
  <si>
    <t>Delta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</si>
  <si>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</si>
  <si>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</si>
  <si>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</si>
  <si>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</si>
  <si>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</si>
  <si>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</si>
  <si>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</si>
  <si>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</si>
  <si>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</si>
  <si>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⚡  ARQUITECTURA TÉCNICA — n8n + BigQuery + Power BI</t>
  </si>
  <si>
    <t>Referencia técnica para IT o consultor. Sin fórmulas — es documentación del sistema completo.</t>
  </si>
  <si>
    <t>🏗️  EVOLUCIÓN EN 3 FASES</t>
  </si>
  <si>
    <t>ID</t>
  </si>
  <si>
    <t>FASE 1</t>
  </si>
  <si>
    <t>HOY — 0-3 meses (~5€/mes)</t>
  </si>
  <si>
    <t>WF-01</t>
  </si>
  <si>
    <t>Stock bajo → Email/WhatsApp compras</t>
  </si>
  <si>
    <t>Schedule
07:00 diario</t>
  </si>
  <si>
    <t>1. Google Sheets: leer hoja Stock Actual
2. Filter: estado contiene BAJO o SIN STOCK
3. IF vacío: stop / continuar
4. Set: formatear lista HTML
5a. Gmail: enviar email con tabla
5b. WhatsApp Business API: mensaje urgente
6. Google Sheets: escribir log en col N</t>
  </si>
  <si>
    <t>Diario</t>
  </si>
  <si>
    <t>🔴 Crítico</t>
  </si>
  <si>
    <t>Responsable Compras</t>
  </si>
  <si>
    <t>• Google Sheets como base operativa (sin cambios para el equipo)</t>
  </si>
  <si>
    <t>WF-02</t>
  </si>
  <si>
    <t>Nuevo proyecto → Crear tarea equipo</t>
  </si>
  <si>
    <t>Google Sheets
Trigger (fila nueva)</t>
  </si>
  <si>
    <t>1. Google Sheets Trigger: detectar fila nueva en Proyectos
2. Filter: estado = 'En Ejecución'
3. Trello: crear tarjeta en tablero del equipo
4. Gmail: email al jefe de equipo con detalles
5. Google Sheets: leer plantilla de materiales
6. BigQuery: INSERT en tabla proyectos</t>
  </si>
  <si>
    <t>Tiempo real</t>
  </si>
  <si>
    <t>Equipo asignado</t>
  </si>
  <si>
    <t>• n8n self-hosted en VPS Hetzner CX11 = 4.51€/mes</t>
  </si>
  <si>
    <t>WF-03</t>
  </si>
  <si>
    <t>Incidencia nueva → Alerta inmediata</t>
  </si>
  <si>
    <t>1. Google Sheets Trigger: fila nueva en Incidencias
2. Lookup: buscar jefe equipo en tabla equipos
3. WhatsApp Business: mensaje urgente al jefe
4. Gmail: email detallado con datos incidencia
5. Trello: añadir comentario en tarjeta proyecto
6. BigQuery: INSERT en tabla incidencias</t>
  </si>
  <si>
    <t>Jefe de equipo</t>
  </si>
  <si>
    <t>• Workflows activos: alertas stock, alertas incidencias, informe semanal</t>
  </si>
  <si>
    <t>WF-04</t>
  </si>
  <si>
    <t>Proyecto completado → Archivar en BQ</t>
  </si>
  <si>
    <t>Google Sheets
Trigger (col F)</t>
  </si>
  <si>
    <t>1. Google Sheets Trigger: col F cambia a 'Completado'
2. Google Sheets: leer fila completa con todos los datos
3. HTTP Request: calcular margen final
4. BigQuery: INSERT proyectos_historico
5. BigQuery: INSERT costes_detallados
6. Gmail: resumen de margen a dirección</t>
  </si>
  <si>
    <t>🟠 Alta</t>
  </si>
  <si>
    <t>Dirección / Contabilidad</t>
  </si>
  <si>
    <t>• Power BI Desktop gratuito conectado a Google Sheets</t>
  </si>
  <si>
    <t>WF-05</t>
  </si>
  <si>
    <t>Garantías próximas → Comercial</t>
  </si>
  <si>
    <t>Schedule
lunes 08:30</t>
  </si>
  <si>
    <t>1. Google Sheets: leer Garantías y Mantenimiento
2. Filter: dias_para_vencer &lt;= 90
3. IF sin resultados: stop
4. Set: construir tabla HTML con clientes
5. Gmail: email a comercial con lista
6. HubSpot/CRM: crear tarea de seguimiento
7. Sheets: marcar columna 'Alerta enviada'</t>
  </si>
  <si>
    <t>Semanal</t>
  </si>
  <si>
    <t>Comercial</t>
  </si>
  <si>
    <t>• BigQuery creado pero solo recibe snapshots diarios del stock</t>
  </si>
  <si>
    <t>WF-06</t>
  </si>
  <si>
    <t>Presupuesto → Generar PDF y enviar</t>
  </si>
  <si>
    <t>Google Sheets
Trigger (estado)</t>
  </si>
  <si>
    <t>1. Sheets Trigger: estado cambia a 'En Ejecución'
2. Google Sheets: leer todos los datos proyecto
3. HTTP POST: API Carbone.io con template Word
4. HTTP GET: descargar PDF generado
5. Google Drive: guardar en carpeta /Presupuestos/Cliente
6. Gmail: enviar PDF al cliente con mensaje personalizado</t>
  </si>
  <si>
    <t>Cliente / Comercial</t>
  </si>
  <si>
    <t>WF-07</t>
  </si>
  <si>
    <t>Margen bajo → Alerta dirección</t>
  </si>
  <si>
    <t>Schedule
12:00 diario</t>
  </si>
  <si>
    <t>1. Google Sheets: leer proyectos con estado 'En Ejecución'
2. Calcular: coste_actual / precio_venta (margen provisional)
3. Filter: margen &lt; 15%
4. IF vacío: stop
5. Gmail: email urgente a dirección con proyectos en riesgo
6. Slack/Teams: mensaje en canal #alertas-financieras
7. Sheets: colorear fila en rojo</t>
  </si>
  <si>
    <t>Dirección</t>
  </si>
  <si>
    <t>FASE 2</t>
  </si>
  <si>
    <t>MEDIO PLAZO — 3-9 meses (~30€/mes)</t>
  </si>
  <si>
    <t>WF-08</t>
  </si>
  <si>
    <t>Informe semanal automático</t>
  </si>
  <si>
    <t>Schedule
viernes 17:00</t>
  </si>
  <si>
    <t>1. BigQuery: query KPIs semana (proyectos, margen, incidencias)
2. Google Sheets: leer datos stock crítico
3. Calcular: comparativa con semana anterior en BQ
4. HTTP POST: API Carbone.io para PDF ejecutivo
5. Gmail: enviar a lista VIPs (dirección, socios)
6. Power BI REST API: forzar refresh del dataset
7. BigQuery: INSERT en tabla reportes_semanales</t>
  </si>
  <si>
    <t>🟡 Media</t>
  </si>
  <si>
    <t>Dirección / Socios</t>
  </si>
  <si>
    <t>• BigQuery recibe TODOS los movimientos en tiempo real vía n8n</t>
  </si>
  <si>
    <t>• Power BI Service web (9.99€/usuario) — dashboards online en el móvil</t>
  </si>
  <si>
    <t>• n8n genera PDFs de presupuestos automáticamente (API Carbone.io)</t>
  </si>
  <si>
    <t>• Alertas WhatsApp Business por incidencias y garantías</t>
  </si>
  <si>
    <t>• n8n crea tareas en Trello/Notion al asignar proyectos a equipos</t>
  </si>
  <si>
    <t>FASE 3</t>
  </si>
  <si>
    <t>LARGO PLAZO — 9-18 meses (~150€/mes)</t>
  </si>
  <si>
    <t>• Migración a Odoo Community (ERP open source, servidor ~20€/mes)</t>
  </si>
  <si>
    <t>• n8n reconecta a Odoo — Power BI no cambia absolutamente nada</t>
  </si>
  <si>
    <t>• Técnicos usan app móvil Odoo para registrar horas y materiales en campo</t>
  </si>
  <si>
    <t>• Firma digital de presupuestos con Odoo Sign</t>
  </si>
  <si>
    <t>• Facturación automática al cambiar estado proyecto a 'Completado'</t>
  </si>
  <si>
    <t>🗄️  BIGQUERY — SCHEMA DE TABLAS (copiar en BQ Console)</t>
  </si>
  <si>
    <t>Tabla</t>
  </si>
  <si>
    <t>Schema (campos y tipos)</t>
  </si>
  <si>
    <t>proyectos_historico</t>
  </si>
  <si>
    <t>Todos los proyectos completados.
Alimentado por WF-04.</t>
  </si>
  <si>
    <t>proyecto_id STRING NOT NULL,
cliente STRING,
tipo_instalacion STRING,
equipo STRING,
estado STRING,
fecha_inicio DATE,
fecha_fin DATE,
precio_venta FLOAT64,
coste_material FLOAT64,
coste_mo FLOAT64,
coste_total FLOAT64,
margen_bruto FLOAT64,
pct_margen FLOAT64,
n_incidencias INT64,
timestamp_sync TIMESTAMP</t>
  </si>
  <si>
    <t>movimientos_stock</t>
  </si>
  <si>
    <t>Histórico completo de entradas
y salidas de almacén.
Alimentado por WF diario.</t>
  </si>
  <si>
    <t>mov_id STRING NOT NULL,
tipo STRING,  -- ENTRADA/SALIDA
ref_producto STRING,
descripcion STRING,
categoria STRING,
cantidad FLOAT64,
precio_unitario FLOAT64,
importe FLOAT64,
fecha DATE,
proyecto_id STRING,
responsable STRING,
timestamp_sync TIMESTAMP</t>
  </si>
  <si>
    <t>incidencias</t>
  </si>
  <si>
    <t>Registro de todas las incidencias.
Alimentado por WF-03.</t>
  </si>
  <si>
    <t>inc_id STRING NOT NULL,
proyecto_id STRING,
equipo STRING,
tecnico STRING,
fecha DATE,
tipo STRING,
descrip STRING,
horas_extra FLOAT64,
coste_extra FLOAT64,
estado STRING,
timestamp_sync TIMESTAMP</t>
  </si>
  <si>
    <t>horas_mo</t>
  </si>
  <si>
    <t>Registro de mano de obra.
Alimentado por WF diario.</t>
  </si>
  <si>
    <t>mov_id STRING NOT NULL,
proyecto_id STRING,
equipo STRING,
tecnico STRING,
fecha DATE,
concepto STRING,
horas FLOAT64,
coste FLOAT64,
timestamp_sync TIMESTAMP</t>
  </si>
  <si>
    <t>stock_daily_snapshot</t>
  </si>
  <si>
    <t>Foto diaria del stock para
evolución histórica en Power BI.</t>
  </si>
  <si>
    <t>ref_producto STRING,
descripcion STRING,
categoria STRING,
stock_qty FLOAT64,
valor_coste FLOAT64,
estado STRING,
fecha DATE NOT NULL,
timestamp_sync TIMESTAMP</t>
  </si>
  <si>
    <t>kpis_semanales</t>
  </si>
  <si>
    <t>KPIs consolidados por semana.
Alimentado por WF-08.</t>
  </si>
  <si>
    <t>semana_inicio DATE NOT NULL,
proyectos_completados INT64,
facturacion FLOAT64,
coste_total FLOAT64,
margen_bruto FLOAT64,
pct_margen FLOAT64,
n_incidencias INT64,
stock_valor FLOAT64,
timestamp_sync TIMESTAMP</t>
  </si>
  <si>
    <t>🖥️  INSTALACIÓN n8n EN 30 MINUTOS (self-hosted)</t>
  </si>
  <si>
    <t>1. VPS</t>
  </si>
  <si>
    <t>Hetzner Cloud → CX11: 1vCPU 2GB RAM = 4.51€/mes
Ubuntu 22.04 LTS. IP fija incluida.</t>
  </si>
  <si>
    <t>2. Docker</t>
  </si>
  <si>
    <t>Instalar Docker en el servidor:</t>
  </si>
  <si>
    <t>curl -fsSL https://get.docker.com | sh
sudo usermod -aG docker $USER
newgrp docker</t>
  </si>
  <si>
    <t>3. n8n</t>
  </si>
  <si>
    <t>Lanzar n8n con Docker Compose
(recomendado sobre docker run):</t>
  </si>
  <si>
    <t>version: '3.8'
services:
  n8n:
    image: n8nio/n8n
    restart: unless-stopped
    ports:
      - 5678:5678
    environment:
      - N8N_BASIC_AUTH_ACTIVE=true
      - N8N_BASIC_AUTH_USER=admin
      - N8N_BASIC_AUTH_PASSWORD=PASSWORD_SEGURO
      - WEBHOOK_URL=https://n8n.tuempresa.com
    volumes:
      - ~/.n8n:/home/node/.n8n</t>
  </si>
  <si>
    <t>4. Dominio
+ HTTPS</t>
  </si>
  <si>
    <t>Apuntar subdominio n8n.tuempresa.com a la IP del VPS.
Instalar Nginx + Certbot para HTTPS gratuito.</t>
  </si>
  <si>
    <t>sudo apt install nginx certbot python3-certbot-nginx
sudo certbot --nginx -d n8n.tuempresa.com</t>
  </si>
  <si>
    <t>5. Credenciales</t>
  </si>
  <si>
    <t>En n8n → Settings → Credentials:
• Google Sheets: OAuth2 (Google Cloud Console)
• BigQuery: Service Account JSON
• Gmail: OAuth2
• WhatsApp Business: token de Meta for Developers
• Power BI: OAuth2 (Azure App Registration)</t>
  </si>
  <si>
    <t># Tiempo estimado total: 45-60 minutos
# Coste total mensual: ~5€</t>
  </si>
  <si>
    <t>📋  GUÍA DE USO — Sistema de Control de Inventario</t>
  </si>
  <si>
    <t>🗂️  ESTRUCTURA DEL ARCHIVO</t>
  </si>
  <si>
    <t>📦 Maestro Productos</t>
  </si>
  <si>
    <t>Base de datos de todos los productos. Aquí se añaden nuevos artículos, se actualizan precios y datos maestros. NO borrar ni cambiar los códigos REF.</t>
  </si>
  <si>
    <t>📊 Stock Actual</t>
  </si>
  <si>
    <t>Vista automática del stock. Esta hoja NO se edita manualmente — se calcula sola con las entradas y salidas. Solo hay que actualizar el 'Stock Inicial' al empezar a usar el sistema.</t>
  </si>
  <si>
    <t>📥 Entradas</t>
  </si>
  <si>
    <t>Registrar aquí cada entrada de material: compras a proveedor, devoluciones de obra, ajustes positivos. Rellenar: REF, Tipo, Cantidad, Fecha, Proveedor y Nº Albarán.</t>
  </si>
  <si>
    <t>📤 Salidas</t>
  </si>
  <si>
    <t>Registrar aquí cada salida: material enviado a obra, ventas directas, mermas. Rellenar: REF, Tipo, Cantidad, Fecha, Obra/Cliente y Nº Pedido.</t>
  </si>
  <si>
    <t>🎯 Dashboard</t>
  </si>
  <si>
    <t>Resumen ejecutivo automático: KPIs, alertas de stock bajo y resumen financiero. Solo lectura.</t>
  </si>
  <si>
    <t>👥  ROLES Y PERMISOS (configurar en Google Sheets)</t>
  </si>
  <si>
    <t>Personal de Almacén</t>
  </si>
  <si>
    <t>Acceso de edición solo a las hojas '📥 Entradas' y '📤 Salidas'. Instrucción: rellenar col A (Nº Mov. correlativo), col B (REF exacta), col D (Tipo), col E (Cantidad), col F (Precio), col H (Fecha), col I (Destino/Proveedor), col J (Albarán), col K (Responsable).</t>
  </si>
  <si>
    <t>Contabilidad / Dirección</t>
  </si>
  <si>
    <t>Acceso completo a todas las hojas. Verificar periódicamente el Dashboard y cotejar los importes con las facturas.</t>
  </si>
  <si>
    <t>⚠️  REGLAS IMPORTANTES</t>
  </si>
  <si>
    <t>Códigos REF</t>
  </si>
  <si>
    <t>Los códigos REF son la clave del sistema. Deben coincidir exactamente entre el Maestro, Entradas y Salidas. No usar espacios extra ni caracteres especiales.</t>
  </si>
  <si>
    <t>Al implantar el sistema, actualizar la columna E de '📊 Stock Actual' con el inventario físico real. Hacer un conteo físico antes de empezar.</t>
  </si>
  <si>
    <t>Numeración</t>
  </si>
  <si>
    <t>Usar numeración correlativa en Nº Mov.: E-001, E-002... para entradas y S-001, S-002... para salidas. Facilita las auditorías.</t>
  </si>
  <si>
    <t>Fechas</t>
  </si>
  <si>
    <t>Usar siempre formato DD/MM/YYYY. En Google Sheets escribir directamente la fecha y el sistema la reconoce.</t>
  </si>
  <si>
    <t>Nuevo producto</t>
  </si>
  <si>
    <t>Añadir la nueva referencia en '📦 Maestro Productos' primero. Luego copiar una fila existente en '📊 Stock Actual' y actualizar la fórmula de referencia.</t>
  </si>
  <si>
    <t>💡  CONSEJOS PARA GOOGLE SHEETS</t>
  </si>
  <si>
    <t>Acceso móvil</t>
  </si>
  <si>
    <t>El personal de almacén puede usar la app de Google Sheets en el móvil para registrar entradas/salidas en tiempo real desde la nave.</t>
  </si>
  <si>
    <t>Notificaciones</t>
  </si>
  <si>
    <t>En Google Sheets: Herramientas &gt; Notificaciones &gt; configurar alertas por email cuando se modifique la hoja.</t>
  </si>
  <si>
    <t>Proteger hojas</t>
  </si>
  <si>
    <t>En Google Sheets: clic derecho en pestaña &gt; Proteger hoja &gt; limitar edición por usuario. Proteger 'Maestro', 'Stock' y 'Dashboard'.</t>
  </si>
  <si>
    <t>Historial</t>
  </si>
  <si>
    <t>Google Sheets guarda historial completo de cambios. Si alguien borra algo por error: Archivo &gt; Historial de versiones &gt; Ver historial.</t>
  </si>
  <si>
    <t>Filtros</t>
  </si>
  <si>
    <t>Usar Datos &gt; Crear un filtro en las hojas de Entradas y Salidas para buscar por fecha, referencia, tipo,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</si>
</sst>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.00&quot; €&quot;"/>
    <numFmt numFmtId="165" formatCode="0.0%"/>
    <numFmt numFmtId="166" formatCode="dd/mm/yyyy"/>
    <numFmt numFmtId="167" formatCode="dd/mm/yy"/>
    <numFmt numFmtId="168" formatCode="#,##0&quot; €&quot;"/>
    <numFmt numFmtId="169" formatCode="0.0"/>
    <numFmt numFmtId="170" formatCode="\+0.0;\-0.0;0.0"/>
    <numFmt numFmtId="171" formatCode="#,##0&quot; €&quot;;\(#,##0&quot; €)&quot;;\-"/>
    <numFmt numFmtId="172" formatCode="\+0.0;\-0.0"/>
    <numFmt numFmtId="173" formatCode="0&quot; días&quot;"/>
  </numFmts>
  <fonts count="46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theme="1"/>
      <name val="Calibri"/>
    </font>
    <font>
      <b/>
      <sz val="9.0"/>
      <color rgb="FFFFFFFF"/>
      <name val="Arial"/>
    </font>
    <font>
      <b/>
      <sz val="22.0"/>
      <color rgb="FF2E75B6"/>
      <name val="Arial"/>
    </font>
    <font>
      <b/>
      <sz val="22.0"/>
      <color rgb="FF27AE60"/>
      <name val="Arial"/>
    </font>
    <font>
      <b/>
      <sz val="22.0"/>
      <color rgb="FFE67E22"/>
      <name val="Arial"/>
    </font>
    <font>
      <b/>
      <sz val="22.0"/>
      <color rgb="FFC0392B"/>
      <name val="Arial"/>
    </font>
    <font>
      <b/>
      <sz val="22.0"/>
      <color rgb="FF1A6B35"/>
      <name val="Arial"/>
    </font>
    <font>
      <b/>
      <sz val="22.0"/>
      <color rgb="FF7B1C1C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9.0"/>
      <color theme="1"/>
      <name val="Arial"/>
    </font>
    <font>
      <sz val="10.0"/>
      <color theme="1"/>
      <name val="Arial"/>
    </font>
    <font>
      <b/>
      <sz val="10.0"/>
      <color rgb="FF7B1C1C"/>
      <name val="Arial"/>
    </font>
    <font>
      <b/>
      <sz val="10.0"/>
      <color rgb="FF1A6B35"/>
      <name val="Arial"/>
    </font>
    <font>
      <b/>
      <sz val="10.0"/>
      <color theme="1"/>
      <name val="Arial"/>
    </font>
    <font>
      <b/>
      <sz val="10.0"/>
      <color rgb="FF1F4E79"/>
      <name val="Arial"/>
    </font>
    <font>
      <b/>
      <sz val="14.0"/>
      <color rgb="FFFFFFFF"/>
      <name val="Arial"/>
    </font>
    <font>
      <i/>
      <sz val="9.0"/>
      <color rgb="FF7F7F7F"/>
      <name val="Arial"/>
    </font>
    <font>
      <b/>
      <sz val="9.0"/>
      <color theme="1"/>
      <name val="Arial"/>
    </font>
    <font>
      <i/>
      <sz val="9.0"/>
      <color rgb="FF999999"/>
      <name val="Arial"/>
    </font>
    <font>
      <b/>
      <sz val="10.0"/>
      <color rgb="FFC0392B"/>
      <name val="Arial"/>
    </font>
    <font>
      <i/>
      <sz val="9.0"/>
      <color rgb="FFE67E22"/>
      <name val="Arial"/>
    </font>
    <font>
      <b/>
      <sz val="8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12.0"/>
      <color rgb="FFFFFFFF"/>
      <name val="Arial"/>
    </font>
    <font>
      <sz val="8.0"/>
      <color rgb="FFFFFFFF"/>
      <name val="Cambria"/>
    </font>
    <font>
      <b/>
      <sz val="9.0"/>
      <color rgb="FF2E75B6"/>
      <name val="Arial"/>
    </font>
    <font>
      <b/>
      <sz val="9.0"/>
      <color rgb="FF0E6655"/>
      <name val="Arial"/>
    </font>
    <font>
      <b/>
      <sz val="9.0"/>
      <color rgb="FF6C3483"/>
      <name val="Arial"/>
    </font>
    <font>
      <b/>
      <sz val="9.0"/>
      <color rgb="FFE67E22"/>
      <name val="Arial"/>
    </font>
    <font>
      <b/>
      <sz val="13.0"/>
      <color rgb="FFFFFFFF"/>
      <name val="Arial"/>
    </font>
    <font>
      <b/>
      <sz val="9.0"/>
      <color rgb="FF1F4E79"/>
      <name val="Arial"/>
    </font>
    <font>
      <b/>
      <sz val="20.0"/>
      <color rgb="FF0E6655"/>
      <name val="Arial"/>
    </font>
    <font>
      <b/>
      <sz val="20.0"/>
      <color rgb="FF1A6B35"/>
      <name val="Arial"/>
    </font>
    <font>
      <b/>
      <sz val="20.0"/>
      <color rgb="FFE67E22"/>
      <name val="Arial"/>
    </font>
    <font>
      <b/>
      <sz val="20.0"/>
      <color rgb="FFC0392B"/>
      <name val="Arial"/>
    </font>
    <font>
      <b/>
      <sz val="11.0"/>
      <color rgb="FFC0392B"/>
      <name val="Arial"/>
    </font>
    <font>
      <b/>
      <sz val="8.0"/>
      <color rgb="FFBF2F55"/>
      <name val="Arial"/>
    </font>
    <font>
      <b/>
      <sz val="8.0"/>
      <color rgb="FF222222"/>
      <name val="Arial"/>
    </font>
    <font>
      <sz val="8.0"/>
      <color rgb="FF222222"/>
      <name val="Arial"/>
    </font>
    <font>
      <sz val="8.0"/>
      <color rgb="FF222222"/>
      <name val="Consolas"/>
    </font>
    <font>
      <b/>
      <sz val="8.0"/>
      <color rgb="FF1565C0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  <fill>
      <patternFill patternType="solid">
        <fgColor rgb="FFC0392B"/>
        <bgColor rgb="FFC0392B"/>
      </patternFill>
    </fill>
    <fill>
      <patternFill patternType="solid">
        <fgColor rgb="FFF8F8F8"/>
        <bgColor rgb="FFF8F8F8"/>
      </patternFill>
    </fill>
    <fill>
      <patternFill patternType="solid">
        <fgColor rgb="FF1A6B35"/>
        <bgColor rgb="FF1A6B35"/>
      </patternFill>
    </fill>
    <fill>
      <patternFill patternType="solid">
        <fgColor rgb="FF7B1C1C"/>
        <bgColor rgb="FF7B1C1C"/>
      </patternFill>
    </fill>
    <fill>
      <patternFill patternType="solid">
        <fgColor rgb="FFF39C12"/>
        <bgColor rgb="FFF39C1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0FFF4"/>
        <bgColor rgb="FFF0FFF4"/>
      </patternFill>
    </fill>
    <fill>
      <patternFill patternType="solid">
        <fgColor rgb="FFFFF5F5"/>
        <bgColor rgb="FFFFF5F5"/>
      </patternFill>
    </fill>
    <fill>
      <patternFill patternType="solid">
        <fgColor rgb="FFFFF3CD"/>
        <bgColor rgb="FFFFF3CD"/>
      </patternFill>
    </fill>
    <fill>
      <patternFill patternType="solid">
        <fgColor rgb="FF1A4A72"/>
        <bgColor rgb="FF1A4A72"/>
      </patternFill>
    </fill>
    <fill>
      <patternFill patternType="solid">
        <fgColor rgb="FF0E6655"/>
        <bgColor rgb="FF0E6655"/>
      </patternFill>
    </fill>
    <fill>
      <patternFill patternType="solid">
        <fgColor rgb="FF6C3483"/>
        <bgColor rgb="FF6C3483"/>
      </patternFill>
    </fill>
    <fill>
      <patternFill patternType="solid">
        <fgColor rgb="FFD4EFDF"/>
        <bgColor rgb="FFD4EFDF"/>
      </patternFill>
    </fill>
    <fill>
      <patternFill patternType="solid">
        <fgColor rgb="FFD6EAF8"/>
        <bgColor rgb="FFD6EAF8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7D6608"/>
        <bgColor rgb="FF7D6608"/>
      </patternFill>
    </fill>
    <fill>
      <patternFill patternType="solid">
        <fgColor rgb="FFE8F4FD"/>
        <bgColor rgb="FFE8F4FD"/>
      </patternFill>
    </fill>
    <fill>
      <patternFill patternType="solid">
        <fgColor rgb="FFE9F7EF"/>
        <bgColor rgb="FFE9F7EF"/>
      </patternFill>
    </fill>
    <fill>
      <patternFill patternType="solid">
        <fgColor rgb="FFFDF2E9"/>
        <bgColor rgb="FFFDF2E9"/>
      </patternFill>
    </fill>
    <fill>
      <patternFill patternType="solid">
        <fgColor rgb="FFF4ECF7"/>
        <bgColor rgb="FFF4ECF7"/>
      </patternFill>
    </fill>
    <fill>
      <patternFill patternType="solid">
        <fgColor rgb="FFBF2F55"/>
        <bgColor rgb="FFBF2F55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5" fontId="4" numFmtId="0" xfId="0" applyAlignment="1" applyBorder="1" applyFill="1" applyFont="1">
      <alignment horizontal="center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4" fillId="7" fontId="5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4" fillId="7" fontId="6" numFmtId="0" xfId="0" applyAlignment="1" applyBorder="1" applyFont="1">
      <alignment horizontal="center" shrinkToFit="0" vertical="center" wrapText="0"/>
    </xf>
    <xf borderId="4" fillId="7" fontId="7" numFmtId="0" xfId="0" applyAlignment="1" applyBorder="1" applyFont="1">
      <alignment horizontal="center" shrinkToFit="0" vertical="center" wrapText="0"/>
    </xf>
    <xf borderId="4" fillId="7" fontId="8" numFmtId="0" xfId="0" applyAlignment="1" applyBorder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8" fontId="4" numFmtId="0" xfId="0" applyAlignment="1" applyBorder="1" applyFill="1" applyFont="1">
      <alignment horizontal="center" shrinkToFit="0" vertical="center" wrapText="0"/>
    </xf>
    <xf borderId="1" fillId="9" fontId="4" numFmtId="0" xfId="0" applyAlignment="1" applyBorder="1" applyFill="1" applyFont="1">
      <alignment horizontal="center" shrinkToFit="0" vertical="center" wrapText="0"/>
    </xf>
    <xf borderId="4" fillId="7" fontId="9" numFmtId="0" xfId="0" applyAlignment="1" applyBorder="1" applyFont="1">
      <alignment horizontal="center" shrinkToFit="0" vertical="center" wrapText="0"/>
    </xf>
    <xf borderId="4" fillId="7" fontId="10" numFmtId="0" xfId="0" applyAlignment="1" applyBorder="1" applyFont="1">
      <alignment horizontal="center" shrinkToFit="0" vertical="center" wrapText="0"/>
    </xf>
    <xf borderId="1" fillId="10" fontId="11" numFmtId="0" xfId="0" applyAlignment="1" applyBorder="1" applyFill="1" applyFont="1">
      <alignment horizontal="center" shrinkToFit="0" vertical="center" wrapText="0"/>
    </xf>
    <xf borderId="10" fillId="2" fontId="12" numFmtId="0" xfId="0" applyAlignment="1" applyBorder="1" applyFont="1">
      <alignment horizontal="center" shrinkToFit="0" vertical="center" wrapText="0"/>
    </xf>
    <xf borderId="11" fillId="2" fontId="12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10" fillId="11" fontId="13" numFmtId="0" xfId="0" applyAlignment="1" applyBorder="1" applyFill="1" applyFont="1">
      <alignment horizontal="center" shrinkToFit="0" vertical="center" wrapText="0"/>
    </xf>
    <xf borderId="11" fillId="11" fontId="13" numFmtId="0" xfId="0" applyAlignment="1" applyBorder="1" applyFont="1">
      <alignment horizontal="left" shrinkToFit="0" vertical="center" wrapText="0"/>
    </xf>
    <xf borderId="11" fillId="11" fontId="13" numFmtId="3" xfId="0" applyAlignment="1" applyBorder="1" applyFont="1" applyNumberFormat="1">
      <alignment horizontal="center" shrinkToFit="0" vertical="center" wrapText="0"/>
    </xf>
    <xf borderId="11" fillId="11" fontId="13" numFmtId="0" xfId="0" applyAlignment="1" applyBorder="1" applyFont="1">
      <alignment horizontal="center" shrinkToFit="0" vertical="center" wrapText="0"/>
    </xf>
    <xf borderId="10" fillId="12" fontId="13" numFmtId="0" xfId="0" applyAlignment="1" applyBorder="1" applyFill="1" applyFont="1">
      <alignment horizontal="center" shrinkToFit="0" vertical="center" wrapText="0"/>
    </xf>
    <xf borderId="11" fillId="12" fontId="13" numFmtId="0" xfId="0" applyAlignment="1" applyBorder="1" applyFont="1">
      <alignment horizontal="left" shrinkToFit="0" vertical="center" wrapText="0"/>
    </xf>
    <xf borderId="11" fillId="12" fontId="13" numFmtId="3" xfId="0" applyAlignment="1" applyBorder="1" applyFont="1" applyNumberFormat="1">
      <alignment horizontal="center" shrinkToFit="0" vertical="center" wrapText="0"/>
    </xf>
    <xf borderId="11" fillId="12" fontId="13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11" fillId="3" fontId="12" numFmtId="0" xfId="0" applyAlignment="1" applyBorder="1" applyFont="1">
      <alignment horizontal="center" shrinkToFit="0" vertical="center" wrapText="0"/>
    </xf>
    <xf borderId="11" fillId="11" fontId="14" numFmtId="0" xfId="0" applyAlignment="1" applyBorder="1" applyFont="1">
      <alignment horizontal="left" shrinkToFit="0" vertical="center" wrapText="0"/>
    </xf>
    <xf borderId="11" fillId="11" fontId="15" numFmtId="164" xfId="0" applyAlignment="1" applyBorder="1" applyFont="1" applyNumberFormat="1">
      <alignment horizontal="center" shrinkToFit="0" vertical="center" wrapText="0"/>
    </xf>
    <xf borderId="11" fillId="12" fontId="14" numFmtId="0" xfId="0" applyAlignment="1" applyBorder="1" applyFont="1">
      <alignment horizontal="left" shrinkToFit="0" vertical="center" wrapText="0"/>
    </xf>
    <xf borderId="11" fillId="12" fontId="16" numFmtId="164" xfId="0" applyAlignment="1" applyBorder="1" applyFont="1" applyNumberFormat="1">
      <alignment horizontal="center" shrinkToFit="0" vertical="center" wrapText="0"/>
    </xf>
    <xf borderId="11" fillId="11" fontId="17" numFmtId="0" xfId="0" applyAlignment="1" applyBorder="1" applyFont="1">
      <alignment horizontal="left" shrinkToFit="0" vertical="center" wrapText="0"/>
    </xf>
    <xf borderId="11" fillId="11" fontId="18" numFmtId="164" xfId="0" applyAlignment="1" applyBorder="1" applyFont="1" applyNumberFormat="1">
      <alignment horizontal="center" shrinkToFit="0" vertical="center" wrapText="0"/>
    </xf>
    <xf borderId="11" fillId="12" fontId="17" numFmtId="0" xfId="0" applyAlignment="1" applyBorder="1" applyFont="1">
      <alignment horizontal="left" shrinkToFit="0" vertical="center" wrapText="0"/>
    </xf>
    <xf borderId="11" fillId="12" fontId="18" numFmtId="165" xfId="0" applyAlignment="1" applyBorder="1" applyFont="1" applyNumberFormat="1">
      <alignment horizontal="center" shrinkToFit="0" vertical="center" wrapText="0"/>
    </xf>
    <xf borderId="1" fillId="2" fontId="19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center" shrinkToFit="0" vertical="bottom" wrapText="0"/>
    </xf>
    <xf borderId="10" fillId="3" fontId="12" numFmtId="0" xfId="0" applyAlignment="1" applyBorder="1" applyFon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11" fontId="13" numFmtId="0" xfId="0" applyAlignment="1" applyBorder="1" applyFont="1">
      <alignment horizontal="left" shrinkToFit="0" vertical="center" wrapText="0"/>
    </xf>
    <xf borderId="10" fillId="11" fontId="13" numFmtId="3" xfId="0" applyAlignment="1" applyBorder="1" applyFont="1" applyNumberFormat="1">
      <alignment horizontal="center" shrinkToFit="0" vertical="center" wrapText="0"/>
    </xf>
    <xf borderId="10" fillId="11" fontId="21" numFmtId="3" xfId="0" applyAlignment="1" applyBorder="1" applyFont="1" applyNumberFormat="1">
      <alignment horizontal="center" shrinkToFit="0" vertical="center" wrapText="0"/>
    </xf>
    <xf borderId="10" fillId="12" fontId="13" numFmtId="0" xfId="0" applyAlignment="1" applyBorder="1" applyFont="1">
      <alignment horizontal="left" shrinkToFit="0" vertical="center" wrapText="0"/>
    </xf>
    <xf borderId="10" fillId="12" fontId="13" numFmtId="3" xfId="0" applyAlignment="1" applyBorder="1" applyFont="1" applyNumberFormat="1">
      <alignment horizontal="center" shrinkToFit="0" vertical="center" wrapText="0"/>
    </xf>
    <xf borderId="10" fillId="12" fontId="21" numFmtId="3" xfId="0" applyAlignment="1" applyBorder="1" applyFont="1" applyNumberFormat="1">
      <alignment horizontal="center" shrinkToFit="0" vertical="center" wrapText="0"/>
    </xf>
    <xf borderId="1" fillId="8" fontId="19" numFmtId="0" xfId="0" applyAlignment="1" applyBorder="1" applyFont="1">
      <alignment horizontal="center" shrinkToFit="0" vertical="center" wrapText="0"/>
    </xf>
    <xf borderId="10" fillId="4" fontId="12" numFmtId="0" xfId="0" applyAlignment="1" applyBorder="1" applyFont="1">
      <alignment horizontal="center" shrinkToFit="0" vertical="center" wrapText="1"/>
    </xf>
    <xf borderId="10" fillId="11" fontId="13" numFmtId="164" xfId="0" applyAlignment="1" applyBorder="1" applyFont="1" applyNumberFormat="1">
      <alignment horizontal="left" shrinkToFit="0" vertical="center" wrapText="0"/>
    </xf>
    <xf borderId="10" fillId="11" fontId="13" numFmtId="166" xfId="0" applyAlignment="1" applyBorder="1" applyFont="1" applyNumberFormat="1">
      <alignment horizontal="center" shrinkToFit="0" vertical="center" wrapText="0"/>
    </xf>
    <xf borderId="10" fillId="13" fontId="13" numFmtId="0" xfId="0" applyAlignment="1" applyBorder="1" applyFill="1" applyFont="1">
      <alignment horizontal="center" shrinkToFit="0" vertical="center" wrapText="0"/>
    </xf>
    <xf borderId="10" fillId="13" fontId="13" numFmtId="0" xfId="0" applyAlignment="1" applyBorder="1" applyFont="1">
      <alignment horizontal="left" shrinkToFit="0" vertical="center" wrapText="0"/>
    </xf>
    <xf borderId="10" fillId="13" fontId="13" numFmtId="164" xfId="0" applyAlignment="1" applyBorder="1" applyFont="1" applyNumberFormat="1">
      <alignment horizontal="left" shrinkToFit="0" vertical="center" wrapText="0"/>
    </xf>
    <xf borderId="10" fillId="13" fontId="13" numFmtId="166" xfId="0" applyAlignment="1" applyBorder="1" applyFont="1" applyNumberFormat="1">
      <alignment horizontal="center" shrinkToFit="0" vertical="center" wrapText="0"/>
    </xf>
    <xf borderId="10" fillId="11" fontId="22" numFmtId="0" xfId="0" applyAlignment="1" applyBorder="1" applyFont="1">
      <alignment shrinkToFit="0" vertical="center" wrapText="0"/>
    </xf>
    <xf borderId="10" fillId="11" fontId="13" numFmtId="164" xfId="0" applyAlignment="1" applyBorder="1" applyFont="1" applyNumberFormat="1">
      <alignment horizontal="center" shrinkToFit="0" vertical="center" wrapText="0"/>
    </xf>
    <xf borderId="10" fillId="13" fontId="22" numFmtId="0" xfId="0" applyAlignment="1" applyBorder="1" applyFont="1">
      <alignment shrinkToFit="0" vertical="center" wrapText="0"/>
    </xf>
    <xf borderId="10" fillId="13" fontId="13" numFmtId="164" xfId="0" applyAlignment="1" applyBorder="1" applyFont="1" applyNumberFormat="1">
      <alignment horizontal="center" shrinkToFit="0" vertical="center" wrapText="0"/>
    </xf>
    <xf borderId="1" fillId="9" fontId="19" numFmtId="0" xfId="0" applyAlignment="1" applyBorder="1" applyFont="1">
      <alignment horizontal="center" shrinkToFit="0" vertical="center" wrapText="0"/>
    </xf>
    <xf borderId="10" fillId="6" fontId="12" numFmtId="0" xfId="0" applyAlignment="1" applyBorder="1" applyFont="1">
      <alignment horizontal="center" shrinkToFit="0" vertical="center" wrapText="1"/>
    </xf>
    <xf borderId="10" fillId="14" fontId="13" numFmtId="0" xfId="0" applyAlignment="1" applyBorder="1" applyFill="1" applyFont="1">
      <alignment horizontal="center" shrinkToFit="0" vertical="center" wrapText="0"/>
    </xf>
    <xf borderId="10" fillId="14" fontId="13" numFmtId="0" xfId="0" applyAlignment="1" applyBorder="1" applyFont="1">
      <alignment horizontal="left" shrinkToFit="0" vertical="center" wrapText="0"/>
    </xf>
    <xf borderId="10" fillId="14" fontId="13" numFmtId="164" xfId="0" applyAlignment="1" applyBorder="1" applyFont="1" applyNumberFormat="1">
      <alignment horizontal="left" shrinkToFit="0" vertical="center" wrapText="0"/>
    </xf>
    <xf borderId="10" fillId="14" fontId="13" numFmtId="166" xfId="0" applyAlignment="1" applyBorder="1" applyFont="1" applyNumberFormat="1">
      <alignment horizontal="center" shrinkToFit="0" vertical="center" wrapText="0"/>
    </xf>
    <xf borderId="10" fillId="14" fontId="22" numFmtId="0" xfId="0" applyAlignment="1" applyBorder="1" applyFont="1">
      <alignment shrinkToFit="0" vertical="center" wrapText="0"/>
    </xf>
    <xf borderId="10" fillId="14" fontId="13" numFmtId="164" xfId="0" applyAlignment="1" applyBorder="1" applyFont="1" applyNumberFormat="1">
      <alignment horizontal="center" shrinkToFit="0" vertical="center" wrapText="0"/>
    </xf>
    <xf borderId="10" fillId="12" fontId="13" numFmtId="164" xfId="0" applyAlignment="1" applyBorder="1" applyFont="1" applyNumberFormat="1">
      <alignment horizontal="left" shrinkToFit="0" vertical="center" wrapText="0"/>
    </xf>
    <xf borderId="0" fillId="0" fontId="20" numFmtId="0" xfId="0" applyAlignment="1" applyFont="1">
      <alignment horizontal="center" shrinkToFit="0" vertical="center" wrapText="0"/>
    </xf>
    <xf borderId="0" fillId="0" fontId="18" numFmtId="0" xfId="0" applyAlignment="1" applyFont="1">
      <alignment horizontal="right" shrinkToFit="0" vertical="center" wrapText="0"/>
    </xf>
    <xf borderId="10" fillId="15" fontId="23" numFmtId="164" xfId="0" applyAlignment="1" applyBorder="1" applyFill="1" applyFont="1" applyNumberFormat="1">
      <alignment horizontal="center" shrinkToFit="0" vertical="center" wrapText="0"/>
    </xf>
    <xf borderId="0" fillId="0" fontId="24" numFmtId="0" xfId="0" applyAlignment="1" applyFont="1">
      <alignment shrinkToFit="0" vertical="bottom" wrapText="0"/>
    </xf>
    <xf borderId="1" fillId="2" fontId="4" numFmtId="0" xfId="0" applyAlignment="1" applyBorder="1" applyFont="1">
      <alignment horizontal="center" shrinkToFit="0" vertical="center" wrapText="0"/>
    </xf>
    <xf borderId="1" fillId="16" fontId="4" numFmtId="0" xfId="0" applyAlignment="1" applyBorder="1" applyFill="1" applyFont="1">
      <alignment horizontal="center" shrinkToFit="0" vertical="center" wrapText="0"/>
    </xf>
    <xf borderId="1" fillId="17" fontId="4" numFmtId="0" xfId="0" applyAlignment="1" applyBorder="1" applyFill="1" applyFont="1">
      <alignment horizontal="center" shrinkToFit="0" vertical="center" wrapText="0"/>
    </xf>
    <xf borderId="1" fillId="18" fontId="4" numFmtId="0" xfId="0" applyAlignment="1" applyBorder="1" applyFill="1" applyFont="1">
      <alignment horizontal="center" shrinkToFit="0" vertical="center" wrapText="0"/>
    </xf>
    <xf borderId="10" fillId="2" fontId="25" numFmtId="0" xfId="0" applyAlignment="1" applyBorder="1" applyFont="1">
      <alignment horizontal="center" shrinkToFit="0" vertical="center" wrapText="1"/>
    </xf>
    <xf borderId="10" fillId="16" fontId="25" numFmtId="0" xfId="0" applyAlignment="1" applyBorder="1" applyFont="1">
      <alignment horizontal="center" shrinkToFit="0" vertical="center" wrapText="1"/>
    </xf>
    <xf borderId="10" fillId="17" fontId="25" numFmtId="0" xfId="0" applyAlignment="1" applyBorder="1" applyFont="1">
      <alignment horizontal="center" shrinkToFit="0" vertical="center" wrapText="1"/>
    </xf>
    <xf borderId="10" fillId="18" fontId="25" numFmtId="0" xfId="0" applyAlignment="1" applyBorder="1" applyFont="1">
      <alignment horizontal="center" shrinkToFit="0" vertical="center" wrapText="1"/>
    </xf>
    <xf borderId="10" fillId="8" fontId="25" numFmtId="0" xfId="0" applyAlignment="1" applyBorder="1" applyFont="1">
      <alignment horizontal="center" shrinkToFit="0" vertical="center" wrapText="1"/>
    </xf>
    <xf borderId="10" fillId="6" fontId="25" numFmtId="0" xfId="0" applyAlignment="1" applyBorder="1" applyFont="1">
      <alignment horizontal="center" shrinkToFit="0" vertical="center" wrapText="1"/>
    </xf>
    <xf borderId="10" fillId="11" fontId="26" numFmtId="0" xfId="0" applyAlignment="1" applyBorder="1" applyFont="1">
      <alignment horizontal="center" shrinkToFit="0" vertical="center" wrapText="0"/>
    </xf>
    <xf borderId="10" fillId="11" fontId="26" numFmtId="0" xfId="0" applyAlignment="1" applyBorder="1" applyFont="1">
      <alignment horizontal="left" shrinkToFit="0" vertical="center" wrapText="0"/>
    </xf>
    <xf borderId="10" fillId="19" fontId="26" numFmtId="0" xfId="0" applyAlignment="1" applyBorder="1" applyFill="1" applyFont="1">
      <alignment horizontal="center" shrinkToFit="0" vertical="center" wrapText="0"/>
    </xf>
    <xf borderId="10" fillId="11" fontId="26" numFmtId="167" xfId="0" applyAlignment="1" applyBorder="1" applyFont="1" applyNumberFormat="1">
      <alignment horizontal="center" shrinkToFit="0" vertical="center" wrapText="0"/>
    </xf>
    <xf borderId="10" fillId="11" fontId="26" numFmtId="168" xfId="0" applyAlignment="1" applyBorder="1" applyFont="1" applyNumberFormat="1">
      <alignment horizontal="center" shrinkToFit="0" vertical="center" wrapText="0"/>
    </xf>
    <xf borderId="10" fillId="11" fontId="26" numFmtId="165" xfId="0" applyAlignment="1" applyBorder="1" applyFont="1" applyNumberFormat="1">
      <alignment horizontal="center" shrinkToFit="0" vertical="center" wrapText="0"/>
    </xf>
    <xf borderId="10" fillId="11" fontId="26" numFmtId="1" xfId="0" applyAlignment="1" applyBorder="1" applyFont="1" applyNumberFormat="1">
      <alignment horizontal="center" shrinkToFit="0" vertical="center" wrapText="0"/>
    </xf>
    <xf borderId="10" fillId="11" fontId="27" numFmtId="168" xfId="0" applyAlignment="1" applyBorder="1" applyFont="1" applyNumberFormat="1">
      <alignment horizontal="center" shrinkToFit="0" vertical="center" wrapText="0"/>
    </xf>
    <xf borderId="10" fillId="11" fontId="27" numFmtId="165" xfId="0" applyAlignment="1" applyBorder="1" applyFont="1" applyNumberFormat="1">
      <alignment horizontal="center" shrinkToFit="0" vertical="center" wrapText="0"/>
    </xf>
    <xf borderId="10" fillId="11" fontId="27" numFmtId="0" xfId="0" applyAlignment="1" applyBorder="1" applyFont="1">
      <alignment horizontal="center" shrinkToFit="0" vertical="center" wrapText="0"/>
    </xf>
    <xf borderId="10" fillId="12" fontId="26" numFmtId="0" xfId="0" applyAlignment="1" applyBorder="1" applyFont="1">
      <alignment horizontal="center" shrinkToFit="0" vertical="center" wrapText="0"/>
    </xf>
    <xf borderId="10" fillId="12" fontId="26" numFmtId="0" xfId="0" applyAlignment="1" applyBorder="1" applyFont="1">
      <alignment horizontal="left" shrinkToFit="0" vertical="center" wrapText="0"/>
    </xf>
    <xf borderId="10" fillId="12" fontId="26" numFmtId="167" xfId="0" applyAlignment="1" applyBorder="1" applyFont="1" applyNumberFormat="1">
      <alignment horizontal="center" shrinkToFit="0" vertical="center" wrapText="0"/>
    </xf>
    <xf borderId="10" fillId="12" fontId="26" numFmtId="168" xfId="0" applyAlignment="1" applyBorder="1" applyFont="1" applyNumberFormat="1">
      <alignment horizontal="center" shrinkToFit="0" vertical="center" wrapText="0"/>
    </xf>
    <xf borderId="10" fillId="12" fontId="26" numFmtId="165" xfId="0" applyAlignment="1" applyBorder="1" applyFont="1" applyNumberFormat="1">
      <alignment horizontal="center" shrinkToFit="0" vertical="center" wrapText="0"/>
    </xf>
    <xf borderId="10" fillId="12" fontId="26" numFmtId="1" xfId="0" applyAlignment="1" applyBorder="1" applyFont="1" applyNumberFormat="1">
      <alignment horizontal="center" shrinkToFit="0" vertical="center" wrapText="0"/>
    </xf>
    <xf borderId="10" fillId="12" fontId="27" numFmtId="168" xfId="0" applyAlignment="1" applyBorder="1" applyFont="1" applyNumberFormat="1">
      <alignment horizontal="center" shrinkToFit="0" vertical="center" wrapText="0"/>
    </xf>
    <xf borderId="10" fillId="12" fontId="27" numFmtId="165" xfId="0" applyAlignment="1" applyBorder="1" applyFont="1" applyNumberFormat="1">
      <alignment horizontal="center" shrinkToFit="0" vertical="center" wrapText="0"/>
    </xf>
    <xf borderId="10" fillId="12" fontId="27" numFmtId="0" xfId="0" applyAlignment="1" applyBorder="1" applyFont="1">
      <alignment horizontal="center" shrinkToFit="0" vertical="center" wrapText="0"/>
    </xf>
    <xf borderId="10" fillId="20" fontId="26" numFmtId="0" xfId="0" applyAlignment="1" applyBorder="1" applyFill="1" applyFont="1">
      <alignment horizontal="center" shrinkToFit="0" vertical="center" wrapText="0"/>
    </xf>
    <xf borderId="10" fillId="21" fontId="26" numFmtId="0" xfId="0" applyAlignment="1" applyBorder="1" applyFill="1" applyFont="1">
      <alignment horizontal="center" shrinkToFit="0" vertical="center" wrapText="0"/>
    </xf>
    <xf borderId="1" fillId="18" fontId="19" numFmtId="0" xfId="0" applyAlignment="1" applyBorder="1" applyFont="1">
      <alignment horizontal="center" shrinkToFit="0" vertical="center" wrapText="0"/>
    </xf>
    <xf borderId="10" fillId="18" fontId="12" numFmtId="0" xfId="0" applyAlignment="1" applyBorder="1" applyFont="1">
      <alignment horizontal="center" shrinkToFit="0" vertical="center" wrapText="1"/>
    </xf>
    <xf borderId="10" fillId="11" fontId="26" numFmtId="166" xfId="0" applyAlignment="1" applyBorder="1" applyFont="1" applyNumberFormat="1">
      <alignment horizontal="left" shrinkToFit="0" vertical="center" wrapText="0"/>
    </xf>
    <xf borderId="10" fillId="11" fontId="26" numFmtId="164" xfId="0" applyAlignment="1" applyBorder="1" applyFont="1" applyNumberFormat="1">
      <alignment horizontal="center" shrinkToFit="0" vertical="center" wrapText="0"/>
    </xf>
    <xf borderId="10" fillId="12" fontId="26" numFmtId="166" xfId="0" applyAlignment="1" applyBorder="1" applyFont="1" applyNumberFormat="1">
      <alignment horizontal="left" shrinkToFit="0" vertical="center" wrapText="0"/>
    </xf>
    <xf borderId="10" fillId="12" fontId="26" numFmtId="164" xfId="0" applyAlignment="1" applyBorder="1" applyFont="1" applyNumberFormat="1">
      <alignment horizontal="center" shrinkToFit="0" vertical="center" wrapText="0"/>
    </xf>
    <xf borderId="1" fillId="6" fontId="19" numFmtId="0" xfId="0" applyAlignment="1" applyBorder="1" applyFont="1">
      <alignment horizontal="center" shrinkToFit="0" vertical="center" wrapText="0"/>
    </xf>
    <xf borderId="10" fillId="11" fontId="26" numFmtId="166" xfId="0" applyAlignment="1" applyBorder="1" applyFont="1" applyNumberFormat="1">
      <alignment horizontal="center" shrinkToFit="0" vertical="center" wrapText="0"/>
    </xf>
    <xf borderId="10" fillId="12" fontId="26" numFmtId="166" xfId="0" applyAlignment="1" applyBorder="1" applyFont="1" applyNumberFormat="1">
      <alignment horizontal="center" shrinkToFit="0" vertical="center" wrapText="0"/>
    </xf>
    <xf borderId="10" fillId="22" fontId="26" numFmtId="0" xfId="0" applyAlignment="1" applyBorder="1" applyFill="1" applyFont="1">
      <alignment horizontal="center" shrinkToFit="0" vertical="center" wrapText="0"/>
    </xf>
    <xf borderId="1" fillId="17" fontId="19" numFmtId="0" xfId="0" applyAlignment="1" applyBorder="1" applyFont="1">
      <alignment horizontal="center" shrinkToFit="0" vertical="center" wrapText="0"/>
    </xf>
    <xf borderId="1" fillId="3" fontId="28" numFmtId="0" xfId="0" applyAlignment="1" applyBorder="1" applyFont="1">
      <alignment horizontal="center" shrinkToFit="0" vertical="center" wrapText="0"/>
    </xf>
    <xf borderId="1" fillId="17" fontId="28" numFmtId="0" xfId="0" applyAlignment="1" applyBorder="1" applyFont="1">
      <alignment horizontal="center" shrinkToFit="0" vertical="center" wrapText="0"/>
    </xf>
    <xf borderId="1" fillId="18" fontId="28" numFmtId="0" xfId="0" applyAlignment="1" applyBorder="1" applyFont="1">
      <alignment horizontal="center" shrinkToFit="0" vertical="center" wrapText="0"/>
    </xf>
    <xf borderId="1" fillId="5" fontId="28" numFmtId="0" xfId="0" applyAlignment="1" applyBorder="1" applyFont="1">
      <alignment horizontal="center" shrinkToFit="0" vertical="center" wrapText="0"/>
    </xf>
    <xf borderId="0" fillId="0" fontId="29" numFmtId="0" xfId="0" applyAlignment="1" applyFont="1">
      <alignment shrinkToFit="0" vertical="bottom" wrapText="0"/>
    </xf>
    <xf borderId="11" fillId="12" fontId="26" numFmtId="1" xfId="0" applyAlignment="1" applyBorder="1" applyFont="1" applyNumberFormat="1">
      <alignment horizontal="center" shrinkToFit="0" vertical="center" wrapText="0"/>
    </xf>
    <xf borderId="11" fillId="11" fontId="26" numFmtId="1" xfId="0" applyAlignment="1" applyBorder="1" applyFont="1" applyNumberFormat="1">
      <alignment horizontal="center" shrinkToFit="0" vertical="center" wrapText="0"/>
    </xf>
    <xf borderId="11" fillId="11" fontId="26" numFmtId="169" xfId="0" applyAlignment="1" applyBorder="1" applyFont="1" applyNumberFormat="1">
      <alignment horizontal="center" shrinkToFit="0" vertical="center" wrapText="0"/>
    </xf>
    <xf borderId="11" fillId="12" fontId="26" numFmtId="170" xfId="0" applyAlignment="1" applyBorder="1" applyFont="1" applyNumberFormat="1">
      <alignment horizontal="center" shrinkToFit="0" vertical="center" wrapText="0"/>
    </xf>
    <xf borderId="11" fillId="12" fontId="26" numFmtId="168" xfId="0" applyAlignment="1" applyBorder="1" applyFont="1" applyNumberFormat="1">
      <alignment horizontal="center" shrinkToFit="0" vertical="center" wrapText="0"/>
    </xf>
    <xf borderId="11" fillId="11" fontId="26" numFmtId="171" xfId="0" applyAlignment="1" applyBorder="1" applyFont="1" applyNumberFormat="1">
      <alignment horizontal="center" shrinkToFit="0" vertical="center" wrapText="0"/>
    </xf>
    <xf borderId="11" fillId="11" fontId="26" numFmtId="2" xfId="0" applyAlignment="1" applyBorder="1" applyFont="1" applyNumberFormat="1">
      <alignment horizontal="center" shrinkToFit="0" vertical="center" wrapText="0"/>
    </xf>
    <xf borderId="11" fillId="11" fontId="30" numFmtId="165" xfId="0" applyAlignment="1" applyBorder="1" applyFont="1" applyNumberFormat="1">
      <alignment horizontal="center" shrinkToFit="0" vertical="center" wrapText="0"/>
    </xf>
    <xf borderId="11" fillId="11" fontId="31" numFmtId="165" xfId="0" applyAlignment="1" applyBorder="1" applyFont="1" applyNumberFormat="1">
      <alignment horizontal="center" shrinkToFit="0" vertical="center" wrapText="0"/>
    </xf>
    <xf borderId="11" fillId="11" fontId="32" numFmtId="165" xfId="0" applyAlignment="1" applyBorder="1" applyFont="1" applyNumberFormat="1">
      <alignment horizontal="center" shrinkToFit="0" vertical="center" wrapText="0"/>
    </xf>
    <xf borderId="11" fillId="11" fontId="33" numFmtId="165" xfId="0" applyAlignment="1" applyBorder="1" applyFont="1" applyNumberFormat="1">
      <alignment horizontal="center" shrinkToFit="0" vertical="center" wrapText="0"/>
    </xf>
    <xf borderId="11" fillId="12" fontId="30" numFmtId="1" xfId="0" applyAlignment="1" applyBorder="1" applyFont="1" applyNumberFormat="1">
      <alignment horizontal="center" shrinkToFit="0" vertical="center" wrapText="0"/>
    </xf>
    <xf borderId="11" fillId="12" fontId="31" numFmtId="1" xfId="0" applyAlignment="1" applyBorder="1" applyFont="1" applyNumberFormat="1">
      <alignment horizontal="center" shrinkToFit="0" vertical="center" wrapText="0"/>
    </xf>
    <xf borderId="11" fillId="12" fontId="32" numFmtId="1" xfId="0" applyAlignment="1" applyBorder="1" applyFont="1" applyNumberFormat="1">
      <alignment horizontal="center" shrinkToFit="0" vertical="center" wrapText="0"/>
    </xf>
    <xf borderId="11" fillId="12" fontId="33" numFmtId="1" xfId="0" applyAlignment="1" applyBorder="1" applyFont="1" applyNumberFormat="1">
      <alignment horizontal="center" shrinkToFit="0" vertical="center" wrapText="0"/>
    </xf>
    <xf borderId="11" fillId="3" fontId="12" numFmtId="0" xfId="0" applyAlignment="1" applyBorder="1" applyFont="1">
      <alignment horizontal="center" shrinkToFit="0" vertical="center" wrapText="1"/>
    </xf>
    <xf borderId="11" fillId="5" fontId="12" numFmtId="0" xfId="0" applyAlignment="1" applyBorder="1" applyFont="1">
      <alignment horizontal="center" shrinkToFit="0" vertical="center" wrapText="1"/>
    </xf>
    <xf borderId="11" fillId="12" fontId="13" numFmtId="1" xfId="0" applyAlignment="1" applyBorder="1" applyFont="1" applyNumberFormat="1">
      <alignment horizontal="left" shrinkToFit="0" vertical="center" wrapText="0"/>
    </xf>
    <xf borderId="11" fillId="12" fontId="13" numFmtId="1" xfId="0" applyAlignment="1" applyBorder="1" applyFont="1" applyNumberFormat="1">
      <alignment horizontal="center" shrinkToFit="0" vertical="center" wrapText="0"/>
    </xf>
    <xf borderId="11" fillId="21" fontId="21" numFmtId="1" xfId="0" applyAlignment="1" applyBorder="1" applyFont="1" applyNumberFormat="1">
      <alignment horizontal="center" shrinkToFit="0" vertical="center" wrapText="0"/>
    </xf>
    <xf borderId="11" fillId="11" fontId="13" numFmtId="172" xfId="0" applyAlignment="1" applyBorder="1" applyFont="1" applyNumberFormat="1">
      <alignment horizontal="left" shrinkToFit="0" vertical="center" wrapText="0"/>
    </xf>
    <xf borderId="11" fillId="11" fontId="13" numFmtId="172" xfId="0" applyAlignment="1" applyBorder="1" applyFont="1" applyNumberFormat="1">
      <alignment horizontal="center" shrinkToFit="0" vertical="center" wrapText="0"/>
    </xf>
    <xf borderId="11" fillId="21" fontId="21" numFmtId="172" xfId="0" applyAlignment="1" applyBorder="1" applyFont="1" applyNumberFormat="1">
      <alignment horizontal="center" shrinkToFit="0" vertical="center" wrapText="0"/>
    </xf>
    <xf borderId="11" fillId="12" fontId="13" numFmtId="165" xfId="0" applyAlignment="1" applyBorder="1" applyFont="1" applyNumberFormat="1">
      <alignment horizontal="left" shrinkToFit="0" vertical="center" wrapText="0"/>
    </xf>
    <xf borderId="11" fillId="12" fontId="13" numFmtId="165" xfId="0" applyAlignment="1" applyBorder="1" applyFont="1" applyNumberFormat="1">
      <alignment horizontal="center" shrinkToFit="0" vertical="center" wrapText="0"/>
    </xf>
    <xf borderId="11" fillId="21" fontId="21" numFmtId="165" xfId="0" applyAlignment="1" applyBorder="1" applyFont="1" applyNumberFormat="1">
      <alignment horizontal="center" shrinkToFit="0" vertical="center" wrapText="0"/>
    </xf>
    <xf borderId="11" fillId="11" fontId="13" numFmtId="1" xfId="0" applyAlignment="1" applyBorder="1" applyFont="1" applyNumberFormat="1">
      <alignment horizontal="left" shrinkToFit="0" vertical="center" wrapText="0"/>
    </xf>
    <xf borderId="11" fillId="11" fontId="13" numFmtId="1" xfId="0" applyAlignment="1" applyBorder="1" applyFont="1" applyNumberFormat="1">
      <alignment horizontal="center" shrinkToFit="0" vertical="center" wrapText="0"/>
    </xf>
    <xf borderId="11" fillId="12" fontId="13" numFmtId="2" xfId="0" applyAlignment="1" applyBorder="1" applyFont="1" applyNumberFormat="1">
      <alignment horizontal="left" shrinkToFit="0" vertical="center" wrapText="0"/>
    </xf>
    <xf borderId="11" fillId="12" fontId="13" numFmtId="2" xfId="0" applyAlignment="1" applyBorder="1" applyFont="1" applyNumberFormat="1">
      <alignment horizontal="center" shrinkToFit="0" vertical="center" wrapText="0"/>
    </xf>
    <xf borderId="11" fillId="21" fontId="21" numFmtId="2" xfId="0" applyAlignment="1" applyBorder="1" applyFont="1" applyNumberFormat="1">
      <alignment horizontal="center" shrinkToFit="0" vertical="center" wrapText="0"/>
    </xf>
    <xf borderId="10" fillId="8" fontId="12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2" fontId="4" numFmtId="168" xfId="0" applyAlignment="1" applyBorder="1" applyFont="1" applyNumberFormat="1">
      <alignment horizontal="center" shrinkToFit="0" vertical="center" wrapText="0"/>
    </xf>
    <xf borderId="10" fillId="2" fontId="4" numFmtId="165" xfId="0" applyAlignment="1" applyBorder="1" applyFont="1" applyNumberFormat="1">
      <alignment horizontal="center" shrinkToFit="0" vertical="center" wrapText="0"/>
    </xf>
    <xf borderId="1" fillId="23" fontId="34" numFmtId="0" xfId="0" applyAlignment="1" applyBorder="1" applyFill="1" applyFont="1">
      <alignment horizontal="center" shrinkToFit="0" vertical="center" wrapText="0"/>
    </xf>
    <xf borderId="1" fillId="21" fontId="35" numFmtId="0" xfId="0" applyAlignment="1" applyBorder="1" applyFont="1">
      <alignment horizontal="right" shrinkToFit="0" vertical="center" wrapText="0"/>
    </xf>
    <xf borderId="10" fillId="21" fontId="23" numFmtId="164" xfId="0" applyAlignment="1" applyBorder="1" applyFont="1" applyNumberFormat="1">
      <alignment horizontal="center" shrinkToFit="0" vertical="center" wrapText="0"/>
    </xf>
    <xf borderId="10" fillId="21" fontId="23" numFmtId="9" xfId="0" applyAlignment="1" applyBorder="1" applyFont="1" applyNumberFormat="1">
      <alignment horizontal="center" shrinkToFit="0" vertical="center" wrapText="0"/>
    </xf>
    <xf borderId="10" fillId="23" fontId="35" numFmtId="0" xfId="0" applyAlignment="1" applyBorder="1" applyFont="1">
      <alignment horizontal="center" shrinkToFit="0" vertical="center" wrapText="1"/>
    </xf>
    <xf borderId="10" fillId="17" fontId="4" numFmtId="0" xfId="0" applyAlignment="1" applyBorder="1" applyFont="1">
      <alignment horizontal="center" shrinkToFit="0" vertical="center" wrapText="1"/>
    </xf>
    <xf borderId="10" fillId="24" fontId="26" numFmtId="0" xfId="0" applyAlignment="1" applyBorder="1" applyFill="1" applyFont="1">
      <alignment horizontal="left" shrinkToFit="0" vertical="center" wrapText="0"/>
    </xf>
    <xf borderId="10" fillId="24" fontId="26" numFmtId="0" xfId="0" applyAlignment="1" applyBorder="1" applyFont="1">
      <alignment horizontal="center" shrinkToFit="0" vertical="center" wrapText="0"/>
    </xf>
    <xf borderId="10" fillId="24" fontId="26" numFmtId="164" xfId="0" applyAlignment="1" applyBorder="1" applyFont="1" applyNumberFormat="1">
      <alignment horizontal="center" shrinkToFit="0" vertical="center" wrapText="0"/>
    </xf>
    <xf borderId="10" fillId="24" fontId="27" numFmtId="164" xfId="0" applyAlignment="1" applyBorder="1" applyFont="1" applyNumberFormat="1">
      <alignment horizontal="center" shrinkToFit="0" vertical="center" wrapText="0"/>
    </xf>
    <xf borderId="10" fillId="25" fontId="26" numFmtId="0" xfId="0" applyAlignment="1" applyBorder="1" applyFill="1" applyFont="1">
      <alignment horizontal="left" shrinkToFit="0" vertical="center" wrapText="0"/>
    </xf>
    <xf borderId="10" fillId="25" fontId="26" numFmtId="0" xfId="0" applyAlignment="1" applyBorder="1" applyFont="1">
      <alignment horizontal="center" shrinkToFit="0" vertical="center" wrapText="0"/>
    </xf>
    <xf borderId="10" fillId="25" fontId="26" numFmtId="164" xfId="0" applyAlignment="1" applyBorder="1" applyFont="1" applyNumberFormat="1">
      <alignment horizontal="center" shrinkToFit="0" vertical="center" wrapText="0"/>
    </xf>
    <xf borderId="10" fillId="25" fontId="27" numFmtId="164" xfId="0" applyAlignment="1" applyBorder="1" applyFont="1" applyNumberFormat="1">
      <alignment horizontal="center" shrinkToFit="0" vertical="center" wrapText="0"/>
    </xf>
    <xf borderId="10" fillId="26" fontId="26" numFmtId="0" xfId="0" applyAlignment="1" applyBorder="1" applyFill="1" applyFont="1">
      <alignment horizontal="left" shrinkToFit="0" vertical="center" wrapText="0"/>
    </xf>
    <xf borderId="10" fillId="26" fontId="26" numFmtId="0" xfId="0" applyAlignment="1" applyBorder="1" applyFont="1">
      <alignment horizontal="center" shrinkToFit="0" vertical="center" wrapText="0"/>
    </xf>
    <xf borderId="10" fillId="26" fontId="26" numFmtId="164" xfId="0" applyAlignment="1" applyBorder="1" applyFont="1" applyNumberFormat="1">
      <alignment horizontal="center" shrinkToFit="0" vertical="center" wrapText="0"/>
    </xf>
    <xf borderId="10" fillId="26" fontId="27" numFmtId="164" xfId="0" applyAlignment="1" applyBorder="1" applyFont="1" applyNumberFormat="1">
      <alignment horizontal="center" shrinkToFit="0" vertical="center" wrapText="0"/>
    </xf>
    <xf borderId="10" fillId="27" fontId="26" numFmtId="0" xfId="0" applyAlignment="1" applyBorder="1" applyFill="1" applyFont="1">
      <alignment horizontal="left" shrinkToFit="0" vertical="center" wrapText="0"/>
    </xf>
    <xf borderId="10" fillId="27" fontId="26" numFmtId="0" xfId="0" applyAlignment="1" applyBorder="1" applyFont="1">
      <alignment horizontal="center" shrinkToFit="0" vertical="center" wrapText="0"/>
    </xf>
    <xf borderId="10" fillId="27" fontId="26" numFmtId="164" xfId="0" applyAlignment="1" applyBorder="1" applyFont="1" applyNumberFormat="1">
      <alignment horizontal="center" shrinkToFit="0" vertical="center" wrapText="0"/>
    </xf>
    <xf borderId="10" fillId="27" fontId="27" numFmtId="164" xfId="0" applyAlignment="1" applyBorder="1" applyFont="1" applyNumberFormat="1">
      <alignment horizontal="center" shrinkToFit="0" vertical="center" wrapText="0"/>
    </xf>
    <xf borderId="11" fillId="2" fontId="4" numFmtId="0" xfId="0" applyAlignment="1" applyBorder="1" applyFont="1">
      <alignment horizontal="left" shrinkToFit="0" vertical="center" wrapText="0"/>
    </xf>
    <xf borderId="10" fillId="8" fontId="4" numFmtId="164" xfId="0" applyAlignment="1" applyBorder="1" applyFont="1" applyNumberFormat="1">
      <alignment horizontal="center" shrinkToFit="0" vertical="center" wrapText="0"/>
    </xf>
    <xf borderId="10" fillId="8" fontId="4" numFmtId="1" xfId="0" applyAlignment="1" applyBorder="1" applyFont="1" applyNumberFormat="1">
      <alignment horizontal="center" shrinkToFit="0" vertical="center" wrapText="0"/>
    </xf>
    <xf borderId="1" fillId="17" fontId="34" numFmtId="0" xfId="0" applyAlignment="1" applyBorder="1" applyFont="1">
      <alignment horizontal="center" shrinkToFit="0" vertical="center" wrapText="0"/>
    </xf>
    <xf borderId="10" fillId="11" fontId="27" numFmtId="1" xfId="0" applyAlignment="1" applyBorder="1" applyFont="1" applyNumberFormat="1">
      <alignment horizontal="center" shrinkToFit="0" vertical="center" wrapText="0"/>
    </xf>
    <xf borderId="10" fillId="12" fontId="27" numFmtId="1" xfId="0" applyAlignment="1" applyBorder="1" applyFont="1" applyNumberFormat="1">
      <alignment horizontal="center" shrinkToFit="0" vertical="center" wrapText="0"/>
    </xf>
    <xf borderId="11" fillId="17" fontId="4" numFmtId="0" xfId="0" applyAlignment="1" applyBorder="1" applyFont="1">
      <alignment horizontal="center" shrinkToFit="0" vertical="center" wrapText="0"/>
    </xf>
    <xf borderId="11" fillId="8" fontId="4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11" fillId="5" fontId="4" numFmtId="0" xfId="0" applyAlignment="1" applyBorder="1" applyFont="1">
      <alignment horizontal="center" shrinkToFit="0" vertical="center" wrapText="0"/>
    </xf>
    <xf borderId="11" fillId="6" fontId="4" numFmtId="0" xfId="0" applyAlignment="1" applyBorder="1" applyFont="1">
      <alignment horizontal="center" shrinkToFit="0" vertical="center" wrapText="0"/>
    </xf>
    <xf borderId="11" fillId="12" fontId="36" numFmtId="1" xfId="0" applyAlignment="1" applyBorder="1" applyFont="1" applyNumberFormat="1">
      <alignment horizontal="center" shrinkToFit="0" vertical="center" wrapText="0"/>
    </xf>
    <xf borderId="11" fillId="12" fontId="37" numFmtId="168" xfId="0" applyAlignment="1" applyBorder="1" applyFont="1" applyNumberFormat="1">
      <alignment horizontal="center" shrinkToFit="0" vertical="center" wrapText="0"/>
    </xf>
    <xf borderId="11" fillId="12" fontId="38" numFmtId="1" xfId="0" applyAlignment="1" applyBorder="1" applyFont="1" applyNumberFormat="1">
      <alignment horizontal="center" shrinkToFit="0" vertical="center" wrapText="0"/>
    </xf>
    <xf borderId="11" fillId="12" fontId="39" numFmtId="1" xfId="0" applyAlignment="1" applyBorder="1" applyFont="1" applyNumberFormat="1">
      <alignment horizontal="center" shrinkToFit="0" vertical="center" wrapText="0"/>
    </xf>
    <xf borderId="1" fillId="5" fontId="34" numFmtId="0" xfId="0" applyAlignment="1" applyBorder="1" applyFont="1">
      <alignment horizontal="center" shrinkToFit="0" vertical="center" wrapText="0"/>
    </xf>
    <xf borderId="10" fillId="21" fontId="40" numFmtId="173" xfId="0" applyAlignment="1" applyBorder="1" applyFont="1" applyNumberFormat="1">
      <alignment horizontal="center" shrinkToFit="0" vertical="center" wrapText="0"/>
    </xf>
    <xf borderId="10" fillId="5" fontId="35" numFmtId="0" xfId="0" applyAlignment="1" applyBorder="1" applyFont="1">
      <alignment horizontal="center" shrinkToFit="0" vertical="center" wrapText="1"/>
    </xf>
    <xf borderId="10" fillId="11" fontId="27" numFmtId="164" xfId="0" applyAlignment="1" applyBorder="1" applyFont="1" applyNumberFormat="1">
      <alignment horizontal="center" shrinkToFit="0" vertical="center" wrapText="0"/>
    </xf>
    <xf borderId="10" fillId="12" fontId="27" numFmtId="164" xfId="0" applyAlignment="1" applyBorder="1" applyFont="1" applyNumberFormat="1">
      <alignment horizontal="center" shrinkToFit="0" vertical="center" wrapText="0"/>
    </xf>
    <xf borderId="11" fillId="2" fontId="12" numFmtId="0" xfId="0" applyAlignment="1" applyBorder="1" applyFont="1">
      <alignment horizontal="right" shrinkToFit="0" vertical="center" wrapText="0"/>
    </xf>
    <xf borderId="10" fillId="8" fontId="28" numFmtId="164" xfId="0" applyAlignment="1" applyBorder="1" applyFont="1" applyNumberFormat="1">
      <alignment horizontal="center" shrinkToFit="0" vertical="center" wrapText="0"/>
    </xf>
    <xf borderId="0" fillId="0" fontId="21" numFmtId="0" xfId="0" applyAlignment="1" applyFon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1" fillId="28" fontId="34" numFmtId="0" xfId="0" applyAlignment="1" applyBorder="1" applyFill="1" applyFont="1">
      <alignment horizontal="center" shrinkToFit="0" vertical="center" wrapText="0"/>
    </xf>
    <xf borderId="11" fillId="28" fontId="4" numFmtId="0" xfId="0" applyAlignment="1" applyBorder="1" applyFont="1">
      <alignment horizontal="center" shrinkToFit="0" vertical="center" wrapText="1"/>
    </xf>
    <xf borderId="11" fillId="3" fontId="11" numFmtId="0" xfId="0" applyAlignment="1" applyBorder="1" applyFont="1">
      <alignment horizontal="center" shrinkToFit="0" vertical="center" wrapText="0"/>
    </xf>
    <xf borderId="11" fillId="3" fontId="4" numFmtId="0" xfId="0" applyAlignment="1" applyBorder="1" applyFont="1">
      <alignment horizontal="left" shrinkToFit="0" vertical="center" wrapText="0"/>
    </xf>
    <xf borderId="10" fillId="22" fontId="41" numFmtId="0" xfId="0" applyAlignment="1" applyBorder="1" applyFont="1">
      <alignment horizontal="left" shrinkToFit="0" vertical="top" wrapText="1"/>
    </xf>
    <xf borderId="10" fillId="22" fontId="42" numFmtId="0" xfId="0" applyAlignment="1" applyBorder="1" applyFont="1">
      <alignment horizontal="left" shrinkToFit="0" vertical="top" wrapText="1"/>
    </xf>
    <xf borderId="10" fillId="22" fontId="43" numFmtId="0" xfId="0" applyAlignment="1" applyBorder="1" applyFont="1">
      <alignment horizontal="left" shrinkToFit="0" vertical="top" wrapText="1"/>
    </xf>
    <xf borderId="10" fillId="22" fontId="44" numFmtId="0" xfId="0" applyAlignment="1" applyBorder="1" applyFont="1">
      <alignment horizontal="left" shrinkToFit="0" vertical="top" wrapText="1"/>
    </xf>
    <xf borderId="10" fillId="12" fontId="41" numFmtId="0" xfId="0" applyAlignment="1" applyBorder="1" applyFont="1">
      <alignment horizontal="left" shrinkToFit="0" vertical="top" wrapText="1"/>
    </xf>
    <xf borderId="10" fillId="12" fontId="42" numFmtId="0" xfId="0" applyAlignment="1" applyBorder="1" applyFont="1">
      <alignment horizontal="left" shrinkToFit="0" vertical="top" wrapText="1"/>
    </xf>
    <xf borderId="10" fillId="12" fontId="43" numFmtId="0" xfId="0" applyAlignment="1" applyBorder="1" applyFont="1">
      <alignment horizontal="left" shrinkToFit="0" vertical="top" wrapText="1"/>
    </xf>
    <xf borderId="10" fillId="12" fontId="44" numFmtId="0" xfId="0" applyAlignment="1" applyBorder="1" applyFont="1">
      <alignment horizontal="left" shrinkToFit="0" vertical="top" wrapText="1"/>
    </xf>
    <xf borderId="10" fillId="21" fontId="41" numFmtId="0" xfId="0" applyAlignment="1" applyBorder="1" applyFont="1">
      <alignment horizontal="left" shrinkToFit="0" vertical="top" wrapText="1"/>
    </xf>
    <xf borderId="10" fillId="21" fontId="42" numFmtId="0" xfId="0" applyAlignment="1" applyBorder="1" applyFont="1">
      <alignment horizontal="left" shrinkToFit="0" vertical="top" wrapText="1"/>
    </xf>
    <xf borderId="10" fillId="21" fontId="43" numFmtId="0" xfId="0" applyAlignment="1" applyBorder="1" applyFont="1">
      <alignment horizontal="left" shrinkToFit="0" vertical="top" wrapText="1"/>
    </xf>
    <xf borderId="10" fillId="21" fontId="44" numFmtId="0" xfId="0" applyAlignment="1" applyBorder="1" applyFont="1">
      <alignment horizontal="left" shrinkToFit="0" vertical="top" wrapText="1"/>
    </xf>
    <xf borderId="11" fillId="17" fontId="11" numFmtId="0" xfId="0" applyAlignment="1" applyBorder="1" applyFont="1">
      <alignment horizontal="center" shrinkToFit="0" vertical="center" wrapText="0"/>
    </xf>
    <xf borderId="11" fillId="17" fontId="4" numFmtId="0" xfId="0" applyAlignment="1" applyBorder="1" applyFont="1">
      <alignment horizontal="left" shrinkToFit="0" vertical="center" wrapText="0"/>
    </xf>
    <xf borderId="11" fillId="18" fontId="11" numFmtId="0" xfId="0" applyAlignment="1" applyBorder="1" applyFont="1">
      <alignment horizontal="center" shrinkToFit="0" vertical="center" wrapText="0"/>
    </xf>
    <xf borderId="11" fillId="18" fontId="4" numFmtId="0" xfId="0" applyAlignment="1" applyBorder="1" applyFont="1">
      <alignment horizontal="left" shrinkToFit="0" vertical="center" wrapText="0"/>
    </xf>
    <xf borderId="1" fillId="29" fontId="4" numFmtId="0" xfId="0" applyAlignment="1" applyBorder="1" applyFill="1" applyFont="1">
      <alignment horizontal="center" shrinkToFit="0" vertical="center" wrapText="0"/>
    </xf>
    <xf borderId="10" fillId="29" fontId="4" numFmtId="0" xfId="0" applyAlignment="1" applyBorder="1" applyFont="1">
      <alignment horizontal="center" shrinkToFit="0" vertical="center" wrapText="1"/>
    </xf>
    <xf borderId="10" fillId="11" fontId="45" numFmtId="0" xfId="0" applyAlignment="1" applyBorder="1" applyFont="1">
      <alignment horizontal="left" shrinkToFit="0" vertical="top" wrapText="1"/>
    </xf>
    <xf borderId="10" fillId="11" fontId="43" numFmtId="0" xfId="0" applyAlignment="1" applyBorder="1" applyFont="1">
      <alignment horizontal="left" shrinkToFit="0" vertical="top" wrapText="1"/>
    </xf>
    <xf borderId="10" fillId="11" fontId="44" numFmtId="0" xfId="0" applyAlignment="1" applyBorder="1" applyFont="1">
      <alignment horizontal="left" shrinkToFit="0" vertical="top" wrapText="1"/>
    </xf>
    <xf borderId="10" fillId="30" fontId="45" numFmtId="0" xfId="0" applyAlignment="1" applyBorder="1" applyFill="1" applyFont="1">
      <alignment horizontal="left" shrinkToFit="0" vertical="top" wrapText="1"/>
    </xf>
    <xf borderId="10" fillId="30" fontId="43" numFmtId="0" xfId="0" applyAlignment="1" applyBorder="1" applyFont="1">
      <alignment horizontal="left" shrinkToFit="0" vertical="top" wrapText="1"/>
    </xf>
    <xf borderId="10" fillId="30" fontId="44" numFmtId="0" xfId="0" applyAlignment="1" applyBorder="1" applyFont="1">
      <alignment horizontal="left" shrinkToFit="0" vertical="top" wrapText="1"/>
    </xf>
    <xf borderId="1" fillId="28" fontId="4" numFmtId="0" xfId="0" applyAlignment="1" applyBorder="1" applyFont="1">
      <alignment horizontal="center" shrinkToFit="0" vertical="center" wrapText="0"/>
    </xf>
    <xf borderId="10" fillId="11" fontId="41" numFmtId="0" xfId="0" applyAlignment="1" applyBorder="1" applyFont="1">
      <alignment horizontal="left" shrinkToFit="0" vertical="top" wrapText="1"/>
    </xf>
    <xf borderId="1" fillId="3" fontId="11" numFmtId="0" xfId="0" applyAlignment="1" applyBorder="1" applyFont="1">
      <alignment shrinkToFit="0" vertical="center" wrapText="0"/>
    </xf>
    <xf borderId="10" fillId="12" fontId="35" numFmtId="0" xfId="0" applyAlignment="1" applyBorder="1" applyFont="1">
      <alignment horizontal="left" shrinkToFit="0" vertical="center" wrapText="0"/>
    </xf>
    <xf borderId="10" fillId="11" fontId="1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Proyectos por Tipo de Instalación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'📈 Gráficos'!$B$5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'📈 Gráficos'!$A$6:$A$10</c:f>
            </c:strRef>
          </c:cat>
          <c:val>
            <c:numRef>
              <c:f>'📈 Gráficos'!$B$6:$B$10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Proyectos por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Proyectos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'📈 Gráficos'!$E$6:$E$9</c:f>
            </c:strRef>
          </c:cat>
          <c:val>
            <c:numRef>
              <c:f>'📈 Gráficos'!$F$6:$F$9</c:f>
              <c:numCache/>
            </c:numRef>
          </c:val>
        </c:ser>
        <c:axId val="45478343"/>
        <c:axId val="1574290855"/>
      </c:barChart>
      <c:catAx>
        <c:axId val="45478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Equipo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74290855"/>
      </c:catAx>
      <c:valAx>
        <c:axId val="1574290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Nº Proyectos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547834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Incidencias por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Incidencias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'📈 Gráficos'!$E$6:$E$9</c:f>
            </c:strRef>
          </c:cat>
          <c:val>
            <c:numRef>
              <c:f>'📈 Gráficos'!$H$6:$H$9</c:f>
              <c:numCache/>
            </c:numRef>
          </c:val>
        </c:ser>
        <c:axId val="481503400"/>
        <c:axId val="2121627594"/>
      </c:barChart>
      <c:catAx>
        <c:axId val="481503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21627594"/>
      </c:catAx>
      <c:valAx>
        <c:axId val="2121627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Nº Incidencias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8150340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Evolución Mensual: Ingresos vs Compras</a:t>
            </a:r>
          </a:p>
        </c:rich>
      </c:tx>
      <c:overlay val="0"/>
    </c:title>
    <c:plotArea>
      <c:layout/>
      <c:lineChart>
        <c:ser>
          <c:idx val="0"/>
          <c:order val="0"/>
          <c:tx>
            <c:v>Ingresos (€)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'📈 Gráficos'!$J$6:$J$17</c:f>
            </c:strRef>
          </c:cat>
          <c:val>
            <c:numRef>
              <c:f>'📈 Gráficos'!$K$6:$K$17</c:f>
              <c:numCache/>
            </c:numRef>
          </c:val>
          <c:smooth val="1"/>
        </c:ser>
        <c:ser>
          <c:idx val="1"/>
          <c:order val="1"/>
          <c:tx>
            <c:v>Compras (€)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'📈 Gráficos'!$J$6:$J$17</c:f>
            </c:strRef>
          </c:cat>
          <c:val>
            <c:numRef>
              <c:f>'📈 Gráficos'!$L$6:$L$17</c:f>
              <c:numCache/>
            </c:numRef>
          </c:val>
          <c:smooth val="1"/>
        </c:ser>
        <c:axId val="1449773470"/>
        <c:axId val="630945222"/>
      </c:lineChart>
      <c:catAx>
        <c:axId val="1449773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30945222"/>
      </c:catAx>
      <c:valAx>
        <c:axId val="630945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Importe (€)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4977347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0</xdr:rowOff>
    </xdr:from>
    <xdr:ext cx="6172200" cy="52482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14</xdr:row>
      <xdr:rowOff>0</xdr:rowOff>
    </xdr:from>
    <xdr:ext cx="6172200" cy="52482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37</xdr:row>
      <xdr:rowOff>0</xdr:rowOff>
    </xdr:from>
    <xdr:ext cx="6172200" cy="52768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37</xdr:row>
      <xdr:rowOff>0</xdr:rowOff>
    </xdr:from>
    <xdr:ext cx="6172200" cy="52768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6" width="5.0"/>
    <col customWidth="1" min="7" max="20" width="6.0"/>
    <col customWidth="1" min="21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21.75" customHeight="1">
      <c r="A3" s="4"/>
      <c r="B3" s="5" t="s">
        <v>1</v>
      </c>
      <c r="C3" s="2"/>
      <c r="D3" s="2"/>
      <c r="E3" s="3"/>
      <c r="F3" s="4"/>
      <c r="G3" s="6" t="s">
        <v>2</v>
      </c>
      <c r="H3" s="2"/>
      <c r="I3" s="2"/>
      <c r="J3" s="3"/>
      <c r="K3" s="4"/>
      <c r="L3" s="7" t="s">
        <v>3</v>
      </c>
      <c r="M3" s="2"/>
      <c r="N3" s="2"/>
      <c r="O3" s="3"/>
      <c r="P3" s="4"/>
      <c r="Q3" s="8" t="s">
        <v>4</v>
      </c>
      <c r="R3" s="2"/>
      <c r="S3" s="2"/>
      <c r="T3" s="3"/>
    </row>
    <row r="4" ht="37.5" customHeight="1">
      <c r="A4" s="4"/>
      <c r="B4" s="9">
        <f>COUNTA('📦 Maestro Productos'!A4:A1000)</f>
        <v>20</v>
      </c>
      <c r="C4" s="10"/>
      <c r="D4" s="10"/>
      <c r="E4" s="11"/>
      <c r="F4" s="4"/>
      <c r="G4" s="12">
        <f>COUNTIF('📊 Stock Actual'!L4:L100,"🟢 OK")</f>
        <v>20</v>
      </c>
      <c r="H4" s="10"/>
      <c r="I4" s="10"/>
      <c r="J4" s="11"/>
      <c r="K4" s="4"/>
      <c r="L4" s="13">
        <f>COUNTIF('📊 Stock Actual'!L4:L100,"🟠 STOCK BAJO")</f>
        <v>0</v>
      </c>
      <c r="M4" s="10"/>
      <c r="N4" s="10"/>
      <c r="O4" s="11"/>
      <c r="P4" s="4"/>
      <c r="Q4" s="14">
        <f>COUNTIF('📊 Stock Actual'!L4:L100,"🔴 SIN STOCK")</f>
        <v>0</v>
      </c>
      <c r="R4" s="10"/>
      <c r="S4" s="10"/>
      <c r="T4" s="11"/>
    </row>
    <row r="5" ht="9.75" customHeight="1">
      <c r="A5" s="4"/>
      <c r="B5" s="15"/>
      <c r="C5" s="16"/>
      <c r="D5" s="16"/>
      <c r="E5" s="17"/>
      <c r="F5" s="4"/>
      <c r="G5" s="15"/>
      <c r="H5" s="16"/>
      <c r="I5" s="16"/>
      <c r="J5" s="17"/>
      <c r="K5" s="4"/>
      <c r="L5" s="15"/>
      <c r="M5" s="16"/>
      <c r="N5" s="16"/>
      <c r="O5" s="17"/>
      <c r="P5" s="4"/>
      <c r="Q5" s="15"/>
      <c r="R5" s="16"/>
      <c r="S5" s="16"/>
      <c r="T5" s="17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21.75" customHeight="1">
      <c r="A7" s="4"/>
      <c r="B7" s="18" t="s">
        <v>5</v>
      </c>
      <c r="C7" s="2"/>
      <c r="D7" s="2"/>
      <c r="E7" s="3"/>
      <c r="F7" s="4"/>
      <c r="G7" s="19" t="s">
        <v>6</v>
      </c>
      <c r="H7" s="2"/>
      <c r="I7" s="2"/>
      <c r="J7" s="3"/>
      <c r="K7" s="4"/>
      <c r="L7" s="18" t="s">
        <v>7</v>
      </c>
      <c r="M7" s="2"/>
      <c r="N7" s="2"/>
      <c r="O7" s="3"/>
      <c r="P7" s="4"/>
      <c r="Q7" s="19" t="s">
        <v>8</v>
      </c>
      <c r="R7" s="2"/>
      <c r="S7" s="2"/>
      <c r="T7" s="3"/>
    </row>
    <row r="8" ht="37.5" customHeight="1">
      <c r="A8" s="4"/>
      <c r="B8" s="20">
        <f>SUMIF('📥 Entradas'!H4:H500,TODAY(),'📥 Entradas'!G4:G500)</f>
        <v>0</v>
      </c>
      <c r="C8" s="10"/>
      <c r="D8" s="10"/>
      <c r="E8" s="11"/>
      <c r="F8" s="4"/>
      <c r="G8" s="21">
        <f>SUMIF('📤 Salidas'!H4:H500,TODAY(),'📤 Salidas'!G4:G500)</f>
        <v>0</v>
      </c>
      <c r="H8" s="10"/>
      <c r="I8" s="10"/>
      <c r="J8" s="11"/>
      <c r="K8" s="4"/>
      <c r="L8" s="20">
        <f>SUMPRODUCT((MONTH('📥 Entradas'!H4:H500)=MONTH(TODAY()))*(YEAR('📥 Entradas'!H4:H500)=YEAR(TODAY())),'📥 Entradas'!G4:G500)</f>
        <v>0</v>
      </c>
      <c r="M8" s="10"/>
      <c r="N8" s="10"/>
      <c r="O8" s="11"/>
      <c r="P8" s="4"/>
      <c r="Q8" s="21">
        <f>SUMPRODUCT((MONTH('📤 Salidas'!H4:H500)=MONTH(TODAY()))*(YEAR('📤 Salidas'!H4:H500)=YEAR(TODAY())),'📤 Salidas'!G4:G500)</f>
        <v>0</v>
      </c>
      <c r="R8" s="10"/>
      <c r="S8" s="10"/>
      <c r="T8" s="11"/>
    </row>
    <row r="9" ht="9.75" customHeight="1">
      <c r="A9" s="4"/>
      <c r="B9" s="15"/>
      <c r="C9" s="16"/>
      <c r="D9" s="16"/>
      <c r="E9" s="17"/>
      <c r="F9" s="4"/>
      <c r="G9" s="15"/>
      <c r="H9" s="16"/>
      <c r="I9" s="16"/>
      <c r="J9" s="17"/>
      <c r="K9" s="4"/>
      <c r="L9" s="15"/>
      <c r="M9" s="16"/>
      <c r="N9" s="16"/>
      <c r="O9" s="17"/>
      <c r="P9" s="4"/>
      <c r="Q9" s="15"/>
      <c r="R9" s="16"/>
      <c r="S9" s="16"/>
      <c r="T9" s="17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25.5" customHeight="1">
      <c r="A12" s="4"/>
      <c r="B12" s="22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</row>
    <row r="13" ht="25.5" customHeight="1">
      <c r="A13" s="4"/>
      <c r="B13" s="23" t="s">
        <v>10</v>
      </c>
      <c r="C13" s="24" t="s">
        <v>11</v>
      </c>
      <c r="D13" s="25"/>
      <c r="E13" s="26"/>
      <c r="F13" s="24" t="s">
        <v>12</v>
      </c>
      <c r="G13" s="26"/>
      <c r="H13" s="24" t="s">
        <v>13</v>
      </c>
      <c r="I13" s="26"/>
      <c r="J13" s="24" t="s">
        <v>14</v>
      </c>
      <c r="K13" s="26"/>
      <c r="L13" s="24" t="s">
        <v>15</v>
      </c>
      <c r="M13" s="26"/>
      <c r="N13" s="24" t="s">
        <v>16</v>
      </c>
      <c r="O13" s="25"/>
      <c r="P13" s="25"/>
      <c r="Q13" s="25"/>
      <c r="R13" s="25"/>
      <c r="S13" s="25"/>
      <c r="T13" s="26"/>
    </row>
    <row r="14" ht="18.0" customHeight="1">
      <c r="A14" s="4"/>
      <c r="B14" s="27" t="str">
        <f>'📊 Stock Actual'!A14</f>
        <v>CAL-001</v>
      </c>
      <c r="C14" s="28" t="str">
        <f>'📊 Stock Actual'!B14</f>
        <v>Caldera Gas Condensación 24kW</v>
      </c>
      <c r="D14" s="25"/>
      <c r="E14" s="26"/>
      <c r="F14" s="29">
        <f>'📊 Stock Actual'!H14</f>
        <v>6</v>
      </c>
      <c r="G14" s="26"/>
      <c r="H14" s="29">
        <f>'📊 Stock Actual'!I14</f>
        <v>3</v>
      </c>
      <c r="I14" s="26"/>
      <c r="J14" s="29">
        <f t="shared" ref="J14:J33" si="1">F14-H14</f>
        <v>3</v>
      </c>
      <c r="K14" s="26"/>
      <c r="L14" s="30" t="str">
        <f>'📊 Stock Actual'!L14</f>
        <v>🟢 OK</v>
      </c>
      <c r="M14" s="26"/>
      <c r="N14" s="28" t="str">
        <f t="shared" ref="N14:N33" si="2">IF(F14&lt;=0,"🚨 Pedir urgente",IF(F14&lt;=H14,"📋 Revisar pedido","✅ Sin acción"))</f>
        <v>✅ Sin acción</v>
      </c>
      <c r="O14" s="25"/>
      <c r="P14" s="25"/>
      <c r="Q14" s="25"/>
      <c r="R14" s="25"/>
      <c r="S14" s="25"/>
      <c r="T14" s="26"/>
    </row>
    <row r="15" ht="18.0" customHeight="1">
      <c r="A15" s="4"/>
      <c r="B15" s="31" t="str">
        <f>'📊 Stock Actual'!A15</f>
        <v>CAL-002</v>
      </c>
      <c r="C15" s="32" t="str">
        <f>'📊 Stock Actual'!B15</f>
        <v>Radiador Aluminio 10 Elem.</v>
      </c>
      <c r="D15" s="25"/>
      <c r="E15" s="26"/>
      <c r="F15" s="33">
        <f>'📊 Stock Actual'!H15</f>
        <v>45</v>
      </c>
      <c r="G15" s="26"/>
      <c r="H15" s="33">
        <f>'📊 Stock Actual'!I15</f>
        <v>20</v>
      </c>
      <c r="I15" s="26"/>
      <c r="J15" s="33">
        <f t="shared" si="1"/>
        <v>25</v>
      </c>
      <c r="K15" s="26"/>
      <c r="L15" s="34" t="str">
        <f>'📊 Stock Actual'!L15</f>
        <v>🟢 OK</v>
      </c>
      <c r="M15" s="26"/>
      <c r="N15" s="32" t="str">
        <f t="shared" si="2"/>
        <v>✅ Sin acción</v>
      </c>
      <c r="O15" s="25"/>
      <c r="P15" s="25"/>
      <c r="Q15" s="25"/>
      <c r="R15" s="25"/>
      <c r="S15" s="25"/>
      <c r="T15" s="26"/>
    </row>
    <row r="16" ht="18.0" customHeight="1">
      <c r="A16" s="4"/>
      <c r="B16" s="27" t="str">
        <f>'📊 Stock Actual'!A16</f>
        <v>CAB-001</v>
      </c>
      <c r="C16" s="28" t="str">
        <f>'📊 Stock Actual'!B16</f>
        <v>Cable Solar 4mm² (m)</v>
      </c>
      <c r="D16" s="25"/>
      <c r="E16" s="26"/>
      <c r="F16" s="29">
        <f>'📊 Stock Actual'!H16</f>
        <v>1450</v>
      </c>
      <c r="G16" s="26"/>
      <c r="H16" s="29">
        <f>'📊 Stock Actual'!I16</f>
        <v>500</v>
      </c>
      <c r="I16" s="26"/>
      <c r="J16" s="29">
        <f t="shared" si="1"/>
        <v>950</v>
      </c>
      <c r="K16" s="26"/>
      <c r="L16" s="30" t="str">
        <f>'📊 Stock Actual'!L16</f>
        <v>🟢 OK</v>
      </c>
      <c r="M16" s="26"/>
      <c r="N16" s="28" t="str">
        <f t="shared" si="2"/>
        <v>✅ Sin acción</v>
      </c>
      <c r="O16" s="25"/>
      <c r="P16" s="25"/>
      <c r="Q16" s="25"/>
      <c r="R16" s="25"/>
      <c r="S16" s="25"/>
      <c r="T16" s="26"/>
    </row>
    <row r="17" ht="18.0" customHeight="1">
      <c r="A17" s="4"/>
      <c r="B17" s="31" t="str">
        <f>'📊 Stock Actual'!A17</f>
        <v>CAB-002</v>
      </c>
      <c r="C17" s="32" t="str">
        <f>'📊 Stock Actual'!B17</f>
        <v>Cable Solar 6mm² (m)</v>
      </c>
      <c r="D17" s="25"/>
      <c r="E17" s="26"/>
      <c r="F17" s="33">
        <f>'📊 Stock Actual'!H17</f>
        <v>800</v>
      </c>
      <c r="G17" s="26"/>
      <c r="H17" s="33">
        <f>'📊 Stock Actual'!I17</f>
        <v>500</v>
      </c>
      <c r="I17" s="26"/>
      <c r="J17" s="33">
        <f t="shared" si="1"/>
        <v>300</v>
      </c>
      <c r="K17" s="26"/>
      <c r="L17" s="34" t="str">
        <f>'📊 Stock Actual'!L17</f>
        <v>🟢 OK</v>
      </c>
      <c r="M17" s="26"/>
      <c r="N17" s="32" t="str">
        <f t="shared" si="2"/>
        <v>✅ Sin acción</v>
      </c>
      <c r="O17" s="25"/>
      <c r="P17" s="25"/>
      <c r="Q17" s="25"/>
      <c r="R17" s="25"/>
      <c r="S17" s="25"/>
      <c r="T17" s="26"/>
    </row>
    <row r="18" ht="18.0" customHeight="1">
      <c r="A18" s="4"/>
      <c r="B18" s="27" t="str">
        <f>'📊 Stock Actual'!A18</f>
        <v>EST-001</v>
      </c>
      <c r="C18" s="28" t="str">
        <f>'📊 Stock Actual'!B18</f>
        <v>Estructura Tejado Inclinado (kit)</v>
      </c>
      <c r="D18" s="25"/>
      <c r="E18" s="26"/>
      <c r="F18" s="29">
        <f>'📊 Stock Actual'!H18</f>
        <v>20</v>
      </c>
      <c r="G18" s="26"/>
      <c r="H18" s="29">
        <f>'📊 Stock Actual'!I18</f>
        <v>10</v>
      </c>
      <c r="I18" s="26"/>
      <c r="J18" s="29">
        <f t="shared" si="1"/>
        <v>10</v>
      </c>
      <c r="K18" s="26"/>
      <c r="L18" s="30" t="str">
        <f>'📊 Stock Actual'!L18</f>
        <v>🟢 OK</v>
      </c>
      <c r="M18" s="26"/>
      <c r="N18" s="28" t="str">
        <f t="shared" si="2"/>
        <v>✅ Sin acción</v>
      </c>
      <c r="O18" s="25"/>
      <c r="P18" s="25"/>
      <c r="Q18" s="25"/>
      <c r="R18" s="25"/>
      <c r="S18" s="25"/>
      <c r="T18" s="26"/>
    </row>
    <row r="19" ht="18.0" customHeight="1">
      <c r="A19" s="4"/>
      <c r="B19" s="31" t="str">
        <f>'📊 Stock Actual'!A19</f>
        <v>EST-002</v>
      </c>
      <c r="C19" s="32" t="str">
        <f>'📊 Stock Actual'!B19</f>
        <v>Estructura Cubierta Plana (kit)</v>
      </c>
      <c r="D19" s="25"/>
      <c r="E19" s="26"/>
      <c r="F19" s="33">
        <f>'📊 Stock Actual'!H19</f>
        <v>18</v>
      </c>
      <c r="G19" s="26"/>
      <c r="H19" s="33">
        <f>'📊 Stock Actual'!I19</f>
        <v>5</v>
      </c>
      <c r="I19" s="26"/>
      <c r="J19" s="33">
        <f t="shared" si="1"/>
        <v>13</v>
      </c>
      <c r="K19" s="26"/>
      <c r="L19" s="34" t="str">
        <f>'📊 Stock Actual'!L19</f>
        <v>🟢 OK</v>
      </c>
      <c r="M19" s="26"/>
      <c r="N19" s="32" t="str">
        <f t="shared" si="2"/>
        <v>✅ Sin acción</v>
      </c>
      <c r="O19" s="25"/>
      <c r="P19" s="25"/>
      <c r="Q19" s="25"/>
      <c r="R19" s="25"/>
      <c r="S19" s="25"/>
      <c r="T19" s="26"/>
    </row>
    <row r="20" ht="18.0" customHeight="1">
      <c r="A20" s="4"/>
      <c r="B20" s="27" t="str">
        <f>'📊 Stock Actual'!A20</f>
        <v>PRO-001</v>
      </c>
      <c r="C20" s="28" t="str">
        <f>'📊 Stock Actual'!B20</f>
        <v>Protección DC 1000V 2P</v>
      </c>
      <c r="D20" s="25"/>
      <c r="E20" s="26"/>
      <c r="F20" s="29">
        <f>'📊 Stock Actual'!H20</f>
        <v>60</v>
      </c>
      <c r="G20" s="26"/>
      <c r="H20" s="29">
        <f>'📊 Stock Actual'!I20</f>
        <v>20</v>
      </c>
      <c r="I20" s="26"/>
      <c r="J20" s="29">
        <f t="shared" si="1"/>
        <v>40</v>
      </c>
      <c r="K20" s="26"/>
      <c r="L20" s="30" t="str">
        <f>'📊 Stock Actual'!L20</f>
        <v>🟢 OK</v>
      </c>
      <c r="M20" s="26"/>
      <c r="N20" s="28" t="str">
        <f t="shared" si="2"/>
        <v>✅ Sin acción</v>
      </c>
      <c r="O20" s="25"/>
      <c r="P20" s="25"/>
      <c r="Q20" s="25"/>
      <c r="R20" s="25"/>
      <c r="S20" s="25"/>
      <c r="T20" s="26"/>
    </row>
    <row r="21" ht="18.0" customHeight="1">
      <c r="A21" s="4"/>
      <c r="B21" s="31" t="str">
        <f>'📊 Stock Actual'!A21</f>
        <v>PRO-002</v>
      </c>
      <c r="C21" s="32" t="str">
        <f>'📊 Stock Actual'!B21</f>
        <v>Contador Bidireccional Smart</v>
      </c>
      <c r="D21" s="25"/>
      <c r="E21" s="26"/>
      <c r="F21" s="33">
        <f>'📊 Stock Actual'!H21</f>
        <v>12</v>
      </c>
      <c r="G21" s="26"/>
      <c r="H21" s="33">
        <f>'📊 Stock Actual'!I21</f>
        <v>5</v>
      </c>
      <c r="I21" s="26"/>
      <c r="J21" s="33">
        <f t="shared" si="1"/>
        <v>7</v>
      </c>
      <c r="K21" s="26"/>
      <c r="L21" s="34" t="str">
        <f>'📊 Stock Actual'!L21</f>
        <v>🟢 OK</v>
      </c>
      <c r="M21" s="26"/>
      <c r="N21" s="32" t="str">
        <f t="shared" si="2"/>
        <v>✅ Sin acción</v>
      </c>
      <c r="O21" s="25"/>
      <c r="P21" s="25"/>
      <c r="Q21" s="25"/>
      <c r="R21" s="25"/>
      <c r="S21" s="25"/>
      <c r="T21" s="26"/>
    </row>
    <row r="22" ht="18.0" customHeight="1">
      <c r="A22" s="4"/>
      <c r="B22" s="27" t="str">
        <f>'📊 Stock Actual'!A22</f>
        <v>TUB-001</v>
      </c>
      <c r="C22" s="28" t="str">
        <f>'📊 Stock Actual'!B22</f>
        <v>Tubo Corrugado PG29 (m)</v>
      </c>
      <c r="D22" s="25"/>
      <c r="E22" s="26"/>
      <c r="F22" s="29">
        <f>'📊 Stock Actual'!H22</f>
        <v>600</v>
      </c>
      <c r="G22" s="26"/>
      <c r="H22" s="29">
        <f>'📊 Stock Actual'!I22</f>
        <v>200</v>
      </c>
      <c r="I22" s="26"/>
      <c r="J22" s="29">
        <f t="shared" si="1"/>
        <v>400</v>
      </c>
      <c r="K22" s="26"/>
      <c r="L22" s="30" t="str">
        <f>'📊 Stock Actual'!L22</f>
        <v>🟢 OK</v>
      </c>
      <c r="M22" s="26"/>
      <c r="N22" s="28" t="str">
        <f t="shared" si="2"/>
        <v>✅ Sin acción</v>
      </c>
      <c r="O22" s="25"/>
      <c r="P22" s="25"/>
      <c r="Q22" s="25"/>
      <c r="R22" s="25"/>
      <c r="S22" s="25"/>
      <c r="T22" s="26"/>
    </row>
    <row r="23" ht="18.0" customHeight="1">
      <c r="A23" s="4"/>
      <c r="B23" s="31" t="str">
        <f>'📊 Stock Actual'!A23</f>
        <v>TUB-002</v>
      </c>
      <c r="C23" s="32" t="str">
        <f>'📊 Stock Actual'!B23</f>
        <v>Tubería Cobre 22mm (m)</v>
      </c>
      <c r="D23" s="25"/>
      <c r="E23" s="26"/>
      <c r="F23" s="33">
        <f>'📊 Stock Actual'!H23</f>
        <v>250</v>
      </c>
      <c r="G23" s="26"/>
      <c r="H23" s="33">
        <f>'📊 Stock Actual'!I23</f>
        <v>100</v>
      </c>
      <c r="I23" s="26"/>
      <c r="J23" s="33">
        <f t="shared" si="1"/>
        <v>150</v>
      </c>
      <c r="K23" s="26"/>
      <c r="L23" s="34" t="str">
        <f>'📊 Stock Actual'!L23</f>
        <v>🟢 OK</v>
      </c>
      <c r="M23" s="26"/>
      <c r="N23" s="32" t="str">
        <f t="shared" si="2"/>
        <v>✅ Sin acción</v>
      </c>
      <c r="O23" s="25"/>
      <c r="P23" s="25"/>
      <c r="Q23" s="25"/>
      <c r="R23" s="25"/>
      <c r="S23" s="25"/>
      <c r="T23" s="26"/>
    </row>
    <row r="24" ht="18.0" customHeight="1">
      <c r="A24" s="4"/>
      <c r="B24" s="27" t="str">
        <f>'📊 Stock Actual'!A24</f>
        <v/>
      </c>
      <c r="C24" s="28" t="str">
        <f>'📊 Stock Actual'!B24</f>
        <v/>
      </c>
      <c r="D24" s="25"/>
      <c r="E24" s="26"/>
      <c r="F24" s="30" t="str">
        <f>'📊 Stock Actual'!H24</f>
        <v/>
      </c>
      <c r="G24" s="26"/>
      <c r="H24" s="30" t="str">
        <f>'📊 Stock Actual'!I24</f>
        <v/>
      </c>
      <c r="I24" s="26"/>
      <c r="J24" s="30">
        <f t="shared" si="1"/>
        <v>0</v>
      </c>
      <c r="K24" s="26"/>
      <c r="L24" s="30" t="str">
        <f>'📊 Stock Actual'!L24</f>
        <v/>
      </c>
      <c r="M24" s="26"/>
      <c r="N24" s="28" t="str">
        <f t="shared" si="2"/>
        <v>🚨 Pedir urgente</v>
      </c>
      <c r="O24" s="25"/>
      <c r="P24" s="25"/>
      <c r="Q24" s="25"/>
      <c r="R24" s="25"/>
      <c r="S24" s="25"/>
      <c r="T24" s="26"/>
    </row>
    <row r="25" ht="18.0" customHeight="1">
      <c r="A25" s="4"/>
      <c r="B25" s="31" t="str">
        <f>'📊 Stock Actual'!A25</f>
        <v/>
      </c>
      <c r="C25" s="32" t="str">
        <f>'📊 Stock Actual'!B25</f>
        <v/>
      </c>
      <c r="D25" s="25"/>
      <c r="E25" s="26"/>
      <c r="F25" s="34" t="str">
        <f>'📊 Stock Actual'!H25</f>
        <v/>
      </c>
      <c r="G25" s="26"/>
      <c r="H25" s="34" t="str">
        <f>'📊 Stock Actual'!I25</f>
        <v/>
      </c>
      <c r="I25" s="26"/>
      <c r="J25" s="34">
        <f t="shared" si="1"/>
        <v>0</v>
      </c>
      <c r="K25" s="26"/>
      <c r="L25" s="34" t="str">
        <f>'📊 Stock Actual'!L25</f>
        <v/>
      </c>
      <c r="M25" s="26"/>
      <c r="N25" s="32" t="str">
        <f t="shared" si="2"/>
        <v>🚨 Pedir urgente</v>
      </c>
      <c r="O25" s="25"/>
      <c r="P25" s="25"/>
      <c r="Q25" s="25"/>
      <c r="R25" s="25"/>
      <c r="S25" s="25"/>
      <c r="T25" s="26"/>
    </row>
    <row r="26" ht="18.0" customHeight="1">
      <c r="A26" s="4"/>
      <c r="B26" s="27" t="str">
        <f>'📊 Stock Actual'!A26</f>
        <v/>
      </c>
      <c r="C26" s="28" t="str">
        <f>'📊 Stock Actual'!B26</f>
        <v/>
      </c>
      <c r="D26" s="25"/>
      <c r="E26" s="26"/>
      <c r="F26" s="30" t="str">
        <f>'📊 Stock Actual'!H26</f>
        <v/>
      </c>
      <c r="G26" s="26"/>
      <c r="H26" s="30" t="str">
        <f>'📊 Stock Actual'!I26</f>
        <v/>
      </c>
      <c r="I26" s="26"/>
      <c r="J26" s="30">
        <f t="shared" si="1"/>
        <v>0</v>
      </c>
      <c r="K26" s="26"/>
      <c r="L26" s="30" t="str">
        <f>'📊 Stock Actual'!L26</f>
        <v/>
      </c>
      <c r="M26" s="26"/>
      <c r="N26" s="28" t="str">
        <f t="shared" si="2"/>
        <v>🚨 Pedir urgente</v>
      </c>
      <c r="O26" s="25"/>
      <c r="P26" s="25"/>
      <c r="Q26" s="25"/>
      <c r="R26" s="25"/>
      <c r="S26" s="25"/>
      <c r="T26" s="26"/>
    </row>
    <row r="27" ht="18.0" customHeight="1">
      <c r="A27" s="4"/>
      <c r="B27" s="31" t="str">
        <f>'📊 Stock Actual'!A27</f>
        <v/>
      </c>
      <c r="C27" s="32" t="str">
        <f>'📊 Stock Actual'!B27</f>
        <v/>
      </c>
      <c r="D27" s="25"/>
      <c r="E27" s="26"/>
      <c r="F27" s="34" t="str">
        <f>'📊 Stock Actual'!H27</f>
        <v/>
      </c>
      <c r="G27" s="26"/>
      <c r="H27" s="34" t="str">
        <f>'📊 Stock Actual'!I27</f>
        <v/>
      </c>
      <c r="I27" s="26"/>
      <c r="J27" s="34">
        <f t="shared" si="1"/>
        <v>0</v>
      </c>
      <c r="K27" s="26"/>
      <c r="L27" s="34" t="str">
        <f>'📊 Stock Actual'!L27</f>
        <v/>
      </c>
      <c r="M27" s="26"/>
      <c r="N27" s="32" t="str">
        <f t="shared" si="2"/>
        <v>🚨 Pedir urgente</v>
      </c>
      <c r="O27" s="25"/>
      <c r="P27" s="25"/>
      <c r="Q27" s="25"/>
      <c r="R27" s="25"/>
      <c r="S27" s="25"/>
      <c r="T27" s="26"/>
    </row>
    <row r="28" ht="18.0" customHeight="1">
      <c r="A28" s="4"/>
      <c r="B28" s="27" t="str">
        <f>'📊 Stock Actual'!A28</f>
        <v/>
      </c>
      <c r="C28" s="28" t="str">
        <f>'📊 Stock Actual'!B28</f>
        <v/>
      </c>
      <c r="D28" s="25"/>
      <c r="E28" s="26"/>
      <c r="F28" s="30" t="str">
        <f>'📊 Stock Actual'!H28</f>
        <v/>
      </c>
      <c r="G28" s="26"/>
      <c r="H28" s="30" t="str">
        <f>'📊 Stock Actual'!I28</f>
        <v/>
      </c>
      <c r="I28" s="26"/>
      <c r="J28" s="30">
        <f t="shared" si="1"/>
        <v>0</v>
      </c>
      <c r="K28" s="26"/>
      <c r="L28" s="30" t="str">
        <f>'📊 Stock Actual'!L28</f>
        <v/>
      </c>
      <c r="M28" s="26"/>
      <c r="N28" s="28" t="str">
        <f t="shared" si="2"/>
        <v>🚨 Pedir urgente</v>
      </c>
      <c r="O28" s="25"/>
      <c r="P28" s="25"/>
      <c r="Q28" s="25"/>
      <c r="R28" s="25"/>
      <c r="S28" s="25"/>
      <c r="T28" s="26"/>
    </row>
    <row r="29" ht="18.0" customHeight="1">
      <c r="A29" s="4"/>
      <c r="B29" s="31" t="str">
        <f>'📊 Stock Actual'!A29</f>
        <v/>
      </c>
      <c r="C29" s="32" t="str">
        <f>'📊 Stock Actual'!B29</f>
        <v/>
      </c>
      <c r="D29" s="25"/>
      <c r="E29" s="26"/>
      <c r="F29" s="34" t="str">
        <f>'📊 Stock Actual'!H29</f>
        <v/>
      </c>
      <c r="G29" s="26"/>
      <c r="H29" s="34" t="str">
        <f>'📊 Stock Actual'!I29</f>
        <v/>
      </c>
      <c r="I29" s="26"/>
      <c r="J29" s="34">
        <f t="shared" si="1"/>
        <v>0</v>
      </c>
      <c r="K29" s="26"/>
      <c r="L29" s="34" t="str">
        <f>'📊 Stock Actual'!L29</f>
        <v/>
      </c>
      <c r="M29" s="26"/>
      <c r="N29" s="32" t="str">
        <f t="shared" si="2"/>
        <v>🚨 Pedir urgente</v>
      </c>
      <c r="O29" s="25"/>
      <c r="P29" s="25"/>
      <c r="Q29" s="25"/>
      <c r="R29" s="25"/>
      <c r="S29" s="25"/>
      <c r="T29" s="26"/>
    </row>
    <row r="30" ht="18.0" customHeight="1">
      <c r="A30" s="4"/>
      <c r="B30" s="27" t="str">
        <f>'📊 Stock Actual'!A30</f>
        <v/>
      </c>
      <c r="C30" s="28" t="str">
        <f>'📊 Stock Actual'!B30</f>
        <v/>
      </c>
      <c r="D30" s="25"/>
      <c r="E30" s="26"/>
      <c r="F30" s="30" t="str">
        <f>'📊 Stock Actual'!H30</f>
        <v/>
      </c>
      <c r="G30" s="26"/>
      <c r="H30" s="30" t="str">
        <f>'📊 Stock Actual'!I30</f>
        <v/>
      </c>
      <c r="I30" s="26"/>
      <c r="J30" s="30">
        <f t="shared" si="1"/>
        <v>0</v>
      </c>
      <c r="K30" s="26"/>
      <c r="L30" s="30" t="str">
        <f>'📊 Stock Actual'!L30</f>
        <v/>
      </c>
      <c r="M30" s="26"/>
      <c r="N30" s="28" t="str">
        <f t="shared" si="2"/>
        <v>🚨 Pedir urgente</v>
      </c>
      <c r="O30" s="25"/>
      <c r="P30" s="25"/>
      <c r="Q30" s="25"/>
      <c r="R30" s="25"/>
      <c r="S30" s="25"/>
      <c r="T30" s="26"/>
    </row>
    <row r="31" ht="18.0" customHeight="1">
      <c r="A31" s="4"/>
      <c r="B31" s="31" t="str">
        <f>'📊 Stock Actual'!A31</f>
        <v/>
      </c>
      <c r="C31" s="32" t="str">
        <f>'📊 Stock Actual'!B31</f>
        <v/>
      </c>
      <c r="D31" s="25"/>
      <c r="E31" s="26"/>
      <c r="F31" s="34" t="str">
        <f>'📊 Stock Actual'!H31</f>
        <v/>
      </c>
      <c r="G31" s="26"/>
      <c r="H31" s="34" t="str">
        <f>'📊 Stock Actual'!I31</f>
        <v/>
      </c>
      <c r="I31" s="26"/>
      <c r="J31" s="34">
        <f t="shared" si="1"/>
        <v>0</v>
      </c>
      <c r="K31" s="26"/>
      <c r="L31" s="34" t="str">
        <f>'📊 Stock Actual'!L31</f>
        <v/>
      </c>
      <c r="M31" s="26"/>
      <c r="N31" s="32" t="str">
        <f t="shared" si="2"/>
        <v>🚨 Pedir urgente</v>
      </c>
      <c r="O31" s="25"/>
      <c r="P31" s="25"/>
      <c r="Q31" s="25"/>
      <c r="R31" s="25"/>
      <c r="S31" s="25"/>
      <c r="T31" s="26"/>
    </row>
    <row r="32" ht="18.0" customHeight="1">
      <c r="A32" s="4"/>
      <c r="B32" s="27" t="str">
        <f>'📊 Stock Actual'!A32</f>
        <v/>
      </c>
      <c r="C32" s="28" t="str">
        <f>'📊 Stock Actual'!B32</f>
        <v/>
      </c>
      <c r="D32" s="25"/>
      <c r="E32" s="26"/>
      <c r="F32" s="30" t="str">
        <f>'📊 Stock Actual'!H32</f>
        <v/>
      </c>
      <c r="G32" s="26"/>
      <c r="H32" s="30" t="str">
        <f>'📊 Stock Actual'!I32</f>
        <v/>
      </c>
      <c r="I32" s="26"/>
      <c r="J32" s="30">
        <f t="shared" si="1"/>
        <v>0</v>
      </c>
      <c r="K32" s="26"/>
      <c r="L32" s="30" t="str">
        <f>'📊 Stock Actual'!L32</f>
        <v/>
      </c>
      <c r="M32" s="26"/>
      <c r="N32" s="28" t="str">
        <f t="shared" si="2"/>
        <v>🚨 Pedir urgente</v>
      </c>
      <c r="O32" s="25"/>
      <c r="P32" s="25"/>
      <c r="Q32" s="25"/>
      <c r="R32" s="25"/>
      <c r="S32" s="25"/>
      <c r="T32" s="26"/>
    </row>
    <row r="33" ht="18.0" customHeight="1">
      <c r="A33" s="4"/>
      <c r="B33" s="31" t="str">
        <f>'📊 Stock Actual'!A33</f>
        <v/>
      </c>
      <c r="C33" s="32" t="str">
        <f>'📊 Stock Actual'!B33</f>
        <v/>
      </c>
      <c r="D33" s="25"/>
      <c r="E33" s="26"/>
      <c r="F33" s="34" t="str">
        <f>'📊 Stock Actual'!H33</f>
        <v/>
      </c>
      <c r="G33" s="26"/>
      <c r="H33" s="34" t="str">
        <f>'📊 Stock Actual'!I33</f>
        <v/>
      </c>
      <c r="I33" s="26"/>
      <c r="J33" s="34">
        <f t="shared" si="1"/>
        <v>0</v>
      </c>
      <c r="K33" s="26"/>
      <c r="L33" s="34" t="str">
        <f>'📊 Stock Actual'!L33</f>
        <v/>
      </c>
      <c r="M33" s="26"/>
      <c r="N33" s="32" t="str">
        <f t="shared" si="2"/>
        <v>🚨 Pedir urgente</v>
      </c>
      <c r="O33" s="25"/>
      <c r="P33" s="25"/>
      <c r="Q33" s="25"/>
      <c r="R33" s="25"/>
      <c r="S33" s="25"/>
      <c r="T33" s="26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25.5" customHeight="1">
      <c r="A36" s="4"/>
      <c r="B36" s="35" t="s">
        <v>17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"/>
    </row>
    <row r="37" ht="24.0" customHeight="1">
      <c r="A37" s="4"/>
      <c r="B37" s="36" t="s">
        <v>18</v>
      </c>
      <c r="C37" s="25"/>
      <c r="D37" s="25"/>
      <c r="E37" s="25"/>
      <c r="F37" s="25"/>
      <c r="G37" s="25"/>
      <c r="H37" s="25"/>
      <c r="I37" s="25"/>
      <c r="J37" s="26"/>
      <c r="K37" s="36" t="s">
        <v>19</v>
      </c>
      <c r="L37" s="25"/>
      <c r="M37" s="25"/>
      <c r="N37" s="25"/>
      <c r="O37" s="25"/>
      <c r="P37" s="25"/>
      <c r="Q37" s="25"/>
      <c r="R37" s="25"/>
      <c r="S37" s="25"/>
      <c r="T37" s="26"/>
    </row>
    <row r="38" ht="21.75" customHeight="1">
      <c r="A38" s="4"/>
      <c r="B38" s="37" t="s">
        <v>20</v>
      </c>
      <c r="C38" s="25"/>
      <c r="D38" s="25"/>
      <c r="E38" s="25"/>
      <c r="F38" s="25"/>
      <c r="G38" s="25"/>
      <c r="H38" s="25"/>
      <c r="I38" s="25"/>
      <c r="J38" s="26"/>
      <c r="K38" s="38">
        <f>SUM('📥 Entradas'!G4:G500)</f>
        <v>26275</v>
      </c>
      <c r="L38" s="25"/>
      <c r="M38" s="25"/>
      <c r="N38" s="25"/>
      <c r="O38" s="25"/>
      <c r="P38" s="25"/>
      <c r="Q38" s="25"/>
      <c r="R38" s="25"/>
      <c r="S38" s="25"/>
      <c r="T38" s="26"/>
    </row>
    <row r="39" ht="21.75" customHeight="1">
      <c r="A39" s="4"/>
      <c r="B39" s="39" t="s">
        <v>21</v>
      </c>
      <c r="C39" s="25"/>
      <c r="D39" s="25"/>
      <c r="E39" s="25"/>
      <c r="F39" s="25"/>
      <c r="G39" s="25"/>
      <c r="H39" s="25"/>
      <c r="I39" s="25"/>
      <c r="J39" s="26"/>
      <c r="K39" s="40">
        <f>SUM('📤 Salidas'!G4:G500)</f>
        <v>20530</v>
      </c>
      <c r="L39" s="25"/>
      <c r="M39" s="25"/>
      <c r="N39" s="25"/>
      <c r="O39" s="25"/>
      <c r="P39" s="25"/>
      <c r="Q39" s="25"/>
      <c r="R39" s="25"/>
      <c r="S39" s="25"/>
      <c r="T39" s="26"/>
    </row>
    <row r="40" ht="21.75" customHeight="1">
      <c r="A40" s="4"/>
      <c r="B40" s="41" t="s">
        <v>22</v>
      </c>
      <c r="C40" s="25"/>
      <c r="D40" s="25"/>
      <c r="E40" s="25"/>
      <c r="F40" s="25"/>
      <c r="G40" s="25"/>
      <c r="H40" s="25"/>
      <c r="I40" s="25"/>
      <c r="J40" s="26"/>
      <c r="K40" s="42">
        <f>K39-K38</f>
        <v>-5745</v>
      </c>
      <c r="L40" s="25"/>
      <c r="M40" s="25"/>
      <c r="N40" s="25"/>
      <c r="O40" s="25"/>
      <c r="P40" s="25"/>
      <c r="Q40" s="25"/>
      <c r="R40" s="25"/>
      <c r="S40" s="25"/>
      <c r="T40" s="26"/>
    </row>
    <row r="41" ht="21.75" customHeight="1">
      <c r="A41" s="4"/>
      <c r="B41" s="43" t="s">
        <v>23</v>
      </c>
      <c r="C41" s="25"/>
      <c r="D41" s="25"/>
      <c r="E41" s="25"/>
      <c r="F41" s="25"/>
      <c r="G41" s="25"/>
      <c r="H41" s="25"/>
      <c r="I41" s="25"/>
      <c r="J41" s="26"/>
      <c r="K41" s="44">
        <f>IFERROR(K40/K39,0)</f>
        <v>-0.2798343887</v>
      </c>
      <c r="L41" s="25"/>
      <c r="M41" s="25"/>
      <c r="N41" s="25"/>
      <c r="O41" s="25"/>
      <c r="P41" s="25"/>
      <c r="Q41" s="25"/>
      <c r="R41" s="25"/>
      <c r="S41" s="25"/>
      <c r="T41" s="26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mergeCells count="155">
    <mergeCell ref="H18:I18"/>
    <mergeCell ref="J18:K18"/>
    <mergeCell ref="L18:M18"/>
    <mergeCell ref="F16:G16"/>
    <mergeCell ref="H16:I16"/>
    <mergeCell ref="C17:E17"/>
    <mergeCell ref="F17:G17"/>
    <mergeCell ref="H17:I17"/>
    <mergeCell ref="C18:E18"/>
    <mergeCell ref="F18:G18"/>
    <mergeCell ref="H20:I20"/>
    <mergeCell ref="J20:K20"/>
    <mergeCell ref="C19:E19"/>
    <mergeCell ref="F19:G19"/>
    <mergeCell ref="H19:I19"/>
    <mergeCell ref="J19:K19"/>
    <mergeCell ref="L19:M19"/>
    <mergeCell ref="F20:G20"/>
    <mergeCell ref="L20:M20"/>
    <mergeCell ref="J22:K22"/>
    <mergeCell ref="L22:M22"/>
    <mergeCell ref="J23:K23"/>
    <mergeCell ref="L23:M23"/>
    <mergeCell ref="J24:K24"/>
    <mergeCell ref="L24:M24"/>
    <mergeCell ref="C20:E20"/>
    <mergeCell ref="C21:E21"/>
    <mergeCell ref="F21:G21"/>
    <mergeCell ref="H21:I21"/>
    <mergeCell ref="J21:K21"/>
    <mergeCell ref="L21:M21"/>
    <mergeCell ref="C22:E22"/>
    <mergeCell ref="F22:G22"/>
    <mergeCell ref="H22:I22"/>
    <mergeCell ref="C23:E23"/>
    <mergeCell ref="F23:G23"/>
    <mergeCell ref="H23:I23"/>
    <mergeCell ref="F24:G24"/>
    <mergeCell ref="H24:I24"/>
    <mergeCell ref="N27:T27"/>
    <mergeCell ref="N28:T28"/>
    <mergeCell ref="N29:T29"/>
    <mergeCell ref="N30:T30"/>
    <mergeCell ref="N31:T31"/>
    <mergeCell ref="N32:T32"/>
    <mergeCell ref="N33:T33"/>
    <mergeCell ref="N20:T20"/>
    <mergeCell ref="N21:T21"/>
    <mergeCell ref="N22:T22"/>
    <mergeCell ref="N23:T23"/>
    <mergeCell ref="N24:T24"/>
    <mergeCell ref="N25:T25"/>
    <mergeCell ref="N26:T26"/>
    <mergeCell ref="Q3:T3"/>
    <mergeCell ref="Q4:T5"/>
    <mergeCell ref="A1:N1"/>
    <mergeCell ref="B3:E3"/>
    <mergeCell ref="G3:J3"/>
    <mergeCell ref="L3:O3"/>
    <mergeCell ref="B4:E5"/>
    <mergeCell ref="G4:J5"/>
    <mergeCell ref="L4:O5"/>
    <mergeCell ref="B7:E7"/>
    <mergeCell ref="G7:J7"/>
    <mergeCell ref="L7:O7"/>
    <mergeCell ref="Q7:T7"/>
    <mergeCell ref="B8:E9"/>
    <mergeCell ref="G8:J9"/>
    <mergeCell ref="L8:O9"/>
    <mergeCell ref="Q8:T9"/>
    <mergeCell ref="B12:T12"/>
    <mergeCell ref="F13:G13"/>
    <mergeCell ref="H13:I13"/>
    <mergeCell ref="J13:K13"/>
    <mergeCell ref="L13:M13"/>
    <mergeCell ref="N13:T13"/>
    <mergeCell ref="C13:E13"/>
    <mergeCell ref="C14:E14"/>
    <mergeCell ref="F14:G14"/>
    <mergeCell ref="H14:I14"/>
    <mergeCell ref="J14:K14"/>
    <mergeCell ref="L14:M14"/>
    <mergeCell ref="N14:T14"/>
    <mergeCell ref="C15:E15"/>
    <mergeCell ref="F15:G15"/>
    <mergeCell ref="H15:I15"/>
    <mergeCell ref="J15:K15"/>
    <mergeCell ref="L15:M15"/>
    <mergeCell ref="N15:T15"/>
    <mergeCell ref="C16:E16"/>
    <mergeCell ref="N16:T16"/>
    <mergeCell ref="J16:K16"/>
    <mergeCell ref="L16:M16"/>
    <mergeCell ref="J17:K17"/>
    <mergeCell ref="L17:M17"/>
    <mergeCell ref="N17:T17"/>
    <mergeCell ref="N18:T18"/>
    <mergeCell ref="N19:T19"/>
    <mergeCell ref="C32:E32"/>
    <mergeCell ref="C33:E33"/>
    <mergeCell ref="F33:G33"/>
    <mergeCell ref="H33:I33"/>
    <mergeCell ref="J33:K33"/>
    <mergeCell ref="L33:M33"/>
    <mergeCell ref="B36:T36"/>
    <mergeCell ref="B37:J37"/>
    <mergeCell ref="K37:T37"/>
    <mergeCell ref="B38:J38"/>
    <mergeCell ref="K38:T38"/>
    <mergeCell ref="B39:J39"/>
    <mergeCell ref="K39:T39"/>
    <mergeCell ref="K40:T40"/>
    <mergeCell ref="K41:T41"/>
    <mergeCell ref="J26:K26"/>
    <mergeCell ref="L26:M26"/>
    <mergeCell ref="J27:K27"/>
    <mergeCell ref="L27:M27"/>
    <mergeCell ref="J28:K28"/>
    <mergeCell ref="L28:M28"/>
    <mergeCell ref="C24:E24"/>
    <mergeCell ref="C25:E25"/>
    <mergeCell ref="F25:G25"/>
    <mergeCell ref="H25:I25"/>
    <mergeCell ref="J25:K25"/>
    <mergeCell ref="L25:M25"/>
    <mergeCell ref="C26:E26"/>
    <mergeCell ref="F26:G26"/>
    <mergeCell ref="H26:I26"/>
    <mergeCell ref="C27:E27"/>
    <mergeCell ref="F27:G27"/>
    <mergeCell ref="H27:I27"/>
    <mergeCell ref="F28:G28"/>
    <mergeCell ref="H28:I28"/>
    <mergeCell ref="J30:K30"/>
    <mergeCell ref="L30:M30"/>
    <mergeCell ref="J31:K31"/>
    <mergeCell ref="L31:M31"/>
    <mergeCell ref="J32:K32"/>
    <mergeCell ref="L32:M32"/>
    <mergeCell ref="C28:E28"/>
    <mergeCell ref="C29:E29"/>
    <mergeCell ref="F29:G29"/>
    <mergeCell ref="H29:I29"/>
    <mergeCell ref="J29:K29"/>
    <mergeCell ref="L29:M29"/>
    <mergeCell ref="C30:E30"/>
    <mergeCell ref="F30:G30"/>
    <mergeCell ref="H30:I30"/>
    <mergeCell ref="C31:E31"/>
    <mergeCell ref="F31:G31"/>
    <mergeCell ref="H31:I31"/>
    <mergeCell ref="F32:G32"/>
    <mergeCell ref="H32:I32"/>
    <mergeCell ref="B40:J40"/>
    <mergeCell ref="B41:J4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2" width="35.0"/>
    <col customWidth="1" min="3" max="3" width="20.0"/>
    <col customWidth="1" min="4" max="4" width="8.0"/>
    <col customWidth="1" min="5" max="5" width="13.0"/>
    <col customWidth="1" min="6" max="7" width="15.0"/>
    <col customWidth="1" min="8" max="8" width="14.0"/>
    <col customWidth="1" min="9" max="11" width="12.0"/>
    <col customWidth="1" min="12" max="12" width="14.0"/>
    <col customWidth="1" min="13" max="26" width="8.71"/>
  </cols>
  <sheetData>
    <row r="1" ht="31.5" customHeight="1">
      <c r="A1" s="45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46" t="s">
        <v>25</v>
      </c>
    </row>
    <row r="3" ht="30.0" customHeight="1">
      <c r="A3" s="47" t="s">
        <v>10</v>
      </c>
      <c r="B3" s="47" t="s">
        <v>11</v>
      </c>
      <c r="C3" s="47" t="s">
        <v>26</v>
      </c>
      <c r="D3" s="47" t="s">
        <v>27</v>
      </c>
      <c r="E3" s="47" t="s">
        <v>28</v>
      </c>
      <c r="F3" s="47" t="s">
        <v>29</v>
      </c>
      <c r="G3" s="47" t="s">
        <v>30</v>
      </c>
      <c r="H3" s="48" t="s">
        <v>31</v>
      </c>
      <c r="I3" s="47" t="s">
        <v>13</v>
      </c>
      <c r="J3" s="47" t="s">
        <v>32</v>
      </c>
      <c r="K3" s="47" t="s">
        <v>33</v>
      </c>
      <c r="L3" s="48" t="s">
        <v>34</v>
      </c>
    </row>
    <row r="4" ht="15.0" customHeight="1">
      <c r="A4" s="27" t="str">
        <f>'📦 Maestro Productos'!A4</f>
        <v>SOL-001</v>
      </c>
      <c r="B4" s="49" t="str">
        <f>'📦 Maestro Productos'!B4</f>
        <v>Panel Solar Monocristalino 400W</v>
      </c>
      <c r="C4" s="27" t="str">
        <f>'📦 Maestro Productos'!C4</f>
        <v>Placas Solares</v>
      </c>
      <c r="D4" s="27" t="str">
        <f>'📦 Maestro Productos'!E4</f>
        <v>Ud.</v>
      </c>
      <c r="E4" s="50">
        <v>50.0</v>
      </c>
      <c r="F4" s="50">
        <f>SUMIF('📥 Entradas'!$B:$B,A4,'📥 Entradas'!$E:$E)</f>
        <v>30</v>
      </c>
      <c r="G4" s="50">
        <f>SUMIF('📤 Salidas'!$B:$B,A4,'📤 Salidas'!$E:$E)</f>
        <v>10</v>
      </c>
      <c r="H4" s="51">
        <f t="shared" ref="H4:H23" si="1">E4+F4-G4</f>
        <v>70</v>
      </c>
      <c r="I4" s="50">
        <f>'📦 Maestro Productos'!H4</f>
        <v>10</v>
      </c>
      <c r="J4" s="50">
        <f>'📦 Maestro Productos'!I4</f>
        <v>100</v>
      </c>
      <c r="K4" s="27" t="str">
        <f t="shared" ref="K4:K23" si="2">IF(J4=0,"N/A",TEXT(H4/J4,"0%"))</f>
        <v>70%</v>
      </c>
      <c r="L4" s="27" t="str">
        <f t="shared" ref="L4:L23" si="3">IF(H4&lt;=0,"🔴 SIN STOCK",IF(H4&lt;=I4,"🟠 STOCK BAJO","🟢 OK"))</f>
        <v>🟢 OK</v>
      </c>
    </row>
    <row r="5" ht="15.0" customHeight="1">
      <c r="A5" s="31" t="str">
        <f>'📦 Maestro Productos'!A5</f>
        <v>SOL-002</v>
      </c>
      <c r="B5" s="52" t="str">
        <f>'📦 Maestro Productos'!B5</f>
        <v>Panel Solar Monocristalino 450W</v>
      </c>
      <c r="C5" s="31" t="str">
        <f>'📦 Maestro Productos'!C5</f>
        <v>Placas Solares</v>
      </c>
      <c r="D5" s="31" t="str">
        <f>'📦 Maestro Productos'!E5</f>
        <v>Ud.</v>
      </c>
      <c r="E5" s="53">
        <v>40.0</v>
      </c>
      <c r="F5" s="53">
        <f>SUMIF('📥 Entradas'!$B:$B,A5,'📥 Entradas'!$E:$E)</f>
        <v>20</v>
      </c>
      <c r="G5" s="53">
        <f>SUMIF('📤 Salidas'!$B:$B,A5,'📤 Salidas'!$E:$E)</f>
        <v>15</v>
      </c>
      <c r="H5" s="54">
        <f t="shared" si="1"/>
        <v>45</v>
      </c>
      <c r="I5" s="53">
        <f>'📦 Maestro Productos'!H5</f>
        <v>10</v>
      </c>
      <c r="J5" s="53">
        <f>'📦 Maestro Productos'!I5</f>
        <v>80</v>
      </c>
      <c r="K5" s="31" t="str">
        <f t="shared" si="2"/>
        <v>56%</v>
      </c>
      <c r="L5" s="31" t="str">
        <f t="shared" si="3"/>
        <v>🟢 OK</v>
      </c>
    </row>
    <row r="6" ht="15.0" customHeight="1">
      <c r="A6" s="27" t="str">
        <f>'📦 Maestro Productos'!A6</f>
        <v>SOL-003</v>
      </c>
      <c r="B6" s="49" t="str">
        <f>'📦 Maestro Productos'!B6</f>
        <v>Panel Solar Bifacial 500W</v>
      </c>
      <c r="C6" s="27" t="str">
        <f>'📦 Maestro Productos'!C6</f>
        <v>Placas Solares</v>
      </c>
      <c r="D6" s="27" t="str">
        <f>'📦 Maestro Productos'!E6</f>
        <v>Ud.</v>
      </c>
      <c r="E6" s="50">
        <v>20.0</v>
      </c>
      <c r="F6" s="50">
        <f>SUMIF('📥 Entradas'!$B:$B,A6,'📥 Entradas'!$E:$E)</f>
        <v>0</v>
      </c>
      <c r="G6" s="50">
        <f>SUMIF('📤 Salidas'!$B:$B,A6,'📤 Salidas'!$E:$E)</f>
        <v>0</v>
      </c>
      <c r="H6" s="51">
        <f t="shared" si="1"/>
        <v>20</v>
      </c>
      <c r="I6" s="50">
        <f>'📦 Maestro Productos'!H6</f>
        <v>5</v>
      </c>
      <c r="J6" s="50">
        <f>'📦 Maestro Productos'!I6</f>
        <v>50</v>
      </c>
      <c r="K6" s="27" t="str">
        <f t="shared" si="2"/>
        <v>40%</v>
      </c>
      <c r="L6" s="27" t="str">
        <f t="shared" si="3"/>
        <v>🟢 OK</v>
      </c>
    </row>
    <row r="7" ht="15.0" customHeight="1">
      <c r="A7" s="31" t="str">
        <f>'📦 Maestro Productos'!A7</f>
        <v>INV-001</v>
      </c>
      <c r="B7" s="52" t="str">
        <f>'📦 Maestro Productos'!B7</f>
        <v>Inversor Monofásico 3kW</v>
      </c>
      <c r="C7" s="31" t="str">
        <f>'📦 Maestro Productos'!C7</f>
        <v>Inversores</v>
      </c>
      <c r="D7" s="31" t="str">
        <f>'📦 Maestro Productos'!E7</f>
        <v>Ud.</v>
      </c>
      <c r="E7" s="53">
        <v>8.0</v>
      </c>
      <c r="F7" s="53">
        <f>SUMIF('📥 Entradas'!$B:$B,A7,'📥 Entradas'!$E:$E)</f>
        <v>5</v>
      </c>
      <c r="G7" s="53">
        <f>SUMIF('📤 Salidas'!$B:$B,A7,'📤 Salidas'!$E:$E)</f>
        <v>2</v>
      </c>
      <c r="H7" s="54">
        <f t="shared" si="1"/>
        <v>11</v>
      </c>
      <c r="I7" s="53">
        <f>'📦 Maestro Productos'!H7</f>
        <v>3</v>
      </c>
      <c r="J7" s="53">
        <f>'📦 Maestro Productos'!I7</f>
        <v>20</v>
      </c>
      <c r="K7" s="31" t="str">
        <f t="shared" si="2"/>
        <v>55%</v>
      </c>
      <c r="L7" s="31" t="str">
        <f t="shared" si="3"/>
        <v>🟢 OK</v>
      </c>
    </row>
    <row r="8" ht="15.0" customHeight="1">
      <c r="A8" s="27" t="str">
        <f>'📦 Maestro Productos'!A8</f>
        <v>INV-002</v>
      </c>
      <c r="B8" s="49" t="str">
        <f>'📦 Maestro Productos'!B8</f>
        <v>Inversor Monofásico 5kW</v>
      </c>
      <c r="C8" s="27" t="str">
        <f>'📦 Maestro Productos'!C8</f>
        <v>Inversores</v>
      </c>
      <c r="D8" s="27" t="str">
        <f>'📦 Maestro Productos'!E8</f>
        <v>Ud.</v>
      </c>
      <c r="E8" s="50">
        <v>10.0</v>
      </c>
      <c r="F8" s="50">
        <f>SUMIF('📥 Entradas'!$B:$B,A8,'📥 Entradas'!$E:$E)</f>
        <v>0</v>
      </c>
      <c r="G8" s="50">
        <f>SUMIF('📤 Salidas'!$B:$B,A8,'📤 Salidas'!$E:$E)</f>
        <v>1</v>
      </c>
      <c r="H8" s="51">
        <f t="shared" si="1"/>
        <v>9</v>
      </c>
      <c r="I8" s="50">
        <f>'📦 Maestro Productos'!H8</f>
        <v>3</v>
      </c>
      <c r="J8" s="50">
        <f>'📦 Maestro Productos'!I8</f>
        <v>20</v>
      </c>
      <c r="K8" s="27" t="str">
        <f t="shared" si="2"/>
        <v>45%</v>
      </c>
      <c r="L8" s="27" t="str">
        <f t="shared" si="3"/>
        <v>🟢 OK</v>
      </c>
    </row>
    <row r="9" ht="15.0" customHeight="1">
      <c r="A9" s="31" t="str">
        <f>'📦 Maestro Productos'!A9</f>
        <v>INV-003</v>
      </c>
      <c r="B9" s="52" t="str">
        <f>'📦 Maestro Productos'!B9</f>
        <v>Inversor Trifásico 10kW</v>
      </c>
      <c r="C9" s="31" t="str">
        <f>'📦 Maestro Productos'!C9</f>
        <v>Inversores</v>
      </c>
      <c r="D9" s="31" t="str">
        <f>'📦 Maestro Productos'!E9</f>
        <v>Ud.</v>
      </c>
      <c r="E9" s="53">
        <v>4.0</v>
      </c>
      <c r="F9" s="53">
        <f>SUMIF('📥 Entradas'!$B:$B,A9,'📥 Entradas'!$E:$E)</f>
        <v>0</v>
      </c>
      <c r="G9" s="53">
        <f>SUMIF('📤 Salidas'!$B:$B,A9,'📤 Salidas'!$E:$E)</f>
        <v>0</v>
      </c>
      <c r="H9" s="54">
        <f t="shared" si="1"/>
        <v>4</v>
      </c>
      <c r="I9" s="53">
        <f>'📦 Maestro Productos'!H9</f>
        <v>2</v>
      </c>
      <c r="J9" s="53">
        <f>'📦 Maestro Productos'!I9</f>
        <v>10</v>
      </c>
      <c r="K9" s="31" t="str">
        <f t="shared" si="2"/>
        <v>40%</v>
      </c>
      <c r="L9" s="31" t="str">
        <f t="shared" si="3"/>
        <v>🟢 OK</v>
      </c>
    </row>
    <row r="10" ht="15.0" customHeight="1">
      <c r="A10" s="27" t="str">
        <f>'📦 Maestro Productos'!A10</f>
        <v>BAT-001</v>
      </c>
      <c r="B10" s="49" t="str">
        <f>'📦 Maestro Productos'!B10</f>
        <v>Batería LiFePO4 5kWh</v>
      </c>
      <c r="C10" s="27" t="str">
        <f>'📦 Maestro Productos'!C10</f>
        <v>Baterías</v>
      </c>
      <c r="D10" s="27" t="str">
        <f>'📦 Maestro Productos'!E10</f>
        <v>Ud.</v>
      </c>
      <c r="E10" s="50">
        <v>5.0</v>
      </c>
      <c r="F10" s="50">
        <f>SUMIF('📥 Entradas'!$B:$B,A10,'📥 Entradas'!$E:$E)</f>
        <v>2</v>
      </c>
      <c r="G10" s="50">
        <f>SUMIF('📤 Salidas'!$B:$B,A10,'📤 Salidas'!$E:$E)</f>
        <v>0</v>
      </c>
      <c r="H10" s="51">
        <f t="shared" si="1"/>
        <v>7</v>
      </c>
      <c r="I10" s="50">
        <f>'📦 Maestro Productos'!H10</f>
        <v>2</v>
      </c>
      <c r="J10" s="50">
        <f>'📦 Maestro Productos'!I10</f>
        <v>10</v>
      </c>
      <c r="K10" s="27" t="str">
        <f t="shared" si="2"/>
        <v>70%</v>
      </c>
      <c r="L10" s="27" t="str">
        <f t="shared" si="3"/>
        <v>🟢 OK</v>
      </c>
    </row>
    <row r="11" ht="15.0" customHeight="1">
      <c r="A11" s="31" t="str">
        <f>'📦 Maestro Productos'!A11</f>
        <v>BAT-002</v>
      </c>
      <c r="B11" s="52" t="str">
        <f>'📦 Maestro Productos'!B11</f>
        <v>Batería LiFePO4 10kWh</v>
      </c>
      <c r="C11" s="31" t="str">
        <f>'📦 Maestro Productos'!C11</f>
        <v>Baterías</v>
      </c>
      <c r="D11" s="31" t="str">
        <f>'📦 Maestro Productos'!E11</f>
        <v>Ud.</v>
      </c>
      <c r="E11" s="53">
        <v>2.0</v>
      </c>
      <c r="F11" s="53">
        <f>SUMIF('📥 Entradas'!$B:$B,A11,'📥 Entradas'!$E:$E)</f>
        <v>0</v>
      </c>
      <c r="G11" s="53">
        <f>SUMIF('📤 Salidas'!$B:$B,A11,'📤 Salidas'!$E:$E)</f>
        <v>0</v>
      </c>
      <c r="H11" s="54">
        <f t="shared" si="1"/>
        <v>2</v>
      </c>
      <c r="I11" s="53">
        <f>'📦 Maestro Productos'!H11</f>
        <v>1</v>
      </c>
      <c r="J11" s="53">
        <f>'📦 Maestro Productos'!I11</f>
        <v>5</v>
      </c>
      <c r="K11" s="31" t="str">
        <f t="shared" si="2"/>
        <v>40%</v>
      </c>
      <c r="L11" s="31" t="str">
        <f t="shared" si="3"/>
        <v>🟢 OK</v>
      </c>
    </row>
    <row r="12" ht="15.0" customHeight="1">
      <c r="A12" s="27" t="str">
        <f>'📦 Maestro Productos'!A12</f>
        <v>AER-001</v>
      </c>
      <c r="B12" s="49" t="str">
        <f>'📦 Maestro Productos'!B12</f>
        <v>Aerotermia 8kW Monobloc</v>
      </c>
      <c r="C12" s="27" t="str">
        <f>'📦 Maestro Productos'!C12</f>
        <v>Aerotermia</v>
      </c>
      <c r="D12" s="27" t="str">
        <f>'📦 Maestro Productos'!E12</f>
        <v>Ud.</v>
      </c>
      <c r="E12" s="50">
        <v>6.0</v>
      </c>
      <c r="F12" s="50">
        <f>SUMIF('📥 Entradas'!$B:$B,A12,'📥 Entradas'!$E:$E)</f>
        <v>4</v>
      </c>
      <c r="G12" s="50">
        <f>SUMIF('📤 Salidas'!$B:$B,A12,'📤 Salidas'!$E:$E)</f>
        <v>1</v>
      </c>
      <c r="H12" s="51">
        <f t="shared" si="1"/>
        <v>9</v>
      </c>
      <c r="I12" s="50">
        <f>'📦 Maestro Productos'!H12</f>
        <v>2</v>
      </c>
      <c r="J12" s="50">
        <f>'📦 Maestro Productos'!I12</f>
        <v>10</v>
      </c>
      <c r="K12" s="27" t="str">
        <f t="shared" si="2"/>
        <v>90%</v>
      </c>
      <c r="L12" s="27" t="str">
        <f t="shared" si="3"/>
        <v>🟢 OK</v>
      </c>
    </row>
    <row r="13" ht="15.0" customHeight="1">
      <c r="A13" s="31" t="str">
        <f>'📦 Maestro Productos'!A13</f>
        <v>AER-002</v>
      </c>
      <c r="B13" s="52" t="str">
        <f>'📦 Maestro Productos'!B13</f>
        <v>Aerotermia 12kW Split</v>
      </c>
      <c r="C13" s="31" t="str">
        <f>'📦 Maestro Productos'!C13</f>
        <v>Aerotermia</v>
      </c>
      <c r="D13" s="31" t="str">
        <f>'📦 Maestro Productos'!E13</f>
        <v>Ud.</v>
      </c>
      <c r="E13" s="53">
        <v>3.0</v>
      </c>
      <c r="F13" s="53">
        <f>SUMIF('📥 Entradas'!$B:$B,A13,'📥 Entradas'!$E:$E)</f>
        <v>0</v>
      </c>
      <c r="G13" s="53">
        <f>SUMIF('📤 Salidas'!$B:$B,A13,'📤 Salidas'!$E:$E)</f>
        <v>0</v>
      </c>
      <c r="H13" s="54">
        <f t="shared" si="1"/>
        <v>3</v>
      </c>
      <c r="I13" s="53">
        <f>'📦 Maestro Productos'!H13</f>
        <v>1</v>
      </c>
      <c r="J13" s="53">
        <f>'📦 Maestro Productos'!I13</f>
        <v>5</v>
      </c>
      <c r="K13" s="31" t="str">
        <f t="shared" si="2"/>
        <v>60%</v>
      </c>
      <c r="L13" s="31" t="str">
        <f t="shared" si="3"/>
        <v>🟢 OK</v>
      </c>
    </row>
    <row r="14" ht="15.0" customHeight="1">
      <c r="A14" s="27" t="str">
        <f>'📦 Maestro Productos'!A14</f>
        <v>CAL-001</v>
      </c>
      <c r="B14" s="49" t="str">
        <f>'📦 Maestro Productos'!B14</f>
        <v>Caldera Gas Condensación 24kW</v>
      </c>
      <c r="C14" s="27" t="str">
        <f>'📦 Maestro Productos'!C14</f>
        <v>Calefacción</v>
      </c>
      <c r="D14" s="27" t="str">
        <f>'📦 Maestro Productos'!E14</f>
        <v>Ud.</v>
      </c>
      <c r="E14" s="50">
        <v>8.0</v>
      </c>
      <c r="F14" s="50">
        <f>SUMIF('📥 Entradas'!$B:$B,A14,'📥 Entradas'!$E:$E)</f>
        <v>0</v>
      </c>
      <c r="G14" s="50">
        <f>SUMIF('📤 Salidas'!$B:$B,A14,'📤 Salidas'!$E:$E)</f>
        <v>2</v>
      </c>
      <c r="H14" s="51">
        <f t="shared" si="1"/>
        <v>6</v>
      </c>
      <c r="I14" s="50">
        <f>'📦 Maestro Productos'!H14</f>
        <v>3</v>
      </c>
      <c r="J14" s="50">
        <f>'📦 Maestro Productos'!I14</f>
        <v>15</v>
      </c>
      <c r="K14" s="27" t="str">
        <f t="shared" si="2"/>
        <v>40%</v>
      </c>
      <c r="L14" s="27" t="str">
        <f t="shared" si="3"/>
        <v>🟢 OK</v>
      </c>
    </row>
    <row r="15" ht="15.0" customHeight="1">
      <c r="A15" s="31" t="str">
        <f>'📦 Maestro Productos'!A15</f>
        <v>CAL-002</v>
      </c>
      <c r="B15" s="52" t="str">
        <f>'📦 Maestro Productos'!B15</f>
        <v>Radiador Aluminio 10 Elem.</v>
      </c>
      <c r="C15" s="31" t="str">
        <f>'📦 Maestro Productos'!C15</f>
        <v>Calefacción</v>
      </c>
      <c r="D15" s="31" t="str">
        <f>'📦 Maestro Productos'!E15</f>
        <v>Ud.</v>
      </c>
      <c r="E15" s="53">
        <v>45.0</v>
      </c>
      <c r="F15" s="53">
        <f>SUMIF('📥 Entradas'!$B:$B,A15,'📥 Entradas'!$E:$E)</f>
        <v>0</v>
      </c>
      <c r="G15" s="53">
        <f>SUMIF('📤 Salidas'!$B:$B,A15,'📤 Salidas'!$E:$E)</f>
        <v>0</v>
      </c>
      <c r="H15" s="54">
        <f t="shared" si="1"/>
        <v>45</v>
      </c>
      <c r="I15" s="53">
        <f>'📦 Maestro Productos'!H15</f>
        <v>20</v>
      </c>
      <c r="J15" s="53">
        <f>'📦 Maestro Productos'!I15</f>
        <v>100</v>
      </c>
      <c r="K15" s="31" t="str">
        <f t="shared" si="2"/>
        <v>45%</v>
      </c>
      <c r="L15" s="31" t="str">
        <f t="shared" si="3"/>
        <v>🟢 OK</v>
      </c>
    </row>
    <row r="16" ht="15.0" customHeight="1">
      <c r="A16" s="27" t="str">
        <f>'📦 Maestro Productos'!A16</f>
        <v>CAB-001</v>
      </c>
      <c r="B16" s="49" t="str">
        <f>'📦 Maestro Productos'!B16</f>
        <v>Cable Solar 4mm² (m)</v>
      </c>
      <c r="C16" s="27" t="str">
        <f>'📦 Maestro Productos'!C16</f>
        <v>Cableado</v>
      </c>
      <c r="D16" s="27" t="str">
        <f>'📦 Maestro Productos'!E16</f>
        <v>m</v>
      </c>
      <c r="E16" s="50">
        <v>1200.0</v>
      </c>
      <c r="F16" s="50">
        <f>SUMIF('📥 Entradas'!$B:$B,A16,'📥 Entradas'!$E:$E)</f>
        <v>500</v>
      </c>
      <c r="G16" s="50">
        <f>SUMIF('📤 Salidas'!$B:$B,A16,'📤 Salidas'!$E:$E)</f>
        <v>250</v>
      </c>
      <c r="H16" s="51">
        <f t="shared" si="1"/>
        <v>1450</v>
      </c>
      <c r="I16" s="50">
        <f>'📦 Maestro Productos'!H16</f>
        <v>500</v>
      </c>
      <c r="J16" s="50">
        <f>'📦 Maestro Productos'!I16</f>
        <v>5000</v>
      </c>
      <c r="K16" s="27" t="str">
        <f t="shared" si="2"/>
        <v>29%</v>
      </c>
      <c r="L16" s="27" t="str">
        <f t="shared" si="3"/>
        <v>🟢 OK</v>
      </c>
    </row>
    <row r="17" ht="15.0" customHeight="1">
      <c r="A17" s="31" t="str">
        <f>'📦 Maestro Productos'!A17</f>
        <v>CAB-002</v>
      </c>
      <c r="B17" s="52" t="str">
        <f>'📦 Maestro Productos'!B17</f>
        <v>Cable Solar 6mm² (m)</v>
      </c>
      <c r="C17" s="31" t="str">
        <f>'📦 Maestro Productos'!C17</f>
        <v>Cableado</v>
      </c>
      <c r="D17" s="31" t="str">
        <f>'📦 Maestro Productos'!E17</f>
        <v>m</v>
      </c>
      <c r="E17" s="53">
        <v>800.0</v>
      </c>
      <c r="F17" s="53">
        <f>SUMIF('📥 Entradas'!$B:$B,A17,'📥 Entradas'!$E:$E)</f>
        <v>0</v>
      </c>
      <c r="G17" s="53">
        <f>SUMIF('📤 Salidas'!$B:$B,A17,'📤 Salidas'!$E:$E)</f>
        <v>0</v>
      </c>
      <c r="H17" s="54">
        <f t="shared" si="1"/>
        <v>800</v>
      </c>
      <c r="I17" s="53">
        <f>'📦 Maestro Productos'!H17</f>
        <v>500</v>
      </c>
      <c r="J17" s="53">
        <f>'📦 Maestro Productos'!I17</f>
        <v>5000</v>
      </c>
      <c r="K17" s="31" t="str">
        <f t="shared" si="2"/>
        <v>16%</v>
      </c>
      <c r="L17" s="31" t="str">
        <f t="shared" si="3"/>
        <v>🟢 OK</v>
      </c>
    </row>
    <row r="18" ht="15.0" customHeight="1">
      <c r="A18" s="27" t="str">
        <f>'📦 Maestro Productos'!A18</f>
        <v>EST-001</v>
      </c>
      <c r="B18" s="49" t="str">
        <f>'📦 Maestro Productos'!B18</f>
        <v>Estructura Tejado Inclinado (kit)</v>
      </c>
      <c r="C18" s="27" t="str">
        <f>'📦 Maestro Productos'!C18</f>
        <v>Estructuras</v>
      </c>
      <c r="D18" s="27" t="str">
        <f>'📦 Maestro Productos'!E18</f>
        <v>Kit</v>
      </c>
      <c r="E18" s="50">
        <v>30.0</v>
      </c>
      <c r="F18" s="50">
        <f>SUMIF('📥 Entradas'!$B:$B,A18,'📥 Entradas'!$E:$E)</f>
        <v>0</v>
      </c>
      <c r="G18" s="50">
        <f>SUMIF('📤 Salidas'!$B:$B,A18,'📤 Salidas'!$E:$E)</f>
        <v>10</v>
      </c>
      <c r="H18" s="51">
        <f t="shared" si="1"/>
        <v>20</v>
      </c>
      <c r="I18" s="50">
        <f>'📦 Maestro Productos'!H18</f>
        <v>10</v>
      </c>
      <c r="J18" s="50">
        <f>'📦 Maestro Productos'!I18</f>
        <v>50</v>
      </c>
      <c r="K18" s="27" t="str">
        <f t="shared" si="2"/>
        <v>40%</v>
      </c>
      <c r="L18" s="27" t="str">
        <f t="shared" si="3"/>
        <v>🟢 OK</v>
      </c>
    </row>
    <row r="19" ht="15.0" customHeight="1">
      <c r="A19" s="31" t="str">
        <f>'📦 Maestro Productos'!A19</f>
        <v>EST-002</v>
      </c>
      <c r="B19" s="52" t="str">
        <f>'📦 Maestro Productos'!B19</f>
        <v>Estructura Cubierta Plana (kit)</v>
      </c>
      <c r="C19" s="31" t="str">
        <f>'📦 Maestro Productos'!C19</f>
        <v>Estructuras</v>
      </c>
      <c r="D19" s="31" t="str">
        <f>'📦 Maestro Productos'!E19</f>
        <v>Kit</v>
      </c>
      <c r="E19" s="53">
        <v>18.0</v>
      </c>
      <c r="F19" s="53">
        <f>SUMIF('📥 Entradas'!$B:$B,A19,'📥 Entradas'!$E:$E)</f>
        <v>0</v>
      </c>
      <c r="G19" s="53">
        <f>SUMIF('📤 Salidas'!$B:$B,A19,'📤 Salidas'!$E:$E)</f>
        <v>0</v>
      </c>
      <c r="H19" s="54">
        <f t="shared" si="1"/>
        <v>18</v>
      </c>
      <c r="I19" s="53">
        <f>'📦 Maestro Productos'!H19</f>
        <v>5</v>
      </c>
      <c r="J19" s="53">
        <f>'📦 Maestro Productos'!I19</f>
        <v>30</v>
      </c>
      <c r="K19" s="31" t="str">
        <f t="shared" si="2"/>
        <v>60%</v>
      </c>
      <c r="L19" s="31" t="str">
        <f t="shared" si="3"/>
        <v>🟢 OK</v>
      </c>
    </row>
    <row r="20" ht="15.0" customHeight="1">
      <c r="A20" s="27" t="str">
        <f>'📦 Maestro Productos'!A20</f>
        <v>PRO-001</v>
      </c>
      <c r="B20" s="49" t="str">
        <f>'📦 Maestro Productos'!B20</f>
        <v>Protección DC 1000V 2P</v>
      </c>
      <c r="C20" s="27" t="str">
        <f>'📦 Maestro Productos'!C20</f>
        <v>Protecciones</v>
      </c>
      <c r="D20" s="27" t="str">
        <f>'📦 Maestro Productos'!E20</f>
        <v>Ud.</v>
      </c>
      <c r="E20" s="50">
        <v>60.0</v>
      </c>
      <c r="F20" s="50">
        <f>SUMIF('📥 Entradas'!$B:$B,A20,'📥 Entradas'!$E:$E)</f>
        <v>0</v>
      </c>
      <c r="G20" s="50">
        <f>SUMIF('📤 Salidas'!$B:$B,A20,'📤 Salidas'!$E:$E)</f>
        <v>0</v>
      </c>
      <c r="H20" s="51">
        <f t="shared" si="1"/>
        <v>60</v>
      </c>
      <c r="I20" s="50">
        <f>'📦 Maestro Productos'!H20</f>
        <v>20</v>
      </c>
      <c r="J20" s="50">
        <f>'📦 Maestro Productos'!I20</f>
        <v>100</v>
      </c>
      <c r="K20" s="27" t="str">
        <f t="shared" si="2"/>
        <v>60%</v>
      </c>
      <c r="L20" s="27" t="str">
        <f t="shared" si="3"/>
        <v>🟢 OK</v>
      </c>
    </row>
    <row r="21" ht="15.0" customHeight="1">
      <c r="A21" s="31" t="str">
        <f>'📦 Maestro Productos'!A21</f>
        <v>PRO-002</v>
      </c>
      <c r="B21" s="52" t="str">
        <f>'📦 Maestro Productos'!B21</f>
        <v>Contador Bidireccional Smart</v>
      </c>
      <c r="C21" s="31" t="str">
        <f>'📦 Maestro Productos'!C21</f>
        <v>Protecciones</v>
      </c>
      <c r="D21" s="31" t="str">
        <f>'📦 Maestro Productos'!E21</f>
        <v>Ud.</v>
      </c>
      <c r="E21" s="53">
        <v>12.0</v>
      </c>
      <c r="F21" s="53">
        <f>SUMIF('📥 Entradas'!$B:$B,A21,'📥 Entradas'!$E:$E)</f>
        <v>0</v>
      </c>
      <c r="G21" s="53">
        <f>SUMIF('📤 Salidas'!$B:$B,A21,'📤 Salidas'!$E:$E)</f>
        <v>0</v>
      </c>
      <c r="H21" s="54">
        <f t="shared" si="1"/>
        <v>12</v>
      </c>
      <c r="I21" s="53">
        <f>'📦 Maestro Productos'!H21</f>
        <v>5</v>
      </c>
      <c r="J21" s="53">
        <f>'📦 Maestro Productos'!I21</f>
        <v>30</v>
      </c>
      <c r="K21" s="31" t="str">
        <f t="shared" si="2"/>
        <v>40%</v>
      </c>
      <c r="L21" s="31" t="str">
        <f t="shared" si="3"/>
        <v>🟢 OK</v>
      </c>
    </row>
    <row r="22" ht="15.0" customHeight="1">
      <c r="A22" s="27" t="str">
        <f>'📦 Maestro Productos'!A22</f>
        <v>TUB-001</v>
      </c>
      <c r="B22" s="49" t="str">
        <f>'📦 Maestro Productos'!B22</f>
        <v>Tubo Corrugado PG29 (m)</v>
      </c>
      <c r="C22" s="27" t="str">
        <f>'📦 Maestro Productos'!C22</f>
        <v>Fontanería/Tuber.</v>
      </c>
      <c r="D22" s="27" t="str">
        <f>'📦 Maestro Productos'!E22</f>
        <v>m</v>
      </c>
      <c r="E22" s="50">
        <v>600.0</v>
      </c>
      <c r="F22" s="50">
        <f>SUMIF('📥 Entradas'!$B:$B,A22,'📥 Entradas'!$E:$E)</f>
        <v>0</v>
      </c>
      <c r="G22" s="50">
        <f>SUMIF('📤 Salidas'!$B:$B,A22,'📤 Salidas'!$E:$E)</f>
        <v>0</v>
      </c>
      <c r="H22" s="51">
        <f t="shared" si="1"/>
        <v>600</v>
      </c>
      <c r="I22" s="50">
        <f>'📦 Maestro Productos'!H22</f>
        <v>200</v>
      </c>
      <c r="J22" s="50">
        <f>'📦 Maestro Productos'!I22</f>
        <v>2000</v>
      </c>
      <c r="K22" s="27" t="str">
        <f t="shared" si="2"/>
        <v>30%</v>
      </c>
      <c r="L22" s="27" t="str">
        <f t="shared" si="3"/>
        <v>🟢 OK</v>
      </c>
    </row>
    <row r="23" ht="15.0" customHeight="1">
      <c r="A23" s="31" t="str">
        <f>'📦 Maestro Productos'!A23</f>
        <v>TUB-002</v>
      </c>
      <c r="B23" s="52" t="str">
        <f>'📦 Maestro Productos'!B23</f>
        <v>Tubería Cobre 22mm (m)</v>
      </c>
      <c r="C23" s="31" t="str">
        <f>'📦 Maestro Productos'!C23</f>
        <v>Fontanería/Tuber.</v>
      </c>
      <c r="D23" s="31" t="str">
        <f>'📦 Maestro Productos'!E23</f>
        <v>m</v>
      </c>
      <c r="E23" s="53">
        <v>250.0</v>
      </c>
      <c r="F23" s="53">
        <f>SUMIF('📥 Entradas'!$B:$B,A23,'📥 Entradas'!$E:$E)</f>
        <v>0</v>
      </c>
      <c r="G23" s="53">
        <f>SUMIF('📤 Salidas'!$B:$B,A23,'📤 Salidas'!$E:$E)</f>
        <v>0</v>
      </c>
      <c r="H23" s="54">
        <f t="shared" si="1"/>
        <v>250</v>
      </c>
      <c r="I23" s="53">
        <f>'📦 Maestro Productos'!H23</f>
        <v>100</v>
      </c>
      <c r="J23" s="53">
        <f>'📦 Maestro Productos'!I23</f>
        <v>500</v>
      </c>
      <c r="K23" s="31" t="str">
        <f t="shared" si="2"/>
        <v>50%</v>
      </c>
      <c r="L23" s="31" t="str">
        <f t="shared" si="3"/>
        <v>🟢 OK</v>
      </c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35.0"/>
    <col customWidth="1" min="4" max="4" width="22.0"/>
    <col customWidth="1" min="5" max="5" width="10.0"/>
    <col customWidth="1" min="6" max="7" width="17.0"/>
    <col customWidth="1" min="8" max="8" width="12.0"/>
    <col customWidth="1" min="9" max="9" width="25.0"/>
    <col customWidth="1" min="10" max="10" width="22.0"/>
    <col customWidth="1" min="11" max="11" width="14.0"/>
    <col customWidth="1" min="12" max="12" width="30.0"/>
    <col customWidth="1" min="13" max="26" width="8.71"/>
  </cols>
  <sheetData>
    <row r="1" ht="31.5" customHeight="1">
      <c r="A1" s="55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46" t="s">
        <v>36</v>
      </c>
    </row>
    <row r="3" ht="30.0" customHeight="1">
      <c r="A3" s="56" t="s">
        <v>37</v>
      </c>
      <c r="B3" s="56" t="s">
        <v>38</v>
      </c>
      <c r="C3" s="56" t="s">
        <v>11</v>
      </c>
      <c r="D3" s="56" t="s">
        <v>39</v>
      </c>
      <c r="E3" s="56" t="s">
        <v>40</v>
      </c>
      <c r="F3" s="56" t="s">
        <v>41</v>
      </c>
      <c r="G3" s="56" t="s">
        <v>42</v>
      </c>
      <c r="H3" s="56" t="s">
        <v>43</v>
      </c>
      <c r="I3" s="56" t="s">
        <v>44</v>
      </c>
      <c r="J3" s="56" t="s">
        <v>45</v>
      </c>
      <c r="K3" s="56" t="s">
        <v>46</v>
      </c>
      <c r="L3" s="56" t="s">
        <v>47</v>
      </c>
    </row>
    <row r="4" ht="15.0" customHeight="1">
      <c r="A4" s="27" t="s">
        <v>48</v>
      </c>
      <c r="B4" s="27" t="s">
        <v>49</v>
      </c>
      <c r="C4" s="49" t="str">
        <f>IFERROR(VLOOKUP(B4,'📦 Maestro Productos'!$A:$B,2,0),"")</f>
        <v>Panel Solar Monocristalino 400W</v>
      </c>
      <c r="D4" s="27" t="s">
        <v>50</v>
      </c>
      <c r="E4" s="27">
        <v>30.0</v>
      </c>
      <c r="F4" s="57">
        <v>180.0</v>
      </c>
      <c r="G4" s="57">
        <f t="shared" ref="G4:G9" si="1">E4*F4</f>
        <v>5400</v>
      </c>
      <c r="H4" s="58">
        <v>45667.0</v>
      </c>
      <c r="I4" s="49" t="s">
        <v>51</v>
      </c>
      <c r="J4" s="27" t="s">
        <v>52</v>
      </c>
      <c r="K4" s="27" t="s">
        <v>53</v>
      </c>
      <c r="L4" s="49" t="s">
        <v>54</v>
      </c>
    </row>
    <row r="5" ht="15.0" customHeight="1">
      <c r="A5" s="59" t="s">
        <v>55</v>
      </c>
      <c r="B5" s="59" t="s">
        <v>56</v>
      </c>
      <c r="C5" s="60" t="str">
        <f>IFERROR(VLOOKUP(B5,'📦 Maestro Productos'!$A:$B,2,0),"")</f>
        <v>Inversor Monofásico 3kW</v>
      </c>
      <c r="D5" s="59" t="s">
        <v>50</v>
      </c>
      <c r="E5" s="59">
        <v>5.0</v>
      </c>
      <c r="F5" s="61">
        <v>850.0</v>
      </c>
      <c r="G5" s="61">
        <f t="shared" si="1"/>
        <v>4250</v>
      </c>
      <c r="H5" s="62">
        <v>45667.0</v>
      </c>
      <c r="I5" s="60" t="s">
        <v>57</v>
      </c>
      <c r="J5" s="59" t="s">
        <v>58</v>
      </c>
      <c r="K5" s="59" t="s">
        <v>53</v>
      </c>
      <c r="L5" s="60"/>
    </row>
    <row r="6" ht="15.0" customHeight="1">
      <c r="A6" s="27" t="s">
        <v>59</v>
      </c>
      <c r="B6" s="27" t="s">
        <v>60</v>
      </c>
      <c r="C6" s="49" t="str">
        <f>IFERROR(VLOOKUP(B6,'📦 Maestro Productos'!$A:$B,2,0),"")</f>
        <v>Panel Solar Monocristalino 450W</v>
      </c>
      <c r="D6" s="27" t="s">
        <v>50</v>
      </c>
      <c r="E6" s="27">
        <v>20.0</v>
      </c>
      <c r="F6" s="57">
        <v>210.0</v>
      </c>
      <c r="G6" s="57">
        <f t="shared" si="1"/>
        <v>4200</v>
      </c>
      <c r="H6" s="58">
        <v>45672.0</v>
      </c>
      <c r="I6" s="49" t="s">
        <v>61</v>
      </c>
      <c r="J6" s="27" t="s">
        <v>62</v>
      </c>
      <c r="K6" s="27" t="s">
        <v>53</v>
      </c>
      <c r="L6" s="49"/>
    </row>
    <row r="7" ht="15.0" customHeight="1">
      <c r="A7" s="59" t="s">
        <v>63</v>
      </c>
      <c r="B7" s="59" t="s">
        <v>64</v>
      </c>
      <c r="C7" s="60" t="str">
        <f>IFERROR(VLOOKUP(B7,'📦 Maestro Productos'!$A:$B,2,0),"")</f>
        <v>Aerotermia 8kW Monobloc</v>
      </c>
      <c r="D7" s="59" t="s">
        <v>50</v>
      </c>
      <c r="E7" s="59">
        <v>4.0</v>
      </c>
      <c r="F7" s="61">
        <v>1900.0</v>
      </c>
      <c r="G7" s="61">
        <f t="shared" si="1"/>
        <v>7600</v>
      </c>
      <c r="H7" s="62">
        <v>45677.0</v>
      </c>
      <c r="I7" s="60" t="s">
        <v>65</v>
      </c>
      <c r="J7" s="59" t="s">
        <v>66</v>
      </c>
      <c r="K7" s="59" t="s">
        <v>67</v>
      </c>
      <c r="L7" s="60" t="s">
        <v>68</v>
      </c>
    </row>
    <row r="8" ht="15.0" customHeight="1">
      <c r="A8" s="27" t="s">
        <v>69</v>
      </c>
      <c r="B8" s="27" t="s">
        <v>70</v>
      </c>
      <c r="C8" s="49" t="str">
        <f>IFERROR(VLOOKUP(B8,'📦 Maestro Productos'!$A:$B,2,0),"")</f>
        <v>Cable Solar 4mm² (m)</v>
      </c>
      <c r="D8" s="27" t="s">
        <v>50</v>
      </c>
      <c r="E8" s="27">
        <v>500.0</v>
      </c>
      <c r="F8" s="57">
        <v>0.85</v>
      </c>
      <c r="G8" s="57">
        <f t="shared" si="1"/>
        <v>425</v>
      </c>
      <c r="H8" s="58">
        <v>45679.0</v>
      </c>
      <c r="I8" s="49" t="s">
        <v>71</v>
      </c>
      <c r="J8" s="27" t="s">
        <v>72</v>
      </c>
      <c r="K8" s="27" t="s">
        <v>53</v>
      </c>
      <c r="L8" s="49"/>
    </row>
    <row r="9" ht="15.0" customHeight="1">
      <c r="A9" s="59" t="s">
        <v>73</v>
      </c>
      <c r="B9" s="59" t="s">
        <v>74</v>
      </c>
      <c r="C9" s="60" t="str">
        <f>IFERROR(VLOOKUP(B9,'📦 Maestro Productos'!$A:$B,2,0),"")</f>
        <v>Batería LiFePO4 5kWh</v>
      </c>
      <c r="D9" s="59" t="s">
        <v>75</v>
      </c>
      <c r="E9" s="59">
        <v>2.0</v>
      </c>
      <c r="F9" s="61">
        <v>2200.0</v>
      </c>
      <c r="G9" s="61">
        <f t="shared" si="1"/>
        <v>4400</v>
      </c>
      <c r="H9" s="62">
        <v>45691.0</v>
      </c>
      <c r="I9" s="60" t="s">
        <v>76</v>
      </c>
      <c r="J9" s="59" t="s">
        <v>77</v>
      </c>
      <c r="K9" s="59" t="s">
        <v>67</v>
      </c>
      <c r="L9" s="60" t="s">
        <v>78</v>
      </c>
    </row>
    <row r="10" ht="15.0" customHeight="1">
      <c r="A10" s="4"/>
      <c r="B10" s="4"/>
      <c r="C10" s="63" t="str">
        <f>IFERROR(VLOOKUP(B10,'📦 Maestro Productos'!$A:$B,2,0),"")</f>
        <v/>
      </c>
      <c r="D10" s="4"/>
      <c r="E10" s="4"/>
      <c r="F10" s="4"/>
      <c r="G10" s="64" t="str">
        <f t="shared" ref="G10:G199" si="2">IF(E10="","",E10*F10)</f>
        <v/>
      </c>
      <c r="H10" s="4"/>
      <c r="I10" s="4"/>
      <c r="J10" s="4"/>
      <c r="K10" s="4"/>
      <c r="L10" s="4"/>
    </row>
    <row r="11" ht="15.0" customHeight="1">
      <c r="A11" s="4"/>
      <c r="B11" s="4"/>
      <c r="C11" s="65" t="str">
        <f>IFERROR(VLOOKUP(B11,'📦 Maestro Productos'!$A:$B,2,0),"")</f>
        <v/>
      </c>
      <c r="D11" s="4"/>
      <c r="E11" s="4"/>
      <c r="F11" s="4"/>
      <c r="G11" s="66" t="str">
        <f t="shared" si="2"/>
        <v/>
      </c>
      <c r="H11" s="4"/>
      <c r="I11" s="4"/>
      <c r="J11" s="4"/>
      <c r="K11" s="4"/>
      <c r="L11" s="4"/>
    </row>
    <row r="12" ht="15.0" customHeight="1">
      <c r="A12" s="4"/>
      <c r="B12" s="4"/>
      <c r="C12" s="63" t="str">
        <f>IFERROR(VLOOKUP(B12,'📦 Maestro Productos'!$A:$B,2,0),"")</f>
        <v/>
      </c>
      <c r="D12" s="4"/>
      <c r="E12" s="4"/>
      <c r="F12" s="4"/>
      <c r="G12" s="64" t="str">
        <f t="shared" si="2"/>
        <v/>
      </c>
      <c r="H12" s="4"/>
      <c r="I12" s="4"/>
      <c r="J12" s="4"/>
      <c r="K12" s="4"/>
      <c r="L12" s="4"/>
    </row>
    <row r="13" ht="15.0" customHeight="1">
      <c r="A13" s="4"/>
      <c r="B13" s="4"/>
      <c r="C13" s="65" t="str">
        <f>IFERROR(VLOOKUP(B13,'📦 Maestro Productos'!$A:$B,2,0),"")</f>
        <v/>
      </c>
      <c r="D13" s="4"/>
      <c r="E13" s="4"/>
      <c r="F13" s="4"/>
      <c r="G13" s="66" t="str">
        <f t="shared" si="2"/>
        <v/>
      </c>
      <c r="H13" s="4"/>
      <c r="I13" s="4"/>
      <c r="J13" s="4"/>
      <c r="K13" s="4"/>
      <c r="L13" s="4"/>
    </row>
    <row r="14" ht="15.0" customHeight="1">
      <c r="A14" s="4"/>
      <c r="B14" s="4"/>
      <c r="C14" s="63" t="str">
        <f>IFERROR(VLOOKUP(B14,'📦 Maestro Productos'!$A:$B,2,0),"")</f>
        <v/>
      </c>
      <c r="D14" s="4"/>
      <c r="E14" s="4"/>
      <c r="F14" s="4"/>
      <c r="G14" s="64" t="str">
        <f t="shared" si="2"/>
        <v/>
      </c>
      <c r="H14" s="4"/>
      <c r="I14" s="4"/>
      <c r="J14" s="4"/>
      <c r="K14" s="4"/>
      <c r="L14" s="4"/>
    </row>
    <row r="15" ht="15.0" customHeight="1">
      <c r="A15" s="4"/>
      <c r="B15" s="4"/>
      <c r="C15" s="65" t="str">
        <f>IFERROR(VLOOKUP(B15,'📦 Maestro Productos'!$A:$B,2,0),"")</f>
        <v/>
      </c>
      <c r="D15" s="4"/>
      <c r="E15" s="4"/>
      <c r="F15" s="4"/>
      <c r="G15" s="66" t="str">
        <f t="shared" si="2"/>
        <v/>
      </c>
      <c r="H15" s="4"/>
      <c r="I15" s="4"/>
      <c r="J15" s="4"/>
      <c r="K15" s="4"/>
      <c r="L15" s="4"/>
    </row>
    <row r="16" ht="15.0" customHeight="1">
      <c r="A16" s="4"/>
      <c r="B16" s="4"/>
      <c r="C16" s="63" t="str">
        <f>IFERROR(VLOOKUP(B16,'📦 Maestro Productos'!$A:$B,2,0),"")</f>
        <v/>
      </c>
      <c r="D16" s="4"/>
      <c r="E16" s="4"/>
      <c r="F16" s="4"/>
      <c r="G16" s="64" t="str">
        <f t="shared" si="2"/>
        <v/>
      </c>
      <c r="H16" s="4"/>
      <c r="I16" s="4"/>
      <c r="J16" s="4"/>
      <c r="K16" s="4"/>
      <c r="L16" s="4"/>
    </row>
    <row r="17" ht="15.0" customHeight="1">
      <c r="A17" s="4"/>
      <c r="B17" s="4"/>
      <c r="C17" s="65" t="str">
        <f>IFERROR(VLOOKUP(B17,'📦 Maestro Productos'!$A:$B,2,0),"")</f>
        <v/>
      </c>
      <c r="D17" s="4"/>
      <c r="E17" s="4"/>
      <c r="F17" s="4"/>
      <c r="G17" s="66" t="str">
        <f t="shared" si="2"/>
        <v/>
      </c>
      <c r="H17" s="4"/>
      <c r="I17" s="4"/>
      <c r="J17" s="4"/>
      <c r="K17" s="4"/>
      <c r="L17" s="4"/>
    </row>
    <row r="18" ht="15.0" customHeight="1">
      <c r="A18" s="4"/>
      <c r="B18" s="4"/>
      <c r="C18" s="63" t="str">
        <f>IFERROR(VLOOKUP(B18,'📦 Maestro Productos'!$A:$B,2,0),"")</f>
        <v/>
      </c>
      <c r="D18" s="4"/>
      <c r="E18" s="4"/>
      <c r="F18" s="4"/>
      <c r="G18" s="64" t="str">
        <f t="shared" si="2"/>
        <v/>
      </c>
      <c r="H18" s="4"/>
      <c r="I18" s="4"/>
      <c r="J18" s="4"/>
      <c r="K18" s="4"/>
      <c r="L18" s="4"/>
    </row>
    <row r="19" ht="15.0" customHeight="1">
      <c r="A19" s="4"/>
      <c r="B19" s="4"/>
      <c r="C19" s="65" t="str">
        <f>IFERROR(VLOOKUP(B19,'📦 Maestro Productos'!$A:$B,2,0),"")</f>
        <v/>
      </c>
      <c r="D19" s="4"/>
      <c r="E19" s="4"/>
      <c r="F19" s="4"/>
      <c r="G19" s="66" t="str">
        <f t="shared" si="2"/>
        <v/>
      </c>
      <c r="H19" s="4"/>
      <c r="I19" s="4"/>
      <c r="J19" s="4"/>
      <c r="K19" s="4"/>
      <c r="L19" s="4"/>
    </row>
    <row r="20" ht="15.0" customHeight="1">
      <c r="A20" s="4"/>
      <c r="B20" s="4"/>
      <c r="C20" s="63" t="str">
        <f>IFERROR(VLOOKUP(B20,'📦 Maestro Productos'!$A:$B,2,0),"")</f>
        <v/>
      </c>
      <c r="D20" s="4"/>
      <c r="E20" s="4"/>
      <c r="F20" s="4"/>
      <c r="G20" s="64" t="str">
        <f t="shared" si="2"/>
        <v/>
      </c>
      <c r="H20" s="4"/>
      <c r="I20" s="4"/>
      <c r="J20" s="4"/>
      <c r="K20" s="4"/>
      <c r="L20" s="4"/>
    </row>
    <row r="21" ht="15.0" customHeight="1">
      <c r="A21" s="4"/>
      <c r="B21" s="4"/>
      <c r="C21" s="65" t="str">
        <f>IFERROR(VLOOKUP(B21,'📦 Maestro Productos'!$A:$B,2,0),"")</f>
        <v/>
      </c>
      <c r="D21" s="4"/>
      <c r="E21" s="4"/>
      <c r="F21" s="4"/>
      <c r="G21" s="66" t="str">
        <f t="shared" si="2"/>
        <v/>
      </c>
      <c r="H21" s="4"/>
      <c r="I21" s="4"/>
      <c r="J21" s="4"/>
      <c r="K21" s="4"/>
      <c r="L21" s="4"/>
    </row>
    <row r="22" ht="15.0" customHeight="1">
      <c r="A22" s="4"/>
      <c r="B22" s="4"/>
      <c r="C22" s="63" t="str">
        <f>IFERROR(VLOOKUP(B22,'📦 Maestro Productos'!$A:$B,2,0),"")</f>
        <v/>
      </c>
      <c r="D22" s="4"/>
      <c r="E22" s="4"/>
      <c r="F22" s="4"/>
      <c r="G22" s="64" t="str">
        <f t="shared" si="2"/>
        <v/>
      </c>
      <c r="H22" s="4"/>
      <c r="I22" s="4"/>
      <c r="J22" s="4"/>
      <c r="K22" s="4"/>
      <c r="L22" s="4"/>
    </row>
    <row r="23" ht="15.0" customHeight="1">
      <c r="A23" s="4"/>
      <c r="B23" s="4"/>
      <c r="C23" s="65" t="str">
        <f>IFERROR(VLOOKUP(B23,'📦 Maestro Productos'!$A:$B,2,0),"")</f>
        <v/>
      </c>
      <c r="D23" s="4"/>
      <c r="E23" s="4"/>
      <c r="F23" s="4"/>
      <c r="G23" s="66" t="str">
        <f t="shared" si="2"/>
        <v/>
      </c>
      <c r="H23" s="4"/>
      <c r="I23" s="4"/>
      <c r="J23" s="4"/>
      <c r="K23" s="4"/>
      <c r="L23" s="4"/>
    </row>
    <row r="24" ht="15.0" customHeight="1">
      <c r="A24" s="4"/>
      <c r="B24" s="4"/>
      <c r="C24" s="63" t="str">
        <f>IFERROR(VLOOKUP(B24,'📦 Maestro Productos'!$A:$B,2,0),"")</f>
        <v/>
      </c>
      <c r="D24" s="4"/>
      <c r="E24" s="4"/>
      <c r="F24" s="4"/>
      <c r="G24" s="64" t="str">
        <f t="shared" si="2"/>
        <v/>
      </c>
      <c r="H24" s="4"/>
      <c r="I24" s="4"/>
      <c r="J24" s="4"/>
      <c r="K24" s="4"/>
      <c r="L24" s="4"/>
    </row>
    <row r="25" ht="15.0" customHeight="1">
      <c r="A25" s="4"/>
      <c r="B25" s="4"/>
      <c r="C25" s="65" t="str">
        <f>IFERROR(VLOOKUP(B25,'📦 Maestro Productos'!$A:$B,2,0),"")</f>
        <v/>
      </c>
      <c r="D25" s="4"/>
      <c r="E25" s="4"/>
      <c r="F25" s="4"/>
      <c r="G25" s="66" t="str">
        <f t="shared" si="2"/>
        <v/>
      </c>
      <c r="H25" s="4"/>
      <c r="I25" s="4"/>
      <c r="J25" s="4"/>
      <c r="K25" s="4"/>
      <c r="L25" s="4"/>
    </row>
    <row r="26" ht="15.0" customHeight="1">
      <c r="A26" s="4"/>
      <c r="B26" s="4"/>
      <c r="C26" s="63" t="str">
        <f>IFERROR(VLOOKUP(B26,'📦 Maestro Productos'!$A:$B,2,0),"")</f>
        <v/>
      </c>
      <c r="D26" s="4"/>
      <c r="E26" s="4"/>
      <c r="F26" s="4"/>
      <c r="G26" s="64" t="str">
        <f t="shared" si="2"/>
        <v/>
      </c>
      <c r="H26" s="4"/>
      <c r="I26" s="4"/>
      <c r="J26" s="4"/>
      <c r="K26" s="4"/>
      <c r="L26" s="4"/>
    </row>
    <row r="27" ht="15.0" customHeight="1">
      <c r="A27" s="4"/>
      <c r="B27" s="4"/>
      <c r="C27" s="65" t="str">
        <f>IFERROR(VLOOKUP(B27,'📦 Maestro Productos'!$A:$B,2,0),"")</f>
        <v/>
      </c>
      <c r="D27" s="4"/>
      <c r="E27" s="4"/>
      <c r="F27" s="4"/>
      <c r="G27" s="66" t="str">
        <f t="shared" si="2"/>
        <v/>
      </c>
      <c r="H27" s="4"/>
      <c r="I27" s="4"/>
      <c r="J27" s="4"/>
      <c r="K27" s="4"/>
      <c r="L27" s="4"/>
    </row>
    <row r="28" ht="15.0" customHeight="1">
      <c r="A28" s="4"/>
      <c r="B28" s="4"/>
      <c r="C28" s="63" t="str">
        <f>IFERROR(VLOOKUP(B28,'📦 Maestro Productos'!$A:$B,2,0),"")</f>
        <v/>
      </c>
      <c r="D28" s="4"/>
      <c r="E28" s="4"/>
      <c r="F28" s="4"/>
      <c r="G28" s="64" t="str">
        <f t="shared" si="2"/>
        <v/>
      </c>
      <c r="H28" s="4"/>
      <c r="I28" s="4"/>
      <c r="J28" s="4"/>
      <c r="K28" s="4"/>
      <c r="L28" s="4"/>
    </row>
    <row r="29" ht="15.0" customHeight="1">
      <c r="A29" s="4"/>
      <c r="B29" s="4"/>
      <c r="C29" s="65" t="str">
        <f>IFERROR(VLOOKUP(B29,'📦 Maestro Productos'!$A:$B,2,0),"")</f>
        <v/>
      </c>
      <c r="D29" s="4"/>
      <c r="E29" s="4"/>
      <c r="F29" s="4"/>
      <c r="G29" s="66" t="str">
        <f t="shared" si="2"/>
        <v/>
      </c>
      <c r="H29" s="4"/>
      <c r="I29" s="4"/>
      <c r="J29" s="4"/>
      <c r="K29" s="4"/>
      <c r="L29" s="4"/>
    </row>
    <row r="30" ht="15.0" customHeight="1">
      <c r="A30" s="4"/>
      <c r="B30" s="4"/>
      <c r="C30" s="63" t="str">
        <f>IFERROR(VLOOKUP(B30,'📦 Maestro Productos'!$A:$B,2,0),"")</f>
        <v/>
      </c>
      <c r="D30" s="4"/>
      <c r="E30" s="4"/>
      <c r="F30" s="4"/>
      <c r="G30" s="64" t="str">
        <f t="shared" si="2"/>
        <v/>
      </c>
      <c r="H30" s="4"/>
      <c r="I30" s="4"/>
      <c r="J30" s="4"/>
      <c r="K30" s="4"/>
      <c r="L30" s="4"/>
    </row>
    <row r="31" ht="15.0" customHeight="1">
      <c r="A31" s="4"/>
      <c r="B31" s="4"/>
      <c r="C31" s="65" t="str">
        <f>IFERROR(VLOOKUP(B31,'📦 Maestro Productos'!$A:$B,2,0),"")</f>
        <v/>
      </c>
      <c r="D31" s="4"/>
      <c r="E31" s="4"/>
      <c r="F31" s="4"/>
      <c r="G31" s="66" t="str">
        <f t="shared" si="2"/>
        <v/>
      </c>
      <c r="H31" s="4"/>
      <c r="I31" s="4"/>
      <c r="J31" s="4"/>
      <c r="K31" s="4"/>
      <c r="L31" s="4"/>
    </row>
    <row r="32" ht="15.0" customHeight="1">
      <c r="A32" s="4"/>
      <c r="B32" s="4"/>
      <c r="C32" s="63" t="str">
        <f>IFERROR(VLOOKUP(B32,'📦 Maestro Productos'!$A:$B,2,0),"")</f>
        <v/>
      </c>
      <c r="D32" s="4"/>
      <c r="E32" s="4"/>
      <c r="F32" s="4"/>
      <c r="G32" s="64" t="str">
        <f t="shared" si="2"/>
        <v/>
      </c>
      <c r="H32" s="4"/>
      <c r="I32" s="4"/>
      <c r="J32" s="4"/>
      <c r="K32" s="4"/>
      <c r="L32" s="4"/>
    </row>
    <row r="33" ht="15.0" customHeight="1">
      <c r="A33" s="4"/>
      <c r="B33" s="4"/>
      <c r="C33" s="65" t="str">
        <f>IFERROR(VLOOKUP(B33,'📦 Maestro Productos'!$A:$B,2,0),"")</f>
        <v/>
      </c>
      <c r="D33" s="4"/>
      <c r="E33" s="4"/>
      <c r="F33" s="4"/>
      <c r="G33" s="66" t="str">
        <f t="shared" si="2"/>
        <v/>
      </c>
      <c r="H33" s="4"/>
      <c r="I33" s="4"/>
      <c r="J33" s="4"/>
      <c r="K33" s="4"/>
      <c r="L33" s="4"/>
    </row>
    <row r="34" ht="15.0" customHeight="1">
      <c r="A34" s="4"/>
      <c r="B34" s="4"/>
      <c r="C34" s="63" t="str">
        <f>IFERROR(VLOOKUP(B34,'📦 Maestro Productos'!$A:$B,2,0),"")</f>
        <v/>
      </c>
      <c r="D34" s="4"/>
      <c r="E34" s="4"/>
      <c r="F34" s="4"/>
      <c r="G34" s="64" t="str">
        <f t="shared" si="2"/>
        <v/>
      </c>
      <c r="H34" s="4"/>
      <c r="I34" s="4"/>
      <c r="J34" s="4"/>
      <c r="K34" s="4"/>
      <c r="L34" s="4"/>
    </row>
    <row r="35" ht="15.0" customHeight="1">
      <c r="A35" s="4"/>
      <c r="B35" s="4"/>
      <c r="C35" s="65" t="str">
        <f>IFERROR(VLOOKUP(B35,'📦 Maestro Productos'!$A:$B,2,0),"")</f>
        <v/>
      </c>
      <c r="D35" s="4"/>
      <c r="E35" s="4"/>
      <c r="F35" s="4"/>
      <c r="G35" s="66" t="str">
        <f t="shared" si="2"/>
        <v/>
      </c>
      <c r="H35" s="4"/>
      <c r="I35" s="4"/>
      <c r="J35" s="4"/>
      <c r="K35" s="4"/>
      <c r="L35" s="4"/>
    </row>
    <row r="36" ht="15.0" customHeight="1">
      <c r="A36" s="4"/>
      <c r="B36" s="4"/>
      <c r="C36" s="63" t="str">
        <f>IFERROR(VLOOKUP(B36,'📦 Maestro Productos'!$A:$B,2,0),"")</f>
        <v/>
      </c>
      <c r="D36" s="4"/>
      <c r="E36" s="4"/>
      <c r="F36" s="4"/>
      <c r="G36" s="64" t="str">
        <f t="shared" si="2"/>
        <v/>
      </c>
      <c r="H36" s="4"/>
      <c r="I36" s="4"/>
      <c r="J36" s="4"/>
      <c r="K36" s="4"/>
      <c r="L36" s="4"/>
    </row>
    <row r="37" ht="15.0" customHeight="1">
      <c r="A37" s="4"/>
      <c r="B37" s="4"/>
      <c r="C37" s="65" t="str">
        <f>IFERROR(VLOOKUP(B37,'📦 Maestro Productos'!$A:$B,2,0),"")</f>
        <v/>
      </c>
      <c r="D37" s="4"/>
      <c r="E37" s="4"/>
      <c r="F37" s="4"/>
      <c r="G37" s="66" t="str">
        <f t="shared" si="2"/>
        <v/>
      </c>
      <c r="H37" s="4"/>
      <c r="I37" s="4"/>
      <c r="J37" s="4"/>
      <c r="K37" s="4"/>
      <c r="L37" s="4"/>
    </row>
    <row r="38" ht="15.0" customHeight="1">
      <c r="A38" s="4"/>
      <c r="B38" s="4"/>
      <c r="C38" s="63" t="str">
        <f>IFERROR(VLOOKUP(B38,'📦 Maestro Productos'!$A:$B,2,0),"")</f>
        <v/>
      </c>
      <c r="D38" s="4"/>
      <c r="E38" s="4"/>
      <c r="F38" s="4"/>
      <c r="G38" s="64" t="str">
        <f t="shared" si="2"/>
        <v/>
      </c>
      <c r="H38" s="4"/>
      <c r="I38" s="4"/>
      <c r="J38" s="4"/>
      <c r="K38" s="4"/>
      <c r="L38" s="4"/>
    </row>
    <row r="39" ht="15.0" customHeight="1">
      <c r="A39" s="4"/>
      <c r="B39" s="4"/>
      <c r="C39" s="65" t="str">
        <f>IFERROR(VLOOKUP(B39,'📦 Maestro Productos'!$A:$B,2,0),"")</f>
        <v/>
      </c>
      <c r="D39" s="4"/>
      <c r="E39" s="4"/>
      <c r="F39" s="4"/>
      <c r="G39" s="66" t="str">
        <f t="shared" si="2"/>
        <v/>
      </c>
      <c r="H39" s="4"/>
      <c r="I39" s="4"/>
      <c r="J39" s="4"/>
      <c r="K39" s="4"/>
      <c r="L39" s="4"/>
    </row>
    <row r="40" ht="15.0" customHeight="1">
      <c r="A40" s="4"/>
      <c r="B40" s="4"/>
      <c r="C40" s="63" t="str">
        <f>IFERROR(VLOOKUP(B40,'📦 Maestro Productos'!$A:$B,2,0),"")</f>
        <v/>
      </c>
      <c r="D40" s="4"/>
      <c r="E40" s="4"/>
      <c r="F40" s="4"/>
      <c r="G40" s="64" t="str">
        <f t="shared" si="2"/>
        <v/>
      </c>
      <c r="H40" s="4"/>
      <c r="I40" s="4"/>
      <c r="J40" s="4"/>
      <c r="K40" s="4"/>
      <c r="L40" s="4"/>
    </row>
    <row r="41" ht="15.0" customHeight="1">
      <c r="A41" s="4"/>
      <c r="B41" s="4"/>
      <c r="C41" s="65" t="str">
        <f>IFERROR(VLOOKUP(B41,'📦 Maestro Productos'!$A:$B,2,0),"")</f>
        <v/>
      </c>
      <c r="D41" s="4"/>
      <c r="E41" s="4"/>
      <c r="F41" s="4"/>
      <c r="G41" s="66" t="str">
        <f t="shared" si="2"/>
        <v/>
      </c>
      <c r="H41" s="4"/>
      <c r="I41" s="4"/>
      <c r="J41" s="4"/>
      <c r="K41" s="4"/>
      <c r="L41" s="4"/>
    </row>
    <row r="42" ht="15.0" customHeight="1">
      <c r="A42" s="4"/>
      <c r="B42" s="4"/>
      <c r="C42" s="63" t="str">
        <f>IFERROR(VLOOKUP(B42,'📦 Maestro Productos'!$A:$B,2,0),"")</f>
        <v/>
      </c>
      <c r="D42" s="4"/>
      <c r="E42" s="4"/>
      <c r="F42" s="4"/>
      <c r="G42" s="64" t="str">
        <f t="shared" si="2"/>
        <v/>
      </c>
      <c r="H42" s="4"/>
      <c r="I42" s="4"/>
      <c r="J42" s="4"/>
      <c r="K42" s="4"/>
      <c r="L42" s="4"/>
    </row>
    <row r="43" ht="15.0" customHeight="1">
      <c r="A43" s="4"/>
      <c r="B43" s="4"/>
      <c r="C43" s="65" t="str">
        <f>IFERROR(VLOOKUP(B43,'📦 Maestro Productos'!$A:$B,2,0),"")</f>
        <v/>
      </c>
      <c r="D43" s="4"/>
      <c r="E43" s="4"/>
      <c r="F43" s="4"/>
      <c r="G43" s="66" t="str">
        <f t="shared" si="2"/>
        <v/>
      </c>
      <c r="H43" s="4"/>
      <c r="I43" s="4"/>
      <c r="J43" s="4"/>
      <c r="K43" s="4"/>
      <c r="L43" s="4"/>
    </row>
    <row r="44" ht="15.0" customHeight="1">
      <c r="A44" s="4"/>
      <c r="B44" s="4"/>
      <c r="C44" s="63" t="str">
        <f>IFERROR(VLOOKUP(B44,'📦 Maestro Productos'!$A:$B,2,0),"")</f>
        <v/>
      </c>
      <c r="D44" s="4"/>
      <c r="E44" s="4"/>
      <c r="F44" s="4"/>
      <c r="G44" s="64" t="str">
        <f t="shared" si="2"/>
        <v/>
      </c>
      <c r="H44" s="4"/>
      <c r="I44" s="4"/>
      <c r="J44" s="4"/>
      <c r="K44" s="4"/>
      <c r="L44" s="4"/>
    </row>
    <row r="45" ht="15.0" customHeight="1">
      <c r="A45" s="4"/>
      <c r="B45" s="4"/>
      <c r="C45" s="65" t="str">
        <f>IFERROR(VLOOKUP(B45,'📦 Maestro Productos'!$A:$B,2,0),"")</f>
        <v/>
      </c>
      <c r="D45" s="4"/>
      <c r="E45" s="4"/>
      <c r="F45" s="4"/>
      <c r="G45" s="66" t="str">
        <f t="shared" si="2"/>
        <v/>
      </c>
      <c r="H45" s="4"/>
      <c r="I45" s="4"/>
      <c r="J45" s="4"/>
      <c r="K45" s="4"/>
      <c r="L45" s="4"/>
    </row>
    <row r="46" ht="15.0" customHeight="1">
      <c r="A46" s="4"/>
      <c r="B46" s="4"/>
      <c r="C46" s="63" t="str">
        <f>IFERROR(VLOOKUP(B46,'📦 Maestro Productos'!$A:$B,2,0),"")</f>
        <v/>
      </c>
      <c r="D46" s="4"/>
      <c r="E46" s="4"/>
      <c r="F46" s="4"/>
      <c r="G46" s="64" t="str">
        <f t="shared" si="2"/>
        <v/>
      </c>
      <c r="H46" s="4"/>
      <c r="I46" s="4"/>
      <c r="J46" s="4"/>
      <c r="K46" s="4"/>
      <c r="L46" s="4"/>
    </row>
    <row r="47" ht="15.0" customHeight="1">
      <c r="A47" s="4"/>
      <c r="B47" s="4"/>
      <c r="C47" s="65" t="str">
        <f>IFERROR(VLOOKUP(B47,'📦 Maestro Productos'!$A:$B,2,0),"")</f>
        <v/>
      </c>
      <c r="D47" s="4"/>
      <c r="E47" s="4"/>
      <c r="F47" s="4"/>
      <c r="G47" s="66" t="str">
        <f t="shared" si="2"/>
        <v/>
      </c>
      <c r="H47" s="4"/>
      <c r="I47" s="4"/>
      <c r="J47" s="4"/>
      <c r="K47" s="4"/>
      <c r="L47" s="4"/>
    </row>
    <row r="48" ht="15.0" customHeight="1">
      <c r="A48" s="4"/>
      <c r="B48" s="4"/>
      <c r="C48" s="63" t="str">
        <f>IFERROR(VLOOKUP(B48,'📦 Maestro Productos'!$A:$B,2,0),"")</f>
        <v/>
      </c>
      <c r="D48" s="4"/>
      <c r="E48" s="4"/>
      <c r="F48" s="4"/>
      <c r="G48" s="64" t="str">
        <f t="shared" si="2"/>
        <v/>
      </c>
      <c r="H48" s="4"/>
      <c r="I48" s="4"/>
      <c r="J48" s="4"/>
      <c r="K48" s="4"/>
      <c r="L48" s="4"/>
    </row>
    <row r="49" ht="15.0" customHeight="1">
      <c r="A49" s="4"/>
      <c r="B49" s="4"/>
      <c r="C49" s="65" t="str">
        <f>IFERROR(VLOOKUP(B49,'📦 Maestro Productos'!$A:$B,2,0),"")</f>
        <v/>
      </c>
      <c r="D49" s="4"/>
      <c r="E49" s="4"/>
      <c r="F49" s="4"/>
      <c r="G49" s="66" t="str">
        <f t="shared" si="2"/>
        <v/>
      </c>
      <c r="H49" s="4"/>
      <c r="I49" s="4"/>
      <c r="J49" s="4"/>
      <c r="K49" s="4"/>
      <c r="L49" s="4"/>
    </row>
    <row r="50" ht="15.0" customHeight="1">
      <c r="A50" s="4"/>
      <c r="B50" s="4"/>
      <c r="C50" s="63" t="str">
        <f>IFERROR(VLOOKUP(B50,'📦 Maestro Productos'!$A:$B,2,0),"")</f>
        <v/>
      </c>
      <c r="D50" s="4"/>
      <c r="E50" s="4"/>
      <c r="F50" s="4"/>
      <c r="G50" s="64" t="str">
        <f t="shared" si="2"/>
        <v/>
      </c>
      <c r="H50" s="4"/>
      <c r="I50" s="4"/>
      <c r="J50" s="4"/>
      <c r="K50" s="4"/>
      <c r="L50" s="4"/>
    </row>
    <row r="51" ht="15.0" customHeight="1">
      <c r="A51" s="4"/>
      <c r="B51" s="4"/>
      <c r="C51" s="65" t="str">
        <f>IFERROR(VLOOKUP(B51,'📦 Maestro Productos'!$A:$B,2,0),"")</f>
        <v/>
      </c>
      <c r="D51" s="4"/>
      <c r="E51" s="4"/>
      <c r="F51" s="4"/>
      <c r="G51" s="66" t="str">
        <f t="shared" si="2"/>
        <v/>
      </c>
      <c r="H51" s="4"/>
      <c r="I51" s="4"/>
      <c r="J51" s="4"/>
      <c r="K51" s="4"/>
      <c r="L51" s="4"/>
    </row>
    <row r="52" ht="15.0" customHeight="1">
      <c r="A52" s="4"/>
      <c r="B52" s="4"/>
      <c r="C52" s="63" t="str">
        <f>IFERROR(VLOOKUP(B52,'📦 Maestro Productos'!$A:$B,2,0),"")</f>
        <v/>
      </c>
      <c r="D52" s="4"/>
      <c r="E52" s="4"/>
      <c r="F52" s="4"/>
      <c r="G52" s="64" t="str">
        <f t="shared" si="2"/>
        <v/>
      </c>
      <c r="H52" s="4"/>
      <c r="I52" s="4"/>
      <c r="J52" s="4"/>
      <c r="K52" s="4"/>
      <c r="L52" s="4"/>
    </row>
    <row r="53" ht="15.0" customHeight="1">
      <c r="A53" s="4"/>
      <c r="B53" s="4"/>
      <c r="C53" s="65" t="str">
        <f>IFERROR(VLOOKUP(B53,'📦 Maestro Productos'!$A:$B,2,0),"")</f>
        <v/>
      </c>
      <c r="D53" s="4"/>
      <c r="E53" s="4"/>
      <c r="F53" s="4"/>
      <c r="G53" s="66" t="str">
        <f t="shared" si="2"/>
        <v/>
      </c>
      <c r="H53" s="4"/>
      <c r="I53" s="4"/>
      <c r="J53" s="4"/>
      <c r="K53" s="4"/>
      <c r="L53" s="4"/>
    </row>
    <row r="54" ht="15.0" customHeight="1">
      <c r="A54" s="4"/>
      <c r="B54" s="4"/>
      <c r="C54" s="63" t="str">
        <f>IFERROR(VLOOKUP(B54,'📦 Maestro Productos'!$A:$B,2,0),"")</f>
        <v/>
      </c>
      <c r="D54" s="4"/>
      <c r="E54" s="4"/>
      <c r="F54" s="4"/>
      <c r="G54" s="64" t="str">
        <f t="shared" si="2"/>
        <v/>
      </c>
      <c r="H54" s="4"/>
      <c r="I54" s="4"/>
      <c r="J54" s="4"/>
      <c r="K54" s="4"/>
      <c r="L54" s="4"/>
    </row>
    <row r="55" ht="15.0" customHeight="1">
      <c r="A55" s="4"/>
      <c r="B55" s="4"/>
      <c r="C55" s="65" t="str">
        <f>IFERROR(VLOOKUP(B55,'📦 Maestro Productos'!$A:$B,2,0),"")</f>
        <v/>
      </c>
      <c r="D55" s="4"/>
      <c r="E55" s="4"/>
      <c r="F55" s="4"/>
      <c r="G55" s="66" t="str">
        <f t="shared" si="2"/>
        <v/>
      </c>
      <c r="H55" s="4"/>
      <c r="I55" s="4"/>
      <c r="J55" s="4"/>
      <c r="K55" s="4"/>
      <c r="L55" s="4"/>
    </row>
    <row r="56" ht="15.0" customHeight="1">
      <c r="A56" s="4"/>
      <c r="B56" s="4"/>
      <c r="C56" s="63" t="str">
        <f>IFERROR(VLOOKUP(B56,'📦 Maestro Productos'!$A:$B,2,0),"")</f>
        <v/>
      </c>
      <c r="D56" s="4"/>
      <c r="E56" s="4"/>
      <c r="F56" s="4"/>
      <c r="G56" s="64" t="str">
        <f t="shared" si="2"/>
        <v/>
      </c>
      <c r="H56" s="4"/>
      <c r="I56" s="4"/>
      <c r="J56" s="4"/>
      <c r="K56" s="4"/>
      <c r="L56" s="4"/>
    </row>
    <row r="57" ht="15.0" customHeight="1">
      <c r="A57" s="4"/>
      <c r="B57" s="4"/>
      <c r="C57" s="65" t="str">
        <f>IFERROR(VLOOKUP(B57,'📦 Maestro Productos'!$A:$B,2,0),"")</f>
        <v/>
      </c>
      <c r="D57" s="4"/>
      <c r="E57" s="4"/>
      <c r="F57" s="4"/>
      <c r="G57" s="66" t="str">
        <f t="shared" si="2"/>
        <v/>
      </c>
      <c r="H57" s="4"/>
      <c r="I57" s="4"/>
      <c r="J57" s="4"/>
      <c r="K57" s="4"/>
      <c r="L57" s="4"/>
    </row>
    <row r="58" ht="15.0" customHeight="1">
      <c r="A58" s="4"/>
      <c r="B58" s="4"/>
      <c r="C58" s="63" t="str">
        <f>IFERROR(VLOOKUP(B58,'📦 Maestro Productos'!$A:$B,2,0),"")</f>
        <v/>
      </c>
      <c r="D58" s="4"/>
      <c r="E58" s="4"/>
      <c r="F58" s="4"/>
      <c r="G58" s="64" t="str">
        <f t="shared" si="2"/>
        <v/>
      </c>
      <c r="H58" s="4"/>
      <c r="I58" s="4"/>
      <c r="J58" s="4"/>
      <c r="K58" s="4"/>
      <c r="L58" s="4"/>
    </row>
    <row r="59" ht="15.0" customHeight="1">
      <c r="A59" s="4"/>
      <c r="B59" s="4"/>
      <c r="C59" s="65" t="str">
        <f>IFERROR(VLOOKUP(B59,'📦 Maestro Productos'!$A:$B,2,0),"")</f>
        <v/>
      </c>
      <c r="D59" s="4"/>
      <c r="E59" s="4"/>
      <c r="F59" s="4"/>
      <c r="G59" s="66" t="str">
        <f t="shared" si="2"/>
        <v/>
      </c>
      <c r="H59" s="4"/>
      <c r="I59" s="4"/>
      <c r="J59" s="4"/>
      <c r="K59" s="4"/>
      <c r="L59" s="4"/>
    </row>
    <row r="60" ht="15.0" customHeight="1">
      <c r="A60" s="4"/>
      <c r="B60" s="4"/>
      <c r="C60" s="63" t="str">
        <f>IFERROR(VLOOKUP(B60,'📦 Maestro Productos'!$A:$B,2,0),"")</f>
        <v/>
      </c>
      <c r="D60" s="4"/>
      <c r="E60" s="4"/>
      <c r="F60" s="4"/>
      <c r="G60" s="64" t="str">
        <f t="shared" si="2"/>
        <v/>
      </c>
      <c r="H60" s="4"/>
      <c r="I60" s="4"/>
      <c r="J60" s="4"/>
      <c r="K60" s="4"/>
      <c r="L60" s="4"/>
    </row>
    <row r="61" ht="15.0" customHeight="1">
      <c r="A61" s="4"/>
      <c r="B61" s="4"/>
      <c r="C61" s="65" t="str">
        <f>IFERROR(VLOOKUP(B61,'📦 Maestro Productos'!$A:$B,2,0),"")</f>
        <v/>
      </c>
      <c r="D61" s="4"/>
      <c r="E61" s="4"/>
      <c r="F61" s="4"/>
      <c r="G61" s="66" t="str">
        <f t="shared" si="2"/>
        <v/>
      </c>
      <c r="H61" s="4"/>
      <c r="I61" s="4"/>
      <c r="J61" s="4"/>
      <c r="K61" s="4"/>
      <c r="L61" s="4"/>
    </row>
    <row r="62" ht="15.0" customHeight="1">
      <c r="A62" s="4"/>
      <c r="B62" s="4"/>
      <c r="C62" s="63" t="str">
        <f>IFERROR(VLOOKUP(B62,'📦 Maestro Productos'!$A:$B,2,0),"")</f>
        <v/>
      </c>
      <c r="D62" s="4"/>
      <c r="E62" s="4"/>
      <c r="F62" s="4"/>
      <c r="G62" s="64" t="str">
        <f t="shared" si="2"/>
        <v/>
      </c>
      <c r="H62" s="4"/>
      <c r="I62" s="4"/>
      <c r="J62" s="4"/>
      <c r="K62" s="4"/>
      <c r="L62" s="4"/>
    </row>
    <row r="63" ht="15.0" customHeight="1">
      <c r="A63" s="4"/>
      <c r="B63" s="4"/>
      <c r="C63" s="65" t="str">
        <f>IFERROR(VLOOKUP(B63,'📦 Maestro Productos'!$A:$B,2,0),"")</f>
        <v/>
      </c>
      <c r="D63" s="4"/>
      <c r="E63" s="4"/>
      <c r="F63" s="4"/>
      <c r="G63" s="66" t="str">
        <f t="shared" si="2"/>
        <v/>
      </c>
      <c r="H63" s="4"/>
      <c r="I63" s="4"/>
      <c r="J63" s="4"/>
      <c r="K63" s="4"/>
      <c r="L63" s="4"/>
    </row>
    <row r="64" ht="15.0" customHeight="1">
      <c r="A64" s="4"/>
      <c r="B64" s="4"/>
      <c r="C64" s="63" t="str">
        <f>IFERROR(VLOOKUP(B64,'📦 Maestro Productos'!$A:$B,2,0),"")</f>
        <v/>
      </c>
      <c r="D64" s="4"/>
      <c r="E64" s="4"/>
      <c r="F64" s="4"/>
      <c r="G64" s="64" t="str">
        <f t="shared" si="2"/>
        <v/>
      </c>
      <c r="H64" s="4"/>
      <c r="I64" s="4"/>
      <c r="J64" s="4"/>
      <c r="K64" s="4"/>
      <c r="L64" s="4"/>
    </row>
    <row r="65" ht="15.0" customHeight="1">
      <c r="A65" s="4"/>
      <c r="B65" s="4"/>
      <c r="C65" s="65" t="str">
        <f>IFERROR(VLOOKUP(B65,'📦 Maestro Productos'!$A:$B,2,0),"")</f>
        <v/>
      </c>
      <c r="D65" s="4"/>
      <c r="E65" s="4"/>
      <c r="F65" s="4"/>
      <c r="G65" s="66" t="str">
        <f t="shared" si="2"/>
        <v/>
      </c>
      <c r="H65" s="4"/>
      <c r="I65" s="4"/>
      <c r="J65" s="4"/>
      <c r="K65" s="4"/>
      <c r="L65" s="4"/>
    </row>
    <row r="66" ht="15.0" customHeight="1">
      <c r="A66" s="4"/>
      <c r="B66" s="4"/>
      <c r="C66" s="63" t="str">
        <f>IFERROR(VLOOKUP(B66,'📦 Maestro Productos'!$A:$B,2,0),"")</f>
        <v/>
      </c>
      <c r="D66" s="4"/>
      <c r="E66" s="4"/>
      <c r="F66" s="4"/>
      <c r="G66" s="64" t="str">
        <f t="shared" si="2"/>
        <v/>
      </c>
      <c r="H66" s="4"/>
      <c r="I66" s="4"/>
      <c r="J66" s="4"/>
      <c r="K66" s="4"/>
      <c r="L66" s="4"/>
    </row>
    <row r="67" ht="15.0" customHeight="1">
      <c r="A67" s="4"/>
      <c r="B67" s="4"/>
      <c r="C67" s="65" t="str">
        <f>IFERROR(VLOOKUP(B67,'📦 Maestro Productos'!$A:$B,2,0),"")</f>
        <v/>
      </c>
      <c r="D67" s="4"/>
      <c r="E67" s="4"/>
      <c r="F67" s="4"/>
      <c r="G67" s="66" t="str">
        <f t="shared" si="2"/>
        <v/>
      </c>
      <c r="H67" s="4"/>
      <c r="I67" s="4"/>
      <c r="J67" s="4"/>
      <c r="K67" s="4"/>
      <c r="L67" s="4"/>
    </row>
    <row r="68" ht="15.0" customHeight="1">
      <c r="A68" s="4"/>
      <c r="B68" s="4"/>
      <c r="C68" s="63" t="str">
        <f>IFERROR(VLOOKUP(B68,'📦 Maestro Productos'!$A:$B,2,0),"")</f>
        <v/>
      </c>
      <c r="D68" s="4"/>
      <c r="E68" s="4"/>
      <c r="F68" s="4"/>
      <c r="G68" s="64" t="str">
        <f t="shared" si="2"/>
        <v/>
      </c>
      <c r="H68" s="4"/>
      <c r="I68" s="4"/>
      <c r="J68" s="4"/>
      <c r="K68" s="4"/>
      <c r="L68" s="4"/>
    </row>
    <row r="69" ht="15.0" customHeight="1">
      <c r="A69" s="4"/>
      <c r="B69" s="4"/>
      <c r="C69" s="65" t="str">
        <f>IFERROR(VLOOKUP(B69,'📦 Maestro Productos'!$A:$B,2,0),"")</f>
        <v/>
      </c>
      <c r="D69" s="4"/>
      <c r="E69" s="4"/>
      <c r="F69" s="4"/>
      <c r="G69" s="66" t="str">
        <f t="shared" si="2"/>
        <v/>
      </c>
      <c r="H69" s="4"/>
      <c r="I69" s="4"/>
      <c r="J69" s="4"/>
      <c r="K69" s="4"/>
      <c r="L69" s="4"/>
    </row>
    <row r="70" ht="15.0" customHeight="1">
      <c r="A70" s="4"/>
      <c r="B70" s="4"/>
      <c r="C70" s="63" t="str">
        <f>IFERROR(VLOOKUP(B70,'📦 Maestro Productos'!$A:$B,2,0),"")</f>
        <v/>
      </c>
      <c r="D70" s="4"/>
      <c r="E70" s="4"/>
      <c r="F70" s="4"/>
      <c r="G70" s="64" t="str">
        <f t="shared" si="2"/>
        <v/>
      </c>
      <c r="H70" s="4"/>
      <c r="I70" s="4"/>
      <c r="J70" s="4"/>
      <c r="K70" s="4"/>
      <c r="L70" s="4"/>
    </row>
    <row r="71" ht="15.0" customHeight="1">
      <c r="A71" s="4"/>
      <c r="B71" s="4"/>
      <c r="C71" s="65" t="str">
        <f>IFERROR(VLOOKUP(B71,'📦 Maestro Productos'!$A:$B,2,0),"")</f>
        <v/>
      </c>
      <c r="D71" s="4"/>
      <c r="E71" s="4"/>
      <c r="F71" s="4"/>
      <c r="G71" s="66" t="str">
        <f t="shared" si="2"/>
        <v/>
      </c>
      <c r="H71" s="4"/>
      <c r="I71" s="4"/>
      <c r="J71" s="4"/>
      <c r="K71" s="4"/>
      <c r="L71" s="4"/>
    </row>
    <row r="72" ht="15.0" customHeight="1">
      <c r="A72" s="4"/>
      <c r="B72" s="4"/>
      <c r="C72" s="63" t="str">
        <f>IFERROR(VLOOKUP(B72,'📦 Maestro Productos'!$A:$B,2,0),"")</f>
        <v/>
      </c>
      <c r="D72" s="4"/>
      <c r="E72" s="4"/>
      <c r="F72" s="4"/>
      <c r="G72" s="64" t="str">
        <f t="shared" si="2"/>
        <v/>
      </c>
      <c r="H72" s="4"/>
      <c r="I72" s="4"/>
      <c r="J72" s="4"/>
      <c r="K72" s="4"/>
      <c r="L72" s="4"/>
    </row>
    <row r="73" ht="15.0" customHeight="1">
      <c r="A73" s="4"/>
      <c r="B73" s="4"/>
      <c r="C73" s="65" t="str">
        <f>IFERROR(VLOOKUP(B73,'📦 Maestro Productos'!$A:$B,2,0),"")</f>
        <v/>
      </c>
      <c r="D73" s="4"/>
      <c r="E73" s="4"/>
      <c r="F73" s="4"/>
      <c r="G73" s="66" t="str">
        <f t="shared" si="2"/>
        <v/>
      </c>
      <c r="H73" s="4"/>
      <c r="I73" s="4"/>
      <c r="J73" s="4"/>
      <c r="K73" s="4"/>
      <c r="L73" s="4"/>
    </row>
    <row r="74" ht="15.0" customHeight="1">
      <c r="A74" s="4"/>
      <c r="B74" s="4"/>
      <c r="C74" s="63" t="str">
        <f>IFERROR(VLOOKUP(B74,'📦 Maestro Productos'!$A:$B,2,0),"")</f>
        <v/>
      </c>
      <c r="D74" s="4"/>
      <c r="E74" s="4"/>
      <c r="F74" s="4"/>
      <c r="G74" s="64" t="str">
        <f t="shared" si="2"/>
        <v/>
      </c>
      <c r="H74" s="4"/>
      <c r="I74" s="4"/>
      <c r="J74" s="4"/>
      <c r="K74" s="4"/>
      <c r="L74" s="4"/>
    </row>
    <row r="75" ht="15.0" customHeight="1">
      <c r="A75" s="4"/>
      <c r="B75" s="4"/>
      <c r="C75" s="65" t="str">
        <f>IFERROR(VLOOKUP(B75,'📦 Maestro Productos'!$A:$B,2,0),"")</f>
        <v/>
      </c>
      <c r="D75" s="4"/>
      <c r="E75" s="4"/>
      <c r="F75" s="4"/>
      <c r="G75" s="66" t="str">
        <f t="shared" si="2"/>
        <v/>
      </c>
      <c r="H75" s="4"/>
      <c r="I75" s="4"/>
      <c r="J75" s="4"/>
      <c r="K75" s="4"/>
      <c r="L75" s="4"/>
    </row>
    <row r="76" ht="15.0" customHeight="1">
      <c r="A76" s="4"/>
      <c r="B76" s="4"/>
      <c r="C76" s="63" t="str">
        <f>IFERROR(VLOOKUP(B76,'📦 Maestro Productos'!$A:$B,2,0),"")</f>
        <v/>
      </c>
      <c r="D76" s="4"/>
      <c r="E76" s="4"/>
      <c r="F76" s="4"/>
      <c r="G76" s="64" t="str">
        <f t="shared" si="2"/>
        <v/>
      </c>
      <c r="H76" s="4"/>
      <c r="I76" s="4"/>
      <c r="J76" s="4"/>
      <c r="K76" s="4"/>
      <c r="L76" s="4"/>
    </row>
    <row r="77" ht="15.0" customHeight="1">
      <c r="A77" s="4"/>
      <c r="B77" s="4"/>
      <c r="C77" s="65" t="str">
        <f>IFERROR(VLOOKUP(B77,'📦 Maestro Productos'!$A:$B,2,0),"")</f>
        <v/>
      </c>
      <c r="D77" s="4"/>
      <c r="E77" s="4"/>
      <c r="F77" s="4"/>
      <c r="G77" s="66" t="str">
        <f t="shared" si="2"/>
        <v/>
      </c>
      <c r="H77" s="4"/>
      <c r="I77" s="4"/>
      <c r="J77" s="4"/>
      <c r="K77" s="4"/>
      <c r="L77" s="4"/>
    </row>
    <row r="78" ht="15.0" customHeight="1">
      <c r="A78" s="4"/>
      <c r="B78" s="4"/>
      <c r="C78" s="63" t="str">
        <f>IFERROR(VLOOKUP(B78,'📦 Maestro Productos'!$A:$B,2,0),"")</f>
        <v/>
      </c>
      <c r="D78" s="4"/>
      <c r="E78" s="4"/>
      <c r="F78" s="4"/>
      <c r="G78" s="64" t="str">
        <f t="shared" si="2"/>
        <v/>
      </c>
      <c r="H78" s="4"/>
      <c r="I78" s="4"/>
      <c r="J78" s="4"/>
      <c r="K78" s="4"/>
      <c r="L78" s="4"/>
    </row>
    <row r="79" ht="15.0" customHeight="1">
      <c r="A79" s="4"/>
      <c r="B79" s="4"/>
      <c r="C79" s="65" t="str">
        <f>IFERROR(VLOOKUP(B79,'📦 Maestro Productos'!$A:$B,2,0),"")</f>
        <v/>
      </c>
      <c r="D79" s="4"/>
      <c r="E79" s="4"/>
      <c r="F79" s="4"/>
      <c r="G79" s="66" t="str">
        <f t="shared" si="2"/>
        <v/>
      </c>
      <c r="H79" s="4"/>
      <c r="I79" s="4"/>
      <c r="J79" s="4"/>
      <c r="K79" s="4"/>
      <c r="L79" s="4"/>
    </row>
    <row r="80" ht="15.0" customHeight="1">
      <c r="A80" s="4"/>
      <c r="B80" s="4"/>
      <c r="C80" s="63" t="str">
        <f>IFERROR(VLOOKUP(B80,'📦 Maestro Productos'!$A:$B,2,0),"")</f>
        <v/>
      </c>
      <c r="D80" s="4"/>
      <c r="E80" s="4"/>
      <c r="F80" s="4"/>
      <c r="G80" s="64" t="str">
        <f t="shared" si="2"/>
        <v/>
      </c>
      <c r="H80" s="4"/>
      <c r="I80" s="4"/>
      <c r="J80" s="4"/>
      <c r="K80" s="4"/>
      <c r="L80" s="4"/>
    </row>
    <row r="81" ht="15.0" customHeight="1">
      <c r="A81" s="4"/>
      <c r="B81" s="4"/>
      <c r="C81" s="65" t="str">
        <f>IFERROR(VLOOKUP(B81,'📦 Maestro Productos'!$A:$B,2,0),"")</f>
        <v/>
      </c>
      <c r="D81" s="4"/>
      <c r="E81" s="4"/>
      <c r="F81" s="4"/>
      <c r="G81" s="66" t="str">
        <f t="shared" si="2"/>
        <v/>
      </c>
      <c r="H81" s="4"/>
      <c r="I81" s="4"/>
      <c r="J81" s="4"/>
      <c r="K81" s="4"/>
      <c r="L81" s="4"/>
    </row>
    <row r="82" ht="15.0" customHeight="1">
      <c r="A82" s="4"/>
      <c r="B82" s="4"/>
      <c r="C82" s="63" t="str">
        <f>IFERROR(VLOOKUP(B82,'📦 Maestro Productos'!$A:$B,2,0),"")</f>
        <v/>
      </c>
      <c r="D82" s="4"/>
      <c r="E82" s="4"/>
      <c r="F82" s="4"/>
      <c r="G82" s="64" t="str">
        <f t="shared" si="2"/>
        <v/>
      </c>
      <c r="H82" s="4"/>
      <c r="I82" s="4"/>
      <c r="J82" s="4"/>
      <c r="K82" s="4"/>
      <c r="L82" s="4"/>
    </row>
    <row r="83" ht="15.0" customHeight="1">
      <c r="A83" s="4"/>
      <c r="B83" s="4"/>
      <c r="C83" s="65" t="str">
        <f>IFERROR(VLOOKUP(B83,'📦 Maestro Productos'!$A:$B,2,0),"")</f>
        <v/>
      </c>
      <c r="D83" s="4"/>
      <c r="E83" s="4"/>
      <c r="F83" s="4"/>
      <c r="G83" s="66" t="str">
        <f t="shared" si="2"/>
        <v/>
      </c>
      <c r="H83" s="4"/>
      <c r="I83" s="4"/>
      <c r="J83" s="4"/>
      <c r="K83" s="4"/>
      <c r="L83" s="4"/>
    </row>
    <row r="84" ht="15.0" customHeight="1">
      <c r="A84" s="4"/>
      <c r="B84" s="4"/>
      <c r="C84" s="63" t="str">
        <f>IFERROR(VLOOKUP(B84,'📦 Maestro Productos'!$A:$B,2,0),"")</f>
        <v/>
      </c>
      <c r="D84" s="4"/>
      <c r="E84" s="4"/>
      <c r="F84" s="4"/>
      <c r="G84" s="64" t="str">
        <f t="shared" si="2"/>
        <v/>
      </c>
      <c r="H84" s="4"/>
      <c r="I84" s="4"/>
      <c r="J84" s="4"/>
      <c r="K84" s="4"/>
      <c r="L84" s="4"/>
    </row>
    <row r="85" ht="15.0" customHeight="1">
      <c r="A85" s="4"/>
      <c r="B85" s="4"/>
      <c r="C85" s="65" t="str">
        <f>IFERROR(VLOOKUP(B85,'📦 Maestro Productos'!$A:$B,2,0),"")</f>
        <v/>
      </c>
      <c r="D85" s="4"/>
      <c r="E85" s="4"/>
      <c r="F85" s="4"/>
      <c r="G85" s="66" t="str">
        <f t="shared" si="2"/>
        <v/>
      </c>
      <c r="H85" s="4"/>
      <c r="I85" s="4"/>
      <c r="J85" s="4"/>
      <c r="K85" s="4"/>
      <c r="L85" s="4"/>
    </row>
    <row r="86" ht="15.0" customHeight="1">
      <c r="A86" s="4"/>
      <c r="B86" s="4"/>
      <c r="C86" s="63" t="str">
        <f>IFERROR(VLOOKUP(B86,'📦 Maestro Productos'!$A:$B,2,0),"")</f>
        <v/>
      </c>
      <c r="D86" s="4"/>
      <c r="E86" s="4"/>
      <c r="F86" s="4"/>
      <c r="G86" s="64" t="str">
        <f t="shared" si="2"/>
        <v/>
      </c>
      <c r="H86" s="4"/>
      <c r="I86" s="4"/>
      <c r="J86" s="4"/>
      <c r="K86" s="4"/>
      <c r="L86" s="4"/>
    </row>
    <row r="87" ht="15.0" customHeight="1">
      <c r="A87" s="4"/>
      <c r="B87" s="4"/>
      <c r="C87" s="65" t="str">
        <f>IFERROR(VLOOKUP(B87,'📦 Maestro Productos'!$A:$B,2,0),"")</f>
        <v/>
      </c>
      <c r="D87" s="4"/>
      <c r="E87" s="4"/>
      <c r="F87" s="4"/>
      <c r="G87" s="66" t="str">
        <f t="shared" si="2"/>
        <v/>
      </c>
      <c r="H87" s="4"/>
      <c r="I87" s="4"/>
      <c r="J87" s="4"/>
      <c r="K87" s="4"/>
      <c r="L87" s="4"/>
    </row>
    <row r="88" ht="15.0" customHeight="1">
      <c r="A88" s="4"/>
      <c r="B88" s="4"/>
      <c r="C88" s="63" t="str">
        <f>IFERROR(VLOOKUP(B88,'📦 Maestro Productos'!$A:$B,2,0),"")</f>
        <v/>
      </c>
      <c r="D88" s="4"/>
      <c r="E88" s="4"/>
      <c r="F88" s="4"/>
      <c r="G88" s="64" t="str">
        <f t="shared" si="2"/>
        <v/>
      </c>
      <c r="H88" s="4"/>
      <c r="I88" s="4"/>
      <c r="J88" s="4"/>
      <c r="K88" s="4"/>
      <c r="L88" s="4"/>
    </row>
    <row r="89" ht="15.0" customHeight="1">
      <c r="A89" s="4"/>
      <c r="B89" s="4"/>
      <c r="C89" s="65" t="str">
        <f>IFERROR(VLOOKUP(B89,'📦 Maestro Productos'!$A:$B,2,0),"")</f>
        <v/>
      </c>
      <c r="D89" s="4"/>
      <c r="E89" s="4"/>
      <c r="F89" s="4"/>
      <c r="G89" s="66" t="str">
        <f t="shared" si="2"/>
        <v/>
      </c>
      <c r="H89" s="4"/>
      <c r="I89" s="4"/>
      <c r="J89" s="4"/>
      <c r="K89" s="4"/>
      <c r="L89" s="4"/>
    </row>
    <row r="90" ht="15.0" customHeight="1">
      <c r="A90" s="4"/>
      <c r="B90" s="4"/>
      <c r="C90" s="63" t="str">
        <f>IFERROR(VLOOKUP(B90,'📦 Maestro Productos'!$A:$B,2,0),"")</f>
        <v/>
      </c>
      <c r="D90" s="4"/>
      <c r="E90" s="4"/>
      <c r="F90" s="4"/>
      <c r="G90" s="64" t="str">
        <f t="shared" si="2"/>
        <v/>
      </c>
      <c r="H90" s="4"/>
      <c r="I90" s="4"/>
      <c r="J90" s="4"/>
      <c r="K90" s="4"/>
      <c r="L90" s="4"/>
    </row>
    <row r="91" ht="15.0" customHeight="1">
      <c r="A91" s="4"/>
      <c r="B91" s="4"/>
      <c r="C91" s="65" t="str">
        <f>IFERROR(VLOOKUP(B91,'📦 Maestro Productos'!$A:$B,2,0),"")</f>
        <v/>
      </c>
      <c r="D91" s="4"/>
      <c r="E91" s="4"/>
      <c r="F91" s="4"/>
      <c r="G91" s="66" t="str">
        <f t="shared" si="2"/>
        <v/>
      </c>
      <c r="H91" s="4"/>
      <c r="I91" s="4"/>
      <c r="J91" s="4"/>
      <c r="K91" s="4"/>
      <c r="L91" s="4"/>
    </row>
    <row r="92" ht="15.0" customHeight="1">
      <c r="A92" s="4"/>
      <c r="B92" s="4"/>
      <c r="C92" s="63" t="str">
        <f>IFERROR(VLOOKUP(B92,'📦 Maestro Productos'!$A:$B,2,0),"")</f>
        <v/>
      </c>
      <c r="D92" s="4"/>
      <c r="E92" s="4"/>
      <c r="F92" s="4"/>
      <c r="G92" s="64" t="str">
        <f t="shared" si="2"/>
        <v/>
      </c>
      <c r="H92" s="4"/>
      <c r="I92" s="4"/>
      <c r="J92" s="4"/>
      <c r="K92" s="4"/>
      <c r="L92" s="4"/>
    </row>
    <row r="93" ht="15.0" customHeight="1">
      <c r="A93" s="4"/>
      <c r="B93" s="4"/>
      <c r="C93" s="65" t="str">
        <f>IFERROR(VLOOKUP(B93,'📦 Maestro Productos'!$A:$B,2,0),"")</f>
        <v/>
      </c>
      <c r="D93" s="4"/>
      <c r="E93" s="4"/>
      <c r="F93" s="4"/>
      <c r="G93" s="66" t="str">
        <f t="shared" si="2"/>
        <v/>
      </c>
      <c r="H93" s="4"/>
      <c r="I93" s="4"/>
      <c r="J93" s="4"/>
      <c r="K93" s="4"/>
      <c r="L93" s="4"/>
    </row>
    <row r="94" ht="15.0" customHeight="1">
      <c r="A94" s="4"/>
      <c r="B94" s="4"/>
      <c r="C94" s="63" t="str">
        <f>IFERROR(VLOOKUP(B94,'📦 Maestro Productos'!$A:$B,2,0),"")</f>
        <v/>
      </c>
      <c r="D94" s="4"/>
      <c r="E94" s="4"/>
      <c r="F94" s="4"/>
      <c r="G94" s="64" t="str">
        <f t="shared" si="2"/>
        <v/>
      </c>
      <c r="H94" s="4"/>
      <c r="I94" s="4"/>
      <c r="J94" s="4"/>
      <c r="K94" s="4"/>
      <c r="L94" s="4"/>
    </row>
    <row r="95" ht="15.0" customHeight="1">
      <c r="A95" s="4"/>
      <c r="B95" s="4"/>
      <c r="C95" s="65" t="str">
        <f>IFERROR(VLOOKUP(B95,'📦 Maestro Productos'!$A:$B,2,0),"")</f>
        <v/>
      </c>
      <c r="D95" s="4"/>
      <c r="E95" s="4"/>
      <c r="F95" s="4"/>
      <c r="G95" s="66" t="str">
        <f t="shared" si="2"/>
        <v/>
      </c>
      <c r="H95" s="4"/>
      <c r="I95" s="4"/>
      <c r="J95" s="4"/>
      <c r="K95" s="4"/>
      <c r="L95" s="4"/>
    </row>
    <row r="96" ht="15.0" customHeight="1">
      <c r="A96" s="4"/>
      <c r="B96" s="4"/>
      <c r="C96" s="63" t="str">
        <f>IFERROR(VLOOKUP(B96,'📦 Maestro Productos'!$A:$B,2,0),"")</f>
        <v/>
      </c>
      <c r="D96" s="4"/>
      <c r="E96" s="4"/>
      <c r="F96" s="4"/>
      <c r="G96" s="64" t="str">
        <f t="shared" si="2"/>
        <v/>
      </c>
      <c r="H96" s="4"/>
      <c r="I96" s="4"/>
      <c r="J96" s="4"/>
      <c r="K96" s="4"/>
      <c r="L96" s="4"/>
    </row>
    <row r="97" ht="15.0" customHeight="1">
      <c r="A97" s="4"/>
      <c r="B97" s="4"/>
      <c r="C97" s="65" t="str">
        <f>IFERROR(VLOOKUP(B97,'📦 Maestro Productos'!$A:$B,2,0),"")</f>
        <v/>
      </c>
      <c r="D97" s="4"/>
      <c r="E97" s="4"/>
      <c r="F97" s="4"/>
      <c r="G97" s="66" t="str">
        <f t="shared" si="2"/>
        <v/>
      </c>
      <c r="H97" s="4"/>
      <c r="I97" s="4"/>
      <c r="J97" s="4"/>
      <c r="K97" s="4"/>
      <c r="L97" s="4"/>
    </row>
    <row r="98" ht="15.0" customHeight="1">
      <c r="A98" s="4"/>
      <c r="B98" s="4"/>
      <c r="C98" s="63" t="str">
        <f>IFERROR(VLOOKUP(B98,'📦 Maestro Productos'!$A:$B,2,0),"")</f>
        <v/>
      </c>
      <c r="D98" s="4"/>
      <c r="E98" s="4"/>
      <c r="F98" s="4"/>
      <c r="G98" s="64" t="str">
        <f t="shared" si="2"/>
        <v/>
      </c>
      <c r="H98" s="4"/>
      <c r="I98" s="4"/>
      <c r="J98" s="4"/>
      <c r="K98" s="4"/>
      <c r="L98" s="4"/>
    </row>
    <row r="99" ht="15.0" customHeight="1">
      <c r="A99" s="4"/>
      <c r="B99" s="4"/>
      <c r="C99" s="65" t="str">
        <f>IFERROR(VLOOKUP(B99,'📦 Maestro Productos'!$A:$B,2,0),"")</f>
        <v/>
      </c>
      <c r="D99" s="4"/>
      <c r="E99" s="4"/>
      <c r="F99" s="4"/>
      <c r="G99" s="66" t="str">
        <f t="shared" si="2"/>
        <v/>
      </c>
      <c r="H99" s="4"/>
      <c r="I99" s="4"/>
      <c r="J99" s="4"/>
      <c r="K99" s="4"/>
      <c r="L99" s="4"/>
    </row>
    <row r="100" ht="15.0" customHeight="1">
      <c r="A100" s="4"/>
      <c r="B100" s="4"/>
      <c r="C100" s="63" t="str">
        <f>IFERROR(VLOOKUP(B100,'📦 Maestro Productos'!$A:$B,2,0),"")</f>
        <v/>
      </c>
      <c r="D100" s="4"/>
      <c r="E100" s="4"/>
      <c r="F100" s="4"/>
      <c r="G100" s="64" t="str">
        <f t="shared" si="2"/>
        <v/>
      </c>
      <c r="H100" s="4"/>
      <c r="I100" s="4"/>
      <c r="J100" s="4"/>
      <c r="K100" s="4"/>
      <c r="L100" s="4"/>
    </row>
    <row r="101" ht="15.0" customHeight="1">
      <c r="A101" s="4"/>
      <c r="B101" s="4"/>
      <c r="C101" s="65" t="str">
        <f>IFERROR(VLOOKUP(B101,'📦 Maestro Productos'!$A:$B,2,0),"")</f>
        <v/>
      </c>
      <c r="D101" s="4"/>
      <c r="E101" s="4"/>
      <c r="F101" s="4"/>
      <c r="G101" s="66" t="str">
        <f t="shared" si="2"/>
        <v/>
      </c>
      <c r="H101" s="4"/>
      <c r="I101" s="4"/>
      <c r="J101" s="4"/>
      <c r="K101" s="4"/>
      <c r="L101" s="4"/>
    </row>
    <row r="102" ht="15.0" customHeight="1">
      <c r="A102" s="4"/>
      <c r="B102" s="4"/>
      <c r="C102" s="63" t="str">
        <f>IFERROR(VLOOKUP(B102,'📦 Maestro Productos'!$A:$B,2,0),"")</f>
        <v/>
      </c>
      <c r="D102" s="4"/>
      <c r="E102" s="4"/>
      <c r="F102" s="4"/>
      <c r="G102" s="64" t="str">
        <f t="shared" si="2"/>
        <v/>
      </c>
      <c r="H102" s="4"/>
      <c r="I102" s="4"/>
      <c r="J102" s="4"/>
      <c r="K102" s="4"/>
      <c r="L102" s="4"/>
    </row>
    <row r="103" ht="15.0" customHeight="1">
      <c r="A103" s="4"/>
      <c r="B103" s="4"/>
      <c r="C103" s="65" t="str">
        <f>IFERROR(VLOOKUP(B103,'📦 Maestro Productos'!$A:$B,2,0),"")</f>
        <v/>
      </c>
      <c r="D103" s="4"/>
      <c r="E103" s="4"/>
      <c r="F103" s="4"/>
      <c r="G103" s="66" t="str">
        <f t="shared" si="2"/>
        <v/>
      </c>
      <c r="H103" s="4"/>
      <c r="I103" s="4"/>
      <c r="J103" s="4"/>
      <c r="K103" s="4"/>
      <c r="L103" s="4"/>
    </row>
    <row r="104" ht="15.0" customHeight="1">
      <c r="A104" s="4"/>
      <c r="B104" s="4"/>
      <c r="C104" s="63" t="str">
        <f>IFERROR(VLOOKUP(B104,'📦 Maestro Productos'!$A:$B,2,0),"")</f>
        <v/>
      </c>
      <c r="D104" s="4"/>
      <c r="E104" s="4"/>
      <c r="F104" s="4"/>
      <c r="G104" s="64" t="str">
        <f t="shared" si="2"/>
        <v/>
      </c>
      <c r="H104" s="4"/>
      <c r="I104" s="4"/>
      <c r="J104" s="4"/>
      <c r="K104" s="4"/>
      <c r="L104" s="4"/>
    </row>
    <row r="105" ht="15.0" customHeight="1">
      <c r="A105" s="4"/>
      <c r="B105" s="4"/>
      <c r="C105" s="65" t="str">
        <f>IFERROR(VLOOKUP(B105,'📦 Maestro Productos'!$A:$B,2,0),"")</f>
        <v/>
      </c>
      <c r="D105" s="4"/>
      <c r="E105" s="4"/>
      <c r="F105" s="4"/>
      <c r="G105" s="66" t="str">
        <f t="shared" si="2"/>
        <v/>
      </c>
      <c r="H105" s="4"/>
      <c r="I105" s="4"/>
      <c r="J105" s="4"/>
      <c r="K105" s="4"/>
      <c r="L105" s="4"/>
    </row>
    <row r="106" ht="15.0" customHeight="1">
      <c r="A106" s="4"/>
      <c r="B106" s="4"/>
      <c r="C106" s="63" t="str">
        <f>IFERROR(VLOOKUP(B106,'📦 Maestro Productos'!$A:$B,2,0),"")</f>
        <v/>
      </c>
      <c r="D106" s="4"/>
      <c r="E106" s="4"/>
      <c r="F106" s="4"/>
      <c r="G106" s="64" t="str">
        <f t="shared" si="2"/>
        <v/>
      </c>
      <c r="H106" s="4"/>
      <c r="I106" s="4"/>
      <c r="J106" s="4"/>
      <c r="K106" s="4"/>
      <c r="L106" s="4"/>
    </row>
    <row r="107" ht="15.0" customHeight="1">
      <c r="A107" s="4"/>
      <c r="B107" s="4"/>
      <c r="C107" s="65" t="str">
        <f>IFERROR(VLOOKUP(B107,'📦 Maestro Productos'!$A:$B,2,0),"")</f>
        <v/>
      </c>
      <c r="D107" s="4"/>
      <c r="E107" s="4"/>
      <c r="F107" s="4"/>
      <c r="G107" s="66" t="str">
        <f t="shared" si="2"/>
        <v/>
      </c>
      <c r="H107" s="4"/>
      <c r="I107" s="4"/>
      <c r="J107" s="4"/>
      <c r="K107" s="4"/>
      <c r="L107" s="4"/>
    </row>
    <row r="108" ht="15.0" customHeight="1">
      <c r="A108" s="4"/>
      <c r="B108" s="4"/>
      <c r="C108" s="63" t="str">
        <f>IFERROR(VLOOKUP(B108,'📦 Maestro Productos'!$A:$B,2,0),"")</f>
        <v/>
      </c>
      <c r="D108" s="4"/>
      <c r="E108" s="4"/>
      <c r="F108" s="4"/>
      <c r="G108" s="64" t="str">
        <f t="shared" si="2"/>
        <v/>
      </c>
      <c r="H108" s="4"/>
      <c r="I108" s="4"/>
      <c r="J108" s="4"/>
      <c r="K108" s="4"/>
      <c r="L108" s="4"/>
    </row>
    <row r="109" ht="15.0" customHeight="1">
      <c r="A109" s="4"/>
      <c r="B109" s="4"/>
      <c r="C109" s="65" t="str">
        <f>IFERROR(VLOOKUP(B109,'📦 Maestro Productos'!$A:$B,2,0),"")</f>
        <v/>
      </c>
      <c r="D109" s="4"/>
      <c r="E109" s="4"/>
      <c r="F109" s="4"/>
      <c r="G109" s="66" t="str">
        <f t="shared" si="2"/>
        <v/>
      </c>
      <c r="H109" s="4"/>
      <c r="I109" s="4"/>
      <c r="J109" s="4"/>
      <c r="K109" s="4"/>
      <c r="L109" s="4"/>
    </row>
    <row r="110" ht="15.0" customHeight="1">
      <c r="A110" s="4"/>
      <c r="B110" s="4"/>
      <c r="C110" s="63" t="str">
        <f>IFERROR(VLOOKUP(B110,'📦 Maestro Productos'!$A:$B,2,0),"")</f>
        <v/>
      </c>
      <c r="D110" s="4"/>
      <c r="E110" s="4"/>
      <c r="F110" s="4"/>
      <c r="G110" s="64" t="str">
        <f t="shared" si="2"/>
        <v/>
      </c>
      <c r="H110" s="4"/>
      <c r="I110" s="4"/>
      <c r="J110" s="4"/>
      <c r="K110" s="4"/>
      <c r="L110" s="4"/>
    </row>
    <row r="111" ht="15.0" customHeight="1">
      <c r="A111" s="4"/>
      <c r="B111" s="4"/>
      <c r="C111" s="65" t="str">
        <f>IFERROR(VLOOKUP(B111,'📦 Maestro Productos'!$A:$B,2,0),"")</f>
        <v/>
      </c>
      <c r="D111" s="4"/>
      <c r="E111" s="4"/>
      <c r="F111" s="4"/>
      <c r="G111" s="66" t="str">
        <f t="shared" si="2"/>
        <v/>
      </c>
      <c r="H111" s="4"/>
      <c r="I111" s="4"/>
      <c r="J111" s="4"/>
      <c r="K111" s="4"/>
      <c r="L111" s="4"/>
    </row>
    <row r="112" ht="15.0" customHeight="1">
      <c r="A112" s="4"/>
      <c r="B112" s="4"/>
      <c r="C112" s="63" t="str">
        <f>IFERROR(VLOOKUP(B112,'📦 Maestro Productos'!$A:$B,2,0),"")</f>
        <v/>
      </c>
      <c r="D112" s="4"/>
      <c r="E112" s="4"/>
      <c r="F112" s="4"/>
      <c r="G112" s="64" t="str">
        <f t="shared" si="2"/>
        <v/>
      </c>
      <c r="H112" s="4"/>
      <c r="I112" s="4"/>
      <c r="J112" s="4"/>
      <c r="K112" s="4"/>
      <c r="L112" s="4"/>
    </row>
    <row r="113" ht="15.0" customHeight="1">
      <c r="A113" s="4"/>
      <c r="B113" s="4"/>
      <c r="C113" s="65" t="str">
        <f>IFERROR(VLOOKUP(B113,'📦 Maestro Productos'!$A:$B,2,0),"")</f>
        <v/>
      </c>
      <c r="D113" s="4"/>
      <c r="E113" s="4"/>
      <c r="F113" s="4"/>
      <c r="G113" s="66" t="str">
        <f t="shared" si="2"/>
        <v/>
      </c>
      <c r="H113" s="4"/>
      <c r="I113" s="4"/>
      <c r="J113" s="4"/>
      <c r="K113" s="4"/>
      <c r="L113" s="4"/>
    </row>
    <row r="114" ht="15.0" customHeight="1">
      <c r="A114" s="4"/>
      <c r="B114" s="4"/>
      <c r="C114" s="63" t="str">
        <f>IFERROR(VLOOKUP(B114,'📦 Maestro Productos'!$A:$B,2,0),"")</f>
        <v/>
      </c>
      <c r="D114" s="4"/>
      <c r="E114" s="4"/>
      <c r="F114" s="4"/>
      <c r="G114" s="64" t="str">
        <f t="shared" si="2"/>
        <v/>
      </c>
      <c r="H114" s="4"/>
      <c r="I114" s="4"/>
      <c r="J114" s="4"/>
      <c r="K114" s="4"/>
      <c r="L114" s="4"/>
    </row>
    <row r="115" ht="15.0" customHeight="1">
      <c r="A115" s="4"/>
      <c r="B115" s="4"/>
      <c r="C115" s="65" t="str">
        <f>IFERROR(VLOOKUP(B115,'📦 Maestro Productos'!$A:$B,2,0),"")</f>
        <v/>
      </c>
      <c r="D115" s="4"/>
      <c r="E115" s="4"/>
      <c r="F115" s="4"/>
      <c r="G115" s="66" t="str">
        <f t="shared" si="2"/>
        <v/>
      </c>
      <c r="H115" s="4"/>
      <c r="I115" s="4"/>
      <c r="J115" s="4"/>
      <c r="K115" s="4"/>
      <c r="L115" s="4"/>
    </row>
    <row r="116" ht="15.0" customHeight="1">
      <c r="A116" s="4"/>
      <c r="B116" s="4"/>
      <c r="C116" s="63" t="str">
        <f>IFERROR(VLOOKUP(B116,'📦 Maestro Productos'!$A:$B,2,0),"")</f>
        <v/>
      </c>
      <c r="D116" s="4"/>
      <c r="E116" s="4"/>
      <c r="F116" s="4"/>
      <c r="G116" s="64" t="str">
        <f t="shared" si="2"/>
        <v/>
      </c>
      <c r="H116" s="4"/>
      <c r="I116" s="4"/>
      <c r="J116" s="4"/>
      <c r="K116" s="4"/>
      <c r="L116" s="4"/>
    </row>
    <row r="117" ht="15.0" customHeight="1">
      <c r="A117" s="4"/>
      <c r="B117" s="4"/>
      <c r="C117" s="65" t="str">
        <f>IFERROR(VLOOKUP(B117,'📦 Maestro Productos'!$A:$B,2,0),"")</f>
        <v/>
      </c>
      <c r="D117" s="4"/>
      <c r="E117" s="4"/>
      <c r="F117" s="4"/>
      <c r="G117" s="66" t="str">
        <f t="shared" si="2"/>
        <v/>
      </c>
      <c r="H117" s="4"/>
      <c r="I117" s="4"/>
      <c r="J117" s="4"/>
      <c r="K117" s="4"/>
      <c r="L117" s="4"/>
    </row>
    <row r="118" ht="15.0" customHeight="1">
      <c r="A118" s="4"/>
      <c r="B118" s="4"/>
      <c r="C118" s="63" t="str">
        <f>IFERROR(VLOOKUP(B118,'📦 Maestro Productos'!$A:$B,2,0),"")</f>
        <v/>
      </c>
      <c r="D118" s="4"/>
      <c r="E118" s="4"/>
      <c r="F118" s="4"/>
      <c r="G118" s="64" t="str">
        <f t="shared" si="2"/>
        <v/>
      </c>
      <c r="H118" s="4"/>
      <c r="I118" s="4"/>
      <c r="J118" s="4"/>
      <c r="K118" s="4"/>
      <c r="L118" s="4"/>
    </row>
    <row r="119" ht="15.0" customHeight="1">
      <c r="A119" s="4"/>
      <c r="B119" s="4"/>
      <c r="C119" s="65" t="str">
        <f>IFERROR(VLOOKUP(B119,'📦 Maestro Productos'!$A:$B,2,0),"")</f>
        <v/>
      </c>
      <c r="D119" s="4"/>
      <c r="E119" s="4"/>
      <c r="F119" s="4"/>
      <c r="G119" s="66" t="str">
        <f t="shared" si="2"/>
        <v/>
      </c>
      <c r="H119" s="4"/>
      <c r="I119" s="4"/>
      <c r="J119" s="4"/>
      <c r="K119" s="4"/>
      <c r="L119" s="4"/>
    </row>
    <row r="120" ht="15.0" customHeight="1">
      <c r="A120" s="4"/>
      <c r="B120" s="4"/>
      <c r="C120" s="63" t="str">
        <f>IFERROR(VLOOKUP(B120,'📦 Maestro Productos'!$A:$B,2,0),"")</f>
        <v/>
      </c>
      <c r="D120" s="4"/>
      <c r="E120" s="4"/>
      <c r="F120" s="4"/>
      <c r="G120" s="64" t="str">
        <f t="shared" si="2"/>
        <v/>
      </c>
      <c r="H120" s="4"/>
      <c r="I120" s="4"/>
      <c r="J120" s="4"/>
      <c r="K120" s="4"/>
      <c r="L120" s="4"/>
    </row>
    <row r="121" ht="15.0" customHeight="1">
      <c r="A121" s="4"/>
      <c r="B121" s="4"/>
      <c r="C121" s="65" t="str">
        <f>IFERROR(VLOOKUP(B121,'📦 Maestro Productos'!$A:$B,2,0),"")</f>
        <v/>
      </c>
      <c r="D121" s="4"/>
      <c r="E121" s="4"/>
      <c r="F121" s="4"/>
      <c r="G121" s="66" t="str">
        <f t="shared" si="2"/>
        <v/>
      </c>
      <c r="H121" s="4"/>
      <c r="I121" s="4"/>
      <c r="J121" s="4"/>
      <c r="K121" s="4"/>
      <c r="L121" s="4"/>
    </row>
    <row r="122" ht="15.0" customHeight="1">
      <c r="A122" s="4"/>
      <c r="B122" s="4"/>
      <c r="C122" s="63" t="str">
        <f>IFERROR(VLOOKUP(B122,'📦 Maestro Productos'!$A:$B,2,0),"")</f>
        <v/>
      </c>
      <c r="D122" s="4"/>
      <c r="E122" s="4"/>
      <c r="F122" s="4"/>
      <c r="G122" s="64" t="str">
        <f t="shared" si="2"/>
        <v/>
      </c>
      <c r="H122" s="4"/>
      <c r="I122" s="4"/>
      <c r="J122" s="4"/>
      <c r="K122" s="4"/>
      <c r="L122" s="4"/>
    </row>
    <row r="123" ht="15.0" customHeight="1">
      <c r="A123" s="4"/>
      <c r="B123" s="4"/>
      <c r="C123" s="65" t="str">
        <f>IFERROR(VLOOKUP(B123,'📦 Maestro Productos'!$A:$B,2,0),"")</f>
        <v/>
      </c>
      <c r="D123" s="4"/>
      <c r="E123" s="4"/>
      <c r="F123" s="4"/>
      <c r="G123" s="66" t="str">
        <f t="shared" si="2"/>
        <v/>
      </c>
      <c r="H123" s="4"/>
      <c r="I123" s="4"/>
      <c r="J123" s="4"/>
      <c r="K123" s="4"/>
      <c r="L123" s="4"/>
    </row>
    <row r="124" ht="15.0" customHeight="1">
      <c r="A124" s="4"/>
      <c r="B124" s="4"/>
      <c r="C124" s="63" t="str">
        <f>IFERROR(VLOOKUP(B124,'📦 Maestro Productos'!$A:$B,2,0),"")</f>
        <v/>
      </c>
      <c r="D124" s="4"/>
      <c r="E124" s="4"/>
      <c r="F124" s="4"/>
      <c r="G124" s="64" t="str">
        <f t="shared" si="2"/>
        <v/>
      </c>
      <c r="H124" s="4"/>
      <c r="I124" s="4"/>
      <c r="J124" s="4"/>
      <c r="K124" s="4"/>
      <c r="L124" s="4"/>
    </row>
    <row r="125" ht="15.0" customHeight="1">
      <c r="A125" s="4"/>
      <c r="B125" s="4"/>
      <c r="C125" s="65" t="str">
        <f>IFERROR(VLOOKUP(B125,'📦 Maestro Productos'!$A:$B,2,0),"")</f>
        <v/>
      </c>
      <c r="D125" s="4"/>
      <c r="E125" s="4"/>
      <c r="F125" s="4"/>
      <c r="G125" s="66" t="str">
        <f t="shared" si="2"/>
        <v/>
      </c>
      <c r="H125" s="4"/>
      <c r="I125" s="4"/>
      <c r="J125" s="4"/>
      <c r="K125" s="4"/>
      <c r="L125" s="4"/>
    </row>
    <row r="126" ht="15.0" customHeight="1">
      <c r="A126" s="4"/>
      <c r="B126" s="4"/>
      <c r="C126" s="63" t="str">
        <f>IFERROR(VLOOKUP(B126,'📦 Maestro Productos'!$A:$B,2,0),"")</f>
        <v/>
      </c>
      <c r="D126" s="4"/>
      <c r="E126" s="4"/>
      <c r="F126" s="4"/>
      <c r="G126" s="64" t="str">
        <f t="shared" si="2"/>
        <v/>
      </c>
      <c r="H126" s="4"/>
      <c r="I126" s="4"/>
      <c r="J126" s="4"/>
      <c r="K126" s="4"/>
      <c r="L126" s="4"/>
    </row>
    <row r="127" ht="15.0" customHeight="1">
      <c r="A127" s="4"/>
      <c r="B127" s="4"/>
      <c r="C127" s="65" t="str">
        <f>IFERROR(VLOOKUP(B127,'📦 Maestro Productos'!$A:$B,2,0),"")</f>
        <v/>
      </c>
      <c r="D127" s="4"/>
      <c r="E127" s="4"/>
      <c r="F127" s="4"/>
      <c r="G127" s="66" t="str">
        <f t="shared" si="2"/>
        <v/>
      </c>
      <c r="H127" s="4"/>
      <c r="I127" s="4"/>
      <c r="J127" s="4"/>
      <c r="K127" s="4"/>
      <c r="L127" s="4"/>
    </row>
    <row r="128" ht="15.0" customHeight="1">
      <c r="A128" s="4"/>
      <c r="B128" s="4"/>
      <c r="C128" s="63" t="str">
        <f>IFERROR(VLOOKUP(B128,'📦 Maestro Productos'!$A:$B,2,0),"")</f>
        <v/>
      </c>
      <c r="D128" s="4"/>
      <c r="E128" s="4"/>
      <c r="F128" s="4"/>
      <c r="G128" s="64" t="str">
        <f t="shared" si="2"/>
        <v/>
      </c>
      <c r="H128" s="4"/>
      <c r="I128" s="4"/>
      <c r="J128" s="4"/>
      <c r="K128" s="4"/>
      <c r="L128" s="4"/>
    </row>
    <row r="129" ht="15.0" customHeight="1">
      <c r="A129" s="4"/>
      <c r="B129" s="4"/>
      <c r="C129" s="65" t="str">
        <f>IFERROR(VLOOKUP(B129,'📦 Maestro Productos'!$A:$B,2,0),"")</f>
        <v/>
      </c>
      <c r="D129" s="4"/>
      <c r="E129" s="4"/>
      <c r="F129" s="4"/>
      <c r="G129" s="66" t="str">
        <f t="shared" si="2"/>
        <v/>
      </c>
      <c r="H129" s="4"/>
      <c r="I129" s="4"/>
      <c r="J129" s="4"/>
      <c r="K129" s="4"/>
      <c r="L129" s="4"/>
    </row>
    <row r="130" ht="15.0" customHeight="1">
      <c r="A130" s="4"/>
      <c r="B130" s="4"/>
      <c r="C130" s="63" t="str">
        <f>IFERROR(VLOOKUP(B130,'📦 Maestro Productos'!$A:$B,2,0),"")</f>
        <v/>
      </c>
      <c r="D130" s="4"/>
      <c r="E130" s="4"/>
      <c r="F130" s="4"/>
      <c r="G130" s="64" t="str">
        <f t="shared" si="2"/>
        <v/>
      </c>
      <c r="H130" s="4"/>
      <c r="I130" s="4"/>
      <c r="J130" s="4"/>
      <c r="K130" s="4"/>
      <c r="L130" s="4"/>
    </row>
    <row r="131" ht="15.0" customHeight="1">
      <c r="A131" s="4"/>
      <c r="B131" s="4"/>
      <c r="C131" s="65" t="str">
        <f>IFERROR(VLOOKUP(B131,'📦 Maestro Productos'!$A:$B,2,0),"")</f>
        <v/>
      </c>
      <c r="D131" s="4"/>
      <c r="E131" s="4"/>
      <c r="F131" s="4"/>
      <c r="G131" s="66" t="str">
        <f t="shared" si="2"/>
        <v/>
      </c>
      <c r="H131" s="4"/>
      <c r="I131" s="4"/>
      <c r="J131" s="4"/>
      <c r="K131" s="4"/>
      <c r="L131" s="4"/>
    </row>
    <row r="132" ht="15.0" customHeight="1">
      <c r="A132" s="4"/>
      <c r="B132" s="4"/>
      <c r="C132" s="63" t="str">
        <f>IFERROR(VLOOKUP(B132,'📦 Maestro Productos'!$A:$B,2,0),"")</f>
        <v/>
      </c>
      <c r="D132" s="4"/>
      <c r="E132" s="4"/>
      <c r="F132" s="4"/>
      <c r="G132" s="64" t="str">
        <f t="shared" si="2"/>
        <v/>
      </c>
      <c r="H132" s="4"/>
      <c r="I132" s="4"/>
      <c r="J132" s="4"/>
      <c r="K132" s="4"/>
      <c r="L132" s="4"/>
    </row>
    <row r="133" ht="15.0" customHeight="1">
      <c r="A133" s="4"/>
      <c r="B133" s="4"/>
      <c r="C133" s="65" t="str">
        <f>IFERROR(VLOOKUP(B133,'📦 Maestro Productos'!$A:$B,2,0),"")</f>
        <v/>
      </c>
      <c r="D133" s="4"/>
      <c r="E133" s="4"/>
      <c r="F133" s="4"/>
      <c r="G133" s="66" t="str">
        <f t="shared" si="2"/>
        <v/>
      </c>
      <c r="H133" s="4"/>
      <c r="I133" s="4"/>
      <c r="J133" s="4"/>
      <c r="K133" s="4"/>
      <c r="L133" s="4"/>
    </row>
    <row r="134" ht="15.0" customHeight="1">
      <c r="A134" s="4"/>
      <c r="B134" s="4"/>
      <c r="C134" s="63" t="str">
        <f>IFERROR(VLOOKUP(B134,'📦 Maestro Productos'!$A:$B,2,0),"")</f>
        <v/>
      </c>
      <c r="D134" s="4"/>
      <c r="E134" s="4"/>
      <c r="F134" s="4"/>
      <c r="G134" s="64" t="str">
        <f t="shared" si="2"/>
        <v/>
      </c>
      <c r="H134" s="4"/>
      <c r="I134" s="4"/>
      <c r="J134" s="4"/>
      <c r="K134" s="4"/>
      <c r="L134" s="4"/>
    </row>
    <row r="135" ht="15.0" customHeight="1">
      <c r="A135" s="4"/>
      <c r="B135" s="4"/>
      <c r="C135" s="65" t="str">
        <f>IFERROR(VLOOKUP(B135,'📦 Maestro Productos'!$A:$B,2,0),"")</f>
        <v/>
      </c>
      <c r="D135" s="4"/>
      <c r="E135" s="4"/>
      <c r="F135" s="4"/>
      <c r="G135" s="66" t="str">
        <f t="shared" si="2"/>
        <v/>
      </c>
      <c r="H135" s="4"/>
      <c r="I135" s="4"/>
      <c r="J135" s="4"/>
      <c r="K135" s="4"/>
      <c r="L135" s="4"/>
    </row>
    <row r="136" ht="15.0" customHeight="1">
      <c r="A136" s="4"/>
      <c r="B136" s="4"/>
      <c r="C136" s="63" t="str">
        <f>IFERROR(VLOOKUP(B136,'📦 Maestro Productos'!$A:$B,2,0),"")</f>
        <v/>
      </c>
      <c r="D136" s="4"/>
      <c r="E136" s="4"/>
      <c r="F136" s="4"/>
      <c r="G136" s="64" t="str">
        <f t="shared" si="2"/>
        <v/>
      </c>
      <c r="H136" s="4"/>
      <c r="I136" s="4"/>
      <c r="J136" s="4"/>
      <c r="K136" s="4"/>
      <c r="L136" s="4"/>
    </row>
    <row r="137" ht="15.0" customHeight="1">
      <c r="A137" s="4"/>
      <c r="B137" s="4"/>
      <c r="C137" s="65" t="str">
        <f>IFERROR(VLOOKUP(B137,'📦 Maestro Productos'!$A:$B,2,0),"")</f>
        <v/>
      </c>
      <c r="D137" s="4"/>
      <c r="E137" s="4"/>
      <c r="F137" s="4"/>
      <c r="G137" s="66" t="str">
        <f t="shared" si="2"/>
        <v/>
      </c>
      <c r="H137" s="4"/>
      <c r="I137" s="4"/>
      <c r="J137" s="4"/>
      <c r="K137" s="4"/>
      <c r="L137" s="4"/>
    </row>
    <row r="138" ht="15.0" customHeight="1">
      <c r="A138" s="4"/>
      <c r="B138" s="4"/>
      <c r="C138" s="63" t="str">
        <f>IFERROR(VLOOKUP(B138,'📦 Maestro Productos'!$A:$B,2,0),"")</f>
        <v/>
      </c>
      <c r="D138" s="4"/>
      <c r="E138" s="4"/>
      <c r="F138" s="4"/>
      <c r="G138" s="64" t="str">
        <f t="shared" si="2"/>
        <v/>
      </c>
      <c r="H138" s="4"/>
      <c r="I138" s="4"/>
      <c r="J138" s="4"/>
      <c r="K138" s="4"/>
      <c r="L138" s="4"/>
    </row>
    <row r="139" ht="15.0" customHeight="1">
      <c r="A139" s="4"/>
      <c r="B139" s="4"/>
      <c r="C139" s="65" t="str">
        <f>IFERROR(VLOOKUP(B139,'📦 Maestro Productos'!$A:$B,2,0),"")</f>
        <v/>
      </c>
      <c r="D139" s="4"/>
      <c r="E139" s="4"/>
      <c r="F139" s="4"/>
      <c r="G139" s="66" t="str">
        <f t="shared" si="2"/>
        <v/>
      </c>
      <c r="H139" s="4"/>
      <c r="I139" s="4"/>
      <c r="J139" s="4"/>
      <c r="K139" s="4"/>
      <c r="L139" s="4"/>
    </row>
    <row r="140" ht="15.0" customHeight="1">
      <c r="A140" s="4"/>
      <c r="B140" s="4"/>
      <c r="C140" s="63" t="str">
        <f>IFERROR(VLOOKUP(B140,'📦 Maestro Productos'!$A:$B,2,0),"")</f>
        <v/>
      </c>
      <c r="D140" s="4"/>
      <c r="E140" s="4"/>
      <c r="F140" s="4"/>
      <c r="G140" s="64" t="str">
        <f t="shared" si="2"/>
        <v/>
      </c>
      <c r="H140" s="4"/>
      <c r="I140" s="4"/>
      <c r="J140" s="4"/>
      <c r="K140" s="4"/>
      <c r="L140" s="4"/>
    </row>
    <row r="141" ht="15.0" customHeight="1">
      <c r="A141" s="4"/>
      <c r="B141" s="4"/>
      <c r="C141" s="65" t="str">
        <f>IFERROR(VLOOKUP(B141,'📦 Maestro Productos'!$A:$B,2,0),"")</f>
        <v/>
      </c>
      <c r="D141" s="4"/>
      <c r="E141" s="4"/>
      <c r="F141" s="4"/>
      <c r="G141" s="66" t="str">
        <f t="shared" si="2"/>
        <v/>
      </c>
      <c r="H141" s="4"/>
      <c r="I141" s="4"/>
      <c r="J141" s="4"/>
      <c r="K141" s="4"/>
      <c r="L141" s="4"/>
    </row>
    <row r="142" ht="15.0" customHeight="1">
      <c r="A142" s="4"/>
      <c r="B142" s="4"/>
      <c r="C142" s="63" t="str">
        <f>IFERROR(VLOOKUP(B142,'📦 Maestro Productos'!$A:$B,2,0),"")</f>
        <v/>
      </c>
      <c r="D142" s="4"/>
      <c r="E142" s="4"/>
      <c r="F142" s="4"/>
      <c r="G142" s="64" t="str">
        <f t="shared" si="2"/>
        <v/>
      </c>
      <c r="H142" s="4"/>
      <c r="I142" s="4"/>
      <c r="J142" s="4"/>
      <c r="K142" s="4"/>
      <c r="L142" s="4"/>
    </row>
    <row r="143" ht="15.0" customHeight="1">
      <c r="A143" s="4"/>
      <c r="B143" s="4"/>
      <c r="C143" s="65" t="str">
        <f>IFERROR(VLOOKUP(B143,'📦 Maestro Productos'!$A:$B,2,0),"")</f>
        <v/>
      </c>
      <c r="D143" s="4"/>
      <c r="E143" s="4"/>
      <c r="F143" s="4"/>
      <c r="G143" s="66" t="str">
        <f t="shared" si="2"/>
        <v/>
      </c>
      <c r="H143" s="4"/>
      <c r="I143" s="4"/>
      <c r="J143" s="4"/>
      <c r="K143" s="4"/>
      <c r="L143" s="4"/>
    </row>
    <row r="144" ht="15.0" customHeight="1">
      <c r="A144" s="4"/>
      <c r="B144" s="4"/>
      <c r="C144" s="63" t="str">
        <f>IFERROR(VLOOKUP(B144,'📦 Maestro Productos'!$A:$B,2,0),"")</f>
        <v/>
      </c>
      <c r="D144" s="4"/>
      <c r="E144" s="4"/>
      <c r="F144" s="4"/>
      <c r="G144" s="64" t="str">
        <f t="shared" si="2"/>
        <v/>
      </c>
      <c r="H144" s="4"/>
      <c r="I144" s="4"/>
      <c r="J144" s="4"/>
      <c r="K144" s="4"/>
      <c r="L144" s="4"/>
    </row>
    <row r="145" ht="15.0" customHeight="1">
      <c r="A145" s="4"/>
      <c r="B145" s="4"/>
      <c r="C145" s="65" t="str">
        <f>IFERROR(VLOOKUP(B145,'📦 Maestro Productos'!$A:$B,2,0),"")</f>
        <v/>
      </c>
      <c r="D145" s="4"/>
      <c r="E145" s="4"/>
      <c r="F145" s="4"/>
      <c r="G145" s="66" t="str">
        <f t="shared" si="2"/>
        <v/>
      </c>
      <c r="H145" s="4"/>
      <c r="I145" s="4"/>
      <c r="J145" s="4"/>
      <c r="K145" s="4"/>
      <c r="L145" s="4"/>
    </row>
    <row r="146" ht="15.0" customHeight="1">
      <c r="A146" s="4"/>
      <c r="B146" s="4"/>
      <c r="C146" s="63" t="str">
        <f>IFERROR(VLOOKUP(B146,'📦 Maestro Productos'!$A:$B,2,0),"")</f>
        <v/>
      </c>
      <c r="D146" s="4"/>
      <c r="E146" s="4"/>
      <c r="F146" s="4"/>
      <c r="G146" s="64" t="str">
        <f t="shared" si="2"/>
        <v/>
      </c>
      <c r="H146" s="4"/>
      <c r="I146" s="4"/>
      <c r="J146" s="4"/>
      <c r="K146" s="4"/>
      <c r="L146" s="4"/>
    </row>
    <row r="147" ht="15.0" customHeight="1">
      <c r="A147" s="4"/>
      <c r="B147" s="4"/>
      <c r="C147" s="65" t="str">
        <f>IFERROR(VLOOKUP(B147,'📦 Maestro Productos'!$A:$B,2,0),"")</f>
        <v/>
      </c>
      <c r="D147" s="4"/>
      <c r="E147" s="4"/>
      <c r="F147" s="4"/>
      <c r="G147" s="66" t="str">
        <f t="shared" si="2"/>
        <v/>
      </c>
      <c r="H147" s="4"/>
      <c r="I147" s="4"/>
      <c r="J147" s="4"/>
      <c r="K147" s="4"/>
      <c r="L147" s="4"/>
    </row>
    <row r="148" ht="15.0" customHeight="1">
      <c r="A148" s="4"/>
      <c r="B148" s="4"/>
      <c r="C148" s="63" t="str">
        <f>IFERROR(VLOOKUP(B148,'📦 Maestro Productos'!$A:$B,2,0),"")</f>
        <v/>
      </c>
      <c r="D148" s="4"/>
      <c r="E148" s="4"/>
      <c r="F148" s="4"/>
      <c r="G148" s="64" t="str">
        <f t="shared" si="2"/>
        <v/>
      </c>
      <c r="H148" s="4"/>
      <c r="I148" s="4"/>
      <c r="J148" s="4"/>
      <c r="K148" s="4"/>
      <c r="L148" s="4"/>
    </row>
    <row r="149" ht="15.0" customHeight="1">
      <c r="A149" s="4"/>
      <c r="B149" s="4"/>
      <c r="C149" s="65" t="str">
        <f>IFERROR(VLOOKUP(B149,'📦 Maestro Productos'!$A:$B,2,0),"")</f>
        <v/>
      </c>
      <c r="D149" s="4"/>
      <c r="E149" s="4"/>
      <c r="F149" s="4"/>
      <c r="G149" s="66" t="str">
        <f t="shared" si="2"/>
        <v/>
      </c>
      <c r="H149" s="4"/>
      <c r="I149" s="4"/>
      <c r="J149" s="4"/>
      <c r="K149" s="4"/>
      <c r="L149" s="4"/>
    </row>
    <row r="150" ht="15.0" customHeight="1">
      <c r="A150" s="4"/>
      <c r="B150" s="4"/>
      <c r="C150" s="63" t="str">
        <f>IFERROR(VLOOKUP(B150,'📦 Maestro Productos'!$A:$B,2,0),"")</f>
        <v/>
      </c>
      <c r="D150" s="4"/>
      <c r="E150" s="4"/>
      <c r="F150" s="4"/>
      <c r="G150" s="64" t="str">
        <f t="shared" si="2"/>
        <v/>
      </c>
      <c r="H150" s="4"/>
      <c r="I150" s="4"/>
      <c r="J150" s="4"/>
      <c r="K150" s="4"/>
      <c r="L150" s="4"/>
    </row>
    <row r="151" ht="15.0" customHeight="1">
      <c r="A151" s="4"/>
      <c r="B151" s="4"/>
      <c r="C151" s="65" t="str">
        <f>IFERROR(VLOOKUP(B151,'📦 Maestro Productos'!$A:$B,2,0),"")</f>
        <v/>
      </c>
      <c r="D151" s="4"/>
      <c r="E151" s="4"/>
      <c r="F151" s="4"/>
      <c r="G151" s="66" t="str">
        <f t="shared" si="2"/>
        <v/>
      </c>
      <c r="H151" s="4"/>
      <c r="I151" s="4"/>
      <c r="J151" s="4"/>
      <c r="K151" s="4"/>
      <c r="L151" s="4"/>
    </row>
    <row r="152" ht="15.0" customHeight="1">
      <c r="A152" s="4"/>
      <c r="B152" s="4"/>
      <c r="C152" s="63" t="str">
        <f>IFERROR(VLOOKUP(B152,'📦 Maestro Productos'!$A:$B,2,0),"")</f>
        <v/>
      </c>
      <c r="D152" s="4"/>
      <c r="E152" s="4"/>
      <c r="F152" s="4"/>
      <c r="G152" s="64" t="str">
        <f t="shared" si="2"/>
        <v/>
      </c>
      <c r="H152" s="4"/>
      <c r="I152" s="4"/>
      <c r="J152" s="4"/>
      <c r="K152" s="4"/>
      <c r="L152" s="4"/>
    </row>
    <row r="153" ht="15.0" customHeight="1">
      <c r="A153" s="4"/>
      <c r="B153" s="4"/>
      <c r="C153" s="65" t="str">
        <f>IFERROR(VLOOKUP(B153,'📦 Maestro Productos'!$A:$B,2,0),"")</f>
        <v/>
      </c>
      <c r="D153" s="4"/>
      <c r="E153" s="4"/>
      <c r="F153" s="4"/>
      <c r="G153" s="66" t="str">
        <f t="shared" si="2"/>
        <v/>
      </c>
      <c r="H153" s="4"/>
      <c r="I153" s="4"/>
      <c r="J153" s="4"/>
      <c r="K153" s="4"/>
      <c r="L153" s="4"/>
    </row>
    <row r="154" ht="15.0" customHeight="1">
      <c r="A154" s="4"/>
      <c r="B154" s="4"/>
      <c r="C154" s="63" t="str">
        <f>IFERROR(VLOOKUP(B154,'📦 Maestro Productos'!$A:$B,2,0),"")</f>
        <v/>
      </c>
      <c r="D154" s="4"/>
      <c r="E154" s="4"/>
      <c r="F154" s="4"/>
      <c r="G154" s="64" t="str">
        <f t="shared" si="2"/>
        <v/>
      </c>
      <c r="H154" s="4"/>
      <c r="I154" s="4"/>
      <c r="J154" s="4"/>
      <c r="K154" s="4"/>
      <c r="L154" s="4"/>
    </row>
    <row r="155" ht="15.0" customHeight="1">
      <c r="A155" s="4"/>
      <c r="B155" s="4"/>
      <c r="C155" s="65" t="str">
        <f>IFERROR(VLOOKUP(B155,'📦 Maestro Productos'!$A:$B,2,0),"")</f>
        <v/>
      </c>
      <c r="D155" s="4"/>
      <c r="E155" s="4"/>
      <c r="F155" s="4"/>
      <c r="G155" s="66" t="str">
        <f t="shared" si="2"/>
        <v/>
      </c>
      <c r="H155" s="4"/>
      <c r="I155" s="4"/>
      <c r="J155" s="4"/>
      <c r="K155" s="4"/>
      <c r="L155" s="4"/>
    </row>
    <row r="156" ht="15.0" customHeight="1">
      <c r="A156" s="4"/>
      <c r="B156" s="4"/>
      <c r="C156" s="63" t="str">
        <f>IFERROR(VLOOKUP(B156,'📦 Maestro Productos'!$A:$B,2,0),"")</f>
        <v/>
      </c>
      <c r="D156" s="4"/>
      <c r="E156" s="4"/>
      <c r="F156" s="4"/>
      <c r="G156" s="64" t="str">
        <f t="shared" si="2"/>
        <v/>
      </c>
      <c r="H156" s="4"/>
      <c r="I156" s="4"/>
      <c r="J156" s="4"/>
      <c r="K156" s="4"/>
      <c r="L156" s="4"/>
    </row>
    <row r="157" ht="15.0" customHeight="1">
      <c r="A157" s="4"/>
      <c r="B157" s="4"/>
      <c r="C157" s="65" t="str">
        <f>IFERROR(VLOOKUP(B157,'📦 Maestro Productos'!$A:$B,2,0),"")</f>
        <v/>
      </c>
      <c r="D157" s="4"/>
      <c r="E157" s="4"/>
      <c r="F157" s="4"/>
      <c r="G157" s="66" t="str">
        <f t="shared" si="2"/>
        <v/>
      </c>
      <c r="H157" s="4"/>
      <c r="I157" s="4"/>
      <c r="J157" s="4"/>
      <c r="K157" s="4"/>
      <c r="L157" s="4"/>
    </row>
    <row r="158" ht="15.0" customHeight="1">
      <c r="A158" s="4"/>
      <c r="B158" s="4"/>
      <c r="C158" s="63" t="str">
        <f>IFERROR(VLOOKUP(B158,'📦 Maestro Productos'!$A:$B,2,0),"")</f>
        <v/>
      </c>
      <c r="D158" s="4"/>
      <c r="E158" s="4"/>
      <c r="F158" s="4"/>
      <c r="G158" s="64" t="str">
        <f t="shared" si="2"/>
        <v/>
      </c>
      <c r="H158" s="4"/>
      <c r="I158" s="4"/>
      <c r="J158" s="4"/>
      <c r="K158" s="4"/>
      <c r="L158" s="4"/>
    </row>
    <row r="159" ht="15.0" customHeight="1">
      <c r="A159" s="4"/>
      <c r="B159" s="4"/>
      <c r="C159" s="65" t="str">
        <f>IFERROR(VLOOKUP(B159,'📦 Maestro Productos'!$A:$B,2,0),"")</f>
        <v/>
      </c>
      <c r="D159" s="4"/>
      <c r="E159" s="4"/>
      <c r="F159" s="4"/>
      <c r="G159" s="66" t="str">
        <f t="shared" si="2"/>
        <v/>
      </c>
      <c r="H159" s="4"/>
      <c r="I159" s="4"/>
      <c r="J159" s="4"/>
      <c r="K159" s="4"/>
      <c r="L159" s="4"/>
    </row>
    <row r="160" ht="15.0" customHeight="1">
      <c r="A160" s="4"/>
      <c r="B160" s="4"/>
      <c r="C160" s="63" t="str">
        <f>IFERROR(VLOOKUP(B160,'📦 Maestro Productos'!$A:$B,2,0),"")</f>
        <v/>
      </c>
      <c r="D160" s="4"/>
      <c r="E160" s="4"/>
      <c r="F160" s="4"/>
      <c r="G160" s="64" t="str">
        <f t="shared" si="2"/>
        <v/>
      </c>
      <c r="H160" s="4"/>
      <c r="I160" s="4"/>
      <c r="J160" s="4"/>
      <c r="K160" s="4"/>
      <c r="L160" s="4"/>
    </row>
    <row r="161" ht="15.0" customHeight="1">
      <c r="A161" s="4"/>
      <c r="B161" s="4"/>
      <c r="C161" s="65" t="str">
        <f>IFERROR(VLOOKUP(B161,'📦 Maestro Productos'!$A:$B,2,0),"")</f>
        <v/>
      </c>
      <c r="D161" s="4"/>
      <c r="E161" s="4"/>
      <c r="F161" s="4"/>
      <c r="G161" s="66" t="str">
        <f t="shared" si="2"/>
        <v/>
      </c>
      <c r="H161" s="4"/>
      <c r="I161" s="4"/>
      <c r="J161" s="4"/>
      <c r="K161" s="4"/>
      <c r="L161" s="4"/>
    </row>
    <row r="162" ht="15.0" customHeight="1">
      <c r="A162" s="4"/>
      <c r="B162" s="4"/>
      <c r="C162" s="63" t="str">
        <f>IFERROR(VLOOKUP(B162,'📦 Maestro Productos'!$A:$B,2,0),"")</f>
        <v/>
      </c>
      <c r="D162" s="4"/>
      <c r="E162" s="4"/>
      <c r="F162" s="4"/>
      <c r="G162" s="64" t="str">
        <f t="shared" si="2"/>
        <v/>
      </c>
      <c r="H162" s="4"/>
      <c r="I162" s="4"/>
      <c r="J162" s="4"/>
      <c r="K162" s="4"/>
      <c r="L162" s="4"/>
    </row>
    <row r="163" ht="15.0" customHeight="1">
      <c r="A163" s="4"/>
      <c r="B163" s="4"/>
      <c r="C163" s="65" t="str">
        <f>IFERROR(VLOOKUP(B163,'📦 Maestro Productos'!$A:$B,2,0),"")</f>
        <v/>
      </c>
      <c r="D163" s="4"/>
      <c r="E163" s="4"/>
      <c r="F163" s="4"/>
      <c r="G163" s="66" t="str">
        <f t="shared" si="2"/>
        <v/>
      </c>
      <c r="H163" s="4"/>
      <c r="I163" s="4"/>
      <c r="J163" s="4"/>
      <c r="K163" s="4"/>
      <c r="L163" s="4"/>
    </row>
    <row r="164" ht="15.0" customHeight="1">
      <c r="A164" s="4"/>
      <c r="B164" s="4"/>
      <c r="C164" s="63" t="str">
        <f>IFERROR(VLOOKUP(B164,'📦 Maestro Productos'!$A:$B,2,0),"")</f>
        <v/>
      </c>
      <c r="D164" s="4"/>
      <c r="E164" s="4"/>
      <c r="F164" s="4"/>
      <c r="G164" s="64" t="str">
        <f t="shared" si="2"/>
        <v/>
      </c>
      <c r="H164" s="4"/>
      <c r="I164" s="4"/>
      <c r="J164" s="4"/>
      <c r="K164" s="4"/>
      <c r="L164" s="4"/>
    </row>
    <row r="165" ht="15.0" customHeight="1">
      <c r="A165" s="4"/>
      <c r="B165" s="4"/>
      <c r="C165" s="65" t="str">
        <f>IFERROR(VLOOKUP(B165,'📦 Maestro Productos'!$A:$B,2,0),"")</f>
        <v/>
      </c>
      <c r="D165" s="4"/>
      <c r="E165" s="4"/>
      <c r="F165" s="4"/>
      <c r="G165" s="66" t="str">
        <f t="shared" si="2"/>
        <v/>
      </c>
      <c r="H165" s="4"/>
      <c r="I165" s="4"/>
      <c r="J165" s="4"/>
      <c r="K165" s="4"/>
      <c r="L165" s="4"/>
    </row>
    <row r="166" ht="15.0" customHeight="1">
      <c r="A166" s="4"/>
      <c r="B166" s="4"/>
      <c r="C166" s="63" t="str">
        <f>IFERROR(VLOOKUP(B166,'📦 Maestro Productos'!$A:$B,2,0),"")</f>
        <v/>
      </c>
      <c r="D166" s="4"/>
      <c r="E166" s="4"/>
      <c r="F166" s="4"/>
      <c r="G166" s="64" t="str">
        <f t="shared" si="2"/>
        <v/>
      </c>
      <c r="H166" s="4"/>
      <c r="I166" s="4"/>
      <c r="J166" s="4"/>
      <c r="K166" s="4"/>
      <c r="L166" s="4"/>
    </row>
    <row r="167" ht="15.0" customHeight="1">
      <c r="A167" s="4"/>
      <c r="B167" s="4"/>
      <c r="C167" s="65" t="str">
        <f>IFERROR(VLOOKUP(B167,'📦 Maestro Productos'!$A:$B,2,0),"")</f>
        <v/>
      </c>
      <c r="D167" s="4"/>
      <c r="E167" s="4"/>
      <c r="F167" s="4"/>
      <c r="G167" s="66" t="str">
        <f t="shared" si="2"/>
        <v/>
      </c>
      <c r="H167" s="4"/>
      <c r="I167" s="4"/>
      <c r="J167" s="4"/>
      <c r="K167" s="4"/>
      <c r="L167" s="4"/>
    </row>
    <row r="168" ht="15.0" customHeight="1">
      <c r="A168" s="4"/>
      <c r="B168" s="4"/>
      <c r="C168" s="63" t="str">
        <f>IFERROR(VLOOKUP(B168,'📦 Maestro Productos'!$A:$B,2,0),"")</f>
        <v/>
      </c>
      <c r="D168" s="4"/>
      <c r="E168" s="4"/>
      <c r="F168" s="4"/>
      <c r="G168" s="64" t="str">
        <f t="shared" si="2"/>
        <v/>
      </c>
      <c r="H168" s="4"/>
      <c r="I168" s="4"/>
      <c r="J168" s="4"/>
      <c r="K168" s="4"/>
      <c r="L168" s="4"/>
    </row>
    <row r="169" ht="15.0" customHeight="1">
      <c r="A169" s="4"/>
      <c r="B169" s="4"/>
      <c r="C169" s="65" t="str">
        <f>IFERROR(VLOOKUP(B169,'📦 Maestro Productos'!$A:$B,2,0),"")</f>
        <v/>
      </c>
      <c r="D169" s="4"/>
      <c r="E169" s="4"/>
      <c r="F169" s="4"/>
      <c r="G169" s="66" t="str">
        <f t="shared" si="2"/>
        <v/>
      </c>
      <c r="H169" s="4"/>
      <c r="I169" s="4"/>
      <c r="J169" s="4"/>
      <c r="K169" s="4"/>
      <c r="L169" s="4"/>
    </row>
    <row r="170" ht="15.0" customHeight="1">
      <c r="A170" s="4"/>
      <c r="B170" s="4"/>
      <c r="C170" s="63" t="str">
        <f>IFERROR(VLOOKUP(B170,'📦 Maestro Productos'!$A:$B,2,0),"")</f>
        <v/>
      </c>
      <c r="D170" s="4"/>
      <c r="E170" s="4"/>
      <c r="F170" s="4"/>
      <c r="G170" s="64" t="str">
        <f t="shared" si="2"/>
        <v/>
      </c>
      <c r="H170" s="4"/>
      <c r="I170" s="4"/>
      <c r="J170" s="4"/>
      <c r="K170" s="4"/>
      <c r="L170" s="4"/>
    </row>
    <row r="171" ht="15.0" customHeight="1">
      <c r="A171" s="4"/>
      <c r="B171" s="4"/>
      <c r="C171" s="65" t="str">
        <f>IFERROR(VLOOKUP(B171,'📦 Maestro Productos'!$A:$B,2,0),"")</f>
        <v/>
      </c>
      <c r="D171" s="4"/>
      <c r="E171" s="4"/>
      <c r="F171" s="4"/>
      <c r="G171" s="66" t="str">
        <f t="shared" si="2"/>
        <v/>
      </c>
      <c r="H171" s="4"/>
      <c r="I171" s="4"/>
      <c r="J171" s="4"/>
      <c r="K171" s="4"/>
      <c r="L171" s="4"/>
    </row>
    <row r="172" ht="15.0" customHeight="1">
      <c r="A172" s="4"/>
      <c r="B172" s="4"/>
      <c r="C172" s="63" t="str">
        <f>IFERROR(VLOOKUP(B172,'📦 Maestro Productos'!$A:$B,2,0),"")</f>
        <v/>
      </c>
      <c r="D172" s="4"/>
      <c r="E172" s="4"/>
      <c r="F172" s="4"/>
      <c r="G172" s="64" t="str">
        <f t="shared" si="2"/>
        <v/>
      </c>
      <c r="H172" s="4"/>
      <c r="I172" s="4"/>
      <c r="J172" s="4"/>
      <c r="K172" s="4"/>
      <c r="L172" s="4"/>
    </row>
    <row r="173" ht="15.0" customHeight="1">
      <c r="A173" s="4"/>
      <c r="B173" s="4"/>
      <c r="C173" s="65" t="str">
        <f>IFERROR(VLOOKUP(B173,'📦 Maestro Productos'!$A:$B,2,0),"")</f>
        <v/>
      </c>
      <c r="D173" s="4"/>
      <c r="E173" s="4"/>
      <c r="F173" s="4"/>
      <c r="G173" s="66" t="str">
        <f t="shared" si="2"/>
        <v/>
      </c>
      <c r="H173" s="4"/>
      <c r="I173" s="4"/>
      <c r="J173" s="4"/>
      <c r="K173" s="4"/>
      <c r="L173" s="4"/>
    </row>
    <row r="174" ht="15.0" customHeight="1">
      <c r="A174" s="4"/>
      <c r="B174" s="4"/>
      <c r="C174" s="63" t="str">
        <f>IFERROR(VLOOKUP(B174,'📦 Maestro Productos'!$A:$B,2,0),"")</f>
        <v/>
      </c>
      <c r="D174" s="4"/>
      <c r="E174" s="4"/>
      <c r="F174" s="4"/>
      <c r="G174" s="64" t="str">
        <f t="shared" si="2"/>
        <v/>
      </c>
      <c r="H174" s="4"/>
      <c r="I174" s="4"/>
      <c r="J174" s="4"/>
      <c r="K174" s="4"/>
      <c r="L174" s="4"/>
    </row>
    <row r="175" ht="15.0" customHeight="1">
      <c r="A175" s="4"/>
      <c r="B175" s="4"/>
      <c r="C175" s="65" t="str">
        <f>IFERROR(VLOOKUP(B175,'📦 Maestro Productos'!$A:$B,2,0),"")</f>
        <v/>
      </c>
      <c r="D175" s="4"/>
      <c r="E175" s="4"/>
      <c r="F175" s="4"/>
      <c r="G175" s="66" t="str">
        <f t="shared" si="2"/>
        <v/>
      </c>
      <c r="H175" s="4"/>
      <c r="I175" s="4"/>
      <c r="J175" s="4"/>
      <c r="K175" s="4"/>
      <c r="L175" s="4"/>
    </row>
    <row r="176" ht="15.0" customHeight="1">
      <c r="A176" s="4"/>
      <c r="B176" s="4"/>
      <c r="C176" s="63" t="str">
        <f>IFERROR(VLOOKUP(B176,'📦 Maestro Productos'!$A:$B,2,0),"")</f>
        <v/>
      </c>
      <c r="D176" s="4"/>
      <c r="E176" s="4"/>
      <c r="F176" s="4"/>
      <c r="G176" s="64" t="str">
        <f t="shared" si="2"/>
        <v/>
      </c>
      <c r="H176" s="4"/>
      <c r="I176" s="4"/>
      <c r="J176" s="4"/>
      <c r="K176" s="4"/>
      <c r="L176" s="4"/>
    </row>
    <row r="177" ht="15.0" customHeight="1">
      <c r="A177" s="4"/>
      <c r="B177" s="4"/>
      <c r="C177" s="65" t="str">
        <f>IFERROR(VLOOKUP(B177,'📦 Maestro Productos'!$A:$B,2,0),"")</f>
        <v/>
      </c>
      <c r="D177" s="4"/>
      <c r="E177" s="4"/>
      <c r="F177" s="4"/>
      <c r="G177" s="66" t="str">
        <f t="shared" si="2"/>
        <v/>
      </c>
      <c r="H177" s="4"/>
      <c r="I177" s="4"/>
      <c r="J177" s="4"/>
      <c r="K177" s="4"/>
      <c r="L177" s="4"/>
    </row>
    <row r="178" ht="15.0" customHeight="1">
      <c r="A178" s="4"/>
      <c r="B178" s="4"/>
      <c r="C178" s="63" t="str">
        <f>IFERROR(VLOOKUP(B178,'📦 Maestro Productos'!$A:$B,2,0),"")</f>
        <v/>
      </c>
      <c r="D178" s="4"/>
      <c r="E178" s="4"/>
      <c r="F178" s="4"/>
      <c r="G178" s="64" t="str">
        <f t="shared" si="2"/>
        <v/>
      </c>
      <c r="H178" s="4"/>
      <c r="I178" s="4"/>
      <c r="J178" s="4"/>
      <c r="K178" s="4"/>
      <c r="L178" s="4"/>
    </row>
    <row r="179" ht="15.0" customHeight="1">
      <c r="A179" s="4"/>
      <c r="B179" s="4"/>
      <c r="C179" s="65" t="str">
        <f>IFERROR(VLOOKUP(B179,'📦 Maestro Productos'!$A:$B,2,0),"")</f>
        <v/>
      </c>
      <c r="D179" s="4"/>
      <c r="E179" s="4"/>
      <c r="F179" s="4"/>
      <c r="G179" s="66" t="str">
        <f t="shared" si="2"/>
        <v/>
      </c>
      <c r="H179" s="4"/>
      <c r="I179" s="4"/>
      <c r="J179" s="4"/>
      <c r="K179" s="4"/>
      <c r="L179" s="4"/>
    </row>
    <row r="180" ht="15.0" customHeight="1">
      <c r="A180" s="4"/>
      <c r="B180" s="4"/>
      <c r="C180" s="63" t="str">
        <f>IFERROR(VLOOKUP(B180,'📦 Maestro Productos'!$A:$B,2,0),"")</f>
        <v/>
      </c>
      <c r="D180" s="4"/>
      <c r="E180" s="4"/>
      <c r="F180" s="4"/>
      <c r="G180" s="64" t="str">
        <f t="shared" si="2"/>
        <v/>
      </c>
      <c r="H180" s="4"/>
      <c r="I180" s="4"/>
      <c r="J180" s="4"/>
      <c r="K180" s="4"/>
      <c r="L180" s="4"/>
    </row>
    <row r="181" ht="15.0" customHeight="1">
      <c r="A181" s="4"/>
      <c r="B181" s="4"/>
      <c r="C181" s="65" t="str">
        <f>IFERROR(VLOOKUP(B181,'📦 Maestro Productos'!$A:$B,2,0),"")</f>
        <v/>
      </c>
      <c r="D181" s="4"/>
      <c r="E181" s="4"/>
      <c r="F181" s="4"/>
      <c r="G181" s="66" t="str">
        <f t="shared" si="2"/>
        <v/>
      </c>
      <c r="H181" s="4"/>
      <c r="I181" s="4"/>
      <c r="J181" s="4"/>
      <c r="K181" s="4"/>
      <c r="L181" s="4"/>
    </row>
    <row r="182" ht="15.0" customHeight="1">
      <c r="A182" s="4"/>
      <c r="B182" s="4"/>
      <c r="C182" s="63" t="str">
        <f>IFERROR(VLOOKUP(B182,'📦 Maestro Productos'!$A:$B,2,0),"")</f>
        <v/>
      </c>
      <c r="D182" s="4"/>
      <c r="E182" s="4"/>
      <c r="F182" s="4"/>
      <c r="G182" s="64" t="str">
        <f t="shared" si="2"/>
        <v/>
      </c>
      <c r="H182" s="4"/>
      <c r="I182" s="4"/>
      <c r="J182" s="4"/>
      <c r="K182" s="4"/>
      <c r="L182" s="4"/>
    </row>
    <row r="183" ht="15.0" customHeight="1">
      <c r="A183" s="4"/>
      <c r="B183" s="4"/>
      <c r="C183" s="65" t="str">
        <f>IFERROR(VLOOKUP(B183,'📦 Maestro Productos'!$A:$B,2,0),"")</f>
        <v/>
      </c>
      <c r="D183" s="4"/>
      <c r="E183" s="4"/>
      <c r="F183" s="4"/>
      <c r="G183" s="66" t="str">
        <f t="shared" si="2"/>
        <v/>
      </c>
      <c r="H183" s="4"/>
      <c r="I183" s="4"/>
      <c r="J183" s="4"/>
      <c r="K183" s="4"/>
      <c r="L183" s="4"/>
    </row>
    <row r="184" ht="15.0" customHeight="1">
      <c r="A184" s="4"/>
      <c r="B184" s="4"/>
      <c r="C184" s="63" t="str">
        <f>IFERROR(VLOOKUP(B184,'📦 Maestro Productos'!$A:$B,2,0),"")</f>
        <v/>
      </c>
      <c r="D184" s="4"/>
      <c r="E184" s="4"/>
      <c r="F184" s="4"/>
      <c r="G184" s="64" t="str">
        <f t="shared" si="2"/>
        <v/>
      </c>
      <c r="H184" s="4"/>
      <c r="I184" s="4"/>
      <c r="J184" s="4"/>
      <c r="K184" s="4"/>
      <c r="L184" s="4"/>
    </row>
    <row r="185" ht="15.0" customHeight="1">
      <c r="A185" s="4"/>
      <c r="B185" s="4"/>
      <c r="C185" s="65" t="str">
        <f>IFERROR(VLOOKUP(B185,'📦 Maestro Productos'!$A:$B,2,0),"")</f>
        <v/>
      </c>
      <c r="D185" s="4"/>
      <c r="E185" s="4"/>
      <c r="F185" s="4"/>
      <c r="G185" s="66" t="str">
        <f t="shared" si="2"/>
        <v/>
      </c>
      <c r="H185" s="4"/>
      <c r="I185" s="4"/>
      <c r="J185" s="4"/>
      <c r="K185" s="4"/>
      <c r="L185" s="4"/>
    </row>
    <row r="186" ht="15.0" customHeight="1">
      <c r="A186" s="4"/>
      <c r="B186" s="4"/>
      <c r="C186" s="63" t="str">
        <f>IFERROR(VLOOKUP(B186,'📦 Maestro Productos'!$A:$B,2,0),"")</f>
        <v/>
      </c>
      <c r="D186" s="4"/>
      <c r="E186" s="4"/>
      <c r="F186" s="4"/>
      <c r="G186" s="64" t="str">
        <f t="shared" si="2"/>
        <v/>
      </c>
      <c r="H186" s="4"/>
      <c r="I186" s="4"/>
      <c r="J186" s="4"/>
      <c r="K186" s="4"/>
      <c r="L186" s="4"/>
    </row>
    <row r="187" ht="15.0" customHeight="1">
      <c r="A187" s="4"/>
      <c r="B187" s="4"/>
      <c r="C187" s="65" t="str">
        <f>IFERROR(VLOOKUP(B187,'📦 Maestro Productos'!$A:$B,2,0),"")</f>
        <v/>
      </c>
      <c r="D187" s="4"/>
      <c r="E187" s="4"/>
      <c r="F187" s="4"/>
      <c r="G187" s="66" t="str">
        <f t="shared" si="2"/>
        <v/>
      </c>
      <c r="H187" s="4"/>
      <c r="I187" s="4"/>
      <c r="J187" s="4"/>
      <c r="K187" s="4"/>
      <c r="L187" s="4"/>
    </row>
    <row r="188" ht="15.0" customHeight="1">
      <c r="A188" s="4"/>
      <c r="B188" s="4"/>
      <c r="C188" s="63" t="str">
        <f>IFERROR(VLOOKUP(B188,'📦 Maestro Productos'!$A:$B,2,0),"")</f>
        <v/>
      </c>
      <c r="D188" s="4"/>
      <c r="E188" s="4"/>
      <c r="F188" s="4"/>
      <c r="G188" s="64" t="str">
        <f t="shared" si="2"/>
        <v/>
      </c>
      <c r="H188" s="4"/>
      <c r="I188" s="4"/>
      <c r="J188" s="4"/>
      <c r="K188" s="4"/>
      <c r="L188" s="4"/>
    </row>
    <row r="189" ht="15.0" customHeight="1">
      <c r="A189" s="4"/>
      <c r="B189" s="4"/>
      <c r="C189" s="65" t="str">
        <f>IFERROR(VLOOKUP(B189,'📦 Maestro Productos'!$A:$B,2,0),"")</f>
        <v/>
      </c>
      <c r="D189" s="4"/>
      <c r="E189" s="4"/>
      <c r="F189" s="4"/>
      <c r="G189" s="66" t="str">
        <f t="shared" si="2"/>
        <v/>
      </c>
      <c r="H189" s="4"/>
      <c r="I189" s="4"/>
      <c r="J189" s="4"/>
      <c r="K189" s="4"/>
      <c r="L189" s="4"/>
    </row>
    <row r="190" ht="15.0" customHeight="1">
      <c r="A190" s="4"/>
      <c r="B190" s="4"/>
      <c r="C190" s="63" t="str">
        <f>IFERROR(VLOOKUP(B190,'📦 Maestro Productos'!$A:$B,2,0),"")</f>
        <v/>
      </c>
      <c r="D190" s="4"/>
      <c r="E190" s="4"/>
      <c r="F190" s="4"/>
      <c r="G190" s="64" t="str">
        <f t="shared" si="2"/>
        <v/>
      </c>
      <c r="H190" s="4"/>
      <c r="I190" s="4"/>
      <c r="J190" s="4"/>
      <c r="K190" s="4"/>
      <c r="L190" s="4"/>
    </row>
    <row r="191" ht="15.0" customHeight="1">
      <c r="A191" s="4"/>
      <c r="B191" s="4"/>
      <c r="C191" s="65" t="str">
        <f>IFERROR(VLOOKUP(B191,'📦 Maestro Productos'!$A:$B,2,0),"")</f>
        <v/>
      </c>
      <c r="D191" s="4"/>
      <c r="E191" s="4"/>
      <c r="F191" s="4"/>
      <c r="G191" s="66" t="str">
        <f t="shared" si="2"/>
        <v/>
      </c>
      <c r="H191" s="4"/>
      <c r="I191" s="4"/>
      <c r="J191" s="4"/>
      <c r="K191" s="4"/>
      <c r="L191" s="4"/>
    </row>
    <row r="192" ht="15.0" customHeight="1">
      <c r="A192" s="4"/>
      <c r="B192" s="4"/>
      <c r="C192" s="63" t="str">
        <f>IFERROR(VLOOKUP(B192,'📦 Maestro Productos'!$A:$B,2,0),"")</f>
        <v/>
      </c>
      <c r="D192" s="4"/>
      <c r="E192" s="4"/>
      <c r="F192" s="4"/>
      <c r="G192" s="64" t="str">
        <f t="shared" si="2"/>
        <v/>
      </c>
      <c r="H192" s="4"/>
      <c r="I192" s="4"/>
      <c r="J192" s="4"/>
      <c r="K192" s="4"/>
      <c r="L192" s="4"/>
    </row>
    <row r="193" ht="15.0" customHeight="1">
      <c r="A193" s="4"/>
      <c r="B193" s="4"/>
      <c r="C193" s="65" t="str">
        <f>IFERROR(VLOOKUP(B193,'📦 Maestro Productos'!$A:$B,2,0),"")</f>
        <v/>
      </c>
      <c r="D193" s="4"/>
      <c r="E193" s="4"/>
      <c r="F193" s="4"/>
      <c r="G193" s="66" t="str">
        <f t="shared" si="2"/>
        <v/>
      </c>
      <c r="H193" s="4"/>
      <c r="I193" s="4"/>
      <c r="J193" s="4"/>
      <c r="K193" s="4"/>
      <c r="L193" s="4"/>
    </row>
    <row r="194" ht="15.0" customHeight="1">
      <c r="A194" s="4"/>
      <c r="B194" s="4"/>
      <c r="C194" s="63" t="str">
        <f>IFERROR(VLOOKUP(B194,'📦 Maestro Productos'!$A:$B,2,0),"")</f>
        <v/>
      </c>
      <c r="D194" s="4"/>
      <c r="E194" s="4"/>
      <c r="F194" s="4"/>
      <c r="G194" s="64" t="str">
        <f t="shared" si="2"/>
        <v/>
      </c>
      <c r="H194" s="4"/>
      <c r="I194" s="4"/>
      <c r="J194" s="4"/>
      <c r="K194" s="4"/>
      <c r="L194" s="4"/>
    </row>
    <row r="195" ht="15.0" customHeight="1">
      <c r="A195" s="4"/>
      <c r="B195" s="4"/>
      <c r="C195" s="65" t="str">
        <f>IFERROR(VLOOKUP(B195,'📦 Maestro Productos'!$A:$B,2,0),"")</f>
        <v/>
      </c>
      <c r="D195" s="4"/>
      <c r="E195" s="4"/>
      <c r="F195" s="4"/>
      <c r="G195" s="66" t="str">
        <f t="shared" si="2"/>
        <v/>
      </c>
      <c r="H195" s="4"/>
      <c r="I195" s="4"/>
      <c r="J195" s="4"/>
      <c r="K195" s="4"/>
      <c r="L195" s="4"/>
    </row>
    <row r="196" ht="15.0" customHeight="1">
      <c r="A196" s="4"/>
      <c r="B196" s="4"/>
      <c r="C196" s="63" t="str">
        <f>IFERROR(VLOOKUP(B196,'📦 Maestro Productos'!$A:$B,2,0),"")</f>
        <v/>
      </c>
      <c r="D196" s="4"/>
      <c r="E196" s="4"/>
      <c r="F196" s="4"/>
      <c r="G196" s="64" t="str">
        <f t="shared" si="2"/>
        <v/>
      </c>
      <c r="H196" s="4"/>
      <c r="I196" s="4"/>
      <c r="J196" s="4"/>
      <c r="K196" s="4"/>
      <c r="L196" s="4"/>
    </row>
    <row r="197" ht="15.0" customHeight="1">
      <c r="A197" s="4"/>
      <c r="B197" s="4"/>
      <c r="C197" s="65" t="str">
        <f>IFERROR(VLOOKUP(B197,'📦 Maestro Productos'!$A:$B,2,0),"")</f>
        <v/>
      </c>
      <c r="D197" s="4"/>
      <c r="E197" s="4"/>
      <c r="F197" s="4"/>
      <c r="G197" s="66" t="str">
        <f t="shared" si="2"/>
        <v/>
      </c>
      <c r="H197" s="4"/>
      <c r="I197" s="4"/>
      <c r="J197" s="4"/>
      <c r="K197" s="4"/>
      <c r="L197" s="4"/>
    </row>
    <row r="198" ht="15.0" customHeight="1">
      <c r="A198" s="4"/>
      <c r="B198" s="4"/>
      <c r="C198" s="63" t="str">
        <f>IFERROR(VLOOKUP(B198,'📦 Maestro Productos'!$A:$B,2,0),"")</f>
        <v/>
      </c>
      <c r="D198" s="4"/>
      <c r="E198" s="4"/>
      <c r="F198" s="4"/>
      <c r="G198" s="64" t="str">
        <f t="shared" si="2"/>
        <v/>
      </c>
      <c r="H198" s="4"/>
      <c r="I198" s="4"/>
      <c r="J198" s="4"/>
      <c r="K198" s="4"/>
      <c r="L198" s="4"/>
    </row>
    <row r="199" ht="15.0" customHeight="1">
      <c r="A199" s="4"/>
      <c r="B199" s="4"/>
      <c r="C199" s="65" t="str">
        <f>IFERROR(VLOOKUP(B199,'📦 Maestro Productos'!$A:$B,2,0),"")</f>
        <v/>
      </c>
      <c r="D199" s="4"/>
      <c r="E199" s="4"/>
      <c r="F199" s="4"/>
      <c r="G199" s="66" t="str">
        <f t="shared" si="2"/>
        <v/>
      </c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2">
    <mergeCell ref="A1:L1"/>
    <mergeCell ref="A2:L2"/>
  </mergeCells>
  <dataValidations>
    <dataValidation type="list" allowBlank="1" sqref="D4:D500">
      <formula1>"Compra Proveedor,Devolución Obra,Ajuste Inventario,Transferencia Almacén,Otro"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35.0"/>
    <col customWidth="1" min="4" max="4" width="22.0"/>
    <col customWidth="1" min="5" max="5" width="10.0"/>
    <col customWidth="1" min="6" max="7" width="17.0"/>
    <col customWidth="1" min="8" max="8" width="12.0"/>
    <col customWidth="1" min="9" max="9" width="30.0"/>
    <col customWidth="1" min="10" max="10" width="22.0"/>
    <col customWidth="1" min="11" max="11" width="14.0"/>
    <col customWidth="1" min="12" max="12" width="30.0"/>
    <col customWidth="1" min="13" max="26" width="8.71"/>
  </cols>
  <sheetData>
    <row r="1" ht="31.5" customHeight="1">
      <c r="A1" s="67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46" t="s">
        <v>80</v>
      </c>
    </row>
    <row r="3" ht="30.0" customHeight="1">
      <c r="A3" s="68" t="s">
        <v>37</v>
      </c>
      <c r="B3" s="68" t="s">
        <v>38</v>
      </c>
      <c r="C3" s="68" t="s">
        <v>11</v>
      </c>
      <c r="D3" s="68" t="s">
        <v>81</v>
      </c>
      <c r="E3" s="68" t="s">
        <v>40</v>
      </c>
      <c r="F3" s="68" t="s">
        <v>82</v>
      </c>
      <c r="G3" s="68" t="s">
        <v>42</v>
      </c>
      <c r="H3" s="68" t="s">
        <v>43</v>
      </c>
      <c r="I3" s="68" t="s">
        <v>83</v>
      </c>
      <c r="J3" s="68" t="s">
        <v>84</v>
      </c>
      <c r="K3" s="68" t="s">
        <v>46</v>
      </c>
      <c r="L3" s="68" t="s">
        <v>47</v>
      </c>
    </row>
    <row r="4" ht="15.0" customHeight="1">
      <c r="A4" s="27" t="s">
        <v>85</v>
      </c>
      <c r="B4" s="27" t="s">
        <v>49</v>
      </c>
      <c r="C4" s="49" t="str">
        <f>IFERROR(VLOOKUP(B4,'📦 Maestro Productos'!$A:$B,2,0),"")</f>
        <v>Panel Solar Monocristalino 400W</v>
      </c>
      <c r="D4" s="27" t="s">
        <v>86</v>
      </c>
      <c r="E4" s="27">
        <v>10.0</v>
      </c>
      <c r="F4" s="57">
        <v>295.0</v>
      </c>
      <c r="G4" s="57">
        <f t="shared" ref="G4:G11" si="1">E4*F4</f>
        <v>2950</v>
      </c>
      <c r="H4" s="58">
        <v>45675.0</v>
      </c>
      <c r="I4" s="49" t="s">
        <v>87</v>
      </c>
      <c r="J4" s="27" t="s">
        <v>88</v>
      </c>
      <c r="K4" s="27" t="s">
        <v>89</v>
      </c>
      <c r="L4" s="49" t="s">
        <v>90</v>
      </c>
    </row>
    <row r="5" ht="15.0" customHeight="1">
      <c r="A5" s="69" t="s">
        <v>91</v>
      </c>
      <c r="B5" s="69" t="s">
        <v>56</v>
      </c>
      <c r="C5" s="70" t="str">
        <f>IFERROR(VLOOKUP(B5,'📦 Maestro Productos'!$A:$B,2,0),"")</f>
        <v>Inversor Monofásico 3kW</v>
      </c>
      <c r="D5" s="69" t="s">
        <v>86</v>
      </c>
      <c r="E5" s="69">
        <v>2.0</v>
      </c>
      <c r="F5" s="71">
        <v>1350.0</v>
      </c>
      <c r="G5" s="71">
        <f t="shared" si="1"/>
        <v>2700</v>
      </c>
      <c r="H5" s="72">
        <v>45675.0</v>
      </c>
      <c r="I5" s="70" t="s">
        <v>87</v>
      </c>
      <c r="J5" s="69" t="s">
        <v>88</v>
      </c>
      <c r="K5" s="69" t="s">
        <v>89</v>
      </c>
      <c r="L5" s="70"/>
    </row>
    <row r="6" ht="15.0" customHeight="1">
      <c r="A6" s="27" t="s">
        <v>92</v>
      </c>
      <c r="B6" s="27" t="s">
        <v>93</v>
      </c>
      <c r="C6" s="49" t="str">
        <f>IFERROR(VLOOKUP(B6,'📦 Maestro Productos'!$A:$B,2,0),"")</f>
        <v>Estructura Tejado Inclinado (kit)</v>
      </c>
      <c r="D6" s="27" t="s">
        <v>86</v>
      </c>
      <c r="E6" s="27">
        <v>10.0</v>
      </c>
      <c r="F6" s="57">
        <v>210.0</v>
      </c>
      <c r="G6" s="57">
        <f t="shared" si="1"/>
        <v>2100</v>
      </c>
      <c r="H6" s="58">
        <v>45675.0</v>
      </c>
      <c r="I6" s="49" t="s">
        <v>87</v>
      </c>
      <c r="J6" s="27" t="s">
        <v>88</v>
      </c>
      <c r="K6" s="27" t="s">
        <v>89</v>
      </c>
      <c r="L6" s="49"/>
    </row>
    <row r="7" ht="15.0" customHeight="1">
      <c r="A7" s="69" t="s">
        <v>94</v>
      </c>
      <c r="B7" s="69" t="s">
        <v>64</v>
      </c>
      <c r="C7" s="70" t="str">
        <f>IFERROR(VLOOKUP(B7,'📦 Maestro Productos'!$A:$B,2,0),"")</f>
        <v>Aerotermia 8kW Monobloc</v>
      </c>
      <c r="D7" s="69" t="s">
        <v>86</v>
      </c>
      <c r="E7" s="69">
        <v>1.0</v>
      </c>
      <c r="F7" s="71">
        <v>3200.0</v>
      </c>
      <c r="G7" s="71">
        <f t="shared" si="1"/>
        <v>3200</v>
      </c>
      <c r="H7" s="72">
        <v>45682.0</v>
      </c>
      <c r="I7" s="70" t="s">
        <v>95</v>
      </c>
      <c r="J7" s="69" t="s">
        <v>96</v>
      </c>
      <c r="K7" s="69" t="s">
        <v>97</v>
      </c>
      <c r="L7" s="70" t="s">
        <v>98</v>
      </c>
    </row>
    <row r="8" ht="15.0" customHeight="1">
      <c r="A8" s="27" t="s">
        <v>99</v>
      </c>
      <c r="B8" s="27" t="s">
        <v>100</v>
      </c>
      <c r="C8" s="49" t="str">
        <f>IFERROR(VLOOKUP(B8,'📦 Maestro Productos'!$A:$B,2,0),"")</f>
        <v>Caldera Gas Condensación 24kW</v>
      </c>
      <c r="D8" s="27" t="s">
        <v>86</v>
      </c>
      <c r="E8" s="27">
        <v>2.0</v>
      </c>
      <c r="F8" s="57">
        <v>1250.0</v>
      </c>
      <c r="G8" s="57">
        <f t="shared" si="1"/>
        <v>2500</v>
      </c>
      <c r="H8" s="58">
        <v>45685.0</v>
      </c>
      <c r="I8" s="49" t="s">
        <v>101</v>
      </c>
      <c r="J8" s="27" t="s">
        <v>102</v>
      </c>
      <c r="K8" s="27" t="s">
        <v>89</v>
      </c>
      <c r="L8" s="49"/>
    </row>
    <row r="9" ht="15.0" customHeight="1">
      <c r="A9" s="69" t="s">
        <v>103</v>
      </c>
      <c r="B9" s="69" t="s">
        <v>60</v>
      </c>
      <c r="C9" s="70" t="str">
        <f>IFERROR(VLOOKUP(B9,'📦 Maestro Productos'!$A:$B,2,0),"")</f>
        <v>Panel Solar Monocristalino 450W</v>
      </c>
      <c r="D9" s="69" t="s">
        <v>86</v>
      </c>
      <c r="E9" s="69">
        <v>15.0</v>
      </c>
      <c r="F9" s="71">
        <v>340.0</v>
      </c>
      <c r="G9" s="71">
        <f t="shared" si="1"/>
        <v>5100</v>
      </c>
      <c r="H9" s="72">
        <v>45693.0</v>
      </c>
      <c r="I9" s="70" t="s">
        <v>104</v>
      </c>
      <c r="J9" s="69" t="s">
        <v>105</v>
      </c>
      <c r="K9" s="69" t="s">
        <v>97</v>
      </c>
      <c r="L9" s="70" t="s">
        <v>106</v>
      </c>
    </row>
    <row r="10" ht="15.0" customHeight="1">
      <c r="A10" s="27" t="s">
        <v>107</v>
      </c>
      <c r="B10" s="27" t="s">
        <v>108</v>
      </c>
      <c r="C10" s="49" t="str">
        <f>IFERROR(VLOOKUP(B10,'📦 Maestro Productos'!$A:$B,2,0),"")</f>
        <v>Inversor Monofásico 5kW</v>
      </c>
      <c r="D10" s="27" t="s">
        <v>109</v>
      </c>
      <c r="E10" s="27">
        <v>1.0</v>
      </c>
      <c r="F10" s="57">
        <v>1580.0</v>
      </c>
      <c r="G10" s="57">
        <f t="shared" si="1"/>
        <v>1580</v>
      </c>
      <c r="H10" s="58">
        <v>45696.0</v>
      </c>
      <c r="I10" s="49" t="s">
        <v>110</v>
      </c>
      <c r="J10" s="27" t="s">
        <v>111</v>
      </c>
      <c r="K10" s="27" t="s">
        <v>53</v>
      </c>
      <c r="L10" s="49" t="s">
        <v>112</v>
      </c>
    </row>
    <row r="11" ht="15.0" customHeight="1">
      <c r="A11" s="69" t="s">
        <v>113</v>
      </c>
      <c r="B11" s="69" t="s">
        <v>70</v>
      </c>
      <c r="C11" s="70" t="str">
        <f>IFERROR(VLOOKUP(B11,'📦 Maestro Productos'!$A:$B,2,0),"")</f>
        <v>Cable Solar 4mm² (m)</v>
      </c>
      <c r="D11" s="69" t="s">
        <v>86</v>
      </c>
      <c r="E11" s="69">
        <v>250.0</v>
      </c>
      <c r="F11" s="71">
        <v>1.6</v>
      </c>
      <c r="G11" s="71">
        <f t="shared" si="1"/>
        <v>400</v>
      </c>
      <c r="H11" s="72">
        <v>45698.0</v>
      </c>
      <c r="I11" s="70" t="s">
        <v>104</v>
      </c>
      <c r="J11" s="69" t="s">
        <v>105</v>
      </c>
      <c r="K11" s="69" t="s">
        <v>89</v>
      </c>
      <c r="L11" s="70"/>
    </row>
    <row r="12" ht="15.0" customHeight="1">
      <c r="A12" s="4"/>
      <c r="B12" s="4"/>
      <c r="C12" s="63" t="str">
        <f>IFERROR(VLOOKUP(B12,'📦 Maestro Productos'!$A:$B,2,0),"")</f>
        <v/>
      </c>
      <c r="D12" s="4"/>
      <c r="E12" s="4"/>
      <c r="F12" s="4"/>
      <c r="G12" s="64" t="str">
        <f t="shared" ref="G12:G499" si="2">IF(E12="","",E12*F12)</f>
        <v/>
      </c>
      <c r="H12" s="4"/>
      <c r="I12" s="4"/>
      <c r="J12" s="4"/>
      <c r="K12" s="4"/>
      <c r="L12" s="4"/>
    </row>
    <row r="13" ht="15.0" customHeight="1">
      <c r="A13" s="4"/>
      <c r="B13" s="4"/>
      <c r="C13" s="73" t="str">
        <f>IFERROR(VLOOKUP(B13,'📦 Maestro Productos'!$A:$B,2,0),"")</f>
        <v/>
      </c>
      <c r="D13" s="4"/>
      <c r="E13" s="4"/>
      <c r="F13" s="4"/>
      <c r="G13" s="74" t="str">
        <f t="shared" si="2"/>
        <v/>
      </c>
      <c r="H13" s="4"/>
      <c r="I13" s="4"/>
      <c r="J13" s="4"/>
      <c r="K13" s="4"/>
      <c r="L13" s="4"/>
    </row>
    <row r="14" ht="15.0" customHeight="1">
      <c r="A14" s="4"/>
      <c r="B14" s="4"/>
      <c r="C14" s="63" t="str">
        <f>IFERROR(VLOOKUP(B14,'📦 Maestro Productos'!$A:$B,2,0),"")</f>
        <v/>
      </c>
      <c r="D14" s="4"/>
      <c r="E14" s="4"/>
      <c r="F14" s="4"/>
      <c r="G14" s="64" t="str">
        <f t="shared" si="2"/>
        <v/>
      </c>
      <c r="H14" s="4"/>
      <c r="I14" s="4"/>
      <c r="J14" s="4"/>
      <c r="K14" s="4"/>
      <c r="L14" s="4"/>
    </row>
    <row r="15" ht="15.0" customHeight="1">
      <c r="A15" s="4"/>
      <c r="B15" s="4"/>
      <c r="C15" s="73" t="str">
        <f>IFERROR(VLOOKUP(B15,'📦 Maestro Productos'!$A:$B,2,0),"")</f>
        <v/>
      </c>
      <c r="D15" s="4"/>
      <c r="E15" s="4"/>
      <c r="F15" s="4"/>
      <c r="G15" s="74" t="str">
        <f t="shared" si="2"/>
        <v/>
      </c>
      <c r="H15" s="4"/>
      <c r="I15" s="4"/>
      <c r="J15" s="4"/>
      <c r="K15" s="4"/>
      <c r="L15" s="4"/>
    </row>
    <row r="16" ht="15.0" customHeight="1">
      <c r="A16" s="4"/>
      <c r="B16" s="4"/>
      <c r="C16" s="63" t="str">
        <f>IFERROR(VLOOKUP(B16,'📦 Maestro Productos'!$A:$B,2,0),"")</f>
        <v/>
      </c>
      <c r="D16" s="4"/>
      <c r="E16" s="4"/>
      <c r="F16" s="4"/>
      <c r="G16" s="64" t="str">
        <f t="shared" si="2"/>
        <v/>
      </c>
      <c r="H16" s="4"/>
      <c r="I16" s="4"/>
      <c r="J16" s="4"/>
      <c r="K16" s="4"/>
      <c r="L16" s="4"/>
    </row>
    <row r="17" ht="15.0" customHeight="1">
      <c r="A17" s="4"/>
      <c r="B17" s="4"/>
      <c r="C17" s="73" t="str">
        <f>IFERROR(VLOOKUP(B17,'📦 Maestro Productos'!$A:$B,2,0),"")</f>
        <v/>
      </c>
      <c r="D17" s="4"/>
      <c r="E17" s="4"/>
      <c r="F17" s="4"/>
      <c r="G17" s="74" t="str">
        <f t="shared" si="2"/>
        <v/>
      </c>
      <c r="H17" s="4"/>
      <c r="I17" s="4"/>
      <c r="J17" s="4"/>
      <c r="K17" s="4"/>
      <c r="L17" s="4"/>
    </row>
    <row r="18" ht="15.0" customHeight="1">
      <c r="A18" s="4"/>
      <c r="B18" s="4"/>
      <c r="C18" s="63" t="str">
        <f>IFERROR(VLOOKUP(B18,'📦 Maestro Productos'!$A:$B,2,0),"")</f>
        <v/>
      </c>
      <c r="D18" s="4"/>
      <c r="E18" s="4"/>
      <c r="F18" s="4"/>
      <c r="G18" s="64" t="str">
        <f t="shared" si="2"/>
        <v/>
      </c>
      <c r="H18" s="4"/>
      <c r="I18" s="4"/>
      <c r="J18" s="4"/>
      <c r="K18" s="4"/>
      <c r="L18" s="4"/>
    </row>
    <row r="19" ht="15.0" customHeight="1">
      <c r="A19" s="4"/>
      <c r="B19" s="4"/>
      <c r="C19" s="73" t="str">
        <f>IFERROR(VLOOKUP(B19,'📦 Maestro Productos'!$A:$B,2,0),"")</f>
        <v/>
      </c>
      <c r="D19" s="4"/>
      <c r="E19" s="4"/>
      <c r="F19" s="4"/>
      <c r="G19" s="74" t="str">
        <f t="shared" si="2"/>
        <v/>
      </c>
      <c r="H19" s="4"/>
      <c r="I19" s="4"/>
      <c r="J19" s="4"/>
      <c r="K19" s="4"/>
      <c r="L19" s="4"/>
    </row>
    <row r="20" ht="15.0" customHeight="1">
      <c r="A20" s="4"/>
      <c r="B20" s="4"/>
      <c r="C20" s="63" t="str">
        <f>IFERROR(VLOOKUP(B20,'📦 Maestro Productos'!$A:$B,2,0),"")</f>
        <v/>
      </c>
      <c r="D20" s="4"/>
      <c r="E20" s="4"/>
      <c r="F20" s="4"/>
      <c r="G20" s="64" t="str">
        <f t="shared" si="2"/>
        <v/>
      </c>
      <c r="H20" s="4"/>
      <c r="I20" s="4"/>
      <c r="J20" s="4"/>
      <c r="K20" s="4"/>
      <c r="L20" s="4"/>
    </row>
    <row r="21" ht="15.0" customHeight="1">
      <c r="A21" s="4"/>
      <c r="B21" s="4"/>
      <c r="C21" s="73" t="str">
        <f>IFERROR(VLOOKUP(B21,'📦 Maestro Productos'!$A:$B,2,0),"")</f>
        <v/>
      </c>
      <c r="D21" s="4"/>
      <c r="E21" s="4"/>
      <c r="F21" s="4"/>
      <c r="G21" s="74" t="str">
        <f t="shared" si="2"/>
        <v/>
      </c>
      <c r="H21" s="4"/>
      <c r="I21" s="4"/>
      <c r="J21" s="4"/>
      <c r="K21" s="4"/>
      <c r="L21" s="4"/>
    </row>
    <row r="22" ht="15.0" customHeight="1">
      <c r="A22" s="4"/>
      <c r="B22" s="4"/>
      <c r="C22" s="63" t="str">
        <f>IFERROR(VLOOKUP(B22,'📦 Maestro Productos'!$A:$B,2,0),"")</f>
        <v/>
      </c>
      <c r="D22" s="4"/>
      <c r="E22" s="4"/>
      <c r="F22" s="4"/>
      <c r="G22" s="64" t="str">
        <f t="shared" si="2"/>
        <v/>
      </c>
      <c r="H22" s="4"/>
      <c r="I22" s="4"/>
      <c r="J22" s="4"/>
      <c r="K22" s="4"/>
      <c r="L22" s="4"/>
    </row>
    <row r="23" ht="15.0" customHeight="1">
      <c r="A23" s="4"/>
      <c r="B23" s="4"/>
      <c r="C23" s="73" t="str">
        <f>IFERROR(VLOOKUP(B23,'📦 Maestro Productos'!$A:$B,2,0),"")</f>
        <v/>
      </c>
      <c r="D23" s="4"/>
      <c r="E23" s="4"/>
      <c r="F23" s="4"/>
      <c r="G23" s="74" t="str">
        <f t="shared" si="2"/>
        <v/>
      </c>
      <c r="H23" s="4"/>
      <c r="I23" s="4"/>
      <c r="J23" s="4"/>
      <c r="K23" s="4"/>
      <c r="L23" s="4"/>
    </row>
    <row r="24" ht="15.0" customHeight="1">
      <c r="A24" s="4"/>
      <c r="B24" s="4"/>
      <c r="C24" s="63" t="str">
        <f>IFERROR(VLOOKUP(B24,'📦 Maestro Productos'!$A:$B,2,0),"")</f>
        <v/>
      </c>
      <c r="D24" s="4"/>
      <c r="E24" s="4"/>
      <c r="F24" s="4"/>
      <c r="G24" s="64" t="str">
        <f t="shared" si="2"/>
        <v/>
      </c>
      <c r="H24" s="4"/>
      <c r="I24" s="4"/>
      <c r="J24" s="4"/>
      <c r="K24" s="4"/>
      <c r="L24" s="4"/>
    </row>
    <row r="25" ht="15.0" customHeight="1">
      <c r="A25" s="4"/>
      <c r="B25" s="4"/>
      <c r="C25" s="73" t="str">
        <f>IFERROR(VLOOKUP(B25,'📦 Maestro Productos'!$A:$B,2,0),"")</f>
        <v/>
      </c>
      <c r="D25" s="4"/>
      <c r="E25" s="4"/>
      <c r="F25" s="4"/>
      <c r="G25" s="74" t="str">
        <f t="shared" si="2"/>
        <v/>
      </c>
      <c r="H25" s="4"/>
      <c r="I25" s="4"/>
      <c r="J25" s="4"/>
      <c r="K25" s="4"/>
      <c r="L25" s="4"/>
    </row>
    <row r="26" ht="15.0" customHeight="1">
      <c r="A26" s="4"/>
      <c r="B26" s="4"/>
      <c r="C26" s="63" t="str">
        <f>IFERROR(VLOOKUP(B26,'📦 Maestro Productos'!$A:$B,2,0),"")</f>
        <v/>
      </c>
      <c r="D26" s="4"/>
      <c r="E26" s="4"/>
      <c r="F26" s="4"/>
      <c r="G26" s="64" t="str">
        <f t="shared" si="2"/>
        <v/>
      </c>
      <c r="H26" s="4"/>
      <c r="I26" s="4"/>
      <c r="J26" s="4"/>
      <c r="K26" s="4"/>
      <c r="L26" s="4"/>
    </row>
    <row r="27" ht="15.0" customHeight="1">
      <c r="A27" s="4"/>
      <c r="B27" s="4"/>
      <c r="C27" s="73" t="str">
        <f>IFERROR(VLOOKUP(B27,'📦 Maestro Productos'!$A:$B,2,0),"")</f>
        <v/>
      </c>
      <c r="D27" s="4"/>
      <c r="E27" s="4"/>
      <c r="F27" s="4"/>
      <c r="G27" s="74" t="str">
        <f t="shared" si="2"/>
        <v/>
      </c>
      <c r="H27" s="4"/>
      <c r="I27" s="4"/>
      <c r="J27" s="4"/>
      <c r="K27" s="4"/>
      <c r="L27" s="4"/>
    </row>
    <row r="28" ht="15.0" customHeight="1">
      <c r="A28" s="4"/>
      <c r="B28" s="4"/>
      <c r="C28" s="63" t="str">
        <f>IFERROR(VLOOKUP(B28,'📦 Maestro Productos'!$A:$B,2,0),"")</f>
        <v/>
      </c>
      <c r="D28" s="4"/>
      <c r="E28" s="4"/>
      <c r="F28" s="4"/>
      <c r="G28" s="64" t="str">
        <f t="shared" si="2"/>
        <v/>
      </c>
      <c r="H28" s="4"/>
      <c r="I28" s="4"/>
      <c r="J28" s="4"/>
      <c r="K28" s="4"/>
      <c r="L28" s="4"/>
    </row>
    <row r="29" ht="15.0" customHeight="1">
      <c r="A29" s="4"/>
      <c r="B29" s="4"/>
      <c r="C29" s="73" t="str">
        <f>IFERROR(VLOOKUP(B29,'📦 Maestro Productos'!$A:$B,2,0),"")</f>
        <v/>
      </c>
      <c r="D29" s="4"/>
      <c r="E29" s="4"/>
      <c r="F29" s="4"/>
      <c r="G29" s="74" t="str">
        <f t="shared" si="2"/>
        <v/>
      </c>
      <c r="H29" s="4"/>
      <c r="I29" s="4"/>
      <c r="J29" s="4"/>
      <c r="K29" s="4"/>
      <c r="L29" s="4"/>
    </row>
    <row r="30" ht="15.0" customHeight="1">
      <c r="A30" s="4"/>
      <c r="B30" s="4"/>
      <c r="C30" s="63" t="str">
        <f>IFERROR(VLOOKUP(B30,'📦 Maestro Productos'!$A:$B,2,0),"")</f>
        <v/>
      </c>
      <c r="D30" s="4"/>
      <c r="E30" s="4"/>
      <c r="F30" s="4"/>
      <c r="G30" s="64" t="str">
        <f t="shared" si="2"/>
        <v/>
      </c>
      <c r="H30" s="4"/>
      <c r="I30" s="4"/>
      <c r="J30" s="4"/>
      <c r="K30" s="4"/>
      <c r="L30" s="4"/>
    </row>
    <row r="31" ht="15.0" customHeight="1">
      <c r="A31" s="4"/>
      <c r="B31" s="4"/>
      <c r="C31" s="73" t="str">
        <f>IFERROR(VLOOKUP(B31,'📦 Maestro Productos'!$A:$B,2,0),"")</f>
        <v/>
      </c>
      <c r="D31" s="4"/>
      <c r="E31" s="4"/>
      <c r="F31" s="4"/>
      <c r="G31" s="74" t="str">
        <f t="shared" si="2"/>
        <v/>
      </c>
      <c r="H31" s="4"/>
      <c r="I31" s="4"/>
      <c r="J31" s="4"/>
      <c r="K31" s="4"/>
      <c r="L31" s="4"/>
    </row>
    <row r="32" ht="15.0" customHeight="1">
      <c r="A32" s="4"/>
      <c r="B32" s="4"/>
      <c r="C32" s="63" t="str">
        <f>IFERROR(VLOOKUP(B32,'📦 Maestro Productos'!$A:$B,2,0),"")</f>
        <v/>
      </c>
      <c r="D32" s="4"/>
      <c r="E32" s="4"/>
      <c r="F32" s="4"/>
      <c r="G32" s="64" t="str">
        <f t="shared" si="2"/>
        <v/>
      </c>
      <c r="H32" s="4"/>
      <c r="I32" s="4"/>
      <c r="J32" s="4"/>
      <c r="K32" s="4"/>
      <c r="L32" s="4"/>
    </row>
    <row r="33" ht="15.0" customHeight="1">
      <c r="A33" s="4"/>
      <c r="B33" s="4"/>
      <c r="C33" s="73" t="str">
        <f>IFERROR(VLOOKUP(B33,'📦 Maestro Productos'!$A:$B,2,0),"")</f>
        <v/>
      </c>
      <c r="D33" s="4"/>
      <c r="E33" s="4"/>
      <c r="F33" s="4"/>
      <c r="G33" s="74" t="str">
        <f t="shared" si="2"/>
        <v/>
      </c>
      <c r="H33" s="4"/>
      <c r="I33" s="4"/>
      <c r="J33" s="4"/>
      <c r="K33" s="4"/>
      <c r="L33" s="4"/>
    </row>
    <row r="34" ht="15.0" customHeight="1">
      <c r="A34" s="4"/>
      <c r="B34" s="4"/>
      <c r="C34" s="63" t="str">
        <f>IFERROR(VLOOKUP(B34,'📦 Maestro Productos'!$A:$B,2,0),"")</f>
        <v/>
      </c>
      <c r="D34" s="4"/>
      <c r="E34" s="4"/>
      <c r="F34" s="4"/>
      <c r="G34" s="64" t="str">
        <f t="shared" si="2"/>
        <v/>
      </c>
      <c r="H34" s="4"/>
      <c r="I34" s="4"/>
      <c r="J34" s="4"/>
      <c r="K34" s="4"/>
      <c r="L34" s="4"/>
    </row>
    <row r="35" ht="15.0" customHeight="1">
      <c r="A35" s="4"/>
      <c r="B35" s="4"/>
      <c r="C35" s="73" t="str">
        <f>IFERROR(VLOOKUP(B35,'📦 Maestro Productos'!$A:$B,2,0),"")</f>
        <v/>
      </c>
      <c r="D35" s="4"/>
      <c r="E35" s="4"/>
      <c r="F35" s="4"/>
      <c r="G35" s="74" t="str">
        <f t="shared" si="2"/>
        <v/>
      </c>
      <c r="H35" s="4"/>
      <c r="I35" s="4"/>
      <c r="J35" s="4"/>
      <c r="K35" s="4"/>
      <c r="L35" s="4"/>
    </row>
    <row r="36" ht="15.0" customHeight="1">
      <c r="A36" s="4"/>
      <c r="B36" s="4"/>
      <c r="C36" s="63" t="str">
        <f>IFERROR(VLOOKUP(B36,'📦 Maestro Productos'!$A:$B,2,0),"")</f>
        <v/>
      </c>
      <c r="D36" s="4"/>
      <c r="E36" s="4"/>
      <c r="F36" s="4"/>
      <c r="G36" s="64" t="str">
        <f t="shared" si="2"/>
        <v/>
      </c>
      <c r="H36" s="4"/>
      <c r="I36" s="4"/>
      <c r="J36" s="4"/>
      <c r="K36" s="4"/>
      <c r="L36" s="4"/>
    </row>
    <row r="37" ht="15.0" customHeight="1">
      <c r="A37" s="4"/>
      <c r="B37" s="4"/>
      <c r="C37" s="73" t="str">
        <f>IFERROR(VLOOKUP(B37,'📦 Maestro Productos'!$A:$B,2,0),"")</f>
        <v/>
      </c>
      <c r="D37" s="4"/>
      <c r="E37" s="4"/>
      <c r="F37" s="4"/>
      <c r="G37" s="74" t="str">
        <f t="shared" si="2"/>
        <v/>
      </c>
      <c r="H37" s="4"/>
      <c r="I37" s="4"/>
      <c r="J37" s="4"/>
      <c r="K37" s="4"/>
      <c r="L37" s="4"/>
    </row>
    <row r="38" ht="15.0" customHeight="1">
      <c r="A38" s="4"/>
      <c r="B38" s="4"/>
      <c r="C38" s="63" t="str">
        <f>IFERROR(VLOOKUP(B38,'📦 Maestro Productos'!$A:$B,2,0),"")</f>
        <v/>
      </c>
      <c r="D38" s="4"/>
      <c r="E38" s="4"/>
      <c r="F38" s="4"/>
      <c r="G38" s="64" t="str">
        <f t="shared" si="2"/>
        <v/>
      </c>
      <c r="H38" s="4"/>
      <c r="I38" s="4"/>
      <c r="J38" s="4"/>
      <c r="K38" s="4"/>
      <c r="L38" s="4"/>
    </row>
    <row r="39" ht="15.0" customHeight="1">
      <c r="A39" s="4"/>
      <c r="B39" s="4"/>
      <c r="C39" s="73" t="str">
        <f>IFERROR(VLOOKUP(B39,'📦 Maestro Productos'!$A:$B,2,0),"")</f>
        <v/>
      </c>
      <c r="D39" s="4"/>
      <c r="E39" s="4"/>
      <c r="F39" s="4"/>
      <c r="G39" s="74" t="str">
        <f t="shared" si="2"/>
        <v/>
      </c>
      <c r="H39" s="4"/>
      <c r="I39" s="4"/>
      <c r="J39" s="4"/>
      <c r="K39" s="4"/>
      <c r="L39" s="4"/>
    </row>
    <row r="40" ht="15.0" customHeight="1">
      <c r="A40" s="4"/>
      <c r="B40" s="4"/>
      <c r="C40" s="63" t="str">
        <f>IFERROR(VLOOKUP(B40,'📦 Maestro Productos'!$A:$B,2,0),"")</f>
        <v/>
      </c>
      <c r="D40" s="4"/>
      <c r="E40" s="4"/>
      <c r="F40" s="4"/>
      <c r="G40" s="64" t="str">
        <f t="shared" si="2"/>
        <v/>
      </c>
      <c r="H40" s="4"/>
      <c r="I40" s="4"/>
      <c r="J40" s="4"/>
      <c r="K40" s="4"/>
      <c r="L40" s="4"/>
    </row>
    <row r="41" ht="15.0" customHeight="1">
      <c r="A41" s="4"/>
      <c r="B41" s="4"/>
      <c r="C41" s="73" t="str">
        <f>IFERROR(VLOOKUP(B41,'📦 Maestro Productos'!$A:$B,2,0),"")</f>
        <v/>
      </c>
      <c r="D41" s="4"/>
      <c r="E41" s="4"/>
      <c r="F41" s="4"/>
      <c r="G41" s="74" t="str">
        <f t="shared" si="2"/>
        <v/>
      </c>
      <c r="H41" s="4"/>
      <c r="I41" s="4"/>
      <c r="J41" s="4"/>
      <c r="K41" s="4"/>
      <c r="L41" s="4"/>
    </row>
    <row r="42" ht="15.0" customHeight="1">
      <c r="A42" s="4"/>
      <c r="B42" s="4"/>
      <c r="C42" s="63" t="str">
        <f>IFERROR(VLOOKUP(B42,'📦 Maestro Productos'!$A:$B,2,0),"")</f>
        <v/>
      </c>
      <c r="D42" s="4"/>
      <c r="E42" s="4"/>
      <c r="F42" s="4"/>
      <c r="G42" s="64" t="str">
        <f t="shared" si="2"/>
        <v/>
      </c>
      <c r="H42" s="4"/>
      <c r="I42" s="4"/>
      <c r="J42" s="4"/>
      <c r="K42" s="4"/>
      <c r="L42" s="4"/>
    </row>
    <row r="43" ht="15.0" customHeight="1">
      <c r="A43" s="4"/>
      <c r="B43" s="4"/>
      <c r="C43" s="73" t="str">
        <f>IFERROR(VLOOKUP(B43,'📦 Maestro Productos'!$A:$B,2,0),"")</f>
        <v/>
      </c>
      <c r="D43" s="4"/>
      <c r="E43" s="4"/>
      <c r="F43" s="4"/>
      <c r="G43" s="74" t="str">
        <f t="shared" si="2"/>
        <v/>
      </c>
      <c r="H43" s="4"/>
      <c r="I43" s="4"/>
      <c r="J43" s="4"/>
      <c r="K43" s="4"/>
      <c r="L43" s="4"/>
    </row>
    <row r="44" ht="15.0" customHeight="1">
      <c r="A44" s="4"/>
      <c r="B44" s="4"/>
      <c r="C44" s="63" t="str">
        <f>IFERROR(VLOOKUP(B44,'📦 Maestro Productos'!$A:$B,2,0),"")</f>
        <v/>
      </c>
      <c r="D44" s="4"/>
      <c r="E44" s="4"/>
      <c r="F44" s="4"/>
      <c r="G44" s="64" t="str">
        <f t="shared" si="2"/>
        <v/>
      </c>
      <c r="H44" s="4"/>
      <c r="I44" s="4"/>
      <c r="J44" s="4"/>
      <c r="K44" s="4"/>
      <c r="L44" s="4"/>
    </row>
    <row r="45" ht="15.0" customHeight="1">
      <c r="A45" s="4"/>
      <c r="B45" s="4"/>
      <c r="C45" s="73" t="str">
        <f>IFERROR(VLOOKUP(B45,'📦 Maestro Productos'!$A:$B,2,0),"")</f>
        <v/>
      </c>
      <c r="D45" s="4"/>
      <c r="E45" s="4"/>
      <c r="F45" s="4"/>
      <c r="G45" s="74" t="str">
        <f t="shared" si="2"/>
        <v/>
      </c>
      <c r="H45" s="4"/>
      <c r="I45" s="4"/>
      <c r="J45" s="4"/>
      <c r="K45" s="4"/>
      <c r="L45" s="4"/>
    </row>
    <row r="46" ht="15.0" customHeight="1">
      <c r="A46" s="4"/>
      <c r="B46" s="4"/>
      <c r="C46" s="63" t="str">
        <f>IFERROR(VLOOKUP(B46,'📦 Maestro Productos'!$A:$B,2,0),"")</f>
        <v/>
      </c>
      <c r="D46" s="4"/>
      <c r="E46" s="4"/>
      <c r="F46" s="4"/>
      <c r="G46" s="64" t="str">
        <f t="shared" si="2"/>
        <v/>
      </c>
      <c r="H46" s="4"/>
      <c r="I46" s="4"/>
      <c r="J46" s="4"/>
      <c r="K46" s="4"/>
      <c r="L46" s="4"/>
    </row>
    <row r="47" ht="15.0" customHeight="1">
      <c r="A47" s="4"/>
      <c r="B47" s="4"/>
      <c r="C47" s="73" t="str">
        <f>IFERROR(VLOOKUP(B47,'📦 Maestro Productos'!$A:$B,2,0),"")</f>
        <v/>
      </c>
      <c r="D47" s="4"/>
      <c r="E47" s="4"/>
      <c r="F47" s="4"/>
      <c r="G47" s="74" t="str">
        <f t="shared" si="2"/>
        <v/>
      </c>
      <c r="H47" s="4"/>
      <c r="I47" s="4"/>
      <c r="J47" s="4"/>
      <c r="K47" s="4"/>
      <c r="L47" s="4"/>
    </row>
    <row r="48" ht="15.0" customHeight="1">
      <c r="A48" s="4"/>
      <c r="B48" s="4"/>
      <c r="C48" s="63" t="str">
        <f>IFERROR(VLOOKUP(B48,'📦 Maestro Productos'!$A:$B,2,0),"")</f>
        <v/>
      </c>
      <c r="D48" s="4"/>
      <c r="E48" s="4"/>
      <c r="F48" s="4"/>
      <c r="G48" s="64" t="str">
        <f t="shared" si="2"/>
        <v/>
      </c>
      <c r="H48" s="4"/>
      <c r="I48" s="4"/>
      <c r="J48" s="4"/>
      <c r="K48" s="4"/>
      <c r="L48" s="4"/>
    </row>
    <row r="49" ht="15.0" customHeight="1">
      <c r="A49" s="4"/>
      <c r="B49" s="4"/>
      <c r="C49" s="73" t="str">
        <f>IFERROR(VLOOKUP(B49,'📦 Maestro Productos'!$A:$B,2,0),"")</f>
        <v/>
      </c>
      <c r="D49" s="4"/>
      <c r="E49" s="4"/>
      <c r="F49" s="4"/>
      <c r="G49" s="74" t="str">
        <f t="shared" si="2"/>
        <v/>
      </c>
      <c r="H49" s="4"/>
      <c r="I49" s="4"/>
      <c r="J49" s="4"/>
      <c r="K49" s="4"/>
      <c r="L49" s="4"/>
    </row>
    <row r="50" ht="15.0" customHeight="1">
      <c r="A50" s="4"/>
      <c r="B50" s="4"/>
      <c r="C50" s="63" t="str">
        <f>IFERROR(VLOOKUP(B50,'📦 Maestro Productos'!$A:$B,2,0),"")</f>
        <v/>
      </c>
      <c r="D50" s="4"/>
      <c r="E50" s="4"/>
      <c r="F50" s="4"/>
      <c r="G50" s="64" t="str">
        <f t="shared" si="2"/>
        <v/>
      </c>
      <c r="H50" s="4"/>
      <c r="I50" s="4"/>
      <c r="J50" s="4"/>
      <c r="K50" s="4"/>
      <c r="L50" s="4"/>
    </row>
    <row r="51" ht="15.0" customHeight="1">
      <c r="A51" s="4"/>
      <c r="B51" s="4"/>
      <c r="C51" s="73" t="str">
        <f>IFERROR(VLOOKUP(B51,'📦 Maestro Productos'!$A:$B,2,0),"")</f>
        <v/>
      </c>
      <c r="D51" s="4"/>
      <c r="E51" s="4"/>
      <c r="F51" s="4"/>
      <c r="G51" s="74" t="str">
        <f t="shared" si="2"/>
        <v/>
      </c>
      <c r="H51" s="4"/>
      <c r="I51" s="4"/>
      <c r="J51" s="4"/>
      <c r="K51" s="4"/>
      <c r="L51" s="4"/>
    </row>
    <row r="52" ht="15.0" customHeight="1">
      <c r="A52" s="4"/>
      <c r="B52" s="4"/>
      <c r="C52" s="63" t="str">
        <f>IFERROR(VLOOKUP(B52,'📦 Maestro Productos'!$A:$B,2,0),"")</f>
        <v/>
      </c>
      <c r="D52" s="4"/>
      <c r="E52" s="4"/>
      <c r="F52" s="4"/>
      <c r="G52" s="64" t="str">
        <f t="shared" si="2"/>
        <v/>
      </c>
      <c r="H52" s="4"/>
      <c r="I52" s="4"/>
      <c r="J52" s="4"/>
      <c r="K52" s="4"/>
      <c r="L52" s="4"/>
    </row>
    <row r="53" ht="15.0" customHeight="1">
      <c r="A53" s="4"/>
      <c r="B53" s="4"/>
      <c r="C53" s="73" t="str">
        <f>IFERROR(VLOOKUP(B53,'📦 Maestro Productos'!$A:$B,2,0),"")</f>
        <v/>
      </c>
      <c r="D53" s="4"/>
      <c r="E53" s="4"/>
      <c r="F53" s="4"/>
      <c r="G53" s="74" t="str">
        <f t="shared" si="2"/>
        <v/>
      </c>
      <c r="H53" s="4"/>
      <c r="I53" s="4"/>
      <c r="J53" s="4"/>
      <c r="K53" s="4"/>
      <c r="L53" s="4"/>
    </row>
    <row r="54" ht="15.0" customHeight="1">
      <c r="A54" s="4"/>
      <c r="B54" s="4"/>
      <c r="C54" s="63" t="str">
        <f>IFERROR(VLOOKUP(B54,'📦 Maestro Productos'!$A:$B,2,0),"")</f>
        <v/>
      </c>
      <c r="D54" s="4"/>
      <c r="E54" s="4"/>
      <c r="F54" s="4"/>
      <c r="G54" s="64" t="str">
        <f t="shared" si="2"/>
        <v/>
      </c>
      <c r="H54" s="4"/>
      <c r="I54" s="4"/>
      <c r="J54" s="4"/>
      <c r="K54" s="4"/>
      <c r="L54" s="4"/>
    </row>
    <row r="55" ht="15.0" customHeight="1">
      <c r="A55" s="4"/>
      <c r="B55" s="4"/>
      <c r="C55" s="73" t="str">
        <f>IFERROR(VLOOKUP(B55,'📦 Maestro Productos'!$A:$B,2,0),"")</f>
        <v/>
      </c>
      <c r="D55" s="4"/>
      <c r="E55" s="4"/>
      <c r="F55" s="4"/>
      <c r="G55" s="74" t="str">
        <f t="shared" si="2"/>
        <v/>
      </c>
      <c r="H55" s="4"/>
      <c r="I55" s="4"/>
      <c r="J55" s="4"/>
      <c r="K55" s="4"/>
      <c r="L55" s="4"/>
    </row>
    <row r="56" ht="15.0" customHeight="1">
      <c r="A56" s="4"/>
      <c r="B56" s="4"/>
      <c r="C56" s="63" t="str">
        <f>IFERROR(VLOOKUP(B56,'📦 Maestro Productos'!$A:$B,2,0),"")</f>
        <v/>
      </c>
      <c r="D56" s="4"/>
      <c r="E56" s="4"/>
      <c r="F56" s="4"/>
      <c r="G56" s="64" t="str">
        <f t="shared" si="2"/>
        <v/>
      </c>
      <c r="H56" s="4"/>
      <c r="I56" s="4"/>
      <c r="J56" s="4"/>
      <c r="K56" s="4"/>
      <c r="L56" s="4"/>
    </row>
    <row r="57" ht="15.0" customHeight="1">
      <c r="A57" s="4"/>
      <c r="B57" s="4"/>
      <c r="C57" s="73" t="str">
        <f>IFERROR(VLOOKUP(B57,'📦 Maestro Productos'!$A:$B,2,0),"")</f>
        <v/>
      </c>
      <c r="D57" s="4"/>
      <c r="E57" s="4"/>
      <c r="F57" s="4"/>
      <c r="G57" s="74" t="str">
        <f t="shared" si="2"/>
        <v/>
      </c>
      <c r="H57" s="4"/>
      <c r="I57" s="4"/>
      <c r="J57" s="4"/>
      <c r="K57" s="4"/>
      <c r="L57" s="4"/>
    </row>
    <row r="58" ht="15.0" customHeight="1">
      <c r="A58" s="4"/>
      <c r="B58" s="4"/>
      <c r="C58" s="63" t="str">
        <f>IFERROR(VLOOKUP(B58,'📦 Maestro Productos'!$A:$B,2,0),"")</f>
        <v/>
      </c>
      <c r="D58" s="4"/>
      <c r="E58" s="4"/>
      <c r="F58" s="4"/>
      <c r="G58" s="64" t="str">
        <f t="shared" si="2"/>
        <v/>
      </c>
      <c r="H58" s="4"/>
      <c r="I58" s="4"/>
      <c r="J58" s="4"/>
      <c r="K58" s="4"/>
      <c r="L58" s="4"/>
    </row>
    <row r="59" ht="15.0" customHeight="1">
      <c r="A59" s="4"/>
      <c r="B59" s="4"/>
      <c r="C59" s="73" t="str">
        <f>IFERROR(VLOOKUP(B59,'📦 Maestro Productos'!$A:$B,2,0),"")</f>
        <v/>
      </c>
      <c r="D59" s="4"/>
      <c r="E59" s="4"/>
      <c r="F59" s="4"/>
      <c r="G59" s="74" t="str">
        <f t="shared" si="2"/>
        <v/>
      </c>
      <c r="H59" s="4"/>
      <c r="I59" s="4"/>
      <c r="J59" s="4"/>
      <c r="K59" s="4"/>
      <c r="L59" s="4"/>
    </row>
    <row r="60" ht="15.0" customHeight="1">
      <c r="A60" s="4"/>
      <c r="B60" s="4"/>
      <c r="C60" s="63" t="str">
        <f>IFERROR(VLOOKUP(B60,'📦 Maestro Productos'!$A:$B,2,0),"")</f>
        <v/>
      </c>
      <c r="D60" s="4"/>
      <c r="E60" s="4"/>
      <c r="F60" s="4"/>
      <c r="G60" s="64" t="str">
        <f t="shared" si="2"/>
        <v/>
      </c>
      <c r="H60" s="4"/>
      <c r="I60" s="4"/>
      <c r="J60" s="4"/>
      <c r="K60" s="4"/>
      <c r="L60" s="4"/>
    </row>
    <row r="61" ht="15.0" customHeight="1">
      <c r="A61" s="4"/>
      <c r="B61" s="4"/>
      <c r="C61" s="73" t="str">
        <f>IFERROR(VLOOKUP(B61,'📦 Maestro Productos'!$A:$B,2,0),"")</f>
        <v/>
      </c>
      <c r="D61" s="4"/>
      <c r="E61" s="4"/>
      <c r="F61" s="4"/>
      <c r="G61" s="74" t="str">
        <f t="shared" si="2"/>
        <v/>
      </c>
      <c r="H61" s="4"/>
      <c r="I61" s="4"/>
      <c r="J61" s="4"/>
      <c r="K61" s="4"/>
      <c r="L61" s="4"/>
    </row>
    <row r="62" ht="15.0" customHeight="1">
      <c r="A62" s="4"/>
      <c r="B62" s="4"/>
      <c r="C62" s="63" t="str">
        <f>IFERROR(VLOOKUP(B62,'📦 Maestro Productos'!$A:$B,2,0),"")</f>
        <v/>
      </c>
      <c r="D62" s="4"/>
      <c r="E62" s="4"/>
      <c r="F62" s="4"/>
      <c r="G62" s="64" t="str">
        <f t="shared" si="2"/>
        <v/>
      </c>
      <c r="H62" s="4"/>
      <c r="I62" s="4"/>
      <c r="J62" s="4"/>
      <c r="K62" s="4"/>
      <c r="L62" s="4"/>
    </row>
    <row r="63" ht="15.0" customHeight="1">
      <c r="A63" s="4"/>
      <c r="B63" s="4"/>
      <c r="C63" s="73" t="str">
        <f>IFERROR(VLOOKUP(B63,'📦 Maestro Productos'!$A:$B,2,0),"")</f>
        <v/>
      </c>
      <c r="D63" s="4"/>
      <c r="E63" s="4"/>
      <c r="F63" s="4"/>
      <c r="G63" s="74" t="str">
        <f t="shared" si="2"/>
        <v/>
      </c>
      <c r="H63" s="4"/>
      <c r="I63" s="4"/>
      <c r="J63" s="4"/>
      <c r="K63" s="4"/>
      <c r="L63" s="4"/>
    </row>
    <row r="64" ht="15.0" customHeight="1">
      <c r="A64" s="4"/>
      <c r="B64" s="4"/>
      <c r="C64" s="63" t="str">
        <f>IFERROR(VLOOKUP(B64,'📦 Maestro Productos'!$A:$B,2,0),"")</f>
        <v/>
      </c>
      <c r="D64" s="4"/>
      <c r="E64" s="4"/>
      <c r="F64" s="4"/>
      <c r="G64" s="64" t="str">
        <f t="shared" si="2"/>
        <v/>
      </c>
      <c r="H64" s="4"/>
      <c r="I64" s="4"/>
      <c r="J64" s="4"/>
      <c r="K64" s="4"/>
      <c r="L64" s="4"/>
    </row>
    <row r="65" ht="15.0" customHeight="1">
      <c r="A65" s="4"/>
      <c r="B65" s="4"/>
      <c r="C65" s="73" t="str">
        <f>IFERROR(VLOOKUP(B65,'📦 Maestro Productos'!$A:$B,2,0),"")</f>
        <v/>
      </c>
      <c r="D65" s="4"/>
      <c r="E65" s="4"/>
      <c r="F65" s="4"/>
      <c r="G65" s="74" t="str">
        <f t="shared" si="2"/>
        <v/>
      </c>
      <c r="H65" s="4"/>
      <c r="I65" s="4"/>
      <c r="J65" s="4"/>
      <c r="K65" s="4"/>
      <c r="L65" s="4"/>
    </row>
    <row r="66" ht="15.0" customHeight="1">
      <c r="A66" s="4"/>
      <c r="B66" s="4"/>
      <c r="C66" s="63" t="str">
        <f>IFERROR(VLOOKUP(B66,'📦 Maestro Productos'!$A:$B,2,0),"")</f>
        <v/>
      </c>
      <c r="D66" s="4"/>
      <c r="E66" s="4"/>
      <c r="F66" s="4"/>
      <c r="G66" s="64" t="str">
        <f t="shared" si="2"/>
        <v/>
      </c>
      <c r="H66" s="4"/>
      <c r="I66" s="4"/>
      <c r="J66" s="4"/>
      <c r="K66" s="4"/>
      <c r="L66" s="4"/>
    </row>
    <row r="67" ht="15.0" customHeight="1">
      <c r="A67" s="4"/>
      <c r="B67" s="4"/>
      <c r="C67" s="73" t="str">
        <f>IFERROR(VLOOKUP(B67,'📦 Maestro Productos'!$A:$B,2,0),"")</f>
        <v/>
      </c>
      <c r="D67" s="4"/>
      <c r="E67" s="4"/>
      <c r="F67" s="4"/>
      <c r="G67" s="74" t="str">
        <f t="shared" si="2"/>
        <v/>
      </c>
      <c r="H67" s="4"/>
      <c r="I67" s="4"/>
      <c r="J67" s="4"/>
      <c r="K67" s="4"/>
      <c r="L67" s="4"/>
    </row>
    <row r="68" ht="15.0" customHeight="1">
      <c r="A68" s="4"/>
      <c r="B68" s="4"/>
      <c r="C68" s="63" t="str">
        <f>IFERROR(VLOOKUP(B68,'📦 Maestro Productos'!$A:$B,2,0),"")</f>
        <v/>
      </c>
      <c r="D68" s="4"/>
      <c r="E68" s="4"/>
      <c r="F68" s="4"/>
      <c r="G68" s="64" t="str">
        <f t="shared" si="2"/>
        <v/>
      </c>
      <c r="H68" s="4"/>
      <c r="I68" s="4"/>
      <c r="J68" s="4"/>
      <c r="K68" s="4"/>
      <c r="L68" s="4"/>
    </row>
    <row r="69" ht="15.0" customHeight="1">
      <c r="A69" s="4"/>
      <c r="B69" s="4"/>
      <c r="C69" s="73" t="str">
        <f>IFERROR(VLOOKUP(B69,'📦 Maestro Productos'!$A:$B,2,0),"")</f>
        <v/>
      </c>
      <c r="D69" s="4"/>
      <c r="E69" s="4"/>
      <c r="F69" s="4"/>
      <c r="G69" s="74" t="str">
        <f t="shared" si="2"/>
        <v/>
      </c>
      <c r="H69" s="4"/>
      <c r="I69" s="4"/>
      <c r="J69" s="4"/>
      <c r="K69" s="4"/>
      <c r="L69" s="4"/>
    </row>
    <row r="70" ht="15.0" customHeight="1">
      <c r="A70" s="4"/>
      <c r="B70" s="4"/>
      <c r="C70" s="63" t="str">
        <f>IFERROR(VLOOKUP(B70,'📦 Maestro Productos'!$A:$B,2,0),"")</f>
        <v/>
      </c>
      <c r="D70" s="4"/>
      <c r="E70" s="4"/>
      <c r="F70" s="4"/>
      <c r="G70" s="64" t="str">
        <f t="shared" si="2"/>
        <v/>
      </c>
      <c r="H70" s="4"/>
      <c r="I70" s="4"/>
      <c r="J70" s="4"/>
      <c r="K70" s="4"/>
      <c r="L70" s="4"/>
    </row>
    <row r="71" ht="15.0" customHeight="1">
      <c r="A71" s="4"/>
      <c r="B71" s="4"/>
      <c r="C71" s="73" t="str">
        <f>IFERROR(VLOOKUP(B71,'📦 Maestro Productos'!$A:$B,2,0),"")</f>
        <v/>
      </c>
      <c r="D71" s="4"/>
      <c r="E71" s="4"/>
      <c r="F71" s="4"/>
      <c r="G71" s="74" t="str">
        <f t="shared" si="2"/>
        <v/>
      </c>
      <c r="H71" s="4"/>
      <c r="I71" s="4"/>
      <c r="J71" s="4"/>
      <c r="K71" s="4"/>
      <c r="L71" s="4"/>
    </row>
    <row r="72" ht="15.0" customHeight="1">
      <c r="A72" s="4"/>
      <c r="B72" s="4"/>
      <c r="C72" s="63" t="str">
        <f>IFERROR(VLOOKUP(B72,'📦 Maestro Productos'!$A:$B,2,0),"")</f>
        <v/>
      </c>
      <c r="D72" s="4"/>
      <c r="E72" s="4"/>
      <c r="F72" s="4"/>
      <c r="G72" s="64" t="str">
        <f t="shared" si="2"/>
        <v/>
      </c>
      <c r="H72" s="4"/>
      <c r="I72" s="4"/>
      <c r="J72" s="4"/>
      <c r="K72" s="4"/>
      <c r="L72" s="4"/>
    </row>
    <row r="73" ht="15.0" customHeight="1">
      <c r="A73" s="4"/>
      <c r="B73" s="4"/>
      <c r="C73" s="73" t="str">
        <f>IFERROR(VLOOKUP(B73,'📦 Maestro Productos'!$A:$B,2,0),"")</f>
        <v/>
      </c>
      <c r="D73" s="4"/>
      <c r="E73" s="4"/>
      <c r="F73" s="4"/>
      <c r="G73" s="74" t="str">
        <f t="shared" si="2"/>
        <v/>
      </c>
      <c r="H73" s="4"/>
      <c r="I73" s="4"/>
      <c r="J73" s="4"/>
      <c r="K73" s="4"/>
      <c r="L73" s="4"/>
    </row>
    <row r="74" ht="15.0" customHeight="1">
      <c r="A74" s="4"/>
      <c r="B74" s="4"/>
      <c r="C74" s="63" t="str">
        <f>IFERROR(VLOOKUP(B74,'📦 Maestro Productos'!$A:$B,2,0),"")</f>
        <v/>
      </c>
      <c r="D74" s="4"/>
      <c r="E74" s="4"/>
      <c r="F74" s="4"/>
      <c r="G74" s="64" t="str">
        <f t="shared" si="2"/>
        <v/>
      </c>
      <c r="H74" s="4"/>
      <c r="I74" s="4"/>
      <c r="J74" s="4"/>
      <c r="K74" s="4"/>
      <c r="L74" s="4"/>
    </row>
    <row r="75" ht="15.0" customHeight="1">
      <c r="A75" s="4"/>
      <c r="B75" s="4"/>
      <c r="C75" s="73" t="str">
        <f>IFERROR(VLOOKUP(B75,'📦 Maestro Productos'!$A:$B,2,0),"")</f>
        <v/>
      </c>
      <c r="D75" s="4"/>
      <c r="E75" s="4"/>
      <c r="F75" s="4"/>
      <c r="G75" s="74" t="str">
        <f t="shared" si="2"/>
        <v/>
      </c>
      <c r="H75" s="4"/>
      <c r="I75" s="4"/>
      <c r="J75" s="4"/>
      <c r="K75" s="4"/>
      <c r="L75" s="4"/>
    </row>
    <row r="76" ht="15.0" customHeight="1">
      <c r="A76" s="4"/>
      <c r="B76" s="4"/>
      <c r="C76" s="63" t="str">
        <f>IFERROR(VLOOKUP(B76,'📦 Maestro Productos'!$A:$B,2,0),"")</f>
        <v/>
      </c>
      <c r="D76" s="4"/>
      <c r="E76" s="4"/>
      <c r="F76" s="4"/>
      <c r="G76" s="64" t="str">
        <f t="shared" si="2"/>
        <v/>
      </c>
      <c r="H76" s="4"/>
      <c r="I76" s="4"/>
      <c r="J76" s="4"/>
      <c r="K76" s="4"/>
      <c r="L76" s="4"/>
    </row>
    <row r="77" ht="15.0" customHeight="1">
      <c r="A77" s="4"/>
      <c r="B77" s="4"/>
      <c r="C77" s="73" t="str">
        <f>IFERROR(VLOOKUP(B77,'📦 Maestro Productos'!$A:$B,2,0),"")</f>
        <v/>
      </c>
      <c r="D77" s="4"/>
      <c r="E77" s="4"/>
      <c r="F77" s="4"/>
      <c r="G77" s="74" t="str">
        <f t="shared" si="2"/>
        <v/>
      </c>
      <c r="H77" s="4"/>
      <c r="I77" s="4"/>
      <c r="J77" s="4"/>
      <c r="K77" s="4"/>
      <c r="L77" s="4"/>
    </row>
    <row r="78" ht="15.0" customHeight="1">
      <c r="A78" s="4"/>
      <c r="B78" s="4"/>
      <c r="C78" s="63" t="str">
        <f>IFERROR(VLOOKUP(B78,'📦 Maestro Productos'!$A:$B,2,0),"")</f>
        <v/>
      </c>
      <c r="D78" s="4"/>
      <c r="E78" s="4"/>
      <c r="F78" s="4"/>
      <c r="G78" s="64" t="str">
        <f t="shared" si="2"/>
        <v/>
      </c>
      <c r="H78" s="4"/>
      <c r="I78" s="4"/>
      <c r="J78" s="4"/>
      <c r="K78" s="4"/>
      <c r="L78" s="4"/>
    </row>
    <row r="79" ht="15.0" customHeight="1">
      <c r="A79" s="4"/>
      <c r="B79" s="4"/>
      <c r="C79" s="73" t="str">
        <f>IFERROR(VLOOKUP(B79,'📦 Maestro Productos'!$A:$B,2,0),"")</f>
        <v/>
      </c>
      <c r="D79" s="4"/>
      <c r="E79" s="4"/>
      <c r="F79" s="4"/>
      <c r="G79" s="74" t="str">
        <f t="shared" si="2"/>
        <v/>
      </c>
      <c r="H79" s="4"/>
      <c r="I79" s="4"/>
      <c r="J79" s="4"/>
      <c r="K79" s="4"/>
      <c r="L79" s="4"/>
    </row>
    <row r="80" ht="15.0" customHeight="1">
      <c r="A80" s="4"/>
      <c r="B80" s="4"/>
      <c r="C80" s="63" t="str">
        <f>IFERROR(VLOOKUP(B80,'📦 Maestro Productos'!$A:$B,2,0),"")</f>
        <v/>
      </c>
      <c r="D80" s="4"/>
      <c r="E80" s="4"/>
      <c r="F80" s="4"/>
      <c r="G80" s="64" t="str">
        <f t="shared" si="2"/>
        <v/>
      </c>
      <c r="H80" s="4"/>
      <c r="I80" s="4"/>
      <c r="J80" s="4"/>
      <c r="K80" s="4"/>
      <c r="L80" s="4"/>
    </row>
    <row r="81" ht="15.0" customHeight="1">
      <c r="A81" s="4"/>
      <c r="B81" s="4"/>
      <c r="C81" s="73" t="str">
        <f>IFERROR(VLOOKUP(B81,'📦 Maestro Productos'!$A:$B,2,0),"")</f>
        <v/>
      </c>
      <c r="D81" s="4"/>
      <c r="E81" s="4"/>
      <c r="F81" s="4"/>
      <c r="G81" s="74" t="str">
        <f t="shared" si="2"/>
        <v/>
      </c>
      <c r="H81" s="4"/>
      <c r="I81" s="4"/>
      <c r="J81" s="4"/>
      <c r="K81" s="4"/>
      <c r="L81" s="4"/>
    </row>
    <row r="82" ht="15.0" customHeight="1">
      <c r="A82" s="4"/>
      <c r="B82" s="4"/>
      <c r="C82" s="63" t="str">
        <f>IFERROR(VLOOKUP(B82,'📦 Maestro Productos'!$A:$B,2,0),"")</f>
        <v/>
      </c>
      <c r="D82" s="4"/>
      <c r="E82" s="4"/>
      <c r="F82" s="4"/>
      <c r="G82" s="64" t="str">
        <f t="shared" si="2"/>
        <v/>
      </c>
      <c r="H82" s="4"/>
      <c r="I82" s="4"/>
      <c r="J82" s="4"/>
      <c r="K82" s="4"/>
      <c r="L82" s="4"/>
    </row>
    <row r="83" ht="15.0" customHeight="1">
      <c r="A83" s="4"/>
      <c r="B83" s="4"/>
      <c r="C83" s="73" t="str">
        <f>IFERROR(VLOOKUP(B83,'📦 Maestro Productos'!$A:$B,2,0),"")</f>
        <v/>
      </c>
      <c r="D83" s="4"/>
      <c r="E83" s="4"/>
      <c r="F83" s="4"/>
      <c r="G83" s="74" t="str">
        <f t="shared" si="2"/>
        <v/>
      </c>
      <c r="H83" s="4"/>
      <c r="I83" s="4"/>
      <c r="J83" s="4"/>
      <c r="K83" s="4"/>
      <c r="L83" s="4"/>
    </row>
    <row r="84" ht="15.0" customHeight="1">
      <c r="A84" s="4"/>
      <c r="B84" s="4"/>
      <c r="C84" s="63" t="str">
        <f>IFERROR(VLOOKUP(B84,'📦 Maestro Productos'!$A:$B,2,0),"")</f>
        <v/>
      </c>
      <c r="D84" s="4"/>
      <c r="E84" s="4"/>
      <c r="F84" s="4"/>
      <c r="G84" s="64" t="str">
        <f t="shared" si="2"/>
        <v/>
      </c>
      <c r="H84" s="4"/>
      <c r="I84" s="4"/>
      <c r="J84" s="4"/>
      <c r="K84" s="4"/>
      <c r="L84" s="4"/>
    </row>
    <row r="85" ht="15.0" customHeight="1">
      <c r="A85" s="4"/>
      <c r="B85" s="4"/>
      <c r="C85" s="73" t="str">
        <f>IFERROR(VLOOKUP(B85,'📦 Maestro Productos'!$A:$B,2,0),"")</f>
        <v/>
      </c>
      <c r="D85" s="4"/>
      <c r="E85" s="4"/>
      <c r="F85" s="4"/>
      <c r="G85" s="74" t="str">
        <f t="shared" si="2"/>
        <v/>
      </c>
      <c r="H85" s="4"/>
      <c r="I85" s="4"/>
      <c r="J85" s="4"/>
      <c r="K85" s="4"/>
      <c r="L85" s="4"/>
    </row>
    <row r="86" ht="15.0" customHeight="1">
      <c r="A86" s="4"/>
      <c r="B86" s="4"/>
      <c r="C86" s="63" t="str">
        <f>IFERROR(VLOOKUP(B86,'📦 Maestro Productos'!$A:$B,2,0),"")</f>
        <v/>
      </c>
      <c r="D86" s="4"/>
      <c r="E86" s="4"/>
      <c r="F86" s="4"/>
      <c r="G86" s="64" t="str">
        <f t="shared" si="2"/>
        <v/>
      </c>
      <c r="H86" s="4"/>
      <c r="I86" s="4"/>
      <c r="J86" s="4"/>
      <c r="K86" s="4"/>
      <c r="L86" s="4"/>
    </row>
    <row r="87" ht="15.0" customHeight="1">
      <c r="A87" s="4"/>
      <c r="B87" s="4"/>
      <c r="C87" s="73" t="str">
        <f>IFERROR(VLOOKUP(B87,'📦 Maestro Productos'!$A:$B,2,0),"")</f>
        <v/>
      </c>
      <c r="D87" s="4"/>
      <c r="E87" s="4"/>
      <c r="F87" s="4"/>
      <c r="G87" s="74" t="str">
        <f t="shared" si="2"/>
        <v/>
      </c>
      <c r="H87" s="4"/>
      <c r="I87" s="4"/>
      <c r="J87" s="4"/>
      <c r="K87" s="4"/>
      <c r="L87" s="4"/>
    </row>
    <row r="88" ht="15.0" customHeight="1">
      <c r="A88" s="4"/>
      <c r="B88" s="4"/>
      <c r="C88" s="63" t="str">
        <f>IFERROR(VLOOKUP(B88,'📦 Maestro Productos'!$A:$B,2,0),"")</f>
        <v/>
      </c>
      <c r="D88" s="4"/>
      <c r="E88" s="4"/>
      <c r="F88" s="4"/>
      <c r="G88" s="64" t="str">
        <f t="shared" si="2"/>
        <v/>
      </c>
      <c r="H88" s="4"/>
      <c r="I88" s="4"/>
      <c r="J88" s="4"/>
      <c r="K88" s="4"/>
      <c r="L88" s="4"/>
    </row>
    <row r="89" ht="15.0" customHeight="1">
      <c r="A89" s="4"/>
      <c r="B89" s="4"/>
      <c r="C89" s="73" t="str">
        <f>IFERROR(VLOOKUP(B89,'📦 Maestro Productos'!$A:$B,2,0),"")</f>
        <v/>
      </c>
      <c r="D89" s="4"/>
      <c r="E89" s="4"/>
      <c r="F89" s="4"/>
      <c r="G89" s="74" t="str">
        <f t="shared" si="2"/>
        <v/>
      </c>
      <c r="H89" s="4"/>
      <c r="I89" s="4"/>
      <c r="J89" s="4"/>
      <c r="K89" s="4"/>
      <c r="L89" s="4"/>
    </row>
    <row r="90" ht="15.0" customHeight="1">
      <c r="A90" s="4"/>
      <c r="B90" s="4"/>
      <c r="C90" s="63" t="str">
        <f>IFERROR(VLOOKUP(B90,'📦 Maestro Productos'!$A:$B,2,0),"")</f>
        <v/>
      </c>
      <c r="D90" s="4"/>
      <c r="E90" s="4"/>
      <c r="F90" s="4"/>
      <c r="G90" s="64" t="str">
        <f t="shared" si="2"/>
        <v/>
      </c>
      <c r="H90" s="4"/>
      <c r="I90" s="4"/>
      <c r="J90" s="4"/>
      <c r="K90" s="4"/>
      <c r="L90" s="4"/>
    </row>
    <row r="91" ht="15.0" customHeight="1">
      <c r="A91" s="4"/>
      <c r="B91" s="4"/>
      <c r="C91" s="73" t="str">
        <f>IFERROR(VLOOKUP(B91,'📦 Maestro Productos'!$A:$B,2,0),"")</f>
        <v/>
      </c>
      <c r="D91" s="4"/>
      <c r="E91" s="4"/>
      <c r="F91" s="4"/>
      <c r="G91" s="74" t="str">
        <f t="shared" si="2"/>
        <v/>
      </c>
      <c r="H91" s="4"/>
      <c r="I91" s="4"/>
      <c r="J91" s="4"/>
      <c r="K91" s="4"/>
      <c r="L91" s="4"/>
    </row>
    <row r="92" ht="15.0" customHeight="1">
      <c r="A92" s="4"/>
      <c r="B92" s="4"/>
      <c r="C92" s="63" t="str">
        <f>IFERROR(VLOOKUP(B92,'📦 Maestro Productos'!$A:$B,2,0),"")</f>
        <v/>
      </c>
      <c r="D92" s="4"/>
      <c r="E92" s="4"/>
      <c r="F92" s="4"/>
      <c r="G92" s="64" t="str">
        <f t="shared" si="2"/>
        <v/>
      </c>
      <c r="H92" s="4"/>
      <c r="I92" s="4"/>
      <c r="J92" s="4"/>
      <c r="K92" s="4"/>
      <c r="L92" s="4"/>
    </row>
    <row r="93" ht="15.0" customHeight="1">
      <c r="A93" s="4"/>
      <c r="B93" s="4"/>
      <c r="C93" s="73" t="str">
        <f>IFERROR(VLOOKUP(B93,'📦 Maestro Productos'!$A:$B,2,0),"")</f>
        <v/>
      </c>
      <c r="D93" s="4"/>
      <c r="E93" s="4"/>
      <c r="F93" s="4"/>
      <c r="G93" s="74" t="str">
        <f t="shared" si="2"/>
        <v/>
      </c>
      <c r="H93" s="4"/>
      <c r="I93" s="4"/>
      <c r="J93" s="4"/>
      <c r="K93" s="4"/>
      <c r="L93" s="4"/>
    </row>
    <row r="94" ht="15.0" customHeight="1">
      <c r="A94" s="4"/>
      <c r="B94" s="4"/>
      <c r="C94" s="63" t="str">
        <f>IFERROR(VLOOKUP(B94,'📦 Maestro Productos'!$A:$B,2,0),"")</f>
        <v/>
      </c>
      <c r="D94" s="4"/>
      <c r="E94" s="4"/>
      <c r="F94" s="4"/>
      <c r="G94" s="64" t="str">
        <f t="shared" si="2"/>
        <v/>
      </c>
      <c r="H94" s="4"/>
      <c r="I94" s="4"/>
      <c r="J94" s="4"/>
      <c r="K94" s="4"/>
      <c r="L94" s="4"/>
    </row>
    <row r="95" ht="15.0" customHeight="1">
      <c r="A95" s="4"/>
      <c r="B95" s="4"/>
      <c r="C95" s="73" t="str">
        <f>IFERROR(VLOOKUP(B95,'📦 Maestro Productos'!$A:$B,2,0),"")</f>
        <v/>
      </c>
      <c r="D95" s="4"/>
      <c r="E95" s="4"/>
      <c r="F95" s="4"/>
      <c r="G95" s="74" t="str">
        <f t="shared" si="2"/>
        <v/>
      </c>
      <c r="H95" s="4"/>
      <c r="I95" s="4"/>
      <c r="J95" s="4"/>
      <c r="K95" s="4"/>
      <c r="L95" s="4"/>
    </row>
    <row r="96" ht="15.0" customHeight="1">
      <c r="A96" s="4"/>
      <c r="B96" s="4"/>
      <c r="C96" s="63" t="str">
        <f>IFERROR(VLOOKUP(B96,'📦 Maestro Productos'!$A:$B,2,0),"")</f>
        <v/>
      </c>
      <c r="D96" s="4"/>
      <c r="E96" s="4"/>
      <c r="F96" s="4"/>
      <c r="G96" s="64" t="str">
        <f t="shared" si="2"/>
        <v/>
      </c>
      <c r="H96" s="4"/>
      <c r="I96" s="4"/>
      <c r="J96" s="4"/>
      <c r="K96" s="4"/>
      <c r="L96" s="4"/>
    </row>
    <row r="97" ht="15.0" customHeight="1">
      <c r="A97" s="4"/>
      <c r="B97" s="4"/>
      <c r="C97" s="73" t="str">
        <f>IFERROR(VLOOKUP(B97,'📦 Maestro Productos'!$A:$B,2,0),"")</f>
        <v/>
      </c>
      <c r="D97" s="4"/>
      <c r="E97" s="4"/>
      <c r="F97" s="4"/>
      <c r="G97" s="74" t="str">
        <f t="shared" si="2"/>
        <v/>
      </c>
      <c r="H97" s="4"/>
      <c r="I97" s="4"/>
      <c r="J97" s="4"/>
      <c r="K97" s="4"/>
      <c r="L97" s="4"/>
    </row>
    <row r="98" ht="15.0" customHeight="1">
      <c r="A98" s="4"/>
      <c r="B98" s="4"/>
      <c r="C98" s="63" t="str">
        <f>IFERROR(VLOOKUP(B98,'📦 Maestro Productos'!$A:$B,2,0),"")</f>
        <v/>
      </c>
      <c r="D98" s="4"/>
      <c r="E98" s="4"/>
      <c r="F98" s="4"/>
      <c r="G98" s="64" t="str">
        <f t="shared" si="2"/>
        <v/>
      </c>
      <c r="H98" s="4"/>
      <c r="I98" s="4"/>
      <c r="J98" s="4"/>
      <c r="K98" s="4"/>
      <c r="L98" s="4"/>
    </row>
    <row r="99" ht="15.0" customHeight="1">
      <c r="A99" s="4"/>
      <c r="B99" s="4"/>
      <c r="C99" s="73" t="str">
        <f>IFERROR(VLOOKUP(B99,'📦 Maestro Productos'!$A:$B,2,0),"")</f>
        <v/>
      </c>
      <c r="D99" s="4"/>
      <c r="E99" s="4"/>
      <c r="F99" s="4"/>
      <c r="G99" s="74" t="str">
        <f t="shared" si="2"/>
        <v/>
      </c>
      <c r="H99" s="4"/>
      <c r="I99" s="4"/>
      <c r="J99" s="4"/>
      <c r="K99" s="4"/>
      <c r="L99" s="4"/>
    </row>
    <row r="100" ht="15.0" customHeight="1">
      <c r="A100" s="4"/>
      <c r="B100" s="4"/>
      <c r="C100" s="63" t="str">
        <f>IFERROR(VLOOKUP(B100,'📦 Maestro Productos'!$A:$B,2,0),"")</f>
        <v/>
      </c>
      <c r="D100" s="4"/>
      <c r="E100" s="4"/>
      <c r="F100" s="4"/>
      <c r="G100" s="64" t="str">
        <f t="shared" si="2"/>
        <v/>
      </c>
      <c r="H100" s="4"/>
      <c r="I100" s="4"/>
      <c r="J100" s="4"/>
      <c r="K100" s="4"/>
      <c r="L100" s="4"/>
    </row>
    <row r="101" ht="15.0" customHeight="1">
      <c r="A101" s="4"/>
      <c r="B101" s="4"/>
      <c r="C101" s="73" t="str">
        <f>IFERROR(VLOOKUP(B101,'📦 Maestro Productos'!$A:$B,2,0),"")</f>
        <v/>
      </c>
      <c r="D101" s="4"/>
      <c r="E101" s="4"/>
      <c r="F101" s="4"/>
      <c r="G101" s="74" t="str">
        <f t="shared" si="2"/>
        <v/>
      </c>
      <c r="H101" s="4"/>
      <c r="I101" s="4"/>
      <c r="J101" s="4"/>
      <c r="K101" s="4"/>
      <c r="L101" s="4"/>
    </row>
    <row r="102" ht="15.0" customHeight="1">
      <c r="A102" s="4"/>
      <c r="B102" s="4"/>
      <c r="C102" s="63" t="str">
        <f>IFERROR(VLOOKUP(B102,'📦 Maestro Productos'!$A:$B,2,0),"")</f>
        <v/>
      </c>
      <c r="D102" s="4"/>
      <c r="E102" s="4"/>
      <c r="F102" s="4"/>
      <c r="G102" s="64" t="str">
        <f t="shared" si="2"/>
        <v/>
      </c>
      <c r="H102" s="4"/>
      <c r="I102" s="4"/>
      <c r="J102" s="4"/>
      <c r="K102" s="4"/>
      <c r="L102" s="4"/>
    </row>
    <row r="103" ht="15.0" customHeight="1">
      <c r="A103" s="4"/>
      <c r="B103" s="4"/>
      <c r="C103" s="73" t="str">
        <f>IFERROR(VLOOKUP(B103,'📦 Maestro Productos'!$A:$B,2,0),"")</f>
        <v/>
      </c>
      <c r="D103" s="4"/>
      <c r="E103" s="4"/>
      <c r="F103" s="4"/>
      <c r="G103" s="74" t="str">
        <f t="shared" si="2"/>
        <v/>
      </c>
      <c r="H103" s="4"/>
      <c r="I103" s="4"/>
      <c r="J103" s="4"/>
      <c r="K103" s="4"/>
      <c r="L103" s="4"/>
    </row>
    <row r="104" ht="15.0" customHeight="1">
      <c r="A104" s="4"/>
      <c r="B104" s="4"/>
      <c r="C104" s="63" t="str">
        <f>IFERROR(VLOOKUP(B104,'📦 Maestro Productos'!$A:$B,2,0),"")</f>
        <v/>
      </c>
      <c r="D104" s="4"/>
      <c r="E104" s="4"/>
      <c r="F104" s="4"/>
      <c r="G104" s="64" t="str">
        <f t="shared" si="2"/>
        <v/>
      </c>
      <c r="H104" s="4"/>
      <c r="I104" s="4"/>
      <c r="J104" s="4"/>
      <c r="K104" s="4"/>
      <c r="L104" s="4"/>
    </row>
    <row r="105" ht="15.0" customHeight="1">
      <c r="A105" s="4"/>
      <c r="B105" s="4"/>
      <c r="C105" s="73" t="str">
        <f>IFERROR(VLOOKUP(B105,'📦 Maestro Productos'!$A:$B,2,0),"")</f>
        <v/>
      </c>
      <c r="D105" s="4"/>
      <c r="E105" s="4"/>
      <c r="F105" s="4"/>
      <c r="G105" s="74" t="str">
        <f t="shared" si="2"/>
        <v/>
      </c>
      <c r="H105" s="4"/>
      <c r="I105" s="4"/>
      <c r="J105" s="4"/>
      <c r="K105" s="4"/>
      <c r="L105" s="4"/>
    </row>
    <row r="106" ht="15.0" customHeight="1">
      <c r="A106" s="4"/>
      <c r="B106" s="4"/>
      <c r="C106" s="63" t="str">
        <f>IFERROR(VLOOKUP(B106,'📦 Maestro Productos'!$A:$B,2,0),"")</f>
        <v/>
      </c>
      <c r="D106" s="4"/>
      <c r="E106" s="4"/>
      <c r="F106" s="4"/>
      <c r="G106" s="64" t="str">
        <f t="shared" si="2"/>
        <v/>
      </c>
      <c r="H106" s="4"/>
      <c r="I106" s="4"/>
      <c r="J106" s="4"/>
      <c r="K106" s="4"/>
      <c r="L106" s="4"/>
    </row>
    <row r="107" ht="15.0" customHeight="1">
      <c r="A107" s="4"/>
      <c r="B107" s="4"/>
      <c r="C107" s="73" t="str">
        <f>IFERROR(VLOOKUP(B107,'📦 Maestro Productos'!$A:$B,2,0),"")</f>
        <v/>
      </c>
      <c r="D107" s="4"/>
      <c r="E107" s="4"/>
      <c r="F107" s="4"/>
      <c r="G107" s="74" t="str">
        <f t="shared" si="2"/>
        <v/>
      </c>
      <c r="H107" s="4"/>
      <c r="I107" s="4"/>
      <c r="J107" s="4"/>
      <c r="K107" s="4"/>
      <c r="L107" s="4"/>
    </row>
    <row r="108" ht="15.0" customHeight="1">
      <c r="A108" s="4"/>
      <c r="B108" s="4"/>
      <c r="C108" s="63" t="str">
        <f>IFERROR(VLOOKUP(B108,'📦 Maestro Productos'!$A:$B,2,0),"")</f>
        <v/>
      </c>
      <c r="D108" s="4"/>
      <c r="E108" s="4"/>
      <c r="F108" s="4"/>
      <c r="G108" s="64" t="str">
        <f t="shared" si="2"/>
        <v/>
      </c>
      <c r="H108" s="4"/>
      <c r="I108" s="4"/>
      <c r="J108" s="4"/>
      <c r="K108" s="4"/>
      <c r="L108" s="4"/>
    </row>
    <row r="109" ht="15.0" customHeight="1">
      <c r="A109" s="4"/>
      <c r="B109" s="4"/>
      <c r="C109" s="73" t="str">
        <f>IFERROR(VLOOKUP(B109,'📦 Maestro Productos'!$A:$B,2,0),"")</f>
        <v/>
      </c>
      <c r="D109" s="4"/>
      <c r="E109" s="4"/>
      <c r="F109" s="4"/>
      <c r="G109" s="74" t="str">
        <f t="shared" si="2"/>
        <v/>
      </c>
      <c r="H109" s="4"/>
      <c r="I109" s="4"/>
      <c r="J109" s="4"/>
      <c r="K109" s="4"/>
      <c r="L109" s="4"/>
    </row>
    <row r="110" ht="15.0" customHeight="1">
      <c r="A110" s="4"/>
      <c r="B110" s="4"/>
      <c r="C110" s="63" t="str">
        <f>IFERROR(VLOOKUP(B110,'📦 Maestro Productos'!$A:$B,2,0),"")</f>
        <v/>
      </c>
      <c r="D110" s="4"/>
      <c r="E110" s="4"/>
      <c r="F110" s="4"/>
      <c r="G110" s="64" t="str">
        <f t="shared" si="2"/>
        <v/>
      </c>
      <c r="H110" s="4"/>
      <c r="I110" s="4"/>
      <c r="J110" s="4"/>
      <c r="K110" s="4"/>
      <c r="L110" s="4"/>
    </row>
    <row r="111" ht="15.0" customHeight="1">
      <c r="A111" s="4"/>
      <c r="B111" s="4"/>
      <c r="C111" s="73" t="str">
        <f>IFERROR(VLOOKUP(B111,'📦 Maestro Productos'!$A:$B,2,0),"")</f>
        <v/>
      </c>
      <c r="D111" s="4"/>
      <c r="E111" s="4"/>
      <c r="F111" s="4"/>
      <c r="G111" s="74" t="str">
        <f t="shared" si="2"/>
        <v/>
      </c>
      <c r="H111" s="4"/>
      <c r="I111" s="4"/>
      <c r="J111" s="4"/>
      <c r="K111" s="4"/>
      <c r="L111" s="4"/>
    </row>
    <row r="112" ht="15.0" customHeight="1">
      <c r="A112" s="4"/>
      <c r="B112" s="4"/>
      <c r="C112" s="63" t="str">
        <f>IFERROR(VLOOKUP(B112,'📦 Maestro Productos'!$A:$B,2,0),"")</f>
        <v/>
      </c>
      <c r="D112" s="4"/>
      <c r="E112" s="4"/>
      <c r="F112" s="4"/>
      <c r="G112" s="64" t="str">
        <f t="shared" si="2"/>
        <v/>
      </c>
      <c r="H112" s="4"/>
      <c r="I112" s="4"/>
      <c r="J112" s="4"/>
      <c r="K112" s="4"/>
      <c r="L112" s="4"/>
    </row>
    <row r="113" ht="15.0" customHeight="1">
      <c r="A113" s="4"/>
      <c r="B113" s="4"/>
      <c r="C113" s="73" t="str">
        <f>IFERROR(VLOOKUP(B113,'📦 Maestro Productos'!$A:$B,2,0),"")</f>
        <v/>
      </c>
      <c r="D113" s="4"/>
      <c r="E113" s="4"/>
      <c r="F113" s="4"/>
      <c r="G113" s="74" t="str">
        <f t="shared" si="2"/>
        <v/>
      </c>
      <c r="H113" s="4"/>
      <c r="I113" s="4"/>
      <c r="J113" s="4"/>
      <c r="K113" s="4"/>
      <c r="L113" s="4"/>
    </row>
    <row r="114" ht="15.0" customHeight="1">
      <c r="A114" s="4"/>
      <c r="B114" s="4"/>
      <c r="C114" s="63" t="str">
        <f>IFERROR(VLOOKUP(B114,'📦 Maestro Productos'!$A:$B,2,0),"")</f>
        <v/>
      </c>
      <c r="D114" s="4"/>
      <c r="E114" s="4"/>
      <c r="F114" s="4"/>
      <c r="G114" s="64" t="str">
        <f t="shared" si="2"/>
        <v/>
      </c>
      <c r="H114" s="4"/>
      <c r="I114" s="4"/>
      <c r="J114" s="4"/>
      <c r="K114" s="4"/>
      <c r="L114" s="4"/>
    </row>
    <row r="115" ht="15.0" customHeight="1">
      <c r="A115" s="4"/>
      <c r="B115" s="4"/>
      <c r="C115" s="73" t="str">
        <f>IFERROR(VLOOKUP(B115,'📦 Maestro Productos'!$A:$B,2,0),"")</f>
        <v/>
      </c>
      <c r="D115" s="4"/>
      <c r="E115" s="4"/>
      <c r="F115" s="4"/>
      <c r="G115" s="74" t="str">
        <f t="shared" si="2"/>
        <v/>
      </c>
      <c r="H115" s="4"/>
      <c r="I115" s="4"/>
      <c r="J115" s="4"/>
      <c r="K115" s="4"/>
      <c r="L115" s="4"/>
    </row>
    <row r="116" ht="15.0" customHeight="1">
      <c r="A116" s="4"/>
      <c r="B116" s="4"/>
      <c r="C116" s="63" t="str">
        <f>IFERROR(VLOOKUP(B116,'📦 Maestro Productos'!$A:$B,2,0),"")</f>
        <v/>
      </c>
      <c r="D116" s="4"/>
      <c r="E116" s="4"/>
      <c r="F116" s="4"/>
      <c r="G116" s="64" t="str">
        <f t="shared" si="2"/>
        <v/>
      </c>
      <c r="H116" s="4"/>
      <c r="I116" s="4"/>
      <c r="J116" s="4"/>
      <c r="K116" s="4"/>
      <c r="L116" s="4"/>
    </row>
    <row r="117" ht="15.0" customHeight="1">
      <c r="A117" s="4"/>
      <c r="B117" s="4"/>
      <c r="C117" s="73" t="str">
        <f>IFERROR(VLOOKUP(B117,'📦 Maestro Productos'!$A:$B,2,0),"")</f>
        <v/>
      </c>
      <c r="D117" s="4"/>
      <c r="E117" s="4"/>
      <c r="F117" s="4"/>
      <c r="G117" s="74" t="str">
        <f t="shared" si="2"/>
        <v/>
      </c>
      <c r="H117" s="4"/>
      <c r="I117" s="4"/>
      <c r="J117" s="4"/>
      <c r="K117" s="4"/>
      <c r="L117" s="4"/>
    </row>
    <row r="118" ht="15.0" customHeight="1">
      <c r="A118" s="4"/>
      <c r="B118" s="4"/>
      <c r="C118" s="63" t="str">
        <f>IFERROR(VLOOKUP(B118,'📦 Maestro Productos'!$A:$B,2,0),"")</f>
        <v/>
      </c>
      <c r="D118" s="4"/>
      <c r="E118" s="4"/>
      <c r="F118" s="4"/>
      <c r="G118" s="64" t="str">
        <f t="shared" si="2"/>
        <v/>
      </c>
      <c r="H118" s="4"/>
      <c r="I118" s="4"/>
      <c r="J118" s="4"/>
      <c r="K118" s="4"/>
      <c r="L118" s="4"/>
    </row>
    <row r="119" ht="15.0" customHeight="1">
      <c r="A119" s="4"/>
      <c r="B119" s="4"/>
      <c r="C119" s="73" t="str">
        <f>IFERROR(VLOOKUP(B119,'📦 Maestro Productos'!$A:$B,2,0),"")</f>
        <v/>
      </c>
      <c r="D119" s="4"/>
      <c r="E119" s="4"/>
      <c r="F119" s="4"/>
      <c r="G119" s="74" t="str">
        <f t="shared" si="2"/>
        <v/>
      </c>
      <c r="H119" s="4"/>
      <c r="I119" s="4"/>
      <c r="J119" s="4"/>
      <c r="K119" s="4"/>
      <c r="L119" s="4"/>
    </row>
    <row r="120" ht="15.0" customHeight="1">
      <c r="A120" s="4"/>
      <c r="B120" s="4"/>
      <c r="C120" s="63" t="str">
        <f>IFERROR(VLOOKUP(B120,'📦 Maestro Productos'!$A:$B,2,0),"")</f>
        <v/>
      </c>
      <c r="D120" s="4"/>
      <c r="E120" s="4"/>
      <c r="F120" s="4"/>
      <c r="G120" s="64" t="str">
        <f t="shared" si="2"/>
        <v/>
      </c>
      <c r="H120" s="4"/>
      <c r="I120" s="4"/>
      <c r="J120" s="4"/>
      <c r="K120" s="4"/>
      <c r="L120" s="4"/>
    </row>
    <row r="121" ht="15.0" customHeight="1">
      <c r="A121" s="4"/>
      <c r="B121" s="4"/>
      <c r="C121" s="73" t="str">
        <f>IFERROR(VLOOKUP(B121,'📦 Maestro Productos'!$A:$B,2,0),"")</f>
        <v/>
      </c>
      <c r="D121" s="4"/>
      <c r="E121" s="4"/>
      <c r="F121" s="4"/>
      <c r="G121" s="74" t="str">
        <f t="shared" si="2"/>
        <v/>
      </c>
      <c r="H121" s="4"/>
      <c r="I121" s="4"/>
      <c r="J121" s="4"/>
      <c r="K121" s="4"/>
      <c r="L121" s="4"/>
    </row>
    <row r="122" ht="15.0" customHeight="1">
      <c r="A122" s="4"/>
      <c r="B122" s="4"/>
      <c r="C122" s="63" t="str">
        <f>IFERROR(VLOOKUP(B122,'📦 Maestro Productos'!$A:$B,2,0),"")</f>
        <v/>
      </c>
      <c r="D122" s="4"/>
      <c r="E122" s="4"/>
      <c r="F122" s="4"/>
      <c r="G122" s="64" t="str">
        <f t="shared" si="2"/>
        <v/>
      </c>
      <c r="H122" s="4"/>
      <c r="I122" s="4"/>
      <c r="J122" s="4"/>
      <c r="K122" s="4"/>
      <c r="L122" s="4"/>
    </row>
    <row r="123" ht="15.0" customHeight="1">
      <c r="A123" s="4"/>
      <c r="B123" s="4"/>
      <c r="C123" s="73" t="str">
        <f>IFERROR(VLOOKUP(B123,'📦 Maestro Productos'!$A:$B,2,0),"")</f>
        <v/>
      </c>
      <c r="D123" s="4"/>
      <c r="E123" s="4"/>
      <c r="F123" s="4"/>
      <c r="G123" s="74" t="str">
        <f t="shared" si="2"/>
        <v/>
      </c>
      <c r="H123" s="4"/>
      <c r="I123" s="4"/>
      <c r="J123" s="4"/>
      <c r="K123" s="4"/>
      <c r="L123" s="4"/>
    </row>
    <row r="124" ht="15.0" customHeight="1">
      <c r="A124" s="4"/>
      <c r="B124" s="4"/>
      <c r="C124" s="63" t="str">
        <f>IFERROR(VLOOKUP(B124,'📦 Maestro Productos'!$A:$B,2,0),"")</f>
        <v/>
      </c>
      <c r="D124" s="4"/>
      <c r="E124" s="4"/>
      <c r="F124" s="4"/>
      <c r="G124" s="64" t="str">
        <f t="shared" si="2"/>
        <v/>
      </c>
      <c r="H124" s="4"/>
      <c r="I124" s="4"/>
      <c r="J124" s="4"/>
      <c r="K124" s="4"/>
      <c r="L124" s="4"/>
    </row>
    <row r="125" ht="15.0" customHeight="1">
      <c r="A125" s="4"/>
      <c r="B125" s="4"/>
      <c r="C125" s="73" t="str">
        <f>IFERROR(VLOOKUP(B125,'📦 Maestro Productos'!$A:$B,2,0),"")</f>
        <v/>
      </c>
      <c r="D125" s="4"/>
      <c r="E125" s="4"/>
      <c r="F125" s="4"/>
      <c r="G125" s="74" t="str">
        <f t="shared" si="2"/>
        <v/>
      </c>
      <c r="H125" s="4"/>
      <c r="I125" s="4"/>
      <c r="J125" s="4"/>
      <c r="K125" s="4"/>
      <c r="L125" s="4"/>
    </row>
    <row r="126" ht="15.0" customHeight="1">
      <c r="A126" s="4"/>
      <c r="B126" s="4"/>
      <c r="C126" s="63" t="str">
        <f>IFERROR(VLOOKUP(B126,'📦 Maestro Productos'!$A:$B,2,0),"")</f>
        <v/>
      </c>
      <c r="D126" s="4"/>
      <c r="E126" s="4"/>
      <c r="F126" s="4"/>
      <c r="G126" s="64" t="str">
        <f t="shared" si="2"/>
        <v/>
      </c>
      <c r="H126" s="4"/>
      <c r="I126" s="4"/>
      <c r="J126" s="4"/>
      <c r="K126" s="4"/>
      <c r="L126" s="4"/>
    </row>
    <row r="127" ht="15.0" customHeight="1">
      <c r="A127" s="4"/>
      <c r="B127" s="4"/>
      <c r="C127" s="73" t="str">
        <f>IFERROR(VLOOKUP(B127,'📦 Maestro Productos'!$A:$B,2,0),"")</f>
        <v/>
      </c>
      <c r="D127" s="4"/>
      <c r="E127" s="4"/>
      <c r="F127" s="4"/>
      <c r="G127" s="74" t="str">
        <f t="shared" si="2"/>
        <v/>
      </c>
      <c r="H127" s="4"/>
      <c r="I127" s="4"/>
      <c r="J127" s="4"/>
      <c r="K127" s="4"/>
      <c r="L127" s="4"/>
    </row>
    <row r="128" ht="15.0" customHeight="1">
      <c r="A128" s="4"/>
      <c r="B128" s="4"/>
      <c r="C128" s="63" t="str">
        <f>IFERROR(VLOOKUP(B128,'📦 Maestro Productos'!$A:$B,2,0),"")</f>
        <v/>
      </c>
      <c r="D128" s="4"/>
      <c r="E128" s="4"/>
      <c r="F128" s="4"/>
      <c r="G128" s="64" t="str">
        <f t="shared" si="2"/>
        <v/>
      </c>
      <c r="H128" s="4"/>
      <c r="I128" s="4"/>
      <c r="J128" s="4"/>
      <c r="K128" s="4"/>
      <c r="L128" s="4"/>
    </row>
    <row r="129" ht="15.0" customHeight="1">
      <c r="A129" s="4"/>
      <c r="B129" s="4"/>
      <c r="C129" s="73" t="str">
        <f>IFERROR(VLOOKUP(B129,'📦 Maestro Productos'!$A:$B,2,0),"")</f>
        <v/>
      </c>
      <c r="D129" s="4"/>
      <c r="E129" s="4"/>
      <c r="F129" s="4"/>
      <c r="G129" s="74" t="str">
        <f t="shared" si="2"/>
        <v/>
      </c>
      <c r="H129" s="4"/>
      <c r="I129" s="4"/>
      <c r="J129" s="4"/>
      <c r="K129" s="4"/>
      <c r="L129" s="4"/>
    </row>
    <row r="130" ht="15.0" customHeight="1">
      <c r="A130" s="4"/>
      <c r="B130" s="4"/>
      <c r="C130" s="63" t="str">
        <f>IFERROR(VLOOKUP(B130,'📦 Maestro Productos'!$A:$B,2,0),"")</f>
        <v/>
      </c>
      <c r="D130" s="4"/>
      <c r="E130" s="4"/>
      <c r="F130" s="4"/>
      <c r="G130" s="64" t="str">
        <f t="shared" si="2"/>
        <v/>
      </c>
      <c r="H130" s="4"/>
      <c r="I130" s="4"/>
      <c r="J130" s="4"/>
      <c r="K130" s="4"/>
      <c r="L130" s="4"/>
    </row>
    <row r="131" ht="15.0" customHeight="1">
      <c r="A131" s="4"/>
      <c r="B131" s="4"/>
      <c r="C131" s="73" t="str">
        <f>IFERROR(VLOOKUP(B131,'📦 Maestro Productos'!$A:$B,2,0),"")</f>
        <v/>
      </c>
      <c r="D131" s="4"/>
      <c r="E131" s="4"/>
      <c r="F131" s="4"/>
      <c r="G131" s="74" t="str">
        <f t="shared" si="2"/>
        <v/>
      </c>
      <c r="H131" s="4"/>
      <c r="I131" s="4"/>
      <c r="J131" s="4"/>
      <c r="K131" s="4"/>
      <c r="L131" s="4"/>
    </row>
    <row r="132" ht="15.0" customHeight="1">
      <c r="A132" s="4"/>
      <c r="B132" s="4"/>
      <c r="C132" s="63" t="str">
        <f>IFERROR(VLOOKUP(B132,'📦 Maestro Productos'!$A:$B,2,0),"")</f>
        <v/>
      </c>
      <c r="D132" s="4"/>
      <c r="E132" s="4"/>
      <c r="F132" s="4"/>
      <c r="G132" s="64" t="str">
        <f t="shared" si="2"/>
        <v/>
      </c>
      <c r="H132" s="4"/>
      <c r="I132" s="4"/>
      <c r="J132" s="4"/>
      <c r="K132" s="4"/>
      <c r="L132" s="4"/>
    </row>
    <row r="133" ht="15.0" customHeight="1">
      <c r="A133" s="4"/>
      <c r="B133" s="4"/>
      <c r="C133" s="73" t="str">
        <f>IFERROR(VLOOKUP(B133,'📦 Maestro Productos'!$A:$B,2,0),"")</f>
        <v/>
      </c>
      <c r="D133" s="4"/>
      <c r="E133" s="4"/>
      <c r="F133" s="4"/>
      <c r="G133" s="74" t="str">
        <f t="shared" si="2"/>
        <v/>
      </c>
      <c r="H133" s="4"/>
      <c r="I133" s="4"/>
      <c r="J133" s="4"/>
      <c r="K133" s="4"/>
      <c r="L133" s="4"/>
    </row>
    <row r="134" ht="15.0" customHeight="1">
      <c r="A134" s="4"/>
      <c r="B134" s="4"/>
      <c r="C134" s="63" t="str">
        <f>IFERROR(VLOOKUP(B134,'📦 Maestro Productos'!$A:$B,2,0),"")</f>
        <v/>
      </c>
      <c r="D134" s="4"/>
      <c r="E134" s="4"/>
      <c r="F134" s="4"/>
      <c r="G134" s="64" t="str">
        <f t="shared" si="2"/>
        <v/>
      </c>
      <c r="H134" s="4"/>
      <c r="I134" s="4"/>
      <c r="J134" s="4"/>
      <c r="K134" s="4"/>
      <c r="L134" s="4"/>
    </row>
    <row r="135" ht="15.0" customHeight="1">
      <c r="A135" s="4"/>
      <c r="B135" s="4"/>
      <c r="C135" s="73" t="str">
        <f>IFERROR(VLOOKUP(B135,'📦 Maestro Productos'!$A:$B,2,0),"")</f>
        <v/>
      </c>
      <c r="D135" s="4"/>
      <c r="E135" s="4"/>
      <c r="F135" s="4"/>
      <c r="G135" s="74" t="str">
        <f t="shared" si="2"/>
        <v/>
      </c>
      <c r="H135" s="4"/>
      <c r="I135" s="4"/>
      <c r="J135" s="4"/>
      <c r="K135" s="4"/>
      <c r="L135" s="4"/>
    </row>
    <row r="136" ht="15.0" customHeight="1">
      <c r="A136" s="4"/>
      <c r="B136" s="4"/>
      <c r="C136" s="63" t="str">
        <f>IFERROR(VLOOKUP(B136,'📦 Maestro Productos'!$A:$B,2,0),"")</f>
        <v/>
      </c>
      <c r="D136" s="4"/>
      <c r="E136" s="4"/>
      <c r="F136" s="4"/>
      <c r="G136" s="64" t="str">
        <f t="shared" si="2"/>
        <v/>
      </c>
      <c r="H136" s="4"/>
      <c r="I136" s="4"/>
      <c r="J136" s="4"/>
      <c r="K136" s="4"/>
      <c r="L136" s="4"/>
    </row>
    <row r="137" ht="15.0" customHeight="1">
      <c r="A137" s="4"/>
      <c r="B137" s="4"/>
      <c r="C137" s="73" t="str">
        <f>IFERROR(VLOOKUP(B137,'📦 Maestro Productos'!$A:$B,2,0),"")</f>
        <v/>
      </c>
      <c r="D137" s="4"/>
      <c r="E137" s="4"/>
      <c r="F137" s="4"/>
      <c r="G137" s="74" t="str">
        <f t="shared" si="2"/>
        <v/>
      </c>
      <c r="H137" s="4"/>
      <c r="I137" s="4"/>
      <c r="J137" s="4"/>
      <c r="K137" s="4"/>
      <c r="L137" s="4"/>
    </row>
    <row r="138" ht="15.0" customHeight="1">
      <c r="A138" s="4"/>
      <c r="B138" s="4"/>
      <c r="C138" s="63" t="str">
        <f>IFERROR(VLOOKUP(B138,'📦 Maestro Productos'!$A:$B,2,0),"")</f>
        <v/>
      </c>
      <c r="D138" s="4"/>
      <c r="E138" s="4"/>
      <c r="F138" s="4"/>
      <c r="G138" s="64" t="str">
        <f t="shared" si="2"/>
        <v/>
      </c>
      <c r="H138" s="4"/>
      <c r="I138" s="4"/>
      <c r="J138" s="4"/>
      <c r="K138" s="4"/>
      <c r="L138" s="4"/>
    </row>
    <row r="139" ht="15.0" customHeight="1">
      <c r="A139" s="4"/>
      <c r="B139" s="4"/>
      <c r="C139" s="73" t="str">
        <f>IFERROR(VLOOKUP(B139,'📦 Maestro Productos'!$A:$B,2,0),"")</f>
        <v/>
      </c>
      <c r="D139" s="4"/>
      <c r="E139" s="4"/>
      <c r="F139" s="4"/>
      <c r="G139" s="74" t="str">
        <f t="shared" si="2"/>
        <v/>
      </c>
      <c r="H139" s="4"/>
      <c r="I139" s="4"/>
      <c r="J139" s="4"/>
      <c r="K139" s="4"/>
      <c r="L139" s="4"/>
    </row>
    <row r="140" ht="15.0" customHeight="1">
      <c r="A140" s="4"/>
      <c r="B140" s="4"/>
      <c r="C140" s="63" t="str">
        <f>IFERROR(VLOOKUP(B140,'📦 Maestro Productos'!$A:$B,2,0),"")</f>
        <v/>
      </c>
      <c r="D140" s="4"/>
      <c r="E140" s="4"/>
      <c r="F140" s="4"/>
      <c r="G140" s="64" t="str">
        <f t="shared" si="2"/>
        <v/>
      </c>
      <c r="H140" s="4"/>
      <c r="I140" s="4"/>
      <c r="J140" s="4"/>
      <c r="K140" s="4"/>
      <c r="L140" s="4"/>
    </row>
    <row r="141" ht="15.0" customHeight="1">
      <c r="A141" s="4"/>
      <c r="B141" s="4"/>
      <c r="C141" s="73" t="str">
        <f>IFERROR(VLOOKUP(B141,'📦 Maestro Productos'!$A:$B,2,0),"")</f>
        <v/>
      </c>
      <c r="D141" s="4"/>
      <c r="E141" s="4"/>
      <c r="F141" s="4"/>
      <c r="G141" s="74" t="str">
        <f t="shared" si="2"/>
        <v/>
      </c>
      <c r="H141" s="4"/>
      <c r="I141" s="4"/>
      <c r="J141" s="4"/>
      <c r="K141" s="4"/>
      <c r="L141" s="4"/>
    </row>
    <row r="142" ht="15.0" customHeight="1">
      <c r="A142" s="4"/>
      <c r="B142" s="4"/>
      <c r="C142" s="63" t="str">
        <f>IFERROR(VLOOKUP(B142,'📦 Maestro Productos'!$A:$B,2,0),"")</f>
        <v/>
      </c>
      <c r="D142" s="4"/>
      <c r="E142" s="4"/>
      <c r="F142" s="4"/>
      <c r="G142" s="64" t="str">
        <f t="shared" si="2"/>
        <v/>
      </c>
      <c r="H142" s="4"/>
      <c r="I142" s="4"/>
      <c r="J142" s="4"/>
      <c r="K142" s="4"/>
      <c r="L142" s="4"/>
    </row>
    <row r="143" ht="15.0" customHeight="1">
      <c r="A143" s="4"/>
      <c r="B143" s="4"/>
      <c r="C143" s="73" t="str">
        <f>IFERROR(VLOOKUP(B143,'📦 Maestro Productos'!$A:$B,2,0),"")</f>
        <v/>
      </c>
      <c r="D143" s="4"/>
      <c r="E143" s="4"/>
      <c r="F143" s="4"/>
      <c r="G143" s="74" t="str">
        <f t="shared" si="2"/>
        <v/>
      </c>
      <c r="H143" s="4"/>
      <c r="I143" s="4"/>
      <c r="J143" s="4"/>
      <c r="K143" s="4"/>
      <c r="L143" s="4"/>
    </row>
    <row r="144" ht="15.0" customHeight="1">
      <c r="A144" s="4"/>
      <c r="B144" s="4"/>
      <c r="C144" s="63" t="str">
        <f>IFERROR(VLOOKUP(B144,'📦 Maestro Productos'!$A:$B,2,0),"")</f>
        <v/>
      </c>
      <c r="D144" s="4"/>
      <c r="E144" s="4"/>
      <c r="F144" s="4"/>
      <c r="G144" s="64" t="str">
        <f t="shared" si="2"/>
        <v/>
      </c>
      <c r="H144" s="4"/>
      <c r="I144" s="4"/>
      <c r="J144" s="4"/>
      <c r="K144" s="4"/>
      <c r="L144" s="4"/>
    </row>
    <row r="145" ht="15.0" customHeight="1">
      <c r="A145" s="4"/>
      <c r="B145" s="4"/>
      <c r="C145" s="73" t="str">
        <f>IFERROR(VLOOKUP(B145,'📦 Maestro Productos'!$A:$B,2,0),"")</f>
        <v/>
      </c>
      <c r="D145" s="4"/>
      <c r="E145" s="4"/>
      <c r="F145" s="4"/>
      <c r="G145" s="74" t="str">
        <f t="shared" si="2"/>
        <v/>
      </c>
      <c r="H145" s="4"/>
      <c r="I145" s="4"/>
      <c r="J145" s="4"/>
      <c r="K145" s="4"/>
      <c r="L145" s="4"/>
    </row>
    <row r="146" ht="15.0" customHeight="1">
      <c r="A146" s="4"/>
      <c r="B146" s="4"/>
      <c r="C146" s="63" t="str">
        <f>IFERROR(VLOOKUP(B146,'📦 Maestro Productos'!$A:$B,2,0),"")</f>
        <v/>
      </c>
      <c r="D146" s="4"/>
      <c r="E146" s="4"/>
      <c r="F146" s="4"/>
      <c r="G146" s="64" t="str">
        <f t="shared" si="2"/>
        <v/>
      </c>
      <c r="H146" s="4"/>
      <c r="I146" s="4"/>
      <c r="J146" s="4"/>
      <c r="K146" s="4"/>
      <c r="L146" s="4"/>
    </row>
    <row r="147" ht="15.0" customHeight="1">
      <c r="A147" s="4"/>
      <c r="B147" s="4"/>
      <c r="C147" s="73" t="str">
        <f>IFERROR(VLOOKUP(B147,'📦 Maestro Productos'!$A:$B,2,0),"")</f>
        <v/>
      </c>
      <c r="D147" s="4"/>
      <c r="E147" s="4"/>
      <c r="F147" s="4"/>
      <c r="G147" s="74" t="str">
        <f t="shared" si="2"/>
        <v/>
      </c>
      <c r="H147" s="4"/>
      <c r="I147" s="4"/>
      <c r="J147" s="4"/>
      <c r="K147" s="4"/>
      <c r="L147" s="4"/>
    </row>
    <row r="148" ht="15.0" customHeight="1">
      <c r="A148" s="4"/>
      <c r="B148" s="4"/>
      <c r="C148" s="63" t="str">
        <f>IFERROR(VLOOKUP(B148,'📦 Maestro Productos'!$A:$B,2,0),"")</f>
        <v/>
      </c>
      <c r="D148" s="4"/>
      <c r="E148" s="4"/>
      <c r="F148" s="4"/>
      <c r="G148" s="64" t="str">
        <f t="shared" si="2"/>
        <v/>
      </c>
      <c r="H148" s="4"/>
      <c r="I148" s="4"/>
      <c r="J148" s="4"/>
      <c r="K148" s="4"/>
      <c r="L148" s="4"/>
    </row>
    <row r="149" ht="15.0" customHeight="1">
      <c r="A149" s="4"/>
      <c r="B149" s="4"/>
      <c r="C149" s="73" t="str">
        <f>IFERROR(VLOOKUP(B149,'📦 Maestro Productos'!$A:$B,2,0),"")</f>
        <v/>
      </c>
      <c r="D149" s="4"/>
      <c r="E149" s="4"/>
      <c r="F149" s="4"/>
      <c r="G149" s="74" t="str">
        <f t="shared" si="2"/>
        <v/>
      </c>
      <c r="H149" s="4"/>
      <c r="I149" s="4"/>
      <c r="J149" s="4"/>
      <c r="K149" s="4"/>
      <c r="L149" s="4"/>
    </row>
    <row r="150" ht="15.0" customHeight="1">
      <c r="A150" s="4"/>
      <c r="B150" s="4"/>
      <c r="C150" s="63" t="str">
        <f>IFERROR(VLOOKUP(B150,'📦 Maestro Productos'!$A:$B,2,0),"")</f>
        <v/>
      </c>
      <c r="D150" s="4"/>
      <c r="E150" s="4"/>
      <c r="F150" s="4"/>
      <c r="G150" s="64" t="str">
        <f t="shared" si="2"/>
        <v/>
      </c>
      <c r="H150" s="4"/>
      <c r="I150" s="4"/>
      <c r="J150" s="4"/>
      <c r="K150" s="4"/>
      <c r="L150" s="4"/>
    </row>
    <row r="151" ht="15.0" customHeight="1">
      <c r="A151" s="4"/>
      <c r="B151" s="4"/>
      <c r="C151" s="73" t="str">
        <f>IFERROR(VLOOKUP(B151,'📦 Maestro Productos'!$A:$B,2,0),"")</f>
        <v/>
      </c>
      <c r="D151" s="4"/>
      <c r="E151" s="4"/>
      <c r="F151" s="4"/>
      <c r="G151" s="74" t="str">
        <f t="shared" si="2"/>
        <v/>
      </c>
      <c r="H151" s="4"/>
      <c r="I151" s="4"/>
      <c r="J151" s="4"/>
      <c r="K151" s="4"/>
      <c r="L151" s="4"/>
    </row>
    <row r="152" ht="15.0" customHeight="1">
      <c r="A152" s="4"/>
      <c r="B152" s="4"/>
      <c r="C152" s="63" t="str">
        <f>IFERROR(VLOOKUP(B152,'📦 Maestro Productos'!$A:$B,2,0),"")</f>
        <v/>
      </c>
      <c r="D152" s="4"/>
      <c r="E152" s="4"/>
      <c r="F152" s="4"/>
      <c r="G152" s="64" t="str">
        <f t="shared" si="2"/>
        <v/>
      </c>
      <c r="H152" s="4"/>
      <c r="I152" s="4"/>
      <c r="J152" s="4"/>
      <c r="K152" s="4"/>
      <c r="L152" s="4"/>
    </row>
    <row r="153" ht="15.0" customHeight="1">
      <c r="A153" s="4"/>
      <c r="B153" s="4"/>
      <c r="C153" s="73" t="str">
        <f>IFERROR(VLOOKUP(B153,'📦 Maestro Productos'!$A:$B,2,0),"")</f>
        <v/>
      </c>
      <c r="D153" s="4"/>
      <c r="E153" s="4"/>
      <c r="F153" s="4"/>
      <c r="G153" s="74" t="str">
        <f t="shared" si="2"/>
        <v/>
      </c>
      <c r="H153" s="4"/>
      <c r="I153" s="4"/>
      <c r="J153" s="4"/>
      <c r="K153" s="4"/>
      <c r="L153" s="4"/>
    </row>
    <row r="154" ht="15.0" customHeight="1">
      <c r="A154" s="4"/>
      <c r="B154" s="4"/>
      <c r="C154" s="63" t="str">
        <f>IFERROR(VLOOKUP(B154,'📦 Maestro Productos'!$A:$B,2,0),"")</f>
        <v/>
      </c>
      <c r="D154" s="4"/>
      <c r="E154" s="4"/>
      <c r="F154" s="4"/>
      <c r="G154" s="64" t="str">
        <f t="shared" si="2"/>
        <v/>
      </c>
      <c r="H154" s="4"/>
      <c r="I154" s="4"/>
      <c r="J154" s="4"/>
      <c r="K154" s="4"/>
      <c r="L154" s="4"/>
    </row>
    <row r="155" ht="15.0" customHeight="1">
      <c r="A155" s="4"/>
      <c r="B155" s="4"/>
      <c r="C155" s="73" t="str">
        <f>IFERROR(VLOOKUP(B155,'📦 Maestro Productos'!$A:$B,2,0),"")</f>
        <v/>
      </c>
      <c r="D155" s="4"/>
      <c r="E155" s="4"/>
      <c r="F155" s="4"/>
      <c r="G155" s="74" t="str">
        <f t="shared" si="2"/>
        <v/>
      </c>
      <c r="H155" s="4"/>
      <c r="I155" s="4"/>
      <c r="J155" s="4"/>
      <c r="K155" s="4"/>
      <c r="L155" s="4"/>
    </row>
    <row r="156" ht="15.0" customHeight="1">
      <c r="A156" s="4"/>
      <c r="B156" s="4"/>
      <c r="C156" s="63" t="str">
        <f>IFERROR(VLOOKUP(B156,'📦 Maestro Productos'!$A:$B,2,0),"")</f>
        <v/>
      </c>
      <c r="D156" s="4"/>
      <c r="E156" s="4"/>
      <c r="F156" s="4"/>
      <c r="G156" s="64" t="str">
        <f t="shared" si="2"/>
        <v/>
      </c>
      <c r="H156" s="4"/>
      <c r="I156" s="4"/>
      <c r="J156" s="4"/>
      <c r="K156" s="4"/>
      <c r="L156" s="4"/>
    </row>
    <row r="157" ht="15.0" customHeight="1">
      <c r="A157" s="4"/>
      <c r="B157" s="4"/>
      <c r="C157" s="73" t="str">
        <f>IFERROR(VLOOKUP(B157,'📦 Maestro Productos'!$A:$B,2,0),"")</f>
        <v/>
      </c>
      <c r="D157" s="4"/>
      <c r="E157" s="4"/>
      <c r="F157" s="4"/>
      <c r="G157" s="74" t="str">
        <f t="shared" si="2"/>
        <v/>
      </c>
      <c r="H157" s="4"/>
      <c r="I157" s="4"/>
      <c r="J157" s="4"/>
      <c r="K157" s="4"/>
      <c r="L157" s="4"/>
    </row>
    <row r="158" ht="15.0" customHeight="1">
      <c r="A158" s="4"/>
      <c r="B158" s="4"/>
      <c r="C158" s="63" t="str">
        <f>IFERROR(VLOOKUP(B158,'📦 Maestro Productos'!$A:$B,2,0),"")</f>
        <v/>
      </c>
      <c r="D158" s="4"/>
      <c r="E158" s="4"/>
      <c r="F158" s="4"/>
      <c r="G158" s="64" t="str">
        <f t="shared" si="2"/>
        <v/>
      </c>
      <c r="H158" s="4"/>
      <c r="I158" s="4"/>
      <c r="J158" s="4"/>
      <c r="K158" s="4"/>
      <c r="L158" s="4"/>
    </row>
    <row r="159" ht="15.0" customHeight="1">
      <c r="A159" s="4"/>
      <c r="B159" s="4"/>
      <c r="C159" s="73" t="str">
        <f>IFERROR(VLOOKUP(B159,'📦 Maestro Productos'!$A:$B,2,0),"")</f>
        <v/>
      </c>
      <c r="D159" s="4"/>
      <c r="E159" s="4"/>
      <c r="F159" s="4"/>
      <c r="G159" s="74" t="str">
        <f t="shared" si="2"/>
        <v/>
      </c>
      <c r="H159" s="4"/>
      <c r="I159" s="4"/>
      <c r="J159" s="4"/>
      <c r="K159" s="4"/>
      <c r="L159" s="4"/>
    </row>
    <row r="160" ht="15.0" customHeight="1">
      <c r="A160" s="4"/>
      <c r="B160" s="4"/>
      <c r="C160" s="63" t="str">
        <f>IFERROR(VLOOKUP(B160,'📦 Maestro Productos'!$A:$B,2,0),"")</f>
        <v/>
      </c>
      <c r="D160" s="4"/>
      <c r="E160" s="4"/>
      <c r="F160" s="4"/>
      <c r="G160" s="64" t="str">
        <f t="shared" si="2"/>
        <v/>
      </c>
      <c r="H160" s="4"/>
      <c r="I160" s="4"/>
      <c r="J160" s="4"/>
      <c r="K160" s="4"/>
      <c r="L160" s="4"/>
    </row>
    <row r="161" ht="15.0" customHeight="1">
      <c r="A161" s="4"/>
      <c r="B161" s="4"/>
      <c r="C161" s="73" t="str">
        <f>IFERROR(VLOOKUP(B161,'📦 Maestro Productos'!$A:$B,2,0),"")</f>
        <v/>
      </c>
      <c r="D161" s="4"/>
      <c r="E161" s="4"/>
      <c r="F161" s="4"/>
      <c r="G161" s="74" t="str">
        <f t="shared" si="2"/>
        <v/>
      </c>
      <c r="H161" s="4"/>
      <c r="I161" s="4"/>
      <c r="J161" s="4"/>
      <c r="K161" s="4"/>
      <c r="L161" s="4"/>
    </row>
    <row r="162" ht="15.0" customHeight="1">
      <c r="A162" s="4"/>
      <c r="B162" s="4"/>
      <c r="C162" s="63" t="str">
        <f>IFERROR(VLOOKUP(B162,'📦 Maestro Productos'!$A:$B,2,0),"")</f>
        <v/>
      </c>
      <c r="D162" s="4"/>
      <c r="E162" s="4"/>
      <c r="F162" s="4"/>
      <c r="G162" s="64" t="str">
        <f t="shared" si="2"/>
        <v/>
      </c>
      <c r="H162" s="4"/>
      <c r="I162" s="4"/>
      <c r="J162" s="4"/>
      <c r="K162" s="4"/>
      <c r="L162" s="4"/>
    </row>
    <row r="163" ht="15.0" customHeight="1">
      <c r="A163" s="4"/>
      <c r="B163" s="4"/>
      <c r="C163" s="73" t="str">
        <f>IFERROR(VLOOKUP(B163,'📦 Maestro Productos'!$A:$B,2,0),"")</f>
        <v/>
      </c>
      <c r="D163" s="4"/>
      <c r="E163" s="4"/>
      <c r="F163" s="4"/>
      <c r="G163" s="74" t="str">
        <f t="shared" si="2"/>
        <v/>
      </c>
      <c r="H163" s="4"/>
      <c r="I163" s="4"/>
      <c r="J163" s="4"/>
      <c r="K163" s="4"/>
      <c r="L163" s="4"/>
    </row>
    <row r="164" ht="15.0" customHeight="1">
      <c r="A164" s="4"/>
      <c r="B164" s="4"/>
      <c r="C164" s="63" t="str">
        <f>IFERROR(VLOOKUP(B164,'📦 Maestro Productos'!$A:$B,2,0),"")</f>
        <v/>
      </c>
      <c r="D164" s="4"/>
      <c r="E164" s="4"/>
      <c r="F164" s="4"/>
      <c r="G164" s="64" t="str">
        <f t="shared" si="2"/>
        <v/>
      </c>
      <c r="H164" s="4"/>
      <c r="I164" s="4"/>
      <c r="J164" s="4"/>
      <c r="K164" s="4"/>
      <c r="L164" s="4"/>
    </row>
    <row r="165" ht="15.0" customHeight="1">
      <c r="A165" s="4"/>
      <c r="B165" s="4"/>
      <c r="C165" s="73" t="str">
        <f>IFERROR(VLOOKUP(B165,'📦 Maestro Productos'!$A:$B,2,0),"")</f>
        <v/>
      </c>
      <c r="D165" s="4"/>
      <c r="E165" s="4"/>
      <c r="F165" s="4"/>
      <c r="G165" s="74" t="str">
        <f t="shared" si="2"/>
        <v/>
      </c>
      <c r="H165" s="4"/>
      <c r="I165" s="4"/>
      <c r="J165" s="4"/>
      <c r="K165" s="4"/>
      <c r="L165" s="4"/>
    </row>
    <row r="166" ht="15.0" customHeight="1">
      <c r="A166" s="4"/>
      <c r="B166" s="4"/>
      <c r="C166" s="63" t="str">
        <f>IFERROR(VLOOKUP(B166,'📦 Maestro Productos'!$A:$B,2,0),"")</f>
        <v/>
      </c>
      <c r="D166" s="4"/>
      <c r="E166" s="4"/>
      <c r="F166" s="4"/>
      <c r="G166" s="64" t="str">
        <f t="shared" si="2"/>
        <v/>
      </c>
      <c r="H166" s="4"/>
      <c r="I166" s="4"/>
      <c r="J166" s="4"/>
      <c r="K166" s="4"/>
      <c r="L166" s="4"/>
    </row>
    <row r="167" ht="15.0" customHeight="1">
      <c r="A167" s="4"/>
      <c r="B167" s="4"/>
      <c r="C167" s="73" t="str">
        <f>IFERROR(VLOOKUP(B167,'📦 Maestro Productos'!$A:$B,2,0),"")</f>
        <v/>
      </c>
      <c r="D167" s="4"/>
      <c r="E167" s="4"/>
      <c r="F167" s="4"/>
      <c r="G167" s="74" t="str">
        <f t="shared" si="2"/>
        <v/>
      </c>
      <c r="H167" s="4"/>
      <c r="I167" s="4"/>
      <c r="J167" s="4"/>
      <c r="K167" s="4"/>
      <c r="L167" s="4"/>
    </row>
    <row r="168" ht="15.0" customHeight="1">
      <c r="A168" s="4"/>
      <c r="B168" s="4"/>
      <c r="C168" s="63" t="str">
        <f>IFERROR(VLOOKUP(B168,'📦 Maestro Productos'!$A:$B,2,0),"")</f>
        <v/>
      </c>
      <c r="D168" s="4"/>
      <c r="E168" s="4"/>
      <c r="F168" s="4"/>
      <c r="G168" s="64" t="str">
        <f t="shared" si="2"/>
        <v/>
      </c>
      <c r="H168" s="4"/>
      <c r="I168" s="4"/>
      <c r="J168" s="4"/>
      <c r="K168" s="4"/>
      <c r="L168" s="4"/>
    </row>
    <row r="169" ht="15.0" customHeight="1">
      <c r="A169" s="4"/>
      <c r="B169" s="4"/>
      <c r="C169" s="73" t="str">
        <f>IFERROR(VLOOKUP(B169,'📦 Maestro Productos'!$A:$B,2,0),"")</f>
        <v/>
      </c>
      <c r="D169" s="4"/>
      <c r="E169" s="4"/>
      <c r="F169" s="4"/>
      <c r="G169" s="74" t="str">
        <f t="shared" si="2"/>
        <v/>
      </c>
      <c r="H169" s="4"/>
      <c r="I169" s="4"/>
      <c r="J169" s="4"/>
      <c r="K169" s="4"/>
      <c r="L169" s="4"/>
    </row>
    <row r="170" ht="15.0" customHeight="1">
      <c r="A170" s="4"/>
      <c r="B170" s="4"/>
      <c r="C170" s="63" t="str">
        <f>IFERROR(VLOOKUP(B170,'📦 Maestro Productos'!$A:$B,2,0),"")</f>
        <v/>
      </c>
      <c r="D170" s="4"/>
      <c r="E170" s="4"/>
      <c r="F170" s="4"/>
      <c r="G170" s="64" t="str">
        <f t="shared" si="2"/>
        <v/>
      </c>
      <c r="H170" s="4"/>
      <c r="I170" s="4"/>
      <c r="J170" s="4"/>
      <c r="K170" s="4"/>
      <c r="L170" s="4"/>
    </row>
    <row r="171" ht="15.0" customHeight="1">
      <c r="A171" s="4"/>
      <c r="B171" s="4"/>
      <c r="C171" s="73" t="str">
        <f>IFERROR(VLOOKUP(B171,'📦 Maestro Productos'!$A:$B,2,0),"")</f>
        <v/>
      </c>
      <c r="D171" s="4"/>
      <c r="E171" s="4"/>
      <c r="F171" s="4"/>
      <c r="G171" s="74" t="str">
        <f t="shared" si="2"/>
        <v/>
      </c>
      <c r="H171" s="4"/>
      <c r="I171" s="4"/>
      <c r="J171" s="4"/>
      <c r="K171" s="4"/>
      <c r="L171" s="4"/>
    </row>
    <row r="172" ht="15.0" customHeight="1">
      <c r="A172" s="4"/>
      <c r="B172" s="4"/>
      <c r="C172" s="63" t="str">
        <f>IFERROR(VLOOKUP(B172,'📦 Maestro Productos'!$A:$B,2,0),"")</f>
        <v/>
      </c>
      <c r="D172" s="4"/>
      <c r="E172" s="4"/>
      <c r="F172" s="4"/>
      <c r="G172" s="64" t="str">
        <f t="shared" si="2"/>
        <v/>
      </c>
      <c r="H172" s="4"/>
      <c r="I172" s="4"/>
      <c r="J172" s="4"/>
      <c r="K172" s="4"/>
      <c r="L172" s="4"/>
    </row>
    <row r="173" ht="15.0" customHeight="1">
      <c r="A173" s="4"/>
      <c r="B173" s="4"/>
      <c r="C173" s="73" t="str">
        <f>IFERROR(VLOOKUP(B173,'📦 Maestro Productos'!$A:$B,2,0),"")</f>
        <v/>
      </c>
      <c r="D173" s="4"/>
      <c r="E173" s="4"/>
      <c r="F173" s="4"/>
      <c r="G173" s="74" t="str">
        <f t="shared" si="2"/>
        <v/>
      </c>
      <c r="H173" s="4"/>
      <c r="I173" s="4"/>
      <c r="J173" s="4"/>
      <c r="K173" s="4"/>
      <c r="L173" s="4"/>
    </row>
    <row r="174" ht="15.0" customHeight="1">
      <c r="A174" s="4"/>
      <c r="B174" s="4"/>
      <c r="C174" s="63" t="str">
        <f>IFERROR(VLOOKUP(B174,'📦 Maestro Productos'!$A:$B,2,0),"")</f>
        <v/>
      </c>
      <c r="D174" s="4"/>
      <c r="E174" s="4"/>
      <c r="F174" s="4"/>
      <c r="G174" s="64" t="str">
        <f t="shared" si="2"/>
        <v/>
      </c>
      <c r="H174" s="4"/>
      <c r="I174" s="4"/>
      <c r="J174" s="4"/>
      <c r="K174" s="4"/>
      <c r="L174" s="4"/>
    </row>
    <row r="175" ht="15.0" customHeight="1">
      <c r="A175" s="4"/>
      <c r="B175" s="4"/>
      <c r="C175" s="73" t="str">
        <f>IFERROR(VLOOKUP(B175,'📦 Maestro Productos'!$A:$B,2,0),"")</f>
        <v/>
      </c>
      <c r="D175" s="4"/>
      <c r="E175" s="4"/>
      <c r="F175" s="4"/>
      <c r="G175" s="74" t="str">
        <f t="shared" si="2"/>
        <v/>
      </c>
      <c r="H175" s="4"/>
      <c r="I175" s="4"/>
      <c r="J175" s="4"/>
      <c r="K175" s="4"/>
      <c r="L175" s="4"/>
    </row>
    <row r="176" ht="15.0" customHeight="1">
      <c r="A176" s="4"/>
      <c r="B176" s="4"/>
      <c r="C176" s="63" t="str">
        <f>IFERROR(VLOOKUP(B176,'📦 Maestro Productos'!$A:$B,2,0),"")</f>
        <v/>
      </c>
      <c r="D176" s="4"/>
      <c r="E176" s="4"/>
      <c r="F176" s="4"/>
      <c r="G176" s="64" t="str">
        <f t="shared" si="2"/>
        <v/>
      </c>
      <c r="H176" s="4"/>
      <c r="I176" s="4"/>
      <c r="J176" s="4"/>
      <c r="K176" s="4"/>
      <c r="L176" s="4"/>
    </row>
    <row r="177" ht="15.0" customHeight="1">
      <c r="A177" s="4"/>
      <c r="B177" s="4"/>
      <c r="C177" s="73" t="str">
        <f>IFERROR(VLOOKUP(B177,'📦 Maestro Productos'!$A:$B,2,0),"")</f>
        <v/>
      </c>
      <c r="D177" s="4"/>
      <c r="E177" s="4"/>
      <c r="F177" s="4"/>
      <c r="G177" s="74" t="str">
        <f t="shared" si="2"/>
        <v/>
      </c>
      <c r="H177" s="4"/>
      <c r="I177" s="4"/>
      <c r="J177" s="4"/>
      <c r="K177" s="4"/>
      <c r="L177" s="4"/>
    </row>
    <row r="178" ht="15.0" customHeight="1">
      <c r="A178" s="4"/>
      <c r="B178" s="4"/>
      <c r="C178" s="63" t="str">
        <f>IFERROR(VLOOKUP(B178,'📦 Maestro Productos'!$A:$B,2,0),"")</f>
        <v/>
      </c>
      <c r="D178" s="4"/>
      <c r="E178" s="4"/>
      <c r="F178" s="4"/>
      <c r="G178" s="64" t="str">
        <f t="shared" si="2"/>
        <v/>
      </c>
      <c r="H178" s="4"/>
      <c r="I178" s="4"/>
      <c r="J178" s="4"/>
      <c r="K178" s="4"/>
      <c r="L178" s="4"/>
    </row>
    <row r="179" ht="15.0" customHeight="1">
      <c r="A179" s="4"/>
      <c r="B179" s="4"/>
      <c r="C179" s="73" t="str">
        <f>IFERROR(VLOOKUP(B179,'📦 Maestro Productos'!$A:$B,2,0),"")</f>
        <v/>
      </c>
      <c r="D179" s="4"/>
      <c r="E179" s="4"/>
      <c r="F179" s="4"/>
      <c r="G179" s="74" t="str">
        <f t="shared" si="2"/>
        <v/>
      </c>
      <c r="H179" s="4"/>
      <c r="I179" s="4"/>
      <c r="J179" s="4"/>
      <c r="K179" s="4"/>
      <c r="L179" s="4"/>
    </row>
    <row r="180" ht="15.0" customHeight="1">
      <c r="A180" s="4"/>
      <c r="B180" s="4"/>
      <c r="C180" s="63" t="str">
        <f>IFERROR(VLOOKUP(B180,'📦 Maestro Productos'!$A:$B,2,0),"")</f>
        <v/>
      </c>
      <c r="D180" s="4"/>
      <c r="E180" s="4"/>
      <c r="F180" s="4"/>
      <c r="G180" s="64" t="str">
        <f t="shared" si="2"/>
        <v/>
      </c>
      <c r="H180" s="4"/>
      <c r="I180" s="4"/>
      <c r="J180" s="4"/>
      <c r="K180" s="4"/>
      <c r="L180" s="4"/>
    </row>
    <row r="181" ht="15.0" customHeight="1">
      <c r="A181" s="4"/>
      <c r="B181" s="4"/>
      <c r="C181" s="73" t="str">
        <f>IFERROR(VLOOKUP(B181,'📦 Maestro Productos'!$A:$B,2,0),"")</f>
        <v/>
      </c>
      <c r="D181" s="4"/>
      <c r="E181" s="4"/>
      <c r="F181" s="4"/>
      <c r="G181" s="74" t="str">
        <f t="shared" si="2"/>
        <v/>
      </c>
      <c r="H181" s="4"/>
      <c r="I181" s="4"/>
      <c r="J181" s="4"/>
      <c r="K181" s="4"/>
      <c r="L181" s="4"/>
    </row>
    <row r="182" ht="15.0" customHeight="1">
      <c r="A182" s="4"/>
      <c r="B182" s="4"/>
      <c r="C182" s="63" t="str">
        <f>IFERROR(VLOOKUP(B182,'📦 Maestro Productos'!$A:$B,2,0),"")</f>
        <v/>
      </c>
      <c r="D182" s="4"/>
      <c r="E182" s="4"/>
      <c r="F182" s="4"/>
      <c r="G182" s="64" t="str">
        <f t="shared" si="2"/>
        <v/>
      </c>
      <c r="H182" s="4"/>
      <c r="I182" s="4"/>
      <c r="J182" s="4"/>
      <c r="K182" s="4"/>
      <c r="L182" s="4"/>
    </row>
    <row r="183" ht="15.0" customHeight="1">
      <c r="A183" s="4"/>
      <c r="B183" s="4"/>
      <c r="C183" s="73" t="str">
        <f>IFERROR(VLOOKUP(B183,'📦 Maestro Productos'!$A:$B,2,0),"")</f>
        <v/>
      </c>
      <c r="D183" s="4"/>
      <c r="E183" s="4"/>
      <c r="F183" s="4"/>
      <c r="G183" s="74" t="str">
        <f t="shared" si="2"/>
        <v/>
      </c>
      <c r="H183" s="4"/>
      <c r="I183" s="4"/>
      <c r="J183" s="4"/>
      <c r="K183" s="4"/>
      <c r="L183" s="4"/>
    </row>
    <row r="184" ht="15.0" customHeight="1">
      <c r="A184" s="4"/>
      <c r="B184" s="4"/>
      <c r="C184" s="63" t="str">
        <f>IFERROR(VLOOKUP(B184,'📦 Maestro Productos'!$A:$B,2,0),"")</f>
        <v/>
      </c>
      <c r="D184" s="4"/>
      <c r="E184" s="4"/>
      <c r="F184" s="4"/>
      <c r="G184" s="64" t="str">
        <f t="shared" si="2"/>
        <v/>
      </c>
      <c r="H184" s="4"/>
      <c r="I184" s="4"/>
      <c r="J184" s="4"/>
      <c r="K184" s="4"/>
      <c r="L184" s="4"/>
    </row>
    <row r="185" ht="15.0" customHeight="1">
      <c r="A185" s="4"/>
      <c r="B185" s="4"/>
      <c r="C185" s="73" t="str">
        <f>IFERROR(VLOOKUP(B185,'📦 Maestro Productos'!$A:$B,2,0),"")</f>
        <v/>
      </c>
      <c r="D185" s="4"/>
      <c r="E185" s="4"/>
      <c r="F185" s="4"/>
      <c r="G185" s="74" t="str">
        <f t="shared" si="2"/>
        <v/>
      </c>
      <c r="H185" s="4"/>
      <c r="I185" s="4"/>
      <c r="J185" s="4"/>
      <c r="K185" s="4"/>
      <c r="L185" s="4"/>
    </row>
    <row r="186" ht="15.0" customHeight="1">
      <c r="A186" s="4"/>
      <c r="B186" s="4"/>
      <c r="C186" s="63" t="str">
        <f>IFERROR(VLOOKUP(B186,'📦 Maestro Productos'!$A:$B,2,0),"")</f>
        <v/>
      </c>
      <c r="D186" s="4"/>
      <c r="E186" s="4"/>
      <c r="F186" s="4"/>
      <c r="G186" s="64" t="str">
        <f t="shared" si="2"/>
        <v/>
      </c>
      <c r="H186" s="4"/>
      <c r="I186" s="4"/>
      <c r="J186" s="4"/>
      <c r="K186" s="4"/>
      <c r="L186" s="4"/>
    </row>
    <row r="187" ht="15.0" customHeight="1">
      <c r="A187" s="4"/>
      <c r="B187" s="4"/>
      <c r="C187" s="73" t="str">
        <f>IFERROR(VLOOKUP(B187,'📦 Maestro Productos'!$A:$B,2,0),"")</f>
        <v/>
      </c>
      <c r="D187" s="4"/>
      <c r="E187" s="4"/>
      <c r="F187" s="4"/>
      <c r="G187" s="74" t="str">
        <f t="shared" si="2"/>
        <v/>
      </c>
      <c r="H187" s="4"/>
      <c r="I187" s="4"/>
      <c r="J187" s="4"/>
      <c r="K187" s="4"/>
      <c r="L187" s="4"/>
    </row>
    <row r="188" ht="15.0" customHeight="1">
      <c r="A188" s="4"/>
      <c r="B188" s="4"/>
      <c r="C188" s="63" t="str">
        <f>IFERROR(VLOOKUP(B188,'📦 Maestro Productos'!$A:$B,2,0),"")</f>
        <v/>
      </c>
      <c r="D188" s="4"/>
      <c r="E188" s="4"/>
      <c r="F188" s="4"/>
      <c r="G188" s="64" t="str">
        <f t="shared" si="2"/>
        <v/>
      </c>
      <c r="H188" s="4"/>
      <c r="I188" s="4"/>
      <c r="J188" s="4"/>
      <c r="K188" s="4"/>
      <c r="L188" s="4"/>
    </row>
    <row r="189" ht="15.0" customHeight="1">
      <c r="A189" s="4"/>
      <c r="B189" s="4"/>
      <c r="C189" s="73" t="str">
        <f>IFERROR(VLOOKUP(B189,'📦 Maestro Productos'!$A:$B,2,0),"")</f>
        <v/>
      </c>
      <c r="D189" s="4"/>
      <c r="E189" s="4"/>
      <c r="F189" s="4"/>
      <c r="G189" s="74" t="str">
        <f t="shared" si="2"/>
        <v/>
      </c>
      <c r="H189" s="4"/>
      <c r="I189" s="4"/>
      <c r="J189" s="4"/>
      <c r="K189" s="4"/>
      <c r="L189" s="4"/>
    </row>
    <row r="190" ht="15.0" customHeight="1">
      <c r="A190" s="4"/>
      <c r="B190" s="4"/>
      <c r="C190" s="63" t="str">
        <f>IFERROR(VLOOKUP(B190,'📦 Maestro Productos'!$A:$B,2,0),"")</f>
        <v/>
      </c>
      <c r="D190" s="4"/>
      <c r="E190" s="4"/>
      <c r="F190" s="4"/>
      <c r="G190" s="64" t="str">
        <f t="shared" si="2"/>
        <v/>
      </c>
      <c r="H190" s="4"/>
      <c r="I190" s="4"/>
      <c r="J190" s="4"/>
      <c r="K190" s="4"/>
      <c r="L190" s="4"/>
    </row>
    <row r="191" ht="15.0" customHeight="1">
      <c r="A191" s="4"/>
      <c r="B191" s="4"/>
      <c r="C191" s="73" t="str">
        <f>IFERROR(VLOOKUP(B191,'📦 Maestro Productos'!$A:$B,2,0),"")</f>
        <v/>
      </c>
      <c r="D191" s="4"/>
      <c r="E191" s="4"/>
      <c r="F191" s="4"/>
      <c r="G191" s="74" t="str">
        <f t="shared" si="2"/>
        <v/>
      </c>
      <c r="H191" s="4"/>
      <c r="I191" s="4"/>
      <c r="J191" s="4"/>
      <c r="K191" s="4"/>
      <c r="L191" s="4"/>
    </row>
    <row r="192" ht="15.0" customHeight="1">
      <c r="A192" s="4"/>
      <c r="B192" s="4"/>
      <c r="C192" s="63" t="str">
        <f>IFERROR(VLOOKUP(B192,'📦 Maestro Productos'!$A:$B,2,0),"")</f>
        <v/>
      </c>
      <c r="D192" s="4"/>
      <c r="E192" s="4"/>
      <c r="F192" s="4"/>
      <c r="G192" s="64" t="str">
        <f t="shared" si="2"/>
        <v/>
      </c>
      <c r="H192" s="4"/>
      <c r="I192" s="4"/>
      <c r="J192" s="4"/>
      <c r="K192" s="4"/>
      <c r="L192" s="4"/>
    </row>
    <row r="193" ht="15.0" customHeight="1">
      <c r="A193" s="4"/>
      <c r="B193" s="4"/>
      <c r="C193" s="73" t="str">
        <f>IFERROR(VLOOKUP(B193,'📦 Maestro Productos'!$A:$B,2,0),"")</f>
        <v/>
      </c>
      <c r="D193" s="4"/>
      <c r="E193" s="4"/>
      <c r="F193" s="4"/>
      <c r="G193" s="74" t="str">
        <f t="shared" si="2"/>
        <v/>
      </c>
      <c r="H193" s="4"/>
      <c r="I193" s="4"/>
      <c r="J193" s="4"/>
      <c r="K193" s="4"/>
      <c r="L193" s="4"/>
    </row>
    <row r="194" ht="15.0" customHeight="1">
      <c r="A194" s="4"/>
      <c r="B194" s="4"/>
      <c r="C194" s="63" t="str">
        <f>IFERROR(VLOOKUP(B194,'📦 Maestro Productos'!$A:$B,2,0),"")</f>
        <v/>
      </c>
      <c r="D194" s="4"/>
      <c r="E194" s="4"/>
      <c r="F194" s="4"/>
      <c r="G194" s="64" t="str">
        <f t="shared" si="2"/>
        <v/>
      </c>
      <c r="H194" s="4"/>
      <c r="I194" s="4"/>
      <c r="J194" s="4"/>
      <c r="K194" s="4"/>
      <c r="L194" s="4"/>
    </row>
    <row r="195" ht="15.0" customHeight="1">
      <c r="A195" s="4"/>
      <c r="B195" s="4"/>
      <c r="C195" s="73" t="str">
        <f>IFERROR(VLOOKUP(B195,'📦 Maestro Productos'!$A:$B,2,0),"")</f>
        <v/>
      </c>
      <c r="D195" s="4"/>
      <c r="E195" s="4"/>
      <c r="F195" s="4"/>
      <c r="G195" s="74" t="str">
        <f t="shared" si="2"/>
        <v/>
      </c>
      <c r="H195" s="4"/>
      <c r="I195" s="4"/>
      <c r="J195" s="4"/>
      <c r="K195" s="4"/>
      <c r="L195" s="4"/>
    </row>
    <row r="196" ht="15.0" customHeight="1">
      <c r="A196" s="4"/>
      <c r="B196" s="4"/>
      <c r="C196" s="63" t="str">
        <f>IFERROR(VLOOKUP(B196,'📦 Maestro Productos'!$A:$B,2,0),"")</f>
        <v/>
      </c>
      <c r="D196" s="4"/>
      <c r="E196" s="4"/>
      <c r="F196" s="4"/>
      <c r="G196" s="64" t="str">
        <f t="shared" si="2"/>
        <v/>
      </c>
      <c r="H196" s="4"/>
      <c r="I196" s="4"/>
      <c r="J196" s="4"/>
      <c r="K196" s="4"/>
      <c r="L196" s="4"/>
    </row>
    <row r="197" ht="15.0" customHeight="1">
      <c r="A197" s="4"/>
      <c r="B197" s="4"/>
      <c r="C197" s="73" t="str">
        <f>IFERROR(VLOOKUP(B197,'📦 Maestro Productos'!$A:$B,2,0),"")</f>
        <v/>
      </c>
      <c r="D197" s="4"/>
      <c r="E197" s="4"/>
      <c r="F197" s="4"/>
      <c r="G197" s="74" t="str">
        <f t="shared" si="2"/>
        <v/>
      </c>
      <c r="H197" s="4"/>
      <c r="I197" s="4"/>
      <c r="J197" s="4"/>
      <c r="K197" s="4"/>
      <c r="L197" s="4"/>
    </row>
    <row r="198" ht="15.0" customHeight="1">
      <c r="A198" s="4"/>
      <c r="B198" s="4"/>
      <c r="C198" s="63" t="str">
        <f>IFERROR(VLOOKUP(B198,'📦 Maestro Productos'!$A:$B,2,0),"")</f>
        <v/>
      </c>
      <c r="D198" s="4"/>
      <c r="E198" s="4"/>
      <c r="F198" s="4"/>
      <c r="G198" s="64" t="str">
        <f t="shared" si="2"/>
        <v/>
      </c>
      <c r="H198" s="4"/>
      <c r="I198" s="4"/>
      <c r="J198" s="4"/>
      <c r="K198" s="4"/>
      <c r="L198" s="4"/>
    </row>
    <row r="199" ht="15.0" customHeight="1">
      <c r="A199" s="4"/>
      <c r="B199" s="4"/>
      <c r="C199" s="73" t="str">
        <f>IFERROR(VLOOKUP(B199,'📦 Maestro Productos'!$A:$B,2,0),"")</f>
        <v/>
      </c>
      <c r="D199" s="4"/>
      <c r="E199" s="4"/>
      <c r="F199" s="4"/>
      <c r="G199" s="74" t="str">
        <f t="shared" si="2"/>
        <v/>
      </c>
      <c r="H199" s="4"/>
      <c r="I199" s="4"/>
      <c r="J199" s="4"/>
      <c r="K199" s="4"/>
      <c r="L199" s="4"/>
    </row>
    <row r="200" ht="15.0" customHeight="1">
      <c r="A200" s="4"/>
      <c r="B200" s="4"/>
      <c r="C200" s="63" t="str">
        <f>IFERROR(VLOOKUP(B200,'📦 Maestro Productos'!$A:$B,2,0),"")</f>
        <v/>
      </c>
      <c r="D200" s="4"/>
      <c r="E200" s="4"/>
      <c r="F200" s="4"/>
      <c r="G200" s="64" t="str">
        <f t="shared" si="2"/>
        <v/>
      </c>
      <c r="H200" s="4"/>
      <c r="I200" s="4"/>
      <c r="J200" s="4"/>
      <c r="K200" s="4"/>
      <c r="L200" s="4"/>
    </row>
    <row r="201" ht="15.0" customHeight="1">
      <c r="A201" s="4"/>
      <c r="B201" s="4"/>
      <c r="C201" s="73" t="str">
        <f>IFERROR(VLOOKUP(B201,'📦 Maestro Productos'!$A:$B,2,0),"")</f>
        <v/>
      </c>
      <c r="D201" s="4"/>
      <c r="E201" s="4"/>
      <c r="F201" s="4"/>
      <c r="G201" s="74" t="str">
        <f t="shared" si="2"/>
        <v/>
      </c>
      <c r="H201" s="4"/>
      <c r="I201" s="4"/>
      <c r="J201" s="4"/>
      <c r="K201" s="4"/>
      <c r="L201" s="4"/>
    </row>
    <row r="202" ht="15.0" customHeight="1">
      <c r="A202" s="4"/>
      <c r="B202" s="4"/>
      <c r="C202" s="63" t="str">
        <f>IFERROR(VLOOKUP(B202,'📦 Maestro Productos'!$A:$B,2,0),"")</f>
        <v/>
      </c>
      <c r="D202" s="4"/>
      <c r="E202" s="4"/>
      <c r="F202" s="4"/>
      <c r="G202" s="64" t="str">
        <f t="shared" si="2"/>
        <v/>
      </c>
      <c r="H202" s="4"/>
      <c r="I202" s="4"/>
      <c r="J202" s="4"/>
      <c r="K202" s="4"/>
      <c r="L202" s="4"/>
    </row>
    <row r="203" ht="15.0" customHeight="1">
      <c r="A203" s="4"/>
      <c r="B203" s="4"/>
      <c r="C203" s="73" t="str">
        <f>IFERROR(VLOOKUP(B203,'📦 Maestro Productos'!$A:$B,2,0),"")</f>
        <v/>
      </c>
      <c r="D203" s="4"/>
      <c r="E203" s="4"/>
      <c r="F203" s="4"/>
      <c r="G203" s="74" t="str">
        <f t="shared" si="2"/>
        <v/>
      </c>
      <c r="H203" s="4"/>
      <c r="I203" s="4"/>
      <c r="J203" s="4"/>
      <c r="K203" s="4"/>
      <c r="L203" s="4"/>
    </row>
    <row r="204" ht="15.0" customHeight="1">
      <c r="A204" s="4"/>
      <c r="B204" s="4"/>
      <c r="C204" s="63" t="str">
        <f>IFERROR(VLOOKUP(B204,'📦 Maestro Productos'!$A:$B,2,0),"")</f>
        <v/>
      </c>
      <c r="D204" s="4"/>
      <c r="E204" s="4"/>
      <c r="F204" s="4"/>
      <c r="G204" s="64" t="str">
        <f t="shared" si="2"/>
        <v/>
      </c>
      <c r="H204" s="4"/>
      <c r="I204" s="4"/>
      <c r="J204" s="4"/>
      <c r="K204" s="4"/>
      <c r="L204" s="4"/>
    </row>
    <row r="205" ht="15.0" customHeight="1">
      <c r="A205" s="4"/>
      <c r="B205" s="4"/>
      <c r="C205" s="73" t="str">
        <f>IFERROR(VLOOKUP(B205,'📦 Maestro Productos'!$A:$B,2,0),"")</f>
        <v/>
      </c>
      <c r="D205" s="4"/>
      <c r="E205" s="4"/>
      <c r="F205" s="4"/>
      <c r="G205" s="74" t="str">
        <f t="shared" si="2"/>
        <v/>
      </c>
      <c r="H205" s="4"/>
      <c r="I205" s="4"/>
      <c r="J205" s="4"/>
      <c r="K205" s="4"/>
      <c r="L205" s="4"/>
    </row>
    <row r="206" ht="15.0" customHeight="1">
      <c r="A206" s="4"/>
      <c r="B206" s="4"/>
      <c r="C206" s="63" t="str">
        <f>IFERROR(VLOOKUP(B206,'📦 Maestro Productos'!$A:$B,2,0),"")</f>
        <v/>
      </c>
      <c r="D206" s="4"/>
      <c r="E206" s="4"/>
      <c r="F206" s="4"/>
      <c r="G206" s="64" t="str">
        <f t="shared" si="2"/>
        <v/>
      </c>
      <c r="H206" s="4"/>
      <c r="I206" s="4"/>
      <c r="J206" s="4"/>
      <c r="K206" s="4"/>
      <c r="L206" s="4"/>
    </row>
    <row r="207" ht="15.0" customHeight="1">
      <c r="A207" s="4"/>
      <c r="B207" s="4"/>
      <c r="C207" s="73" t="str">
        <f>IFERROR(VLOOKUP(B207,'📦 Maestro Productos'!$A:$B,2,0),"")</f>
        <v/>
      </c>
      <c r="D207" s="4"/>
      <c r="E207" s="4"/>
      <c r="F207" s="4"/>
      <c r="G207" s="74" t="str">
        <f t="shared" si="2"/>
        <v/>
      </c>
      <c r="H207" s="4"/>
      <c r="I207" s="4"/>
      <c r="J207" s="4"/>
      <c r="K207" s="4"/>
      <c r="L207" s="4"/>
    </row>
    <row r="208" ht="15.0" customHeight="1">
      <c r="A208" s="4"/>
      <c r="B208" s="4"/>
      <c r="C208" s="63" t="str">
        <f>IFERROR(VLOOKUP(B208,'📦 Maestro Productos'!$A:$B,2,0),"")</f>
        <v/>
      </c>
      <c r="D208" s="4"/>
      <c r="E208" s="4"/>
      <c r="F208" s="4"/>
      <c r="G208" s="64" t="str">
        <f t="shared" si="2"/>
        <v/>
      </c>
      <c r="H208" s="4"/>
      <c r="I208" s="4"/>
      <c r="J208" s="4"/>
      <c r="K208" s="4"/>
      <c r="L208" s="4"/>
    </row>
    <row r="209" ht="15.0" customHeight="1">
      <c r="A209" s="4"/>
      <c r="B209" s="4"/>
      <c r="C209" s="73" t="str">
        <f>IFERROR(VLOOKUP(B209,'📦 Maestro Productos'!$A:$B,2,0),"")</f>
        <v/>
      </c>
      <c r="D209" s="4"/>
      <c r="E209" s="4"/>
      <c r="F209" s="4"/>
      <c r="G209" s="74" t="str">
        <f t="shared" si="2"/>
        <v/>
      </c>
      <c r="H209" s="4"/>
      <c r="I209" s="4"/>
      <c r="J209" s="4"/>
      <c r="K209" s="4"/>
      <c r="L209" s="4"/>
    </row>
    <row r="210" ht="15.0" customHeight="1">
      <c r="A210" s="4"/>
      <c r="B210" s="4"/>
      <c r="C210" s="63" t="str">
        <f>IFERROR(VLOOKUP(B210,'📦 Maestro Productos'!$A:$B,2,0),"")</f>
        <v/>
      </c>
      <c r="D210" s="4"/>
      <c r="E210" s="4"/>
      <c r="F210" s="4"/>
      <c r="G210" s="64" t="str">
        <f t="shared" si="2"/>
        <v/>
      </c>
      <c r="H210" s="4"/>
      <c r="I210" s="4"/>
      <c r="J210" s="4"/>
      <c r="K210" s="4"/>
      <c r="L210" s="4"/>
    </row>
    <row r="211" ht="15.0" customHeight="1">
      <c r="A211" s="4"/>
      <c r="B211" s="4"/>
      <c r="C211" s="73" t="str">
        <f>IFERROR(VLOOKUP(B211,'📦 Maestro Productos'!$A:$B,2,0),"")</f>
        <v/>
      </c>
      <c r="D211" s="4"/>
      <c r="E211" s="4"/>
      <c r="F211" s="4"/>
      <c r="G211" s="74" t="str">
        <f t="shared" si="2"/>
        <v/>
      </c>
      <c r="H211" s="4"/>
      <c r="I211" s="4"/>
      <c r="J211" s="4"/>
      <c r="K211" s="4"/>
      <c r="L211" s="4"/>
    </row>
    <row r="212" ht="15.0" customHeight="1">
      <c r="A212" s="4"/>
      <c r="B212" s="4"/>
      <c r="C212" s="63" t="str">
        <f>IFERROR(VLOOKUP(B212,'📦 Maestro Productos'!$A:$B,2,0),"")</f>
        <v/>
      </c>
      <c r="D212" s="4"/>
      <c r="E212" s="4"/>
      <c r="F212" s="4"/>
      <c r="G212" s="64" t="str">
        <f t="shared" si="2"/>
        <v/>
      </c>
      <c r="H212" s="4"/>
      <c r="I212" s="4"/>
      <c r="J212" s="4"/>
      <c r="K212" s="4"/>
      <c r="L212" s="4"/>
    </row>
    <row r="213" ht="15.0" customHeight="1">
      <c r="A213" s="4"/>
      <c r="B213" s="4"/>
      <c r="C213" s="73" t="str">
        <f>IFERROR(VLOOKUP(B213,'📦 Maestro Productos'!$A:$B,2,0),"")</f>
        <v/>
      </c>
      <c r="D213" s="4"/>
      <c r="E213" s="4"/>
      <c r="F213" s="4"/>
      <c r="G213" s="74" t="str">
        <f t="shared" si="2"/>
        <v/>
      </c>
      <c r="H213" s="4"/>
      <c r="I213" s="4"/>
      <c r="J213" s="4"/>
      <c r="K213" s="4"/>
      <c r="L213" s="4"/>
    </row>
    <row r="214" ht="15.0" customHeight="1">
      <c r="A214" s="4"/>
      <c r="B214" s="4"/>
      <c r="C214" s="63" t="str">
        <f>IFERROR(VLOOKUP(B214,'📦 Maestro Productos'!$A:$B,2,0),"")</f>
        <v/>
      </c>
      <c r="D214" s="4"/>
      <c r="E214" s="4"/>
      <c r="F214" s="4"/>
      <c r="G214" s="64" t="str">
        <f t="shared" si="2"/>
        <v/>
      </c>
      <c r="H214" s="4"/>
      <c r="I214" s="4"/>
      <c r="J214" s="4"/>
      <c r="K214" s="4"/>
      <c r="L214" s="4"/>
    </row>
    <row r="215" ht="15.0" customHeight="1">
      <c r="A215" s="4"/>
      <c r="B215" s="4"/>
      <c r="C215" s="73" t="str">
        <f>IFERROR(VLOOKUP(B215,'📦 Maestro Productos'!$A:$B,2,0),"")</f>
        <v/>
      </c>
      <c r="D215" s="4"/>
      <c r="E215" s="4"/>
      <c r="F215" s="4"/>
      <c r="G215" s="74" t="str">
        <f t="shared" si="2"/>
        <v/>
      </c>
      <c r="H215" s="4"/>
      <c r="I215" s="4"/>
      <c r="J215" s="4"/>
      <c r="K215" s="4"/>
      <c r="L215" s="4"/>
    </row>
    <row r="216" ht="15.0" customHeight="1">
      <c r="A216" s="4"/>
      <c r="B216" s="4"/>
      <c r="C216" s="63" t="str">
        <f>IFERROR(VLOOKUP(B216,'📦 Maestro Productos'!$A:$B,2,0),"")</f>
        <v/>
      </c>
      <c r="D216" s="4"/>
      <c r="E216" s="4"/>
      <c r="F216" s="4"/>
      <c r="G216" s="64" t="str">
        <f t="shared" si="2"/>
        <v/>
      </c>
      <c r="H216" s="4"/>
      <c r="I216" s="4"/>
      <c r="J216" s="4"/>
      <c r="K216" s="4"/>
      <c r="L216" s="4"/>
    </row>
    <row r="217" ht="15.0" customHeight="1">
      <c r="A217" s="4"/>
      <c r="B217" s="4"/>
      <c r="C217" s="73" t="str">
        <f>IFERROR(VLOOKUP(B217,'📦 Maestro Productos'!$A:$B,2,0),"")</f>
        <v/>
      </c>
      <c r="D217" s="4"/>
      <c r="E217" s="4"/>
      <c r="F217" s="4"/>
      <c r="G217" s="74" t="str">
        <f t="shared" si="2"/>
        <v/>
      </c>
      <c r="H217" s="4"/>
      <c r="I217" s="4"/>
      <c r="J217" s="4"/>
      <c r="K217" s="4"/>
      <c r="L217" s="4"/>
    </row>
    <row r="218" ht="15.0" customHeight="1">
      <c r="A218" s="4"/>
      <c r="B218" s="4"/>
      <c r="C218" s="63" t="str">
        <f>IFERROR(VLOOKUP(B218,'📦 Maestro Productos'!$A:$B,2,0),"")</f>
        <v/>
      </c>
      <c r="D218" s="4"/>
      <c r="E218" s="4"/>
      <c r="F218" s="4"/>
      <c r="G218" s="64" t="str">
        <f t="shared" si="2"/>
        <v/>
      </c>
      <c r="H218" s="4"/>
      <c r="I218" s="4"/>
      <c r="J218" s="4"/>
      <c r="K218" s="4"/>
      <c r="L218" s="4"/>
    </row>
    <row r="219" ht="15.0" customHeight="1">
      <c r="A219" s="4"/>
      <c r="B219" s="4"/>
      <c r="C219" s="73" t="str">
        <f>IFERROR(VLOOKUP(B219,'📦 Maestro Productos'!$A:$B,2,0),"")</f>
        <v/>
      </c>
      <c r="D219" s="4"/>
      <c r="E219" s="4"/>
      <c r="F219" s="4"/>
      <c r="G219" s="74" t="str">
        <f t="shared" si="2"/>
        <v/>
      </c>
      <c r="H219" s="4"/>
      <c r="I219" s="4"/>
      <c r="J219" s="4"/>
      <c r="K219" s="4"/>
      <c r="L219" s="4"/>
    </row>
    <row r="220" ht="15.0" customHeight="1">
      <c r="A220" s="4"/>
      <c r="B220" s="4"/>
      <c r="C220" s="63" t="str">
        <f>IFERROR(VLOOKUP(B220,'📦 Maestro Productos'!$A:$B,2,0),"")</f>
        <v/>
      </c>
      <c r="D220" s="4"/>
      <c r="E220" s="4"/>
      <c r="F220" s="4"/>
      <c r="G220" s="64" t="str">
        <f t="shared" si="2"/>
        <v/>
      </c>
      <c r="H220" s="4"/>
      <c r="I220" s="4"/>
      <c r="J220" s="4"/>
      <c r="K220" s="4"/>
      <c r="L220" s="4"/>
    </row>
    <row r="221" ht="15.0" customHeight="1">
      <c r="A221" s="4"/>
      <c r="B221" s="4"/>
      <c r="C221" s="73" t="str">
        <f>IFERROR(VLOOKUP(B221,'📦 Maestro Productos'!$A:$B,2,0),"")</f>
        <v/>
      </c>
      <c r="D221" s="4"/>
      <c r="E221" s="4"/>
      <c r="F221" s="4"/>
      <c r="G221" s="74" t="str">
        <f t="shared" si="2"/>
        <v/>
      </c>
      <c r="H221" s="4"/>
      <c r="I221" s="4"/>
      <c r="J221" s="4"/>
      <c r="K221" s="4"/>
      <c r="L221" s="4"/>
    </row>
    <row r="222" ht="15.0" customHeight="1">
      <c r="A222" s="4"/>
      <c r="B222" s="4"/>
      <c r="C222" s="63" t="str">
        <f>IFERROR(VLOOKUP(B222,'📦 Maestro Productos'!$A:$B,2,0),"")</f>
        <v/>
      </c>
      <c r="D222" s="4"/>
      <c r="E222" s="4"/>
      <c r="F222" s="4"/>
      <c r="G222" s="64" t="str">
        <f t="shared" si="2"/>
        <v/>
      </c>
      <c r="H222" s="4"/>
      <c r="I222" s="4"/>
      <c r="J222" s="4"/>
      <c r="K222" s="4"/>
      <c r="L222" s="4"/>
    </row>
    <row r="223" ht="15.0" customHeight="1">
      <c r="A223" s="4"/>
      <c r="B223" s="4"/>
      <c r="C223" s="73" t="str">
        <f>IFERROR(VLOOKUP(B223,'📦 Maestro Productos'!$A:$B,2,0),"")</f>
        <v/>
      </c>
      <c r="D223" s="4"/>
      <c r="E223" s="4"/>
      <c r="F223" s="4"/>
      <c r="G223" s="74" t="str">
        <f t="shared" si="2"/>
        <v/>
      </c>
      <c r="H223" s="4"/>
      <c r="I223" s="4"/>
      <c r="J223" s="4"/>
      <c r="K223" s="4"/>
      <c r="L223" s="4"/>
    </row>
    <row r="224" ht="15.0" customHeight="1">
      <c r="A224" s="4"/>
      <c r="B224" s="4"/>
      <c r="C224" s="63" t="str">
        <f>IFERROR(VLOOKUP(B224,'📦 Maestro Productos'!$A:$B,2,0),"")</f>
        <v/>
      </c>
      <c r="D224" s="4"/>
      <c r="E224" s="4"/>
      <c r="F224" s="4"/>
      <c r="G224" s="64" t="str">
        <f t="shared" si="2"/>
        <v/>
      </c>
      <c r="H224" s="4"/>
      <c r="I224" s="4"/>
      <c r="J224" s="4"/>
      <c r="K224" s="4"/>
      <c r="L224" s="4"/>
    </row>
    <row r="225" ht="15.0" customHeight="1">
      <c r="A225" s="4"/>
      <c r="B225" s="4"/>
      <c r="C225" s="73" t="str">
        <f>IFERROR(VLOOKUP(B225,'📦 Maestro Productos'!$A:$B,2,0),"")</f>
        <v/>
      </c>
      <c r="D225" s="4"/>
      <c r="E225" s="4"/>
      <c r="F225" s="4"/>
      <c r="G225" s="74" t="str">
        <f t="shared" si="2"/>
        <v/>
      </c>
      <c r="H225" s="4"/>
      <c r="I225" s="4"/>
      <c r="J225" s="4"/>
      <c r="K225" s="4"/>
      <c r="L225" s="4"/>
    </row>
    <row r="226" ht="15.0" customHeight="1">
      <c r="A226" s="4"/>
      <c r="B226" s="4"/>
      <c r="C226" s="63" t="str">
        <f>IFERROR(VLOOKUP(B226,'📦 Maestro Productos'!$A:$B,2,0),"")</f>
        <v/>
      </c>
      <c r="D226" s="4"/>
      <c r="E226" s="4"/>
      <c r="F226" s="4"/>
      <c r="G226" s="64" t="str">
        <f t="shared" si="2"/>
        <v/>
      </c>
      <c r="H226" s="4"/>
      <c r="I226" s="4"/>
      <c r="J226" s="4"/>
      <c r="K226" s="4"/>
      <c r="L226" s="4"/>
    </row>
    <row r="227" ht="15.0" customHeight="1">
      <c r="A227" s="4"/>
      <c r="B227" s="4"/>
      <c r="C227" s="73" t="str">
        <f>IFERROR(VLOOKUP(B227,'📦 Maestro Productos'!$A:$B,2,0),"")</f>
        <v/>
      </c>
      <c r="D227" s="4"/>
      <c r="E227" s="4"/>
      <c r="F227" s="4"/>
      <c r="G227" s="74" t="str">
        <f t="shared" si="2"/>
        <v/>
      </c>
      <c r="H227" s="4"/>
      <c r="I227" s="4"/>
      <c r="J227" s="4"/>
      <c r="K227" s="4"/>
      <c r="L227" s="4"/>
    </row>
    <row r="228" ht="15.0" customHeight="1">
      <c r="A228" s="4"/>
      <c r="B228" s="4"/>
      <c r="C228" s="63" t="str">
        <f>IFERROR(VLOOKUP(B228,'📦 Maestro Productos'!$A:$B,2,0),"")</f>
        <v/>
      </c>
      <c r="D228" s="4"/>
      <c r="E228" s="4"/>
      <c r="F228" s="4"/>
      <c r="G228" s="64" t="str">
        <f t="shared" si="2"/>
        <v/>
      </c>
      <c r="H228" s="4"/>
      <c r="I228" s="4"/>
      <c r="J228" s="4"/>
      <c r="K228" s="4"/>
      <c r="L228" s="4"/>
    </row>
    <row r="229" ht="15.0" customHeight="1">
      <c r="A229" s="4"/>
      <c r="B229" s="4"/>
      <c r="C229" s="73" t="str">
        <f>IFERROR(VLOOKUP(B229,'📦 Maestro Productos'!$A:$B,2,0),"")</f>
        <v/>
      </c>
      <c r="D229" s="4"/>
      <c r="E229" s="4"/>
      <c r="F229" s="4"/>
      <c r="G229" s="74" t="str">
        <f t="shared" si="2"/>
        <v/>
      </c>
      <c r="H229" s="4"/>
      <c r="I229" s="4"/>
      <c r="J229" s="4"/>
      <c r="K229" s="4"/>
      <c r="L229" s="4"/>
    </row>
    <row r="230" ht="15.0" customHeight="1">
      <c r="A230" s="4"/>
      <c r="B230" s="4"/>
      <c r="C230" s="63" t="str">
        <f>IFERROR(VLOOKUP(B230,'📦 Maestro Productos'!$A:$B,2,0),"")</f>
        <v/>
      </c>
      <c r="D230" s="4"/>
      <c r="E230" s="4"/>
      <c r="F230" s="4"/>
      <c r="G230" s="64" t="str">
        <f t="shared" si="2"/>
        <v/>
      </c>
      <c r="H230" s="4"/>
      <c r="I230" s="4"/>
      <c r="J230" s="4"/>
      <c r="K230" s="4"/>
      <c r="L230" s="4"/>
    </row>
    <row r="231" ht="15.0" customHeight="1">
      <c r="A231" s="4"/>
      <c r="B231" s="4"/>
      <c r="C231" s="73" t="str">
        <f>IFERROR(VLOOKUP(B231,'📦 Maestro Productos'!$A:$B,2,0),"")</f>
        <v/>
      </c>
      <c r="D231" s="4"/>
      <c r="E231" s="4"/>
      <c r="F231" s="4"/>
      <c r="G231" s="74" t="str">
        <f t="shared" si="2"/>
        <v/>
      </c>
      <c r="H231" s="4"/>
      <c r="I231" s="4"/>
      <c r="J231" s="4"/>
      <c r="K231" s="4"/>
      <c r="L231" s="4"/>
    </row>
    <row r="232" ht="15.0" customHeight="1">
      <c r="A232" s="4"/>
      <c r="B232" s="4"/>
      <c r="C232" s="63" t="str">
        <f>IFERROR(VLOOKUP(B232,'📦 Maestro Productos'!$A:$B,2,0),"")</f>
        <v/>
      </c>
      <c r="D232" s="4"/>
      <c r="E232" s="4"/>
      <c r="F232" s="4"/>
      <c r="G232" s="64" t="str">
        <f t="shared" si="2"/>
        <v/>
      </c>
      <c r="H232" s="4"/>
      <c r="I232" s="4"/>
      <c r="J232" s="4"/>
      <c r="K232" s="4"/>
      <c r="L232" s="4"/>
    </row>
    <row r="233" ht="15.0" customHeight="1">
      <c r="A233" s="4"/>
      <c r="B233" s="4"/>
      <c r="C233" s="73" t="str">
        <f>IFERROR(VLOOKUP(B233,'📦 Maestro Productos'!$A:$B,2,0),"")</f>
        <v/>
      </c>
      <c r="D233" s="4"/>
      <c r="E233" s="4"/>
      <c r="F233" s="4"/>
      <c r="G233" s="74" t="str">
        <f t="shared" si="2"/>
        <v/>
      </c>
      <c r="H233" s="4"/>
      <c r="I233" s="4"/>
      <c r="J233" s="4"/>
      <c r="K233" s="4"/>
      <c r="L233" s="4"/>
    </row>
    <row r="234" ht="15.0" customHeight="1">
      <c r="A234" s="4"/>
      <c r="B234" s="4"/>
      <c r="C234" s="63" t="str">
        <f>IFERROR(VLOOKUP(B234,'📦 Maestro Productos'!$A:$B,2,0),"")</f>
        <v/>
      </c>
      <c r="D234" s="4"/>
      <c r="E234" s="4"/>
      <c r="F234" s="4"/>
      <c r="G234" s="64" t="str">
        <f t="shared" si="2"/>
        <v/>
      </c>
      <c r="H234" s="4"/>
      <c r="I234" s="4"/>
      <c r="J234" s="4"/>
      <c r="K234" s="4"/>
      <c r="L234" s="4"/>
    </row>
    <row r="235" ht="15.0" customHeight="1">
      <c r="A235" s="4"/>
      <c r="B235" s="4"/>
      <c r="C235" s="73" t="str">
        <f>IFERROR(VLOOKUP(B235,'📦 Maestro Productos'!$A:$B,2,0),"")</f>
        <v/>
      </c>
      <c r="D235" s="4"/>
      <c r="E235" s="4"/>
      <c r="F235" s="4"/>
      <c r="G235" s="74" t="str">
        <f t="shared" si="2"/>
        <v/>
      </c>
      <c r="H235" s="4"/>
      <c r="I235" s="4"/>
      <c r="J235" s="4"/>
      <c r="K235" s="4"/>
      <c r="L235" s="4"/>
    </row>
    <row r="236" ht="15.0" customHeight="1">
      <c r="A236" s="4"/>
      <c r="B236" s="4"/>
      <c r="C236" s="63" t="str">
        <f>IFERROR(VLOOKUP(B236,'📦 Maestro Productos'!$A:$B,2,0),"")</f>
        <v/>
      </c>
      <c r="D236" s="4"/>
      <c r="E236" s="4"/>
      <c r="F236" s="4"/>
      <c r="G236" s="64" t="str">
        <f t="shared" si="2"/>
        <v/>
      </c>
      <c r="H236" s="4"/>
      <c r="I236" s="4"/>
      <c r="J236" s="4"/>
      <c r="K236" s="4"/>
      <c r="L236" s="4"/>
    </row>
    <row r="237" ht="15.0" customHeight="1">
      <c r="A237" s="4"/>
      <c r="B237" s="4"/>
      <c r="C237" s="73" t="str">
        <f>IFERROR(VLOOKUP(B237,'📦 Maestro Productos'!$A:$B,2,0),"")</f>
        <v/>
      </c>
      <c r="D237" s="4"/>
      <c r="E237" s="4"/>
      <c r="F237" s="4"/>
      <c r="G237" s="74" t="str">
        <f t="shared" si="2"/>
        <v/>
      </c>
      <c r="H237" s="4"/>
      <c r="I237" s="4"/>
      <c r="J237" s="4"/>
      <c r="K237" s="4"/>
      <c r="L237" s="4"/>
    </row>
    <row r="238" ht="15.0" customHeight="1">
      <c r="A238" s="4"/>
      <c r="B238" s="4"/>
      <c r="C238" s="63" t="str">
        <f>IFERROR(VLOOKUP(B238,'📦 Maestro Productos'!$A:$B,2,0),"")</f>
        <v/>
      </c>
      <c r="D238" s="4"/>
      <c r="E238" s="4"/>
      <c r="F238" s="4"/>
      <c r="G238" s="64" t="str">
        <f t="shared" si="2"/>
        <v/>
      </c>
      <c r="H238" s="4"/>
      <c r="I238" s="4"/>
      <c r="J238" s="4"/>
      <c r="K238" s="4"/>
      <c r="L238" s="4"/>
    </row>
    <row r="239" ht="15.0" customHeight="1">
      <c r="A239" s="4"/>
      <c r="B239" s="4"/>
      <c r="C239" s="73" t="str">
        <f>IFERROR(VLOOKUP(B239,'📦 Maestro Productos'!$A:$B,2,0),"")</f>
        <v/>
      </c>
      <c r="D239" s="4"/>
      <c r="E239" s="4"/>
      <c r="F239" s="4"/>
      <c r="G239" s="74" t="str">
        <f t="shared" si="2"/>
        <v/>
      </c>
      <c r="H239" s="4"/>
      <c r="I239" s="4"/>
      <c r="J239" s="4"/>
      <c r="K239" s="4"/>
      <c r="L239" s="4"/>
    </row>
    <row r="240" ht="15.0" customHeight="1">
      <c r="A240" s="4"/>
      <c r="B240" s="4"/>
      <c r="C240" s="63" t="str">
        <f>IFERROR(VLOOKUP(B240,'📦 Maestro Productos'!$A:$B,2,0),"")</f>
        <v/>
      </c>
      <c r="D240" s="4"/>
      <c r="E240" s="4"/>
      <c r="F240" s="4"/>
      <c r="G240" s="64" t="str">
        <f t="shared" si="2"/>
        <v/>
      </c>
      <c r="H240" s="4"/>
      <c r="I240" s="4"/>
      <c r="J240" s="4"/>
      <c r="K240" s="4"/>
      <c r="L240" s="4"/>
    </row>
    <row r="241" ht="15.0" customHeight="1">
      <c r="A241" s="4"/>
      <c r="B241" s="4"/>
      <c r="C241" s="73" t="str">
        <f>IFERROR(VLOOKUP(B241,'📦 Maestro Productos'!$A:$B,2,0),"")</f>
        <v/>
      </c>
      <c r="D241" s="4"/>
      <c r="E241" s="4"/>
      <c r="F241" s="4"/>
      <c r="G241" s="74" t="str">
        <f t="shared" si="2"/>
        <v/>
      </c>
      <c r="H241" s="4"/>
      <c r="I241" s="4"/>
      <c r="J241" s="4"/>
      <c r="K241" s="4"/>
      <c r="L241" s="4"/>
    </row>
    <row r="242" ht="15.0" customHeight="1">
      <c r="A242" s="4"/>
      <c r="B242" s="4"/>
      <c r="C242" s="63" t="str">
        <f>IFERROR(VLOOKUP(B242,'📦 Maestro Productos'!$A:$B,2,0),"")</f>
        <v/>
      </c>
      <c r="D242" s="4"/>
      <c r="E242" s="4"/>
      <c r="F242" s="4"/>
      <c r="G242" s="64" t="str">
        <f t="shared" si="2"/>
        <v/>
      </c>
      <c r="H242" s="4"/>
      <c r="I242" s="4"/>
      <c r="J242" s="4"/>
      <c r="K242" s="4"/>
      <c r="L242" s="4"/>
    </row>
    <row r="243" ht="15.0" customHeight="1">
      <c r="A243" s="4"/>
      <c r="B243" s="4"/>
      <c r="C243" s="73" t="str">
        <f>IFERROR(VLOOKUP(B243,'📦 Maestro Productos'!$A:$B,2,0),"")</f>
        <v/>
      </c>
      <c r="D243" s="4"/>
      <c r="E243" s="4"/>
      <c r="F243" s="4"/>
      <c r="G243" s="74" t="str">
        <f t="shared" si="2"/>
        <v/>
      </c>
      <c r="H243" s="4"/>
      <c r="I243" s="4"/>
      <c r="J243" s="4"/>
      <c r="K243" s="4"/>
      <c r="L243" s="4"/>
    </row>
    <row r="244" ht="15.0" customHeight="1">
      <c r="A244" s="4"/>
      <c r="B244" s="4"/>
      <c r="C244" s="63" t="str">
        <f>IFERROR(VLOOKUP(B244,'📦 Maestro Productos'!$A:$B,2,0),"")</f>
        <v/>
      </c>
      <c r="D244" s="4"/>
      <c r="E244" s="4"/>
      <c r="F244" s="4"/>
      <c r="G244" s="64" t="str">
        <f t="shared" si="2"/>
        <v/>
      </c>
      <c r="H244" s="4"/>
      <c r="I244" s="4"/>
      <c r="J244" s="4"/>
      <c r="K244" s="4"/>
      <c r="L244" s="4"/>
    </row>
    <row r="245" ht="15.0" customHeight="1">
      <c r="A245" s="4"/>
      <c r="B245" s="4"/>
      <c r="C245" s="73" t="str">
        <f>IFERROR(VLOOKUP(B245,'📦 Maestro Productos'!$A:$B,2,0),"")</f>
        <v/>
      </c>
      <c r="D245" s="4"/>
      <c r="E245" s="4"/>
      <c r="F245" s="4"/>
      <c r="G245" s="74" t="str">
        <f t="shared" si="2"/>
        <v/>
      </c>
      <c r="H245" s="4"/>
      <c r="I245" s="4"/>
      <c r="J245" s="4"/>
      <c r="K245" s="4"/>
      <c r="L245" s="4"/>
    </row>
    <row r="246" ht="15.0" customHeight="1">
      <c r="A246" s="4"/>
      <c r="B246" s="4"/>
      <c r="C246" s="63" t="str">
        <f>IFERROR(VLOOKUP(B246,'📦 Maestro Productos'!$A:$B,2,0),"")</f>
        <v/>
      </c>
      <c r="D246" s="4"/>
      <c r="E246" s="4"/>
      <c r="F246" s="4"/>
      <c r="G246" s="64" t="str">
        <f t="shared" si="2"/>
        <v/>
      </c>
      <c r="H246" s="4"/>
      <c r="I246" s="4"/>
      <c r="J246" s="4"/>
      <c r="K246" s="4"/>
      <c r="L246" s="4"/>
    </row>
    <row r="247" ht="15.0" customHeight="1">
      <c r="A247" s="4"/>
      <c r="B247" s="4"/>
      <c r="C247" s="73" t="str">
        <f>IFERROR(VLOOKUP(B247,'📦 Maestro Productos'!$A:$B,2,0),"")</f>
        <v/>
      </c>
      <c r="D247" s="4"/>
      <c r="E247" s="4"/>
      <c r="F247" s="4"/>
      <c r="G247" s="74" t="str">
        <f t="shared" si="2"/>
        <v/>
      </c>
      <c r="H247" s="4"/>
      <c r="I247" s="4"/>
      <c r="J247" s="4"/>
      <c r="K247" s="4"/>
      <c r="L247" s="4"/>
    </row>
    <row r="248" ht="15.0" customHeight="1">
      <c r="A248" s="4"/>
      <c r="B248" s="4"/>
      <c r="C248" s="63" t="str">
        <f>IFERROR(VLOOKUP(B248,'📦 Maestro Productos'!$A:$B,2,0),"")</f>
        <v/>
      </c>
      <c r="D248" s="4"/>
      <c r="E248" s="4"/>
      <c r="F248" s="4"/>
      <c r="G248" s="64" t="str">
        <f t="shared" si="2"/>
        <v/>
      </c>
      <c r="H248" s="4"/>
      <c r="I248" s="4"/>
      <c r="J248" s="4"/>
      <c r="K248" s="4"/>
      <c r="L248" s="4"/>
    </row>
    <row r="249" ht="15.0" customHeight="1">
      <c r="A249" s="4"/>
      <c r="B249" s="4"/>
      <c r="C249" s="73" t="str">
        <f>IFERROR(VLOOKUP(B249,'📦 Maestro Productos'!$A:$B,2,0),"")</f>
        <v/>
      </c>
      <c r="D249" s="4"/>
      <c r="E249" s="4"/>
      <c r="F249" s="4"/>
      <c r="G249" s="74" t="str">
        <f t="shared" si="2"/>
        <v/>
      </c>
      <c r="H249" s="4"/>
      <c r="I249" s="4"/>
      <c r="J249" s="4"/>
      <c r="K249" s="4"/>
      <c r="L249" s="4"/>
    </row>
    <row r="250" ht="15.0" customHeight="1">
      <c r="A250" s="4"/>
      <c r="B250" s="4"/>
      <c r="C250" s="63" t="str">
        <f>IFERROR(VLOOKUP(B250,'📦 Maestro Productos'!$A:$B,2,0),"")</f>
        <v/>
      </c>
      <c r="D250" s="4"/>
      <c r="E250" s="4"/>
      <c r="F250" s="4"/>
      <c r="G250" s="64" t="str">
        <f t="shared" si="2"/>
        <v/>
      </c>
      <c r="H250" s="4"/>
      <c r="I250" s="4"/>
      <c r="J250" s="4"/>
      <c r="K250" s="4"/>
      <c r="L250" s="4"/>
    </row>
    <row r="251" ht="15.0" customHeight="1">
      <c r="A251" s="4"/>
      <c r="B251" s="4"/>
      <c r="C251" s="73" t="str">
        <f>IFERROR(VLOOKUP(B251,'📦 Maestro Productos'!$A:$B,2,0),"")</f>
        <v/>
      </c>
      <c r="D251" s="4"/>
      <c r="E251" s="4"/>
      <c r="F251" s="4"/>
      <c r="G251" s="74" t="str">
        <f t="shared" si="2"/>
        <v/>
      </c>
      <c r="H251" s="4"/>
      <c r="I251" s="4"/>
      <c r="J251" s="4"/>
      <c r="K251" s="4"/>
      <c r="L251" s="4"/>
    </row>
    <row r="252" ht="15.0" customHeight="1">
      <c r="A252" s="4"/>
      <c r="B252" s="4"/>
      <c r="C252" s="63" t="str">
        <f>IFERROR(VLOOKUP(B252,'📦 Maestro Productos'!$A:$B,2,0),"")</f>
        <v/>
      </c>
      <c r="D252" s="4"/>
      <c r="E252" s="4"/>
      <c r="F252" s="4"/>
      <c r="G252" s="64" t="str">
        <f t="shared" si="2"/>
        <v/>
      </c>
      <c r="H252" s="4"/>
      <c r="I252" s="4"/>
      <c r="J252" s="4"/>
      <c r="K252" s="4"/>
      <c r="L252" s="4"/>
    </row>
    <row r="253" ht="15.0" customHeight="1">
      <c r="A253" s="4"/>
      <c r="B253" s="4"/>
      <c r="C253" s="73" t="str">
        <f>IFERROR(VLOOKUP(B253,'📦 Maestro Productos'!$A:$B,2,0),"")</f>
        <v/>
      </c>
      <c r="D253" s="4"/>
      <c r="E253" s="4"/>
      <c r="F253" s="4"/>
      <c r="G253" s="74" t="str">
        <f t="shared" si="2"/>
        <v/>
      </c>
      <c r="H253" s="4"/>
      <c r="I253" s="4"/>
      <c r="J253" s="4"/>
      <c r="K253" s="4"/>
      <c r="L253" s="4"/>
    </row>
    <row r="254" ht="15.0" customHeight="1">
      <c r="A254" s="4"/>
      <c r="B254" s="4"/>
      <c r="C254" s="63" t="str">
        <f>IFERROR(VLOOKUP(B254,'📦 Maestro Productos'!$A:$B,2,0),"")</f>
        <v/>
      </c>
      <c r="D254" s="4"/>
      <c r="E254" s="4"/>
      <c r="F254" s="4"/>
      <c r="G254" s="64" t="str">
        <f t="shared" si="2"/>
        <v/>
      </c>
      <c r="H254" s="4"/>
      <c r="I254" s="4"/>
      <c r="J254" s="4"/>
      <c r="K254" s="4"/>
      <c r="L254" s="4"/>
    </row>
    <row r="255" ht="15.0" customHeight="1">
      <c r="A255" s="4"/>
      <c r="B255" s="4"/>
      <c r="C255" s="73" t="str">
        <f>IFERROR(VLOOKUP(B255,'📦 Maestro Productos'!$A:$B,2,0),"")</f>
        <v/>
      </c>
      <c r="D255" s="4"/>
      <c r="E255" s="4"/>
      <c r="F255" s="4"/>
      <c r="G255" s="74" t="str">
        <f t="shared" si="2"/>
        <v/>
      </c>
      <c r="H255" s="4"/>
      <c r="I255" s="4"/>
      <c r="J255" s="4"/>
      <c r="K255" s="4"/>
      <c r="L255" s="4"/>
    </row>
    <row r="256" ht="15.0" customHeight="1">
      <c r="A256" s="4"/>
      <c r="B256" s="4"/>
      <c r="C256" s="63" t="str">
        <f>IFERROR(VLOOKUP(B256,'📦 Maestro Productos'!$A:$B,2,0),"")</f>
        <v/>
      </c>
      <c r="D256" s="4"/>
      <c r="E256" s="4"/>
      <c r="F256" s="4"/>
      <c r="G256" s="64" t="str">
        <f t="shared" si="2"/>
        <v/>
      </c>
      <c r="H256" s="4"/>
      <c r="I256" s="4"/>
      <c r="J256" s="4"/>
      <c r="K256" s="4"/>
      <c r="L256" s="4"/>
    </row>
    <row r="257" ht="15.0" customHeight="1">
      <c r="A257" s="4"/>
      <c r="B257" s="4"/>
      <c r="C257" s="73" t="str">
        <f>IFERROR(VLOOKUP(B257,'📦 Maestro Productos'!$A:$B,2,0),"")</f>
        <v/>
      </c>
      <c r="D257" s="4"/>
      <c r="E257" s="4"/>
      <c r="F257" s="4"/>
      <c r="G257" s="74" t="str">
        <f t="shared" si="2"/>
        <v/>
      </c>
      <c r="H257" s="4"/>
      <c r="I257" s="4"/>
      <c r="J257" s="4"/>
      <c r="K257" s="4"/>
      <c r="L257" s="4"/>
    </row>
    <row r="258" ht="15.0" customHeight="1">
      <c r="A258" s="4"/>
      <c r="B258" s="4"/>
      <c r="C258" s="63" t="str">
        <f>IFERROR(VLOOKUP(B258,'📦 Maestro Productos'!$A:$B,2,0),"")</f>
        <v/>
      </c>
      <c r="D258" s="4"/>
      <c r="E258" s="4"/>
      <c r="F258" s="4"/>
      <c r="G258" s="64" t="str">
        <f t="shared" si="2"/>
        <v/>
      </c>
      <c r="H258" s="4"/>
      <c r="I258" s="4"/>
      <c r="J258" s="4"/>
      <c r="K258" s="4"/>
      <c r="L258" s="4"/>
    </row>
    <row r="259" ht="15.0" customHeight="1">
      <c r="A259" s="4"/>
      <c r="B259" s="4"/>
      <c r="C259" s="73" t="str">
        <f>IFERROR(VLOOKUP(B259,'📦 Maestro Productos'!$A:$B,2,0),"")</f>
        <v/>
      </c>
      <c r="D259" s="4"/>
      <c r="E259" s="4"/>
      <c r="F259" s="4"/>
      <c r="G259" s="74" t="str">
        <f t="shared" si="2"/>
        <v/>
      </c>
      <c r="H259" s="4"/>
      <c r="I259" s="4"/>
      <c r="J259" s="4"/>
      <c r="K259" s="4"/>
      <c r="L259" s="4"/>
    </row>
    <row r="260" ht="15.0" customHeight="1">
      <c r="A260" s="4"/>
      <c r="B260" s="4"/>
      <c r="C260" s="63" t="str">
        <f>IFERROR(VLOOKUP(B260,'📦 Maestro Productos'!$A:$B,2,0),"")</f>
        <v/>
      </c>
      <c r="D260" s="4"/>
      <c r="E260" s="4"/>
      <c r="F260" s="4"/>
      <c r="G260" s="64" t="str">
        <f t="shared" si="2"/>
        <v/>
      </c>
      <c r="H260" s="4"/>
      <c r="I260" s="4"/>
      <c r="J260" s="4"/>
      <c r="K260" s="4"/>
      <c r="L260" s="4"/>
    </row>
    <row r="261" ht="15.0" customHeight="1">
      <c r="A261" s="4"/>
      <c r="B261" s="4"/>
      <c r="C261" s="73" t="str">
        <f>IFERROR(VLOOKUP(B261,'📦 Maestro Productos'!$A:$B,2,0),"")</f>
        <v/>
      </c>
      <c r="D261" s="4"/>
      <c r="E261" s="4"/>
      <c r="F261" s="4"/>
      <c r="G261" s="74" t="str">
        <f t="shared" si="2"/>
        <v/>
      </c>
      <c r="H261" s="4"/>
      <c r="I261" s="4"/>
      <c r="J261" s="4"/>
      <c r="K261" s="4"/>
      <c r="L261" s="4"/>
    </row>
    <row r="262" ht="15.0" customHeight="1">
      <c r="A262" s="4"/>
      <c r="B262" s="4"/>
      <c r="C262" s="63" t="str">
        <f>IFERROR(VLOOKUP(B262,'📦 Maestro Productos'!$A:$B,2,0),"")</f>
        <v/>
      </c>
      <c r="D262" s="4"/>
      <c r="E262" s="4"/>
      <c r="F262" s="4"/>
      <c r="G262" s="64" t="str">
        <f t="shared" si="2"/>
        <v/>
      </c>
      <c r="H262" s="4"/>
      <c r="I262" s="4"/>
      <c r="J262" s="4"/>
      <c r="K262" s="4"/>
      <c r="L262" s="4"/>
    </row>
    <row r="263" ht="15.0" customHeight="1">
      <c r="A263" s="4"/>
      <c r="B263" s="4"/>
      <c r="C263" s="73" t="str">
        <f>IFERROR(VLOOKUP(B263,'📦 Maestro Productos'!$A:$B,2,0),"")</f>
        <v/>
      </c>
      <c r="D263" s="4"/>
      <c r="E263" s="4"/>
      <c r="F263" s="4"/>
      <c r="G263" s="74" t="str">
        <f t="shared" si="2"/>
        <v/>
      </c>
      <c r="H263" s="4"/>
      <c r="I263" s="4"/>
      <c r="J263" s="4"/>
      <c r="K263" s="4"/>
      <c r="L263" s="4"/>
    </row>
    <row r="264" ht="15.0" customHeight="1">
      <c r="A264" s="4"/>
      <c r="B264" s="4"/>
      <c r="C264" s="63" t="str">
        <f>IFERROR(VLOOKUP(B264,'📦 Maestro Productos'!$A:$B,2,0),"")</f>
        <v/>
      </c>
      <c r="D264" s="4"/>
      <c r="E264" s="4"/>
      <c r="F264" s="4"/>
      <c r="G264" s="64" t="str">
        <f t="shared" si="2"/>
        <v/>
      </c>
      <c r="H264" s="4"/>
      <c r="I264" s="4"/>
      <c r="J264" s="4"/>
      <c r="K264" s="4"/>
      <c r="L264" s="4"/>
    </row>
    <row r="265" ht="15.0" customHeight="1">
      <c r="A265" s="4"/>
      <c r="B265" s="4"/>
      <c r="C265" s="73" t="str">
        <f>IFERROR(VLOOKUP(B265,'📦 Maestro Productos'!$A:$B,2,0),"")</f>
        <v/>
      </c>
      <c r="D265" s="4"/>
      <c r="E265" s="4"/>
      <c r="F265" s="4"/>
      <c r="G265" s="74" t="str">
        <f t="shared" si="2"/>
        <v/>
      </c>
      <c r="H265" s="4"/>
      <c r="I265" s="4"/>
      <c r="J265" s="4"/>
      <c r="K265" s="4"/>
      <c r="L265" s="4"/>
    </row>
    <row r="266" ht="15.0" customHeight="1">
      <c r="A266" s="4"/>
      <c r="B266" s="4"/>
      <c r="C266" s="63" t="str">
        <f>IFERROR(VLOOKUP(B266,'📦 Maestro Productos'!$A:$B,2,0),"")</f>
        <v/>
      </c>
      <c r="D266" s="4"/>
      <c r="E266" s="4"/>
      <c r="F266" s="4"/>
      <c r="G266" s="64" t="str">
        <f t="shared" si="2"/>
        <v/>
      </c>
      <c r="H266" s="4"/>
      <c r="I266" s="4"/>
      <c r="J266" s="4"/>
      <c r="K266" s="4"/>
      <c r="L266" s="4"/>
    </row>
    <row r="267" ht="15.0" customHeight="1">
      <c r="A267" s="4"/>
      <c r="B267" s="4"/>
      <c r="C267" s="73" t="str">
        <f>IFERROR(VLOOKUP(B267,'📦 Maestro Productos'!$A:$B,2,0),"")</f>
        <v/>
      </c>
      <c r="D267" s="4"/>
      <c r="E267" s="4"/>
      <c r="F267" s="4"/>
      <c r="G267" s="74" t="str">
        <f t="shared" si="2"/>
        <v/>
      </c>
      <c r="H267" s="4"/>
      <c r="I267" s="4"/>
      <c r="J267" s="4"/>
      <c r="K267" s="4"/>
      <c r="L267" s="4"/>
    </row>
    <row r="268" ht="15.0" customHeight="1">
      <c r="A268" s="4"/>
      <c r="B268" s="4"/>
      <c r="C268" s="63" t="str">
        <f>IFERROR(VLOOKUP(B268,'📦 Maestro Productos'!$A:$B,2,0),"")</f>
        <v/>
      </c>
      <c r="D268" s="4"/>
      <c r="E268" s="4"/>
      <c r="F268" s="4"/>
      <c r="G268" s="64" t="str">
        <f t="shared" si="2"/>
        <v/>
      </c>
      <c r="H268" s="4"/>
      <c r="I268" s="4"/>
      <c r="J268" s="4"/>
      <c r="K268" s="4"/>
      <c r="L268" s="4"/>
    </row>
    <row r="269" ht="15.0" customHeight="1">
      <c r="A269" s="4"/>
      <c r="B269" s="4"/>
      <c r="C269" s="73" t="str">
        <f>IFERROR(VLOOKUP(B269,'📦 Maestro Productos'!$A:$B,2,0),"")</f>
        <v/>
      </c>
      <c r="D269" s="4"/>
      <c r="E269" s="4"/>
      <c r="F269" s="4"/>
      <c r="G269" s="74" t="str">
        <f t="shared" si="2"/>
        <v/>
      </c>
      <c r="H269" s="4"/>
      <c r="I269" s="4"/>
      <c r="J269" s="4"/>
      <c r="K269" s="4"/>
      <c r="L269" s="4"/>
    </row>
    <row r="270" ht="15.0" customHeight="1">
      <c r="A270" s="4"/>
      <c r="B270" s="4"/>
      <c r="C270" s="63" t="str">
        <f>IFERROR(VLOOKUP(B270,'📦 Maestro Productos'!$A:$B,2,0),"")</f>
        <v/>
      </c>
      <c r="D270" s="4"/>
      <c r="E270" s="4"/>
      <c r="F270" s="4"/>
      <c r="G270" s="64" t="str">
        <f t="shared" si="2"/>
        <v/>
      </c>
      <c r="H270" s="4"/>
      <c r="I270" s="4"/>
      <c r="J270" s="4"/>
      <c r="K270" s="4"/>
      <c r="L270" s="4"/>
    </row>
    <row r="271" ht="15.0" customHeight="1">
      <c r="A271" s="4"/>
      <c r="B271" s="4"/>
      <c r="C271" s="73" t="str">
        <f>IFERROR(VLOOKUP(B271,'📦 Maestro Productos'!$A:$B,2,0),"")</f>
        <v/>
      </c>
      <c r="D271" s="4"/>
      <c r="E271" s="4"/>
      <c r="F271" s="4"/>
      <c r="G271" s="74" t="str">
        <f t="shared" si="2"/>
        <v/>
      </c>
      <c r="H271" s="4"/>
      <c r="I271" s="4"/>
      <c r="J271" s="4"/>
      <c r="K271" s="4"/>
      <c r="L271" s="4"/>
    </row>
    <row r="272" ht="15.0" customHeight="1">
      <c r="A272" s="4"/>
      <c r="B272" s="4"/>
      <c r="C272" s="63" t="str">
        <f>IFERROR(VLOOKUP(B272,'📦 Maestro Productos'!$A:$B,2,0),"")</f>
        <v/>
      </c>
      <c r="D272" s="4"/>
      <c r="E272" s="4"/>
      <c r="F272" s="4"/>
      <c r="G272" s="64" t="str">
        <f t="shared" si="2"/>
        <v/>
      </c>
      <c r="H272" s="4"/>
      <c r="I272" s="4"/>
      <c r="J272" s="4"/>
      <c r="K272" s="4"/>
      <c r="L272" s="4"/>
    </row>
    <row r="273" ht="15.0" customHeight="1">
      <c r="A273" s="4"/>
      <c r="B273" s="4"/>
      <c r="C273" s="73" t="str">
        <f>IFERROR(VLOOKUP(B273,'📦 Maestro Productos'!$A:$B,2,0),"")</f>
        <v/>
      </c>
      <c r="D273" s="4"/>
      <c r="E273" s="4"/>
      <c r="F273" s="4"/>
      <c r="G273" s="74" t="str">
        <f t="shared" si="2"/>
        <v/>
      </c>
      <c r="H273" s="4"/>
      <c r="I273" s="4"/>
      <c r="J273" s="4"/>
      <c r="K273" s="4"/>
      <c r="L273" s="4"/>
    </row>
    <row r="274" ht="15.0" customHeight="1">
      <c r="A274" s="4"/>
      <c r="B274" s="4"/>
      <c r="C274" s="63" t="str">
        <f>IFERROR(VLOOKUP(B274,'📦 Maestro Productos'!$A:$B,2,0),"")</f>
        <v/>
      </c>
      <c r="D274" s="4"/>
      <c r="E274" s="4"/>
      <c r="F274" s="4"/>
      <c r="G274" s="64" t="str">
        <f t="shared" si="2"/>
        <v/>
      </c>
      <c r="H274" s="4"/>
      <c r="I274" s="4"/>
      <c r="J274" s="4"/>
      <c r="K274" s="4"/>
      <c r="L274" s="4"/>
    </row>
    <row r="275" ht="15.0" customHeight="1">
      <c r="A275" s="4"/>
      <c r="B275" s="4"/>
      <c r="C275" s="73" t="str">
        <f>IFERROR(VLOOKUP(B275,'📦 Maestro Productos'!$A:$B,2,0),"")</f>
        <v/>
      </c>
      <c r="D275" s="4"/>
      <c r="E275" s="4"/>
      <c r="F275" s="4"/>
      <c r="G275" s="74" t="str">
        <f t="shared" si="2"/>
        <v/>
      </c>
      <c r="H275" s="4"/>
      <c r="I275" s="4"/>
      <c r="J275" s="4"/>
      <c r="K275" s="4"/>
      <c r="L275" s="4"/>
    </row>
    <row r="276" ht="15.0" customHeight="1">
      <c r="A276" s="4"/>
      <c r="B276" s="4"/>
      <c r="C276" s="63" t="str">
        <f>IFERROR(VLOOKUP(B276,'📦 Maestro Productos'!$A:$B,2,0),"")</f>
        <v/>
      </c>
      <c r="D276" s="4"/>
      <c r="E276" s="4"/>
      <c r="F276" s="4"/>
      <c r="G276" s="64" t="str">
        <f t="shared" si="2"/>
        <v/>
      </c>
      <c r="H276" s="4"/>
      <c r="I276" s="4"/>
      <c r="J276" s="4"/>
      <c r="K276" s="4"/>
      <c r="L276" s="4"/>
    </row>
    <row r="277" ht="15.0" customHeight="1">
      <c r="A277" s="4"/>
      <c r="B277" s="4"/>
      <c r="C277" s="73" t="str">
        <f>IFERROR(VLOOKUP(B277,'📦 Maestro Productos'!$A:$B,2,0),"")</f>
        <v/>
      </c>
      <c r="D277" s="4"/>
      <c r="E277" s="4"/>
      <c r="F277" s="4"/>
      <c r="G277" s="74" t="str">
        <f t="shared" si="2"/>
        <v/>
      </c>
      <c r="H277" s="4"/>
      <c r="I277" s="4"/>
      <c r="J277" s="4"/>
      <c r="K277" s="4"/>
      <c r="L277" s="4"/>
    </row>
    <row r="278" ht="15.0" customHeight="1">
      <c r="A278" s="4"/>
      <c r="B278" s="4"/>
      <c r="C278" s="63" t="str">
        <f>IFERROR(VLOOKUP(B278,'📦 Maestro Productos'!$A:$B,2,0),"")</f>
        <v/>
      </c>
      <c r="D278" s="4"/>
      <c r="E278" s="4"/>
      <c r="F278" s="4"/>
      <c r="G278" s="64" t="str">
        <f t="shared" si="2"/>
        <v/>
      </c>
      <c r="H278" s="4"/>
      <c r="I278" s="4"/>
      <c r="J278" s="4"/>
      <c r="K278" s="4"/>
      <c r="L278" s="4"/>
    </row>
    <row r="279" ht="15.0" customHeight="1">
      <c r="A279" s="4"/>
      <c r="B279" s="4"/>
      <c r="C279" s="73" t="str">
        <f>IFERROR(VLOOKUP(B279,'📦 Maestro Productos'!$A:$B,2,0),"")</f>
        <v/>
      </c>
      <c r="D279" s="4"/>
      <c r="E279" s="4"/>
      <c r="F279" s="4"/>
      <c r="G279" s="74" t="str">
        <f t="shared" si="2"/>
        <v/>
      </c>
      <c r="H279" s="4"/>
      <c r="I279" s="4"/>
      <c r="J279" s="4"/>
      <c r="K279" s="4"/>
      <c r="L279" s="4"/>
    </row>
    <row r="280" ht="15.0" customHeight="1">
      <c r="A280" s="4"/>
      <c r="B280" s="4"/>
      <c r="C280" s="63" t="str">
        <f>IFERROR(VLOOKUP(B280,'📦 Maestro Productos'!$A:$B,2,0),"")</f>
        <v/>
      </c>
      <c r="D280" s="4"/>
      <c r="E280" s="4"/>
      <c r="F280" s="4"/>
      <c r="G280" s="64" t="str">
        <f t="shared" si="2"/>
        <v/>
      </c>
      <c r="H280" s="4"/>
      <c r="I280" s="4"/>
      <c r="J280" s="4"/>
      <c r="K280" s="4"/>
      <c r="L280" s="4"/>
    </row>
    <row r="281" ht="15.0" customHeight="1">
      <c r="A281" s="4"/>
      <c r="B281" s="4"/>
      <c r="C281" s="73" t="str">
        <f>IFERROR(VLOOKUP(B281,'📦 Maestro Productos'!$A:$B,2,0),"")</f>
        <v/>
      </c>
      <c r="D281" s="4"/>
      <c r="E281" s="4"/>
      <c r="F281" s="4"/>
      <c r="G281" s="74" t="str">
        <f t="shared" si="2"/>
        <v/>
      </c>
      <c r="H281" s="4"/>
      <c r="I281" s="4"/>
      <c r="J281" s="4"/>
      <c r="K281" s="4"/>
      <c r="L281" s="4"/>
    </row>
    <row r="282" ht="15.0" customHeight="1">
      <c r="A282" s="4"/>
      <c r="B282" s="4"/>
      <c r="C282" s="63" t="str">
        <f>IFERROR(VLOOKUP(B282,'📦 Maestro Productos'!$A:$B,2,0),"")</f>
        <v/>
      </c>
      <c r="D282" s="4"/>
      <c r="E282" s="4"/>
      <c r="F282" s="4"/>
      <c r="G282" s="64" t="str">
        <f t="shared" si="2"/>
        <v/>
      </c>
      <c r="H282" s="4"/>
      <c r="I282" s="4"/>
      <c r="J282" s="4"/>
      <c r="K282" s="4"/>
      <c r="L282" s="4"/>
    </row>
    <row r="283" ht="15.0" customHeight="1">
      <c r="A283" s="4"/>
      <c r="B283" s="4"/>
      <c r="C283" s="73" t="str">
        <f>IFERROR(VLOOKUP(B283,'📦 Maestro Productos'!$A:$B,2,0),"")</f>
        <v/>
      </c>
      <c r="D283" s="4"/>
      <c r="E283" s="4"/>
      <c r="F283" s="4"/>
      <c r="G283" s="74" t="str">
        <f t="shared" si="2"/>
        <v/>
      </c>
      <c r="H283" s="4"/>
      <c r="I283" s="4"/>
      <c r="J283" s="4"/>
      <c r="K283" s="4"/>
      <c r="L283" s="4"/>
    </row>
    <row r="284" ht="15.0" customHeight="1">
      <c r="A284" s="4"/>
      <c r="B284" s="4"/>
      <c r="C284" s="63" t="str">
        <f>IFERROR(VLOOKUP(B284,'📦 Maestro Productos'!$A:$B,2,0),"")</f>
        <v/>
      </c>
      <c r="D284" s="4"/>
      <c r="E284" s="4"/>
      <c r="F284" s="4"/>
      <c r="G284" s="64" t="str">
        <f t="shared" si="2"/>
        <v/>
      </c>
      <c r="H284" s="4"/>
      <c r="I284" s="4"/>
      <c r="J284" s="4"/>
      <c r="K284" s="4"/>
      <c r="L284" s="4"/>
    </row>
    <row r="285" ht="15.0" customHeight="1">
      <c r="A285" s="4"/>
      <c r="B285" s="4"/>
      <c r="C285" s="73" t="str">
        <f>IFERROR(VLOOKUP(B285,'📦 Maestro Productos'!$A:$B,2,0),"")</f>
        <v/>
      </c>
      <c r="D285" s="4"/>
      <c r="E285" s="4"/>
      <c r="F285" s="4"/>
      <c r="G285" s="74" t="str">
        <f t="shared" si="2"/>
        <v/>
      </c>
      <c r="H285" s="4"/>
      <c r="I285" s="4"/>
      <c r="J285" s="4"/>
      <c r="K285" s="4"/>
      <c r="L285" s="4"/>
    </row>
    <row r="286" ht="15.0" customHeight="1">
      <c r="A286" s="4"/>
      <c r="B286" s="4"/>
      <c r="C286" s="63" t="str">
        <f>IFERROR(VLOOKUP(B286,'📦 Maestro Productos'!$A:$B,2,0),"")</f>
        <v/>
      </c>
      <c r="D286" s="4"/>
      <c r="E286" s="4"/>
      <c r="F286" s="4"/>
      <c r="G286" s="64" t="str">
        <f t="shared" si="2"/>
        <v/>
      </c>
      <c r="H286" s="4"/>
      <c r="I286" s="4"/>
      <c r="J286" s="4"/>
      <c r="K286" s="4"/>
      <c r="L286" s="4"/>
    </row>
    <row r="287" ht="15.0" customHeight="1">
      <c r="A287" s="4"/>
      <c r="B287" s="4"/>
      <c r="C287" s="73" t="str">
        <f>IFERROR(VLOOKUP(B287,'📦 Maestro Productos'!$A:$B,2,0),"")</f>
        <v/>
      </c>
      <c r="D287" s="4"/>
      <c r="E287" s="4"/>
      <c r="F287" s="4"/>
      <c r="G287" s="74" t="str">
        <f t="shared" si="2"/>
        <v/>
      </c>
      <c r="H287" s="4"/>
      <c r="I287" s="4"/>
      <c r="J287" s="4"/>
      <c r="K287" s="4"/>
      <c r="L287" s="4"/>
    </row>
    <row r="288" ht="15.0" customHeight="1">
      <c r="A288" s="4"/>
      <c r="B288" s="4"/>
      <c r="C288" s="63" t="str">
        <f>IFERROR(VLOOKUP(B288,'📦 Maestro Productos'!$A:$B,2,0),"")</f>
        <v/>
      </c>
      <c r="D288" s="4"/>
      <c r="E288" s="4"/>
      <c r="F288" s="4"/>
      <c r="G288" s="64" t="str">
        <f t="shared" si="2"/>
        <v/>
      </c>
      <c r="H288" s="4"/>
      <c r="I288" s="4"/>
      <c r="J288" s="4"/>
      <c r="K288" s="4"/>
      <c r="L288" s="4"/>
    </row>
    <row r="289" ht="15.0" customHeight="1">
      <c r="A289" s="4"/>
      <c r="B289" s="4"/>
      <c r="C289" s="73" t="str">
        <f>IFERROR(VLOOKUP(B289,'📦 Maestro Productos'!$A:$B,2,0),"")</f>
        <v/>
      </c>
      <c r="D289" s="4"/>
      <c r="E289" s="4"/>
      <c r="F289" s="4"/>
      <c r="G289" s="74" t="str">
        <f t="shared" si="2"/>
        <v/>
      </c>
      <c r="H289" s="4"/>
      <c r="I289" s="4"/>
      <c r="J289" s="4"/>
      <c r="K289" s="4"/>
      <c r="L289" s="4"/>
    </row>
    <row r="290" ht="15.0" customHeight="1">
      <c r="A290" s="4"/>
      <c r="B290" s="4"/>
      <c r="C290" s="63" t="str">
        <f>IFERROR(VLOOKUP(B290,'📦 Maestro Productos'!$A:$B,2,0),"")</f>
        <v/>
      </c>
      <c r="D290" s="4"/>
      <c r="E290" s="4"/>
      <c r="F290" s="4"/>
      <c r="G290" s="64" t="str">
        <f t="shared" si="2"/>
        <v/>
      </c>
      <c r="H290" s="4"/>
      <c r="I290" s="4"/>
      <c r="J290" s="4"/>
      <c r="K290" s="4"/>
      <c r="L290" s="4"/>
    </row>
    <row r="291" ht="15.0" customHeight="1">
      <c r="A291" s="4"/>
      <c r="B291" s="4"/>
      <c r="C291" s="73" t="str">
        <f>IFERROR(VLOOKUP(B291,'📦 Maestro Productos'!$A:$B,2,0),"")</f>
        <v/>
      </c>
      <c r="D291" s="4"/>
      <c r="E291" s="4"/>
      <c r="F291" s="4"/>
      <c r="G291" s="74" t="str">
        <f t="shared" si="2"/>
        <v/>
      </c>
      <c r="H291" s="4"/>
      <c r="I291" s="4"/>
      <c r="J291" s="4"/>
      <c r="K291" s="4"/>
      <c r="L291" s="4"/>
    </row>
    <row r="292" ht="15.0" customHeight="1">
      <c r="A292" s="4"/>
      <c r="B292" s="4"/>
      <c r="C292" s="63" t="str">
        <f>IFERROR(VLOOKUP(B292,'📦 Maestro Productos'!$A:$B,2,0),"")</f>
        <v/>
      </c>
      <c r="D292" s="4"/>
      <c r="E292" s="4"/>
      <c r="F292" s="4"/>
      <c r="G292" s="64" t="str">
        <f t="shared" si="2"/>
        <v/>
      </c>
      <c r="H292" s="4"/>
      <c r="I292" s="4"/>
      <c r="J292" s="4"/>
      <c r="K292" s="4"/>
      <c r="L292" s="4"/>
    </row>
    <row r="293" ht="15.0" customHeight="1">
      <c r="A293" s="4"/>
      <c r="B293" s="4"/>
      <c r="C293" s="73" t="str">
        <f>IFERROR(VLOOKUP(B293,'📦 Maestro Productos'!$A:$B,2,0),"")</f>
        <v/>
      </c>
      <c r="D293" s="4"/>
      <c r="E293" s="4"/>
      <c r="F293" s="4"/>
      <c r="G293" s="74" t="str">
        <f t="shared" si="2"/>
        <v/>
      </c>
      <c r="H293" s="4"/>
      <c r="I293" s="4"/>
      <c r="J293" s="4"/>
      <c r="K293" s="4"/>
      <c r="L293" s="4"/>
    </row>
    <row r="294" ht="15.0" customHeight="1">
      <c r="A294" s="4"/>
      <c r="B294" s="4"/>
      <c r="C294" s="63" t="str">
        <f>IFERROR(VLOOKUP(B294,'📦 Maestro Productos'!$A:$B,2,0),"")</f>
        <v/>
      </c>
      <c r="D294" s="4"/>
      <c r="E294" s="4"/>
      <c r="F294" s="4"/>
      <c r="G294" s="64" t="str">
        <f t="shared" si="2"/>
        <v/>
      </c>
      <c r="H294" s="4"/>
      <c r="I294" s="4"/>
      <c r="J294" s="4"/>
      <c r="K294" s="4"/>
      <c r="L294" s="4"/>
    </row>
    <row r="295" ht="15.0" customHeight="1">
      <c r="A295" s="4"/>
      <c r="B295" s="4"/>
      <c r="C295" s="73" t="str">
        <f>IFERROR(VLOOKUP(B295,'📦 Maestro Productos'!$A:$B,2,0),"")</f>
        <v/>
      </c>
      <c r="D295" s="4"/>
      <c r="E295" s="4"/>
      <c r="F295" s="4"/>
      <c r="G295" s="74" t="str">
        <f t="shared" si="2"/>
        <v/>
      </c>
      <c r="H295" s="4"/>
      <c r="I295" s="4"/>
      <c r="J295" s="4"/>
      <c r="K295" s="4"/>
      <c r="L295" s="4"/>
    </row>
    <row r="296" ht="15.0" customHeight="1">
      <c r="A296" s="4"/>
      <c r="B296" s="4"/>
      <c r="C296" s="63" t="str">
        <f>IFERROR(VLOOKUP(B296,'📦 Maestro Productos'!$A:$B,2,0),"")</f>
        <v/>
      </c>
      <c r="D296" s="4"/>
      <c r="E296" s="4"/>
      <c r="F296" s="4"/>
      <c r="G296" s="64" t="str">
        <f t="shared" si="2"/>
        <v/>
      </c>
      <c r="H296" s="4"/>
      <c r="I296" s="4"/>
      <c r="J296" s="4"/>
      <c r="K296" s="4"/>
      <c r="L296" s="4"/>
    </row>
    <row r="297" ht="15.0" customHeight="1">
      <c r="A297" s="4"/>
      <c r="B297" s="4"/>
      <c r="C297" s="73" t="str">
        <f>IFERROR(VLOOKUP(B297,'📦 Maestro Productos'!$A:$B,2,0),"")</f>
        <v/>
      </c>
      <c r="D297" s="4"/>
      <c r="E297" s="4"/>
      <c r="F297" s="4"/>
      <c r="G297" s="74" t="str">
        <f t="shared" si="2"/>
        <v/>
      </c>
      <c r="H297" s="4"/>
      <c r="I297" s="4"/>
      <c r="J297" s="4"/>
      <c r="K297" s="4"/>
      <c r="L297" s="4"/>
    </row>
    <row r="298" ht="15.0" customHeight="1">
      <c r="A298" s="4"/>
      <c r="B298" s="4"/>
      <c r="C298" s="63" t="str">
        <f>IFERROR(VLOOKUP(B298,'📦 Maestro Productos'!$A:$B,2,0),"")</f>
        <v/>
      </c>
      <c r="D298" s="4"/>
      <c r="E298" s="4"/>
      <c r="F298" s="4"/>
      <c r="G298" s="64" t="str">
        <f t="shared" si="2"/>
        <v/>
      </c>
      <c r="H298" s="4"/>
      <c r="I298" s="4"/>
      <c r="J298" s="4"/>
      <c r="K298" s="4"/>
      <c r="L298" s="4"/>
    </row>
    <row r="299" ht="15.0" customHeight="1">
      <c r="A299" s="4"/>
      <c r="B299" s="4"/>
      <c r="C299" s="73" t="str">
        <f>IFERROR(VLOOKUP(B299,'📦 Maestro Productos'!$A:$B,2,0),"")</f>
        <v/>
      </c>
      <c r="D299" s="4"/>
      <c r="E299" s="4"/>
      <c r="F299" s="4"/>
      <c r="G299" s="74" t="str">
        <f t="shared" si="2"/>
        <v/>
      </c>
      <c r="H299" s="4"/>
      <c r="I299" s="4"/>
      <c r="J299" s="4"/>
      <c r="K299" s="4"/>
      <c r="L299" s="4"/>
    </row>
    <row r="300" ht="15.0" customHeight="1">
      <c r="A300" s="4"/>
      <c r="B300" s="4"/>
      <c r="C300" s="63" t="str">
        <f>IFERROR(VLOOKUP(B300,'📦 Maestro Productos'!$A:$B,2,0),"")</f>
        <v/>
      </c>
      <c r="D300" s="4"/>
      <c r="E300" s="4"/>
      <c r="F300" s="4"/>
      <c r="G300" s="64" t="str">
        <f t="shared" si="2"/>
        <v/>
      </c>
      <c r="H300" s="4"/>
      <c r="I300" s="4"/>
      <c r="J300" s="4"/>
      <c r="K300" s="4"/>
      <c r="L300" s="4"/>
    </row>
    <row r="301" ht="15.0" customHeight="1">
      <c r="A301" s="4"/>
      <c r="B301" s="4"/>
      <c r="C301" s="73" t="str">
        <f>IFERROR(VLOOKUP(B301,'📦 Maestro Productos'!$A:$B,2,0),"")</f>
        <v/>
      </c>
      <c r="D301" s="4"/>
      <c r="E301" s="4"/>
      <c r="F301" s="4"/>
      <c r="G301" s="74" t="str">
        <f t="shared" si="2"/>
        <v/>
      </c>
      <c r="H301" s="4"/>
      <c r="I301" s="4"/>
      <c r="J301" s="4"/>
      <c r="K301" s="4"/>
      <c r="L301" s="4"/>
    </row>
    <row r="302" ht="15.0" customHeight="1">
      <c r="A302" s="4"/>
      <c r="B302" s="4"/>
      <c r="C302" s="63" t="str">
        <f>IFERROR(VLOOKUP(B302,'📦 Maestro Productos'!$A:$B,2,0),"")</f>
        <v/>
      </c>
      <c r="D302" s="4"/>
      <c r="E302" s="4"/>
      <c r="F302" s="4"/>
      <c r="G302" s="64" t="str">
        <f t="shared" si="2"/>
        <v/>
      </c>
      <c r="H302" s="4"/>
      <c r="I302" s="4"/>
      <c r="J302" s="4"/>
      <c r="K302" s="4"/>
      <c r="L302" s="4"/>
    </row>
    <row r="303" ht="15.0" customHeight="1">
      <c r="A303" s="4"/>
      <c r="B303" s="4"/>
      <c r="C303" s="73" t="str">
        <f>IFERROR(VLOOKUP(B303,'📦 Maestro Productos'!$A:$B,2,0),"")</f>
        <v/>
      </c>
      <c r="D303" s="4"/>
      <c r="E303" s="4"/>
      <c r="F303" s="4"/>
      <c r="G303" s="74" t="str">
        <f t="shared" si="2"/>
        <v/>
      </c>
      <c r="H303" s="4"/>
      <c r="I303" s="4"/>
      <c r="J303" s="4"/>
      <c r="K303" s="4"/>
      <c r="L303" s="4"/>
    </row>
    <row r="304" ht="15.0" customHeight="1">
      <c r="A304" s="4"/>
      <c r="B304" s="4"/>
      <c r="C304" s="63" t="str">
        <f>IFERROR(VLOOKUP(B304,'📦 Maestro Productos'!$A:$B,2,0),"")</f>
        <v/>
      </c>
      <c r="D304" s="4"/>
      <c r="E304" s="4"/>
      <c r="F304" s="4"/>
      <c r="G304" s="64" t="str">
        <f t="shared" si="2"/>
        <v/>
      </c>
      <c r="H304" s="4"/>
      <c r="I304" s="4"/>
      <c r="J304" s="4"/>
      <c r="K304" s="4"/>
      <c r="L304" s="4"/>
    </row>
    <row r="305" ht="15.0" customHeight="1">
      <c r="A305" s="4"/>
      <c r="B305" s="4"/>
      <c r="C305" s="73" t="str">
        <f>IFERROR(VLOOKUP(B305,'📦 Maestro Productos'!$A:$B,2,0),"")</f>
        <v/>
      </c>
      <c r="D305" s="4"/>
      <c r="E305" s="4"/>
      <c r="F305" s="4"/>
      <c r="G305" s="74" t="str">
        <f t="shared" si="2"/>
        <v/>
      </c>
      <c r="H305" s="4"/>
      <c r="I305" s="4"/>
      <c r="J305" s="4"/>
      <c r="K305" s="4"/>
      <c r="L305" s="4"/>
    </row>
    <row r="306" ht="15.0" customHeight="1">
      <c r="A306" s="4"/>
      <c r="B306" s="4"/>
      <c r="C306" s="63" t="str">
        <f>IFERROR(VLOOKUP(B306,'📦 Maestro Productos'!$A:$B,2,0),"")</f>
        <v/>
      </c>
      <c r="D306" s="4"/>
      <c r="E306" s="4"/>
      <c r="F306" s="4"/>
      <c r="G306" s="64" t="str">
        <f t="shared" si="2"/>
        <v/>
      </c>
      <c r="H306" s="4"/>
      <c r="I306" s="4"/>
      <c r="J306" s="4"/>
      <c r="K306" s="4"/>
      <c r="L306" s="4"/>
    </row>
    <row r="307" ht="15.0" customHeight="1">
      <c r="A307" s="4"/>
      <c r="B307" s="4"/>
      <c r="C307" s="73" t="str">
        <f>IFERROR(VLOOKUP(B307,'📦 Maestro Productos'!$A:$B,2,0),"")</f>
        <v/>
      </c>
      <c r="D307" s="4"/>
      <c r="E307" s="4"/>
      <c r="F307" s="4"/>
      <c r="G307" s="74" t="str">
        <f t="shared" si="2"/>
        <v/>
      </c>
      <c r="H307" s="4"/>
      <c r="I307" s="4"/>
      <c r="J307" s="4"/>
      <c r="K307" s="4"/>
      <c r="L307" s="4"/>
    </row>
    <row r="308" ht="15.0" customHeight="1">
      <c r="A308" s="4"/>
      <c r="B308" s="4"/>
      <c r="C308" s="63" t="str">
        <f>IFERROR(VLOOKUP(B308,'📦 Maestro Productos'!$A:$B,2,0),"")</f>
        <v/>
      </c>
      <c r="D308" s="4"/>
      <c r="E308" s="4"/>
      <c r="F308" s="4"/>
      <c r="G308" s="64" t="str">
        <f t="shared" si="2"/>
        <v/>
      </c>
      <c r="H308" s="4"/>
      <c r="I308" s="4"/>
      <c r="J308" s="4"/>
      <c r="K308" s="4"/>
      <c r="L308" s="4"/>
    </row>
    <row r="309" ht="15.0" customHeight="1">
      <c r="A309" s="4"/>
      <c r="B309" s="4"/>
      <c r="C309" s="73" t="str">
        <f>IFERROR(VLOOKUP(B309,'📦 Maestro Productos'!$A:$B,2,0),"")</f>
        <v/>
      </c>
      <c r="D309" s="4"/>
      <c r="E309" s="4"/>
      <c r="F309" s="4"/>
      <c r="G309" s="74" t="str">
        <f t="shared" si="2"/>
        <v/>
      </c>
      <c r="H309" s="4"/>
      <c r="I309" s="4"/>
      <c r="J309" s="4"/>
      <c r="K309" s="4"/>
      <c r="L309" s="4"/>
    </row>
    <row r="310" ht="15.0" customHeight="1">
      <c r="A310" s="4"/>
      <c r="B310" s="4"/>
      <c r="C310" s="63" t="str">
        <f>IFERROR(VLOOKUP(B310,'📦 Maestro Productos'!$A:$B,2,0),"")</f>
        <v/>
      </c>
      <c r="D310" s="4"/>
      <c r="E310" s="4"/>
      <c r="F310" s="4"/>
      <c r="G310" s="64" t="str">
        <f t="shared" si="2"/>
        <v/>
      </c>
      <c r="H310" s="4"/>
      <c r="I310" s="4"/>
      <c r="J310" s="4"/>
      <c r="K310" s="4"/>
      <c r="L310" s="4"/>
    </row>
    <row r="311" ht="15.0" customHeight="1">
      <c r="A311" s="4"/>
      <c r="B311" s="4"/>
      <c r="C311" s="73" t="str">
        <f>IFERROR(VLOOKUP(B311,'📦 Maestro Productos'!$A:$B,2,0),"")</f>
        <v/>
      </c>
      <c r="D311" s="4"/>
      <c r="E311" s="4"/>
      <c r="F311" s="4"/>
      <c r="G311" s="74" t="str">
        <f t="shared" si="2"/>
        <v/>
      </c>
      <c r="H311" s="4"/>
      <c r="I311" s="4"/>
      <c r="J311" s="4"/>
      <c r="K311" s="4"/>
      <c r="L311" s="4"/>
    </row>
    <row r="312" ht="15.0" customHeight="1">
      <c r="A312" s="4"/>
      <c r="B312" s="4"/>
      <c r="C312" s="63" t="str">
        <f>IFERROR(VLOOKUP(B312,'📦 Maestro Productos'!$A:$B,2,0),"")</f>
        <v/>
      </c>
      <c r="D312" s="4"/>
      <c r="E312" s="4"/>
      <c r="F312" s="4"/>
      <c r="G312" s="64" t="str">
        <f t="shared" si="2"/>
        <v/>
      </c>
      <c r="H312" s="4"/>
      <c r="I312" s="4"/>
      <c r="J312" s="4"/>
      <c r="K312" s="4"/>
      <c r="L312" s="4"/>
    </row>
    <row r="313" ht="15.0" customHeight="1">
      <c r="A313" s="4"/>
      <c r="B313" s="4"/>
      <c r="C313" s="73" t="str">
        <f>IFERROR(VLOOKUP(B313,'📦 Maestro Productos'!$A:$B,2,0),"")</f>
        <v/>
      </c>
      <c r="D313" s="4"/>
      <c r="E313" s="4"/>
      <c r="F313" s="4"/>
      <c r="G313" s="74" t="str">
        <f t="shared" si="2"/>
        <v/>
      </c>
      <c r="H313" s="4"/>
      <c r="I313" s="4"/>
      <c r="J313" s="4"/>
      <c r="K313" s="4"/>
      <c r="L313" s="4"/>
    </row>
    <row r="314" ht="15.0" customHeight="1">
      <c r="A314" s="4"/>
      <c r="B314" s="4"/>
      <c r="C314" s="63" t="str">
        <f>IFERROR(VLOOKUP(B314,'📦 Maestro Productos'!$A:$B,2,0),"")</f>
        <v/>
      </c>
      <c r="D314" s="4"/>
      <c r="E314" s="4"/>
      <c r="F314" s="4"/>
      <c r="G314" s="64" t="str">
        <f t="shared" si="2"/>
        <v/>
      </c>
      <c r="H314" s="4"/>
      <c r="I314" s="4"/>
      <c r="J314" s="4"/>
      <c r="K314" s="4"/>
      <c r="L314" s="4"/>
    </row>
    <row r="315" ht="15.0" customHeight="1">
      <c r="A315" s="4"/>
      <c r="B315" s="4"/>
      <c r="C315" s="73" t="str">
        <f>IFERROR(VLOOKUP(B315,'📦 Maestro Productos'!$A:$B,2,0),"")</f>
        <v/>
      </c>
      <c r="D315" s="4"/>
      <c r="E315" s="4"/>
      <c r="F315" s="4"/>
      <c r="G315" s="74" t="str">
        <f t="shared" si="2"/>
        <v/>
      </c>
      <c r="H315" s="4"/>
      <c r="I315" s="4"/>
      <c r="J315" s="4"/>
      <c r="K315" s="4"/>
      <c r="L315" s="4"/>
    </row>
    <row r="316" ht="15.0" customHeight="1">
      <c r="A316" s="4"/>
      <c r="B316" s="4"/>
      <c r="C316" s="63" t="str">
        <f>IFERROR(VLOOKUP(B316,'📦 Maestro Productos'!$A:$B,2,0),"")</f>
        <v/>
      </c>
      <c r="D316" s="4"/>
      <c r="E316" s="4"/>
      <c r="F316" s="4"/>
      <c r="G316" s="64" t="str">
        <f t="shared" si="2"/>
        <v/>
      </c>
      <c r="H316" s="4"/>
      <c r="I316" s="4"/>
      <c r="J316" s="4"/>
      <c r="K316" s="4"/>
      <c r="L316" s="4"/>
    </row>
    <row r="317" ht="15.0" customHeight="1">
      <c r="A317" s="4"/>
      <c r="B317" s="4"/>
      <c r="C317" s="73" t="str">
        <f>IFERROR(VLOOKUP(B317,'📦 Maestro Productos'!$A:$B,2,0),"")</f>
        <v/>
      </c>
      <c r="D317" s="4"/>
      <c r="E317" s="4"/>
      <c r="F317" s="4"/>
      <c r="G317" s="74" t="str">
        <f t="shared" si="2"/>
        <v/>
      </c>
      <c r="H317" s="4"/>
      <c r="I317" s="4"/>
      <c r="J317" s="4"/>
      <c r="K317" s="4"/>
      <c r="L317" s="4"/>
    </row>
    <row r="318" ht="15.0" customHeight="1">
      <c r="A318" s="4"/>
      <c r="B318" s="4"/>
      <c r="C318" s="63" t="str">
        <f>IFERROR(VLOOKUP(B318,'📦 Maestro Productos'!$A:$B,2,0),"")</f>
        <v/>
      </c>
      <c r="D318" s="4"/>
      <c r="E318" s="4"/>
      <c r="F318" s="4"/>
      <c r="G318" s="64" t="str">
        <f t="shared" si="2"/>
        <v/>
      </c>
      <c r="H318" s="4"/>
      <c r="I318" s="4"/>
      <c r="J318" s="4"/>
      <c r="K318" s="4"/>
      <c r="L318" s="4"/>
    </row>
    <row r="319" ht="15.0" customHeight="1">
      <c r="A319" s="4"/>
      <c r="B319" s="4"/>
      <c r="C319" s="73" t="str">
        <f>IFERROR(VLOOKUP(B319,'📦 Maestro Productos'!$A:$B,2,0),"")</f>
        <v/>
      </c>
      <c r="D319" s="4"/>
      <c r="E319" s="4"/>
      <c r="F319" s="4"/>
      <c r="G319" s="74" t="str">
        <f t="shared" si="2"/>
        <v/>
      </c>
      <c r="H319" s="4"/>
      <c r="I319" s="4"/>
      <c r="J319" s="4"/>
      <c r="K319" s="4"/>
      <c r="L319" s="4"/>
    </row>
    <row r="320" ht="15.0" customHeight="1">
      <c r="A320" s="4"/>
      <c r="B320" s="4"/>
      <c r="C320" s="63" t="str">
        <f>IFERROR(VLOOKUP(B320,'📦 Maestro Productos'!$A:$B,2,0),"")</f>
        <v/>
      </c>
      <c r="D320" s="4"/>
      <c r="E320" s="4"/>
      <c r="F320" s="4"/>
      <c r="G320" s="64" t="str">
        <f t="shared" si="2"/>
        <v/>
      </c>
      <c r="H320" s="4"/>
      <c r="I320" s="4"/>
      <c r="J320" s="4"/>
      <c r="K320" s="4"/>
      <c r="L320" s="4"/>
    </row>
    <row r="321" ht="15.0" customHeight="1">
      <c r="A321" s="4"/>
      <c r="B321" s="4"/>
      <c r="C321" s="73" t="str">
        <f>IFERROR(VLOOKUP(B321,'📦 Maestro Productos'!$A:$B,2,0),"")</f>
        <v/>
      </c>
      <c r="D321" s="4"/>
      <c r="E321" s="4"/>
      <c r="F321" s="4"/>
      <c r="G321" s="74" t="str">
        <f t="shared" si="2"/>
        <v/>
      </c>
      <c r="H321" s="4"/>
      <c r="I321" s="4"/>
      <c r="J321" s="4"/>
      <c r="K321" s="4"/>
      <c r="L321" s="4"/>
    </row>
    <row r="322" ht="15.0" customHeight="1">
      <c r="A322" s="4"/>
      <c r="B322" s="4"/>
      <c r="C322" s="63" t="str">
        <f>IFERROR(VLOOKUP(B322,'📦 Maestro Productos'!$A:$B,2,0),"")</f>
        <v/>
      </c>
      <c r="D322" s="4"/>
      <c r="E322" s="4"/>
      <c r="F322" s="4"/>
      <c r="G322" s="64" t="str">
        <f t="shared" si="2"/>
        <v/>
      </c>
      <c r="H322" s="4"/>
      <c r="I322" s="4"/>
      <c r="J322" s="4"/>
      <c r="K322" s="4"/>
      <c r="L322" s="4"/>
    </row>
    <row r="323" ht="15.0" customHeight="1">
      <c r="A323" s="4"/>
      <c r="B323" s="4"/>
      <c r="C323" s="73" t="str">
        <f>IFERROR(VLOOKUP(B323,'📦 Maestro Productos'!$A:$B,2,0),"")</f>
        <v/>
      </c>
      <c r="D323" s="4"/>
      <c r="E323" s="4"/>
      <c r="F323" s="4"/>
      <c r="G323" s="74" t="str">
        <f t="shared" si="2"/>
        <v/>
      </c>
      <c r="H323" s="4"/>
      <c r="I323" s="4"/>
      <c r="J323" s="4"/>
      <c r="K323" s="4"/>
      <c r="L323" s="4"/>
    </row>
    <row r="324" ht="15.0" customHeight="1">
      <c r="A324" s="4"/>
      <c r="B324" s="4"/>
      <c r="C324" s="63" t="str">
        <f>IFERROR(VLOOKUP(B324,'📦 Maestro Productos'!$A:$B,2,0),"")</f>
        <v/>
      </c>
      <c r="D324" s="4"/>
      <c r="E324" s="4"/>
      <c r="F324" s="4"/>
      <c r="G324" s="64" t="str">
        <f t="shared" si="2"/>
        <v/>
      </c>
      <c r="H324" s="4"/>
      <c r="I324" s="4"/>
      <c r="J324" s="4"/>
      <c r="K324" s="4"/>
      <c r="L324" s="4"/>
    </row>
    <row r="325" ht="15.0" customHeight="1">
      <c r="A325" s="4"/>
      <c r="B325" s="4"/>
      <c r="C325" s="73" t="str">
        <f>IFERROR(VLOOKUP(B325,'📦 Maestro Productos'!$A:$B,2,0),"")</f>
        <v/>
      </c>
      <c r="D325" s="4"/>
      <c r="E325" s="4"/>
      <c r="F325" s="4"/>
      <c r="G325" s="74" t="str">
        <f t="shared" si="2"/>
        <v/>
      </c>
      <c r="H325" s="4"/>
      <c r="I325" s="4"/>
      <c r="J325" s="4"/>
      <c r="K325" s="4"/>
      <c r="L325" s="4"/>
    </row>
    <row r="326" ht="15.0" customHeight="1">
      <c r="A326" s="4"/>
      <c r="B326" s="4"/>
      <c r="C326" s="63" t="str">
        <f>IFERROR(VLOOKUP(B326,'📦 Maestro Productos'!$A:$B,2,0),"")</f>
        <v/>
      </c>
      <c r="D326" s="4"/>
      <c r="E326" s="4"/>
      <c r="F326" s="4"/>
      <c r="G326" s="64" t="str">
        <f t="shared" si="2"/>
        <v/>
      </c>
      <c r="H326" s="4"/>
      <c r="I326" s="4"/>
      <c r="J326" s="4"/>
      <c r="K326" s="4"/>
      <c r="L326" s="4"/>
    </row>
    <row r="327" ht="15.0" customHeight="1">
      <c r="A327" s="4"/>
      <c r="B327" s="4"/>
      <c r="C327" s="73" t="str">
        <f>IFERROR(VLOOKUP(B327,'📦 Maestro Productos'!$A:$B,2,0),"")</f>
        <v/>
      </c>
      <c r="D327" s="4"/>
      <c r="E327" s="4"/>
      <c r="F327" s="4"/>
      <c r="G327" s="74" t="str">
        <f t="shared" si="2"/>
        <v/>
      </c>
      <c r="H327" s="4"/>
      <c r="I327" s="4"/>
      <c r="J327" s="4"/>
      <c r="K327" s="4"/>
      <c r="L327" s="4"/>
    </row>
    <row r="328" ht="15.0" customHeight="1">
      <c r="A328" s="4"/>
      <c r="B328" s="4"/>
      <c r="C328" s="63" t="str">
        <f>IFERROR(VLOOKUP(B328,'📦 Maestro Productos'!$A:$B,2,0),"")</f>
        <v/>
      </c>
      <c r="D328" s="4"/>
      <c r="E328" s="4"/>
      <c r="F328" s="4"/>
      <c r="G328" s="64" t="str">
        <f t="shared" si="2"/>
        <v/>
      </c>
      <c r="H328" s="4"/>
      <c r="I328" s="4"/>
      <c r="J328" s="4"/>
      <c r="K328" s="4"/>
      <c r="L328" s="4"/>
    </row>
    <row r="329" ht="15.0" customHeight="1">
      <c r="A329" s="4"/>
      <c r="B329" s="4"/>
      <c r="C329" s="73" t="str">
        <f>IFERROR(VLOOKUP(B329,'📦 Maestro Productos'!$A:$B,2,0),"")</f>
        <v/>
      </c>
      <c r="D329" s="4"/>
      <c r="E329" s="4"/>
      <c r="F329" s="4"/>
      <c r="G329" s="74" t="str">
        <f t="shared" si="2"/>
        <v/>
      </c>
      <c r="H329" s="4"/>
      <c r="I329" s="4"/>
      <c r="J329" s="4"/>
      <c r="K329" s="4"/>
      <c r="L329" s="4"/>
    </row>
    <row r="330" ht="15.0" customHeight="1">
      <c r="A330" s="4"/>
      <c r="B330" s="4"/>
      <c r="C330" s="63" t="str">
        <f>IFERROR(VLOOKUP(B330,'📦 Maestro Productos'!$A:$B,2,0),"")</f>
        <v/>
      </c>
      <c r="D330" s="4"/>
      <c r="E330" s="4"/>
      <c r="F330" s="4"/>
      <c r="G330" s="64" t="str">
        <f t="shared" si="2"/>
        <v/>
      </c>
      <c r="H330" s="4"/>
      <c r="I330" s="4"/>
      <c r="J330" s="4"/>
      <c r="K330" s="4"/>
      <c r="L330" s="4"/>
    </row>
    <row r="331" ht="15.0" customHeight="1">
      <c r="A331" s="4"/>
      <c r="B331" s="4"/>
      <c r="C331" s="73" t="str">
        <f>IFERROR(VLOOKUP(B331,'📦 Maestro Productos'!$A:$B,2,0),"")</f>
        <v/>
      </c>
      <c r="D331" s="4"/>
      <c r="E331" s="4"/>
      <c r="F331" s="4"/>
      <c r="G331" s="74" t="str">
        <f t="shared" si="2"/>
        <v/>
      </c>
      <c r="H331" s="4"/>
      <c r="I331" s="4"/>
      <c r="J331" s="4"/>
      <c r="K331" s="4"/>
      <c r="L331" s="4"/>
    </row>
    <row r="332" ht="15.0" customHeight="1">
      <c r="A332" s="4"/>
      <c r="B332" s="4"/>
      <c r="C332" s="63" t="str">
        <f>IFERROR(VLOOKUP(B332,'📦 Maestro Productos'!$A:$B,2,0),"")</f>
        <v/>
      </c>
      <c r="D332" s="4"/>
      <c r="E332" s="4"/>
      <c r="F332" s="4"/>
      <c r="G332" s="64" t="str">
        <f t="shared" si="2"/>
        <v/>
      </c>
      <c r="H332" s="4"/>
      <c r="I332" s="4"/>
      <c r="J332" s="4"/>
      <c r="K332" s="4"/>
      <c r="L332" s="4"/>
    </row>
    <row r="333" ht="15.0" customHeight="1">
      <c r="A333" s="4"/>
      <c r="B333" s="4"/>
      <c r="C333" s="73" t="str">
        <f>IFERROR(VLOOKUP(B333,'📦 Maestro Productos'!$A:$B,2,0),"")</f>
        <v/>
      </c>
      <c r="D333" s="4"/>
      <c r="E333" s="4"/>
      <c r="F333" s="4"/>
      <c r="G333" s="74" t="str">
        <f t="shared" si="2"/>
        <v/>
      </c>
      <c r="H333" s="4"/>
      <c r="I333" s="4"/>
      <c r="J333" s="4"/>
      <c r="K333" s="4"/>
      <c r="L333" s="4"/>
    </row>
    <row r="334" ht="15.0" customHeight="1">
      <c r="A334" s="4"/>
      <c r="B334" s="4"/>
      <c r="C334" s="63" t="str">
        <f>IFERROR(VLOOKUP(B334,'📦 Maestro Productos'!$A:$B,2,0),"")</f>
        <v/>
      </c>
      <c r="D334" s="4"/>
      <c r="E334" s="4"/>
      <c r="F334" s="4"/>
      <c r="G334" s="64" t="str">
        <f t="shared" si="2"/>
        <v/>
      </c>
      <c r="H334" s="4"/>
      <c r="I334" s="4"/>
      <c r="J334" s="4"/>
      <c r="K334" s="4"/>
      <c r="L334" s="4"/>
    </row>
    <row r="335" ht="15.0" customHeight="1">
      <c r="A335" s="4"/>
      <c r="B335" s="4"/>
      <c r="C335" s="73" t="str">
        <f>IFERROR(VLOOKUP(B335,'📦 Maestro Productos'!$A:$B,2,0),"")</f>
        <v/>
      </c>
      <c r="D335" s="4"/>
      <c r="E335" s="4"/>
      <c r="F335" s="4"/>
      <c r="G335" s="74" t="str">
        <f t="shared" si="2"/>
        <v/>
      </c>
      <c r="H335" s="4"/>
      <c r="I335" s="4"/>
      <c r="J335" s="4"/>
      <c r="K335" s="4"/>
      <c r="L335" s="4"/>
    </row>
    <row r="336" ht="15.0" customHeight="1">
      <c r="A336" s="4"/>
      <c r="B336" s="4"/>
      <c r="C336" s="63" t="str">
        <f>IFERROR(VLOOKUP(B336,'📦 Maestro Productos'!$A:$B,2,0),"")</f>
        <v/>
      </c>
      <c r="D336" s="4"/>
      <c r="E336" s="4"/>
      <c r="F336" s="4"/>
      <c r="G336" s="64" t="str">
        <f t="shared" si="2"/>
        <v/>
      </c>
      <c r="H336" s="4"/>
      <c r="I336" s="4"/>
      <c r="J336" s="4"/>
      <c r="K336" s="4"/>
      <c r="L336" s="4"/>
    </row>
    <row r="337" ht="15.0" customHeight="1">
      <c r="A337" s="4"/>
      <c r="B337" s="4"/>
      <c r="C337" s="73" t="str">
        <f>IFERROR(VLOOKUP(B337,'📦 Maestro Productos'!$A:$B,2,0),"")</f>
        <v/>
      </c>
      <c r="D337" s="4"/>
      <c r="E337" s="4"/>
      <c r="F337" s="4"/>
      <c r="G337" s="74" t="str">
        <f t="shared" si="2"/>
        <v/>
      </c>
      <c r="H337" s="4"/>
      <c r="I337" s="4"/>
      <c r="J337" s="4"/>
      <c r="K337" s="4"/>
      <c r="L337" s="4"/>
    </row>
    <row r="338" ht="15.0" customHeight="1">
      <c r="A338" s="4"/>
      <c r="B338" s="4"/>
      <c r="C338" s="63" t="str">
        <f>IFERROR(VLOOKUP(B338,'📦 Maestro Productos'!$A:$B,2,0),"")</f>
        <v/>
      </c>
      <c r="D338" s="4"/>
      <c r="E338" s="4"/>
      <c r="F338" s="4"/>
      <c r="G338" s="64" t="str">
        <f t="shared" si="2"/>
        <v/>
      </c>
      <c r="H338" s="4"/>
      <c r="I338" s="4"/>
      <c r="J338" s="4"/>
      <c r="K338" s="4"/>
      <c r="L338" s="4"/>
    </row>
    <row r="339" ht="15.0" customHeight="1">
      <c r="A339" s="4"/>
      <c r="B339" s="4"/>
      <c r="C339" s="73" t="str">
        <f>IFERROR(VLOOKUP(B339,'📦 Maestro Productos'!$A:$B,2,0),"")</f>
        <v/>
      </c>
      <c r="D339" s="4"/>
      <c r="E339" s="4"/>
      <c r="F339" s="4"/>
      <c r="G339" s="74" t="str">
        <f t="shared" si="2"/>
        <v/>
      </c>
      <c r="H339" s="4"/>
      <c r="I339" s="4"/>
      <c r="J339" s="4"/>
      <c r="K339" s="4"/>
      <c r="L339" s="4"/>
    </row>
    <row r="340" ht="15.0" customHeight="1">
      <c r="A340" s="4"/>
      <c r="B340" s="4"/>
      <c r="C340" s="63" t="str">
        <f>IFERROR(VLOOKUP(B340,'📦 Maestro Productos'!$A:$B,2,0),"")</f>
        <v/>
      </c>
      <c r="D340" s="4"/>
      <c r="E340" s="4"/>
      <c r="F340" s="4"/>
      <c r="G340" s="64" t="str">
        <f t="shared" si="2"/>
        <v/>
      </c>
      <c r="H340" s="4"/>
      <c r="I340" s="4"/>
      <c r="J340" s="4"/>
      <c r="K340" s="4"/>
      <c r="L340" s="4"/>
    </row>
    <row r="341" ht="15.0" customHeight="1">
      <c r="A341" s="4"/>
      <c r="B341" s="4"/>
      <c r="C341" s="73" t="str">
        <f>IFERROR(VLOOKUP(B341,'📦 Maestro Productos'!$A:$B,2,0),"")</f>
        <v/>
      </c>
      <c r="D341" s="4"/>
      <c r="E341" s="4"/>
      <c r="F341" s="4"/>
      <c r="G341" s="74" t="str">
        <f t="shared" si="2"/>
        <v/>
      </c>
      <c r="H341" s="4"/>
      <c r="I341" s="4"/>
      <c r="J341" s="4"/>
      <c r="K341" s="4"/>
      <c r="L341" s="4"/>
    </row>
    <row r="342" ht="15.0" customHeight="1">
      <c r="A342" s="4"/>
      <c r="B342" s="4"/>
      <c r="C342" s="63" t="str">
        <f>IFERROR(VLOOKUP(B342,'📦 Maestro Productos'!$A:$B,2,0),"")</f>
        <v/>
      </c>
      <c r="D342" s="4"/>
      <c r="E342" s="4"/>
      <c r="F342" s="4"/>
      <c r="G342" s="64" t="str">
        <f t="shared" si="2"/>
        <v/>
      </c>
      <c r="H342" s="4"/>
      <c r="I342" s="4"/>
      <c r="J342" s="4"/>
      <c r="K342" s="4"/>
      <c r="L342" s="4"/>
    </row>
    <row r="343" ht="15.0" customHeight="1">
      <c r="A343" s="4"/>
      <c r="B343" s="4"/>
      <c r="C343" s="73" t="str">
        <f>IFERROR(VLOOKUP(B343,'📦 Maestro Productos'!$A:$B,2,0),"")</f>
        <v/>
      </c>
      <c r="D343" s="4"/>
      <c r="E343" s="4"/>
      <c r="F343" s="4"/>
      <c r="G343" s="74" t="str">
        <f t="shared" si="2"/>
        <v/>
      </c>
      <c r="H343" s="4"/>
      <c r="I343" s="4"/>
      <c r="J343" s="4"/>
      <c r="K343" s="4"/>
      <c r="L343" s="4"/>
    </row>
    <row r="344" ht="15.0" customHeight="1">
      <c r="A344" s="4"/>
      <c r="B344" s="4"/>
      <c r="C344" s="63" t="str">
        <f>IFERROR(VLOOKUP(B344,'📦 Maestro Productos'!$A:$B,2,0),"")</f>
        <v/>
      </c>
      <c r="D344" s="4"/>
      <c r="E344" s="4"/>
      <c r="F344" s="4"/>
      <c r="G344" s="64" t="str">
        <f t="shared" si="2"/>
        <v/>
      </c>
      <c r="H344" s="4"/>
      <c r="I344" s="4"/>
      <c r="J344" s="4"/>
      <c r="K344" s="4"/>
      <c r="L344" s="4"/>
    </row>
    <row r="345" ht="15.0" customHeight="1">
      <c r="A345" s="4"/>
      <c r="B345" s="4"/>
      <c r="C345" s="73" t="str">
        <f>IFERROR(VLOOKUP(B345,'📦 Maestro Productos'!$A:$B,2,0),"")</f>
        <v/>
      </c>
      <c r="D345" s="4"/>
      <c r="E345" s="4"/>
      <c r="F345" s="4"/>
      <c r="G345" s="74" t="str">
        <f t="shared" si="2"/>
        <v/>
      </c>
      <c r="H345" s="4"/>
      <c r="I345" s="4"/>
      <c r="J345" s="4"/>
      <c r="K345" s="4"/>
      <c r="L345" s="4"/>
    </row>
    <row r="346" ht="15.0" customHeight="1">
      <c r="A346" s="4"/>
      <c r="B346" s="4"/>
      <c r="C346" s="63" t="str">
        <f>IFERROR(VLOOKUP(B346,'📦 Maestro Productos'!$A:$B,2,0),"")</f>
        <v/>
      </c>
      <c r="D346" s="4"/>
      <c r="E346" s="4"/>
      <c r="F346" s="4"/>
      <c r="G346" s="64" t="str">
        <f t="shared" si="2"/>
        <v/>
      </c>
      <c r="H346" s="4"/>
      <c r="I346" s="4"/>
      <c r="J346" s="4"/>
      <c r="K346" s="4"/>
      <c r="L346" s="4"/>
    </row>
    <row r="347" ht="15.0" customHeight="1">
      <c r="A347" s="4"/>
      <c r="B347" s="4"/>
      <c r="C347" s="73" t="str">
        <f>IFERROR(VLOOKUP(B347,'📦 Maestro Productos'!$A:$B,2,0),"")</f>
        <v/>
      </c>
      <c r="D347" s="4"/>
      <c r="E347" s="4"/>
      <c r="F347" s="4"/>
      <c r="G347" s="74" t="str">
        <f t="shared" si="2"/>
        <v/>
      </c>
      <c r="H347" s="4"/>
      <c r="I347" s="4"/>
      <c r="J347" s="4"/>
      <c r="K347" s="4"/>
      <c r="L347" s="4"/>
    </row>
    <row r="348" ht="15.0" customHeight="1">
      <c r="A348" s="4"/>
      <c r="B348" s="4"/>
      <c r="C348" s="63" t="str">
        <f>IFERROR(VLOOKUP(B348,'📦 Maestro Productos'!$A:$B,2,0),"")</f>
        <v/>
      </c>
      <c r="D348" s="4"/>
      <c r="E348" s="4"/>
      <c r="F348" s="4"/>
      <c r="G348" s="64" t="str">
        <f t="shared" si="2"/>
        <v/>
      </c>
      <c r="H348" s="4"/>
      <c r="I348" s="4"/>
      <c r="J348" s="4"/>
      <c r="K348" s="4"/>
      <c r="L348" s="4"/>
    </row>
    <row r="349" ht="15.0" customHeight="1">
      <c r="A349" s="4"/>
      <c r="B349" s="4"/>
      <c r="C349" s="73" t="str">
        <f>IFERROR(VLOOKUP(B349,'📦 Maestro Productos'!$A:$B,2,0),"")</f>
        <v/>
      </c>
      <c r="D349" s="4"/>
      <c r="E349" s="4"/>
      <c r="F349" s="4"/>
      <c r="G349" s="74" t="str">
        <f t="shared" si="2"/>
        <v/>
      </c>
      <c r="H349" s="4"/>
      <c r="I349" s="4"/>
      <c r="J349" s="4"/>
      <c r="K349" s="4"/>
      <c r="L349" s="4"/>
    </row>
    <row r="350" ht="15.0" customHeight="1">
      <c r="A350" s="4"/>
      <c r="B350" s="4"/>
      <c r="C350" s="63" t="str">
        <f>IFERROR(VLOOKUP(B350,'📦 Maestro Productos'!$A:$B,2,0),"")</f>
        <v/>
      </c>
      <c r="D350" s="4"/>
      <c r="E350" s="4"/>
      <c r="F350" s="4"/>
      <c r="G350" s="64" t="str">
        <f t="shared" si="2"/>
        <v/>
      </c>
      <c r="H350" s="4"/>
      <c r="I350" s="4"/>
      <c r="J350" s="4"/>
      <c r="K350" s="4"/>
      <c r="L350" s="4"/>
    </row>
    <row r="351" ht="15.0" customHeight="1">
      <c r="A351" s="4"/>
      <c r="B351" s="4"/>
      <c r="C351" s="73" t="str">
        <f>IFERROR(VLOOKUP(B351,'📦 Maestro Productos'!$A:$B,2,0),"")</f>
        <v/>
      </c>
      <c r="D351" s="4"/>
      <c r="E351" s="4"/>
      <c r="F351" s="4"/>
      <c r="G351" s="74" t="str">
        <f t="shared" si="2"/>
        <v/>
      </c>
      <c r="H351" s="4"/>
      <c r="I351" s="4"/>
      <c r="J351" s="4"/>
      <c r="K351" s="4"/>
      <c r="L351" s="4"/>
    </row>
    <row r="352" ht="15.0" customHeight="1">
      <c r="A352" s="4"/>
      <c r="B352" s="4"/>
      <c r="C352" s="63" t="str">
        <f>IFERROR(VLOOKUP(B352,'📦 Maestro Productos'!$A:$B,2,0),"")</f>
        <v/>
      </c>
      <c r="D352" s="4"/>
      <c r="E352" s="4"/>
      <c r="F352" s="4"/>
      <c r="G352" s="64" t="str">
        <f t="shared" si="2"/>
        <v/>
      </c>
      <c r="H352" s="4"/>
      <c r="I352" s="4"/>
      <c r="J352" s="4"/>
      <c r="K352" s="4"/>
      <c r="L352" s="4"/>
    </row>
    <row r="353" ht="15.0" customHeight="1">
      <c r="A353" s="4"/>
      <c r="B353" s="4"/>
      <c r="C353" s="73" t="str">
        <f>IFERROR(VLOOKUP(B353,'📦 Maestro Productos'!$A:$B,2,0),"")</f>
        <v/>
      </c>
      <c r="D353" s="4"/>
      <c r="E353" s="4"/>
      <c r="F353" s="4"/>
      <c r="G353" s="74" t="str">
        <f t="shared" si="2"/>
        <v/>
      </c>
      <c r="H353" s="4"/>
      <c r="I353" s="4"/>
      <c r="J353" s="4"/>
      <c r="K353" s="4"/>
      <c r="L353" s="4"/>
    </row>
    <row r="354" ht="15.0" customHeight="1">
      <c r="A354" s="4"/>
      <c r="B354" s="4"/>
      <c r="C354" s="63" t="str">
        <f>IFERROR(VLOOKUP(B354,'📦 Maestro Productos'!$A:$B,2,0),"")</f>
        <v/>
      </c>
      <c r="D354" s="4"/>
      <c r="E354" s="4"/>
      <c r="F354" s="4"/>
      <c r="G354" s="64" t="str">
        <f t="shared" si="2"/>
        <v/>
      </c>
      <c r="H354" s="4"/>
      <c r="I354" s="4"/>
      <c r="J354" s="4"/>
      <c r="K354" s="4"/>
      <c r="L354" s="4"/>
    </row>
    <row r="355" ht="15.0" customHeight="1">
      <c r="A355" s="4"/>
      <c r="B355" s="4"/>
      <c r="C355" s="73" t="str">
        <f>IFERROR(VLOOKUP(B355,'📦 Maestro Productos'!$A:$B,2,0),"")</f>
        <v/>
      </c>
      <c r="D355" s="4"/>
      <c r="E355" s="4"/>
      <c r="F355" s="4"/>
      <c r="G355" s="74" t="str">
        <f t="shared" si="2"/>
        <v/>
      </c>
      <c r="H355" s="4"/>
      <c r="I355" s="4"/>
      <c r="J355" s="4"/>
      <c r="K355" s="4"/>
      <c r="L355" s="4"/>
    </row>
    <row r="356" ht="15.0" customHeight="1">
      <c r="A356" s="4"/>
      <c r="B356" s="4"/>
      <c r="C356" s="63" t="str">
        <f>IFERROR(VLOOKUP(B356,'📦 Maestro Productos'!$A:$B,2,0),"")</f>
        <v/>
      </c>
      <c r="D356" s="4"/>
      <c r="E356" s="4"/>
      <c r="F356" s="4"/>
      <c r="G356" s="64" t="str">
        <f t="shared" si="2"/>
        <v/>
      </c>
      <c r="H356" s="4"/>
      <c r="I356" s="4"/>
      <c r="J356" s="4"/>
      <c r="K356" s="4"/>
      <c r="L356" s="4"/>
    </row>
    <row r="357" ht="15.0" customHeight="1">
      <c r="A357" s="4"/>
      <c r="B357" s="4"/>
      <c r="C357" s="73" t="str">
        <f>IFERROR(VLOOKUP(B357,'📦 Maestro Productos'!$A:$B,2,0),"")</f>
        <v/>
      </c>
      <c r="D357" s="4"/>
      <c r="E357" s="4"/>
      <c r="F357" s="4"/>
      <c r="G357" s="74" t="str">
        <f t="shared" si="2"/>
        <v/>
      </c>
      <c r="H357" s="4"/>
      <c r="I357" s="4"/>
      <c r="J357" s="4"/>
      <c r="K357" s="4"/>
      <c r="L357" s="4"/>
    </row>
    <row r="358" ht="15.0" customHeight="1">
      <c r="A358" s="4"/>
      <c r="B358" s="4"/>
      <c r="C358" s="63" t="str">
        <f>IFERROR(VLOOKUP(B358,'📦 Maestro Productos'!$A:$B,2,0),"")</f>
        <v/>
      </c>
      <c r="D358" s="4"/>
      <c r="E358" s="4"/>
      <c r="F358" s="4"/>
      <c r="G358" s="64" t="str">
        <f t="shared" si="2"/>
        <v/>
      </c>
      <c r="H358" s="4"/>
      <c r="I358" s="4"/>
      <c r="J358" s="4"/>
      <c r="K358" s="4"/>
      <c r="L358" s="4"/>
    </row>
    <row r="359" ht="15.0" customHeight="1">
      <c r="A359" s="4"/>
      <c r="B359" s="4"/>
      <c r="C359" s="73" t="str">
        <f>IFERROR(VLOOKUP(B359,'📦 Maestro Productos'!$A:$B,2,0),"")</f>
        <v/>
      </c>
      <c r="D359" s="4"/>
      <c r="E359" s="4"/>
      <c r="F359" s="4"/>
      <c r="G359" s="74" t="str">
        <f t="shared" si="2"/>
        <v/>
      </c>
      <c r="H359" s="4"/>
      <c r="I359" s="4"/>
      <c r="J359" s="4"/>
      <c r="K359" s="4"/>
      <c r="L359" s="4"/>
    </row>
    <row r="360" ht="15.0" customHeight="1">
      <c r="A360" s="4"/>
      <c r="B360" s="4"/>
      <c r="C360" s="63" t="str">
        <f>IFERROR(VLOOKUP(B360,'📦 Maestro Productos'!$A:$B,2,0),"")</f>
        <v/>
      </c>
      <c r="D360" s="4"/>
      <c r="E360" s="4"/>
      <c r="F360" s="4"/>
      <c r="G360" s="64" t="str">
        <f t="shared" si="2"/>
        <v/>
      </c>
      <c r="H360" s="4"/>
      <c r="I360" s="4"/>
      <c r="J360" s="4"/>
      <c r="K360" s="4"/>
      <c r="L360" s="4"/>
    </row>
    <row r="361" ht="15.0" customHeight="1">
      <c r="A361" s="4"/>
      <c r="B361" s="4"/>
      <c r="C361" s="73" t="str">
        <f>IFERROR(VLOOKUP(B361,'📦 Maestro Productos'!$A:$B,2,0),"")</f>
        <v/>
      </c>
      <c r="D361" s="4"/>
      <c r="E361" s="4"/>
      <c r="F361" s="4"/>
      <c r="G361" s="74" t="str">
        <f t="shared" si="2"/>
        <v/>
      </c>
      <c r="H361" s="4"/>
      <c r="I361" s="4"/>
      <c r="J361" s="4"/>
      <c r="K361" s="4"/>
      <c r="L361" s="4"/>
    </row>
    <row r="362" ht="15.0" customHeight="1">
      <c r="A362" s="4"/>
      <c r="B362" s="4"/>
      <c r="C362" s="63" t="str">
        <f>IFERROR(VLOOKUP(B362,'📦 Maestro Productos'!$A:$B,2,0),"")</f>
        <v/>
      </c>
      <c r="D362" s="4"/>
      <c r="E362" s="4"/>
      <c r="F362" s="4"/>
      <c r="G362" s="64" t="str">
        <f t="shared" si="2"/>
        <v/>
      </c>
      <c r="H362" s="4"/>
      <c r="I362" s="4"/>
      <c r="J362" s="4"/>
      <c r="K362" s="4"/>
      <c r="L362" s="4"/>
    </row>
    <row r="363" ht="15.0" customHeight="1">
      <c r="A363" s="4"/>
      <c r="B363" s="4"/>
      <c r="C363" s="73" t="str">
        <f>IFERROR(VLOOKUP(B363,'📦 Maestro Productos'!$A:$B,2,0),"")</f>
        <v/>
      </c>
      <c r="D363" s="4"/>
      <c r="E363" s="4"/>
      <c r="F363" s="4"/>
      <c r="G363" s="74" t="str">
        <f t="shared" si="2"/>
        <v/>
      </c>
      <c r="H363" s="4"/>
      <c r="I363" s="4"/>
      <c r="J363" s="4"/>
      <c r="K363" s="4"/>
      <c r="L363" s="4"/>
    </row>
    <row r="364" ht="15.0" customHeight="1">
      <c r="A364" s="4"/>
      <c r="B364" s="4"/>
      <c r="C364" s="63" t="str">
        <f>IFERROR(VLOOKUP(B364,'📦 Maestro Productos'!$A:$B,2,0),"")</f>
        <v/>
      </c>
      <c r="D364" s="4"/>
      <c r="E364" s="4"/>
      <c r="F364" s="4"/>
      <c r="G364" s="64" t="str">
        <f t="shared" si="2"/>
        <v/>
      </c>
      <c r="H364" s="4"/>
      <c r="I364" s="4"/>
      <c r="J364" s="4"/>
      <c r="K364" s="4"/>
      <c r="L364" s="4"/>
    </row>
    <row r="365" ht="15.0" customHeight="1">
      <c r="A365" s="4"/>
      <c r="B365" s="4"/>
      <c r="C365" s="73" t="str">
        <f>IFERROR(VLOOKUP(B365,'📦 Maestro Productos'!$A:$B,2,0),"")</f>
        <v/>
      </c>
      <c r="D365" s="4"/>
      <c r="E365" s="4"/>
      <c r="F365" s="4"/>
      <c r="G365" s="74" t="str">
        <f t="shared" si="2"/>
        <v/>
      </c>
      <c r="H365" s="4"/>
      <c r="I365" s="4"/>
      <c r="J365" s="4"/>
      <c r="K365" s="4"/>
      <c r="L365" s="4"/>
    </row>
    <row r="366" ht="15.0" customHeight="1">
      <c r="A366" s="4"/>
      <c r="B366" s="4"/>
      <c r="C366" s="63" t="str">
        <f>IFERROR(VLOOKUP(B366,'📦 Maestro Productos'!$A:$B,2,0),"")</f>
        <v/>
      </c>
      <c r="D366" s="4"/>
      <c r="E366" s="4"/>
      <c r="F366" s="4"/>
      <c r="G366" s="64" t="str">
        <f t="shared" si="2"/>
        <v/>
      </c>
      <c r="H366" s="4"/>
      <c r="I366" s="4"/>
      <c r="J366" s="4"/>
      <c r="K366" s="4"/>
      <c r="L366" s="4"/>
    </row>
    <row r="367" ht="15.0" customHeight="1">
      <c r="A367" s="4"/>
      <c r="B367" s="4"/>
      <c r="C367" s="73" t="str">
        <f>IFERROR(VLOOKUP(B367,'📦 Maestro Productos'!$A:$B,2,0),"")</f>
        <v/>
      </c>
      <c r="D367" s="4"/>
      <c r="E367" s="4"/>
      <c r="F367" s="4"/>
      <c r="G367" s="74" t="str">
        <f t="shared" si="2"/>
        <v/>
      </c>
      <c r="H367" s="4"/>
      <c r="I367" s="4"/>
      <c r="J367" s="4"/>
      <c r="K367" s="4"/>
      <c r="L367" s="4"/>
    </row>
    <row r="368" ht="15.0" customHeight="1">
      <c r="A368" s="4"/>
      <c r="B368" s="4"/>
      <c r="C368" s="63" t="str">
        <f>IFERROR(VLOOKUP(B368,'📦 Maestro Productos'!$A:$B,2,0),"")</f>
        <v/>
      </c>
      <c r="D368" s="4"/>
      <c r="E368" s="4"/>
      <c r="F368" s="4"/>
      <c r="G368" s="64" t="str">
        <f t="shared" si="2"/>
        <v/>
      </c>
      <c r="H368" s="4"/>
      <c r="I368" s="4"/>
      <c r="J368" s="4"/>
      <c r="K368" s="4"/>
      <c r="L368" s="4"/>
    </row>
    <row r="369" ht="15.0" customHeight="1">
      <c r="A369" s="4"/>
      <c r="B369" s="4"/>
      <c r="C369" s="73" t="str">
        <f>IFERROR(VLOOKUP(B369,'📦 Maestro Productos'!$A:$B,2,0),"")</f>
        <v/>
      </c>
      <c r="D369" s="4"/>
      <c r="E369" s="4"/>
      <c r="F369" s="4"/>
      <c r="G369" s="74" t="str">
        <f t="shared" si="2"/>
        <v/>
      </c>
      <c r="H369" s="4"/>
      <c r="I369" s="4"/>
      <c r="J369" s="4"/>
      <c r="K369" s="4"/>
      <c r="L369" s="4"/>
    </row>
    <row r="370" ht="15.0" customHeight="1">
      <c r="A370" s="4"/>
      <c r="B370" s="4"/>
      <c r="C370" s="63" t="str">
        <f>IFERROR(VLOOKUP(B370,'📦 Maestro Productos'!$A:$B,2,0),"")</f>
        <v/>
      </c>
      <c r="D370" s="4"/>
      <c r="E370" s="4"/>
      <c r="F370" s="4"/>
      <c r="G370" s="64" t="str">
        <f t="shared" si="2"/>
        <v/>
      </c>
      <c r="H370" s="4"/>
      <c r="I370" s="4"/>
      <c r="J370" s="4"/>
      <c r="K370" s="4"/>
      <c r="L370" s="4"/>
    </row>
    <row r="371" ht="15.0" customHeight="1">
      <c r="A371" s="4"/>
      <c r="B371" s="4"/>
      <c r="C371" s="73" t="str">
        <f>IFERROR(VLOOKUP(B371,'📦 Maestro Productos'!$A:$B,2,0),"")</f>
        <v/>
      </c>
      <c r="D371" s="4"/>
      <c r="E371" s="4"/>
      <c r="F371" s="4"/>
      <c r="G371" s="74" t="str">
        <f t="shared" si="2"/>
        <v/>
      </c>
      <c r="H371" s="4"/>
      <c r="I371" s="4"/>
      <c r="J371" s="4"/>
      <c r="K371" s="4"/>
      <c r="L371" s="4"/>
    </row>
    <row r="372" ht="15.0" customHeight="1">
      <c r="A372" s="4"/>
      <c r="B372" s="4"/>
      <c r="C372" s="63" t="str">
        <f>IFERROR(VLOOKUP(B372,'📦 Maestro Productos'!$A:$B,2,0),"")</f>
        <v/>
      </c>
      <c r="D372" s="4"/>
      <c r="E372" s="4"/>
      <c r="F372" s="4"/>
      <c r="G372" s="64" t="str">
        <f t="shared" si="2"/>
        <v/>
      </c>
      <c r="H372" s="4"/>
      <c r="I372" s="4"/>
      <c r="J372" s="4"/>
      <c r="K372" s="4"/>
      <c r="L372" s="4"/>
    </row>
    <row r="373" ht="15.0" customHeight="1">
      <c r="A373" s="4"/>
      <c r="B373" s="4"/>
      <c r="C373" s="73" t="str">
        <f>IFERROR(VLOOKUP(B373,'📦 Maestro Productos'!$A:$B,2,0),"")</f>
        <v/>
      </c>
      <c r="D373" s="4"/>
      <c r="E373" s="4"/>
      <c r="F373" s="4"/>
      <c r="G373" s="74" t="str">
        <f t="shared" si="2"/>
        <v/>
      </c>
      <c r="H373" s="4"/>
      <c r="I373" s="4"/>
      <c r="J373" s="4"/>
      <c r="K373" s="4"/>
      <c r="L373" s="4"/>
    </row>
    <row r="374" ht="15.0" customHeight="1">
      <c r="A374" s="4"/>
      <c r="B374" s="4"/>
      <c r="C374" s="63" t="str">
        <f>IFERROR(VLOOKUP(B374,'📦 Maestro Productos'!$A:$B,2,0),"")</f>
        <v/>
      </c>
      <c r="D374" s="4"/>
      <c r="E374" s="4"/>
      <c r="F374" s="4"/>
      <c r="G374" s="64" t="str">
        <f t="shared" si="2"/>
        <v/>
      </c>
      <c r="H374" s="4"/>
      <c r="I374" s="4"/>
      <c r="J374" s="4"/>
      <c r="K374" s="4"/>
      <c r="L374" s="4"/>
    </row>
    <row r="375" ht="15.0" customHeight="1">
      <c r="A375" s="4"/>
      <c r="B375" s="4"/>
      <c r="C375" s="73" t="str">
        <f>IFERROR(VLOOKUP(B375,'📦 Maestro Productos'!$A:$B,2,0),"")</f>
        <v/>
      </c>
      <c r="D375" s="4"/>
      <c r="E375" s="4"/>
      <c r="F375" s="4"/>
      <c r="G375" s="74" t="str">
        <f t="shared" si="2"/>
        <v/>
      </c>
      <c r="H375" s="4"/>
      <c r="I375" s="4"/>
      <c r="J375" s="4"/>
      <c r="K375" s="4"/>
      <c r="L375" s="4"/>
    </row>
    <row r="376" ht="15.0" customHeight="1">
      <c r="A376" s="4"/>
      <c r="B376" s="4"/>
      <c r="C376" s="63" t="str">
        <f>IFERROR(VLOOKUP(B376,'📦 Maestro Productos'!$A:$B,2,0),"")</f>
        <v/>
      </c>
      <c r="D376" s="4"/>
      <c r="E376" s="4"/>
      <c r="F376" s="4"/>
      <c r="G376" s="64" t="str">
        <f t="shared" si="2"/>
        <v/>
      </c>
      <c r="H376" s="4"/>
      <c r="I376" s="4"/>
      <c r="J376" s="4"/>
      <c r="K376" s="4"/>
      <c r="L376" s="4"/>
    </row>
    <row r="377" ht="15.0" customHeight="1">
      <c r="A377" s="4"/>
      <c r="B377" s="4"/>
      <c r="C377" s="73" t="str">
        <f>IFERROR(VLOOKUP(B377,'📦 Maestro Productos'!$A:$B,2,0),"")</f>
        <v/>
      </c>
      <c r="D377" s="4"/>
      <c r="E377" s="4"/>
      <c r="F377" s="4"/>
      <c r="G377" s="74" t="str">
        <f t="shared" si="2"/>
        <v/>
      </c>
      <c r="H377" s="4"/>
      <c r="I377" s="4"/>
      <c r="J377" s="4"/>
      <c r="K377" s="4"/>
      <c r="L377" s="4"/>
    </row>
    <row r="378" ht="15.0" customHeight="1">
      <c r="A378" s="4"/>
      <c r="B378" s="4"/>
      <c r="C378" s="63" t="str">
        <f>IFERROR(VLOOKUP(B378,'📦 Maestro Productos'!$A:$B,2,0),"")</f>
        <v/>
      </c>
      <c r="D378" s="4"/>
      <c r="E378" s="4"/>
      <c r="F378" s="4"/>
      <c r="G378" s="64" t="str">
        <f t="shared" si="2"/>
        <v/>
      </c>
      <c r="H378" s="4"/>
      <c r="I378" s="4"/>
      <c r="J378" s="4"/>
      <c r="K378" s="4"/>
      <c r="L378" s="4"/>
    </row>
    <row r="379" ht="15.0" customHeight="1">
      <c r="A379" s="4"/>
      <c r="B379" s="4"/>
      <c r="C379" s="73" t="str">
        <f>IFERROR(VLOOKUP(B379,'📦 Maestro Productos'!$A:$B,2,0),"")</f>
        <v/>
      </c>
      <c r="D379" s="4"/>
      <c r="E379" s="4"/>
      <c r="F379" s="4"/>
      <c r="G379" s="74" t="str">
        <f t="shared" si="2"/>
        <v/>
      </c>
      <c r="H379" s="4"/>
      <c r="I379" s="4"/>
      <c r="J379" s="4"/>
      <c r="K379" s="4"/>
      <c r="L379" s="4"/>
    </row>
    <row r="380" ht="15.0" customHeight="1">
      <c r="A380" s="4"/>
      <c r="B380" s="4"/>
      <c r="C380" s="63" t="str">
        <f>IFERROR(VLOOKUP(B380,'📦 Maestro Productos'!$A:$B,2,0),"")</f>
        <v/>
      </c>
      <c r="D380" s="4"/>
      <c r="E380" s="4"/>
      <c r="F380" s="4"/>
      <c r="G380" s="64" t="str">
        <f t="shared" si="2"/>
        <v/>
      </c>
      <c r="H380" s="4"/>
      <c r="I380" s="4"/>
      <c r="J380" s="4"/>
      <c r="K380" s="4"/>
      <c r="L380" s="4"/>
    </row>
    <row r="381" ht="15.0" customHeight="1">
      <c r="A381" s="4"/>
      <c r="B381" s="4"/>
      <c r="C381" s="73" t="str">
        <f>IFERROR(VLOOKUP(B381,'📦 Maestro Productos'!$A:$B,2,0),"")</f>
        <v/>
      </c>
      <c r="D381" s="4"/>
      <c r="E381" s="4"/>
      <c r="F381" s="4"/>
      <c r="G381" s="74" t="str">
        <f t="shared" si="2"/>
        <v/>
      </c>
      <c r="H381" s="4"/>
      <c r="I381" s="4"/>
      <c r="J381" s="4"/>
      <c r="K381" s="4"/>
      <c r="L381" s="4"/>
    </row>
    <row r="382" ht="15.0" customHeight="1">
      <c r="A382" s="4"/>
      <c r="B382" s="4"/>
      <c r="C382" s="63" t="str">
        <f>IFERROR(VLOOKUP(B382,'📦 Maestro Productos'!$A:$B,2,0),"")</f>
        <v/>
      </c>
      <c r="D382" s="4"/>
      <c r="E382" s="4"/>
      <c r="F382" s="4"/>
      <c r="G382" s="64" t="str">
        <f t="shared" si="2"/>
        <v/>
      </c>
      <c r="H382" s="4"/>
      <c r="I382" s="4"/>
      <c r="J382" s="4"/>
      <c r="K382" s="4"/>
      <c r="L382" s="4"/>
    </row>
    <row r="383" ht="15.0" customHeight="1">
      <c r="A383" s="4"/>
      <c r="B383" s="4"/>
      <c r="C383" s="73" t="str">
        <f>IFERROR(VLOOKUP(B383,'📦 Maestro Productos'!$A:$B,2,0),"")</f>
        <v/>
      </c>
      <c r="D383" s="4"/>
      <c r="E383" s="4"/>
      <c r="F383" s="4"/>
      <c r="G383" s="74" t="str">
        <f t="shared" si="2"/>
        <v/>
      </c>
      <c r="H383" s="4"/>
      <c r="I383" s="4"/>
      <c r="J383" s="4"/>
      <c r="K383" s="4"/>
      <c r="L383" s="4"/>
    </row>
    <row r="384" ht="15.0" customHeight="1">
      <c r="A384" s="4"/>
      <c r="B384" s="4"/>
      <c r="C384" s="63" t="str">
        <f>IFERROR(VLOOKUP(B384,'📦 Maestro Productos'!$A:$B,2,0),"")</f>
        <v/>
      </c>
      <c r="D384" s="4"/>
      <c r="E384" s="4"/>
      <c r="F384" s="4"/>
      <c r="G384" s="64" t="str">
        <f t="shared" si="2"/>
        <v/>
      </c>
      <c r="H384" s="4"/>
      <c r="I384" s="4"/>
      <c r="J384" s="4"/>
      <c r="K384" s="4"/>
      <c r="L384" s="4"/>
    </row>
    <row r="385" ht="15.0" customHeight="1">
      <c r="A385" s="4"/>
      <c r="B385" s="4"/>
      <c r="C385" s="73" t="str">
        <f>IFERROR(VLOOKUP(B385,'📦 Maestro Productos'!$A:$B,2,0),"")</f>
        <v/>
      </c>
      <c r="D385" s="4"/>
      <c r="E385" s="4"/>
      <c r="F385" s="4"/>
      <c r="G385" s="74" t="str">
        <f t="shared" si="2"/>
        <v/>
      </c>
      <c r="H385" s="4"/>
      <c r="I385" s="4"/>
      <c r="J385" s="4"/>
      <c r="K385" s="4"/>
      <c r="L385" s="4"/>
    </row>
    <row r="386" ht="15.0" customHeight="1">
      <c r="A386" s="4"/>
      <c r="B386" s="4"/>
      <c r="C386" s="63" t="str">
        <f>IFERROR(VLOOKUP(B386,'📦 Maestro Productos'!$A:$B,2,0),"")</f>
        <v/>
      </c>
      <c r="D386" s="4"/>
      <c r="E386" s="4"/>
      <c r="F386" s="4"/>
      <c r="G386" s="64" t="str">
        <f t="shared" si="2"/>
        <v/>
      </c>
      <c r="H386" s="4"/>
      <c r="I386" s="4"/>
      <c r="J386" s="4"/>
      <c r="K386" s="4"/>
      <c r="L386" s="4"/>
    </row>
    <row r="387" ht="15.0" customHeight="1">
      <c r="A387" s="4"/>
      <c r="B387" s="4"/>
      <c r="C387" s="73" t="str">
        <f>IFERROR(VLOOKUP(B387,'📦 Maestro Productos'!$A:$B,2,0),"")</f>
        <v/>
      </c>
      <c r="D387" s="4"/>
      <c r="E387" s="4"/>
      <c r="F387" s="4"/>
      <c r="G387" s="74" t="str">
        <f t="shared" si="2"/>
        <v/>
      </c>
      <c r="H387" s="4"/>
      <c r="I387" s="4"/>
      <c r="J387" s="4"/>
      <c r="K387" s="4"/>
      <c r="L387" s="4"/>
    </row>
    <row r="388" ht="15.0" customHeight="1">
      <c r="A388" s="4"/>
      <c r="B388" s="4"/>
      <c r="C388" s="63" t="str">
        <f>IFERROR(VLOOKUP(B388,'📦 Maestro Productos'!$A:$B,2,0),"")</f>
        <v/>
      </c>
      <c r="D388" s="4"/>
      <c r="E388" s="4"/>
      <c r="F388" s="4"/>
      <c r="G388" s="64" t="str">
        <f t="shared" si="2"/>
        <v/>
      </c>
      <c r="H388" s="4"/>
      <c r="I388" s="4"/>
      <c r="J388" s="4"/>
      <c r="K388" s="4"/>
      <c r="L388" s="4"/>
    </row>
    <row r="389" ht="15.0" customHeight="1">
      <c r="A389" s="4"/>
      <c r="B389" s="4"/>
      <c r="C389" s="73" t="str">
        <f>IFERROR(VLOOKUP(B389,'📦 Maestro Productos'!$A:$B,2,0),"")</f>
        <v/>
      </c>
      <c r="D389" s="4"/>
      <c r="E389" s="4"/>
      <c r="F389" s="4"/>
      <c r="G389" s="74" t="str">
        <f t="shared" si="2"/>
        <v/>
      </c>
      <c r="H389" s="4"/>
      <c r="I389" s="4"/>
      <c r="J389" s="4"/>
      <c r="K389" s="4"/>
      <c r="L389" s="4"/>
    </row>
    <row r="390" ht="15.0" customHeight="1">
      <c r="A390" s="4"/>
      <c r="B390" s="4"/>
      <c r="C390" s="63" t="str">
        <f>IFERROR(VLOOKUP(B390,'📦 Maestro Productos'!$A:$B,2,0),"")</f>
        <v/>
      </c>
      <c r="D390" s="4"/>
      <c r="E390" s="4"/>
      <c r="F390" s="4"/>
      <c r="G390" s="64" t="str">
        <f t="shared" si="2"/>
        <v/>
      </c>
      <c r="H390" s="4"/>
      <c r="I390" s="4"/>
      <c r="J390" s="4"/>
      <c r="K390" s="4"/>
      <c r="L390" s="4"/>
    </row>
    <row r="391" ht="15.0" customHeight="1">
      <c r="A391" s="4"/>
      <c r="B391" s="4"/>
      <c r="C391" s="73" t="str">
        <f>IFERROR(VLOOKUP(B391,'📦 Maestro Productos'!$A:$B,2,0),"")</f>
        <v/>
      </c>
      <c r="D391" s="4"/>
      <c r="E391" s="4"/>
      <c r="F391" s="4"/>
      <c r="G391" s="74" t="str">
        <f t="shared" si="2"/>
        <v/>
      </c>
      <c r="H391" s="4"/>
      <c r="I391" s="4"/>
      <c r="J391" s="4"/>
      <c r="K391" s="4"/>
      <c r="L391" s="4"/>
    </row>
    <row r="392" ht="15.0" customHeight="1">
      <c r="A392" s="4"/>
      <c r="B392" s="4"/>
      <c r="C392" s="63" t="str">
        <f>IFERROR(VLOOKUP(B392,'📦 Maestro Productos'!$A:$B,2,0),"")</f>
        <v/>
      </c>
      <c r="D392" s="4"/>
      <c r="E392" s="4"/>
      <c r="F392" s="4"/>
      <c r="G392" s="64" t="str">
        <f t="shared" si="2"/>
        <v/>
      </c>
      <c r="H392" s="4"/>
      <c r="I392" s="4"/>
      <c r="J392" s="4"/>
      <c r="K392" s="4"/>
      <c r="L392" s="4"/>
    </row>
    <row r="393" ht="15.0" customHeight="1">
      <c r="A393" s="4"/>
      <c r="B393" s="4"/>
      <c r="C393" s="73" t="str">
        <f>IFERROR(VLOOKUP(B393,'📦 Maestro Productos'!$A:$B,2,0),"")</f>
        <v/>
      </c>
      <c r="D393" s="4"/>
      <c r="E393" s="4"/>
      <c r="F393" s="4"/>
      <c r="G393" s="74" t="str">
        <f t="shared" si="2"/>
        <v/>
      </c>
      <c r="H393" s="4"/>
      <c r="I393" s="4"/>
      <c r="J393" s="4"/>
      <c r="K393" s="4"/>
      <c r="L393" s="4"/>
    </row>
    <row r="394" ht="15.0" customHeight="1">
      <c r="A394" s="4"/>
      <c r="B394" s="4"/>
      <c r="C394" s="63" t="str">
        <f>IFERROR(VLOOKUP(B394,'📦 Maestro Productos'!$A:$B,2,0),"")</f>
        <v/>
      </c>
      <c r="D394" s="4"/>
      <c r="E394" s="4"/>
      <c r="F394" s="4"/>
      <c r="G394" s="64" t="str">
        <f t="shared" si="2"/>
        <v/>
      </c>
      <c r="H394" s="4"/>
      <c r="I394" s="4"/>
      <c r="J394" s="4"/>
      <c r="K394" s="4"/>
      <c r="L394" s="4"/>
    </row>
    <row r="395" ht="15.0" customHeight="1">
      <c r="A395" s="4"/>
      <c r="B395" s="4"/>
      <c r="C395" s="73" t="str">
        <f>IFERROR(VLOOKUP(B395,'📦 Maestro Productos'!$A:$B,2,0),"")</f>
        <v/>
      </c>
      <c r="D395" s="4"/>
      <c r="E395" s="4"/>
      <c r="F395" s="4"/>
      <c r="G395" s="74" t="str">
        <f t="shared" si="2"/>
        <v/>
      </c>
      <c r="H395" s="4"/>
      <c r="I395" s="4"/>
      <c r="J395" s="4"/>
      <c r="K395" s="4"/>
      <c r="L395" s="4"/>
    </row>
    <row r="396" ht="15.0" customHeight="1">
      <c r="A396" s="4"/>
      <c r="B396" s="4"/>
      <c r="C396" s="63" t="str">
        <f>IFERROR(VLOOKUP(B396,'📦 Maestro Productos'!$A:$B,2,0),"")</f>
        <v/>
      </c>
      <c r="D396" s="4"/>
      <c r="E396" s="4"/>
      <c r="F396" s="4"/>
      <c r="G396" s="64" t="str">
        <f t="shared" si="2"/>
        <v/>
      </c>
      <c r="H396" s="4"/>
      <c r="I396" s="4"/>
      <c r="J396" s="4"/>
      <c r="K396" s="4"/>
      <c r="L396" s="4"/>
    </row>
    <row r="397" ht="15.0" customHeight="1">
      <c r="A397" s="4"/>
      <c r="B397" s="4"/>
      <c r="C397" s="73" t="str">
        <f>IFERROR(VLOOKUP(B397,'📦 Maestro Productos'!$A:$B,2,0),"")</f>
        <v/>
      </c>
      <c r="D397" s="4"/>
      <c r="E397" s="4"/>
      <c r="F397" s="4"/>
      <c r="G397" s="74" t="str">
        <f t="shared" si="2"/>
        <v/>
      </c>
      <c r="H397" s="4"/>
      <c r="I397" s="4"/>
      <c r="J397" s="4"/>
      <c r="K397" s="4"/>
      <c r="L397" s="4"/>
    </row>
    <row r="398" ht="15.0" customHeight="1">
      <c r="A398" s="4"/>
      <c r="B398" s="4"/>
      <c r="C398" s="63" t="str">
        <f>IFERROR(VLOOKUP(B398,'📦 Maestro Productos'!$A:$B,2,0),"")</f>
        <v/>
      </c>
      <c r="D398" s="4"/>
      <c r="E398" s="4"/>
      <c r="F398" s="4"/>
      <c r="G398" s="64" t="str">
        <f t="shared" si="2"/>
        <v/>
      </c>
      <c r="H398" s="4"/>
      <c r="I398" s="4"/>
      <c r="J398" s="4"/>
      <c r="K398" s="4"/>
      <c r="L398" s="4"/>
    </row>
    <row r="399" ht="15.0" customHeight="1">
      <c r="A399" s="4"/>
      <c r="B399" s="4"/>
      <c r="C399" s="73" t="str">
        <f>IFERROR(VLOOKUP(B399,'📦 Maestro Productos'!$A:$B,2,0),"")</f>
        <v/>
      </c>
      <c r="D399" s="4"/>
      <c r="E399" s="4"/>
      <c r="F399" s="4"/>
      <c r="G399" s="74" t="str">
        <f t="shared" si="2"/>
        <v/>
      </c>
      <c r="H399" s="4"/>
      <c r="I399" s="4"/>
      <c r="J399" s="4"/>
      <c r="K399" s="4"/>
      <c r="L399" s="4"/>
    </row>
    <row r="400" ht="15.0" customHeight="1">
      <c r="A400" s="4"/>
      <c r="B400" s="4"/>
      <c r="C400" s="63" t="str">
        <f>IFERROR(VLOOKUP(B400,'📦 Maestro Productos'!$A:$B,2,0),"")</f>
        <v/>
      </c>
      <c r="D400" s="4"/>
      <c r="E400" s="4"/>
      <c r="F400" s="4"/>
      <c r="G400" s="64" t="str">
        <f t="shared" si="2"/>
        <v/>
      </c>
      <c r="H400" s="4"/>
      <c r="I400" s="4"/>
      <c r="J400" s="4"/>
      <c r="K400" s="4"/>
      <c r="L400" s="4"/>
    </row>
    <row r="401" ht="15.0" customHeight="1">
      <c r="A401" s="4"/>
      <c r="B401" s="4"/>
      <c r="C401" s="73" t="str">
        <f>IFERROR(VLOOKUP(B401,'📦 Maestro Productos'!$A:$B,2,0),"")</f>
        <v/>
      </c>
      <c r="D401" s="4"/>
      <c r="E401" s="4"/>
      <c r="F401" s="4"/>
      <c r="G401" s="74" t="str">
        <f t="shared" si="2"/>
        <v/>
      </c>
      <c r="H401" s="4"/>
      <c r="I401" s="4"/>
      <c r="J401" s="4"/>
      <c r="K401" s="4"/>
      <c r="L401" s="4"/>
    </row>
    <row r="402" ht="15.0" customHeight="1">
      <c r="A402" s="4"/>
      <c r="B402" s="4"/>
      <c r="C402" s="63" t="str">
        <f>IFERROR(VLOOKUP(B402,'📦 Maestro Productos'!$A:$B,2,0),"")</f>
        <v/>
      </c>
      <c r="D402" s="4"/>
      <c r="E402" s="4"/>
      <c r="F402" s="4"/>
      <c r="G402" s="64" t="str">
        <f t="shared" si="2"/>
        <v/>
      </c>
      <c r="H402" s="4"/>
      <c r="I402" s="4"/>
      <c r="J402" s="4"/>
      <c r="K402" s="4"/>
      <c r="L402" s="4"/>
    </row>
    <row r="403" ht="15.0" customHeight="1">
      <c r="A403" s="4"/>
      <c r="B403" s="4"/>
      <c r="C403" s="73" t="str">
        <f>IFERROR(VLOOKUP(B403,'📦 Maestro Productos'!$A:$B,2,0),"")</f>
        <v/>
      </c>
      <c r="D403" s="4"/>
      <c r="E403" s="4"/>
      <c r="F403" s="4"/>
      <c r="G403" s="74" t="str">
        <f t="shared" si="2"/>
        <v/>
      </c>
      <c r="H403" s="4"/>
      <c r="I403" s="4"/>
      <c r="J403" s="4"/>
      <c r="K403" s="4"/>
      <c r="L403" s="4"/>
    </row>
    <row r="404" ht="15.0" customHeight="1">
      <c r="A404" s="4"/>
      <c r="B404" s="4"/>
      <c r="C404" s="63" t="str">
        <f>IFERROR(VLOOKUP(B404,'📦 Maestro Productos'!$A:$B,2,0),"")</f>
        <v/>
      </c>
      <c r="D404" s="4"/>
      <c r="E404" s="4"/>
      <c r="F404" s="4"/>
      <c r="G404" s="64" t="str">
        <f t="shared" si="2"/>
        <v/>
      </c>
      <c r="H404" s="4"/>
      <c r="I404" s="4"/>
      <c r="J404" s="4"/>
      <c r="K404" s="4"/>
      <c r="L404" s="4"/>
    </row>
    <row r="405" ht="15.0" customHeight="1">
      <c r="A405" s="4"/>
      <c r="B405" s="4"/>
      <c r="C405" s="73" t="str">
        <f>IFERROR(VLOOKUP(B405,'📦 Maestro Productos'!$A:$B,2,0),"")</f>
        <v/>
      </c>
      <c r="D405" s="4"/>
      <c r="E405" s="4"/>
      <c r="F405" s="4"/>
      <c r="G405" s="74" t="str">
        <f t="shared" si="2"/>
        <v/>
      </c>
      <c r="H405" s="4"/>
      <c r="I405" s="4"/>
      <c r="J405" s="4"/>
      <c r="K405" s="4"/>
      <c r="L405" s="4"/>
    </row>
    <row r="406" ht="15.0" customHeight="1">
      <c r="A406" s="4"/>
      <c r="B406" s="4"/>
      <c r="C406" s="63" t="str">
        <f>IFERROR(VLOOKUP(B406,'📦 Maestro Productos'!$A:$B,2,0),"")</f>
        <v/>
      </c>
      <c r="D406" s="4"/>
      <c r="E406" s="4"/>
      <c r="F406" s="4"/>
      <c r="G406" s="64" t="str">
        <f t="shared" si="2"/>
        <v/>
      </c>
      <c r="H406" s="4"/>
      <c r="I406" s="4"/>
      <c r="J406" s="4"/>
      <c r="K406" s="4"/>
      <c r="L406" s="4"/>
    </row>
    <row r="407" ht="15.0" customHeight="1">
      <c r="A407" s="4"/>
      <c r="B407" s="4"/>
      <c r="C407" s="73" t="str">
        <f>IFERROR(VLOOKUP(B407,'📦 Maestro Productos'!$A:$B,2,0),"")</f>
        <v/>
      </c>
      <c r="D407" s="4"/>
      <c r="E407" s="4"/>
      <c r="F407" s="4"/>
      <c r="G407" s="74" t="str">
        <f t="shared" si="2"/>
        <v/>
      </c>
      <c r="H407" s="4"/>
      <c r="I407" s="4"/>
      <c r="J407" s="4"/>
      <c r="K407" s="4"/>
      <c r="L407" s="4"/>
    </row>
    <row r="408" ht="15.0" customHeight="1">
      <c r="A408" s="4"/>
      <c r="B408" s="4"/>
      <c r="C408" s="63" t="str">
        <f>IFERROR(VLOOKUP(B408,'📦 Maestro Productos'!$A:$B,2,0),"")</f>
        <v/>
      </c>
      <c r="D408" s="4"/>
      <c r="E408" s="4"/>
      <c r="F408" s="4"/>
      <c r="G408" s="64" t="str">
        <f t="shared" si="2"/>
        <v/>
      </c>
      <c r="H408" s="4"/>
      <c r="I408" s="4"/>
      <c r="J408" s="4"/>
      <c r="K408" s="4"/>
      <c r="L408" s="4"/>
    </row>
    <row r="409" ht="15.0" customHeight="1">
      <c r="A409" s="4"/>
      <c r="B409" s="4"/>
      <c r="C409" s="73" t="str">
        <f>IFERROR(VLOOKUP(B409,'📦 Maestro Productos'!$A:$B,2,0),"")</f>
        <v/>
      </c>
      <c r="D409" s="4"/>
      <c r="E409" s="4"/>
      <c r="F409" s="4"/>
      <c r="G409" s="74" t="str">
        <f t="shared" si="2"/>
        <v/>
      </c>
      <c r="H409" s="4"/>
      <c r="I409" s="4"/>
      <c r="J409" s="4"/>
      <c r="K409" s="4"/>
      <c r="L409" s="4"/>
    </row>
    <row r="410" ht="15.0" customHeight="1">
      <c r="A410" s="4"/>
      <c r="B410" s="4"/>
      <c r="C410" s="63" t="str">
        <f>IFERROR(VLOOKUP(B410,'📦 Maestro Productos'!$A:$B,2,0),"")</f>
        <v/>
      </c>
      <c r="D410" s="4"/>
      <c r="E410" s="4"/>
      <c r="F410" s="4"/>
      <c r="G410" s="64" t="str">
        <f t="shared" si="2"/>
        <v/>
      </c>
      <c r="H410" s="4"/>
      <c r="I410" s="4"/>
      <c r="J410" s="4"/>
      <c r="K410" s="4"/>
      <c r="L410" s="4"/>
    </row>
    <row r="411" ht="15.0" customHeight="1">
      <c r="A411" s="4"/>
      <c r="B411" s="4"/>
      <c r="C411" s="73" t="str">
        <f>IFERROR(VLOOKUP(B411,'📦 Maestro Productos'!$A:$B,2,0),"")</f>
        <v/>
      </c>
      <c r="D411" s="4"/>
      <c r="E411" s="4"/>
      <c r="F411" s="4"/>
      <c r="G411" s="74" t="str">
        <f t="shared" si="2"/>
        <v/>
      </c>
      <c r="H411" s="4"/>
      <c r="I411" s="4"/>
      <c r="J411" s="4"/>
      <c r="K411" s="4"/>
      <c r="L411" s="4"/>
    </row>
    <row r="412" ht="15.0" customHeight="1">
      <c r="A412" s="4"/>
      <c r="B412" s="4"/>
      <c r="C412" s="63" t="str">
        <f>IFERROR(VLOOKUP(B412,'📦 Maestro Productos'!$A:$B,2,0),"")</f>
        <v/>
      </c>
      <c r="D412" s="4"/>
      <c r="E412" s="4"/>
      <c r="F412" s="4"/>
      <c r="G412" s="64" t="str">
        <f t="shared" si="2"/>
        <v/>
      </c>
      <c r="H412" s="4"/>
      <c r="I412" s="4"/>
      <c r="J412" s="4"/>
      <c r="K412" s="4"/>
      <c r="L412" s="4"/>
    </row>
    <row r="413" ht="15.0" customHeight="1">
      <c r="A413" s="4"/>
      <c r="B413" s="4"/>
      <c r="C413" s="73" t="str">
        <f>IFERROR(VLOOKUP(B413,'📦 Maestro Productos'!$A:$B,2,0),"")</f>
        <v/>
      </c>
      <c r="D413" s="4"/>
      <c r="E413" s="4"/>
      <c r="F413" s="4"/>
      <c r="G413" s="74" t="str">
        <f t="shared" si="2"/>
        <v/>
      </c>
      <c r="H413" s="4"/>
      <c r="I413" s="4"/>
      <c r="J413" s="4"/>
      <c r="K413" s="4"/>
      <c r="L413" s="4"/>
    </row>
    <row r="414" ht="15.0" customHeight="1">
      <c r="A414" s="4"/>
      <c r="B414" s="4"/>
      <c r="C414" s="63" t="str">
        <f>IFERROR(VLOOKUP(B414,'📦 Maestro Productos'!$A:$B,2,0),"")</f>
        <v/>
      </c>
      <c r="D414" s="4"/>
      <c r="E414" s="4"/>
      <c r="F414" s="4"/>
      <c r="G414" s="64" t="str">
        <f t="shared" si="2"/>
        <v/>
      </c>
      <c r="H414" s="4"/>
      <c r="I414" s="4"/>
      <c r="J414" s="4"/>
      <c r="K414" s="4"/>
      <c r="L414" s="4"/>
    </row>
    <row r="415" ht="15.0" customHeight="1">
      <c r="A415" s="4"/>
      <c r="B415" s="4"/>
      <c r="C415" s="73" t="str">
        <f>IFERROR(VLOOKUP(B415,'📦 Maestro Productos'!$A:$B,2,0),"")</f>
        <v/>
      </c>
      <c r="D415" s="4"/>
      <c r="E415" s="4"/>
      <c r="F415" s="4"/>
      <c r="G415" s="74" t="str">
        <f t="shared" si="2"/>
        <v/>
      </c>
      <c r="H415" s="4"/>
      <c r="I415" s="4"/>
      <c r="J415" s="4"/>
      <c r="K415" s="4"/>
      <c r="L415" s="4"/>
    </row>
    <row r="416" ht="15.0" customHeight="1">
      <c r="A416" s="4"/>
      <c r="B416" s="4"/>
      <c r="C416" s="63" t="str">
        <f>IFERROR(VLOOKUP(B416,'📦 Maestro Productos'!$A:$B,2,0),"")</f>
        <v/>
      </c>
      <c r="D416" s="4"/>
      <c r="E416" s="4"/>
      <c r="F416" s="4"/>
      <c r="G416" s="64" t="str">
        <f t="shared" si="2"/>
        <v/>
      </c>
      <c r="H416" s="4"/>
      <c r="I416" s="4"/>
      <c r="J416" s="4"/>
      <c r="K416" s="4"/>
      <c r="L416" s="4"/>
    </row>
    <row r="417" ht="15.0" customHeight="1">
      <c r="A417" s="4"/>
      <c r="B417" s="4"/>
      <c r="C417" s="73" t="str">
        <f>IFERROR(VLOOKUP(B417,'📦 Maestro Productos'!$A:$B,2,0),"")</f>
        <v/>
      </c>
      <c r="D417" s="4"/>
      <c r="E417" s="4"/>
      <c r="F417" s="4"/>
      <c r="G417" s="74" t="str">
        <f t="shared" si="2"/>
        <v/>
      </c>
      <c r="H417" s="4"/>
      <c r="I417" s="4"/>
      <c r="J417" s="4"/>
      <c r="K417" s="4"/>
      <c r="L417" s="4"/>
    </row>
    <row r="418" ht="15.0" customHeight="1">
      <c r="A418" s="4"/>
      <c r="B418" s="4"/>
      <c r="C418" s="63" t="str">
        <f>IFERROR(VLOOKUP(B418,'📦 Maestro Productos'!$A:$B,2,0),"")</f>
        <v/>
      </c>
      <c r="D418" s="4"/>
      <c r="E418" s="4"/>
      <c r="F418" s="4"/>
      <c r="G418" s="64" t="str">
        <f t="shared" si="2"/>
        <v/>
      </c>
      <c r="H418" s="4"/>
      <c r="I418" s="4"/>
      <c r="J418" s="4"/>
      <c r="K418" s="4"/>
      <c r="L418" s="4"/>
    </row>
    <row r="419" ht="15.0" customHeight="1">
      <c r="A419" s="4"/>
      <c r="B419" s="4"/>
      <c r="C419" s="73" t="str">
        <f>IFERROR(VLOOKUP(B419,'📦 Maestro Productos'!$A:$B,2,0),"")</f>
        <v/>
      </c>
      <c r="D419" s="4"/>
      <c r="E419" s="4"/>
      <c r="F419" s="4"/>
      <c r="G419" s="74" t="str">
        <f t="shared" si="2"/>
        <v/>
      </c>
      <c r="H419" s="4"/>
      <c r="I419" s="4"/>
      <c r="J419" s="4"/>
      <c r="K419" s="4"/>
      <c r="L419" s="4"/>
    </row>
    <row r="420" ht="15.0" customHeight="1">
      <c r="A420" s="4"/>
      <c r="B420" s="4"/>
      <c r="C420" s="63" t="str">
        <f>IFERROR(VLOOKUP(B420,'📦 Maestro Productos'!$A:$B,2,0),"")</f>
        <v/>
      </c>
      <c r="D420" s="4"/>
      <c r="E420" s="4"/>
      <c r="F420" s="4"/>
      <c r="G420" s="64" t="str">
        <f t="shared" si="2"/>
        <v/>
      </c>
      <c r="H420" s="4"/>
      <c r="I420" s="4"/>
      <c r="J420" s="4"/>
      <c r="K420" s="4"/>
      <c r="L420" s="4"/>
    </row>
    <row r="421" ht="15.0" customHeight="1">
      <c r="A421" s="4"/>
      <c r="B421" s="4"/>
      <c r="C421" s="73" t="str">
        <f>IFERROR(VLOOKUP(B421,'📦 Maestro Productos'!$A:$B,2,0),"")</f>
        <v/>
      </c>
      <c r="D421" s="4"/>
      <c r="E421" s="4"/>
      <c r="F421" s="4"/>
      <c r="G421" s="74" t="str">
        <f t="shared" si="2"/>
        <v/>
      </c>
      <c r="H421" s="4"/>
      <c r="I421" s="4"/>
      <c r="J421" s="4"/>
      <c r="K421" s="4"/>
      <c r="L421" s="4"/>
    </row>
    <row r="422" ht="15.0" customHeight="1">
      <c r="A422" s="4"/>
      <c r="B422" s="4"/>
      <c r="C422" s="63" t="str">
        <f>IFERROR(VLOOKUP(B422,'📦 Maestro Productos'!$A:$B,2,0),"")</f>
        <v/>
      </c>
      <c r="D422" s="4"/>
      <c r="E422" s="4"/>
      <c r="F422" s="4"/>
      <c r="G422" s="64" t="str">
        <f t="shared" si="2"/>
        <v/>
      </c>
      <c r="H422" s="4"/>
      <c r="I422" s="4"/>
      <c r="J422" s="4"/>
      <c r="K422" s="4"/>
      <c r="L422" s="4"/>
    </row>
    <row r="423" ht="15.0" customHeight="1">
      <c r="A423" s="4"/>
      <c r="B423" s="4"/>
      <c r="C423" s="73" t="str">
        <f>IFERROR(VLOOKUP(B423,'📦 Maestro Productos'!$A:$B,2,0),"")</f>
        <v/>
      </c>
      <c r="D423" s="4"/>
      <c r="E423" s="4"/>
      <c r="F423" s="4"/>
      <c r="G423" s="74" t="str">
        <f t="shared" si="2"/>
        <v/>
      </c>
      <c r="H423" s="4"/>
      <c r="I423" s="4"/>
      <c r="J423" s="4"/>
      <c r="K423" s="4"/>
      <c r="L423" s="4"/>
    </row>
    <row r="424" ht="15.0" customHeight="1">
      <c r="A424" s="4"/>
      <c r="B424" s="4"/>
      <c r="C424" s="63" t="str">
        <f>IFERROR(VLOOKUP(B424,'📦 Maestro Productos'!$A:$B,2,0),"")</f>
        <v/>
      </c>
      <c r="D424" s="4"/>
      <c r="E424" s="4"/>
      <c r="F424" s="4"/>
      <c r="G424" s="64" t="str">
        <f t="shared" si="2"/>
        <v/>
      </c>
      <c r="H424" s="4"/>
      <c r="I424" s="4"/>
      <c r="J424" s="4"/>
      <c r="K424" s="4"/>
      <c r="L424" s="4"/>
    </row>
    <row r="425" ht="15.0" customHeight="1">
      <c r="A425" s="4"/>
      <c r="B425" s="4"/>
      <c r="C425" s="73" t="str">
        <f>IFERROR(VLOOKUP(B425,'📦 Maestro Productos'!$A:$B,2,0),"")</f>
        <v/>
      </c>
      <c r="D425" s="4"/>
      <c r="E425" s="4"/>
      <c r="F425" s="4"/>
      <c r="G425" s="74" t="str">
        <f t="shared" si="2"/>
        <v/>
      </c>
      <c r="H425" s="4"/>
      <c r="I425" s="4"/>
      <c r="J425" s="4"/>
      <c r="K425" s="4"/>
      <c r="L425" s="4"/>
    </row>
    <row r="426" ht="15.0" customHeight="1">
      <c r="A426" s="4"/>
      <c r="B426" s="4"/>
      <c r="C426" s="63" t="str">
        <f>IFERROR(VLOOKUP(B426,'📦 Maestro Productos'!$A:$B,2,0),"")</f>
        <v/>
      </c>
      <c r="D426" s="4"/>
      <c r="E426" s="4"/>
      <c r="F426" s="4"/>
      <c r="G426" s="64" t="str">
        <f t="shared" si="2"/>
        <v/>
      </c>
      <c r="H426" s="4"/>
      <c r="I426" s="4"/>
      <c r="J426" s="4"/>
      <c r="K426" s="4"/>
      <c r="L426" s="4"/>
    </row>
    <row r="427" ht="15.0" customHeight="1">
      <c r="A427" s="4"/>
      <c r="B427" s="4"/>
      <c r="C427" s="73" t="str">
        <f>IFERROR(VLOOKUP(B427,'📦 Maestro Productos'!$A:$B,2,0),"")</f>
        <v/>
      </c>
      <c r="D427" s="4"/>
      <c r="E427" s="4"/>
      <c r="F427" s="4"/>
      <c r="G427" s="74" t="str">
        <f t="shared" si="2"/>
        <v/>
      </c>
      <c r="H427" s="4"/>
      <c r="I427" s="4"/>
      <c r="J427" s="4"/>
      <c r="K427" s="4"/>
      <c r="L427" s="4"/>
    </row>
    <row r="428" ht="15.0" customHeight="1">
      <c r="A428" s="4"/>
      <c r="B428" s="4"/>
      <c r="C428" s="63" t="str">
        <f>IFERROR(VLOOKUP(B428,'📦 Maestro Productos'!$A:$B,2,0),"")</f>
        <v/>
      </c>
      <c r="D428" s="4"/>
      <c r="E428" s="4"/>
      <c r="F428" s="4"/>
      <c r="G428" s="64" t="str">
        <f t="shared" si="2"/>
        <v/>
      </c>
      <c r="H428" s="4"/>
      <c r="I428" s="4"/>
      <c r="J428" s="4"/>
      <c r="K428" s="4"/>
      <c r="L428" s="4"/>
    </row>
    <row r="429" ht="15.0" customHeight="1">
      <c r="A429" s="4"/>
      <c r="B429" s="4"/>
      <c r="C429" s="73" t="str">
        <f>IFERROR(VLOOKUP(B429,'📦 Maestro Productos'!$A:$B,2,0),"")</f>
        <v/>
      </c>
      <c r="D429" s="4"/>
      <c r="E429" s="4"/>
      <c r="F429" s="4"/>
      <c r="G429" s="74" t="str">
        <f t="shared" si="2"/>
        <v/>
      </c>
      <c r="H429" s="4"/>
      <c r="I429" s="4"/>
      <c r="J429" s="4"/>
      <c r="K429" s="4"/>
      <c r="L429" s="4"/>
    </row>
    <row r="430" ht="15.0" customHeight="1">
      <c r="A430" s="4"/>
      <c r="B430" s="4"/>
      <c r="C430" s="63" t="str">
        <f>IFERROR(VLOOKUP(B430,'📦 Maestro Productos'!$A:$B,2,0),"")</f>
        <v/>
      </c>
      <c r="D430" s="4"/>
      <c r="E430" s="4"/>
      <c r="F430" s="4"/>
      <c r="G430" s="64" t="str">
        <f t="shared" si="2"/>
        <v/>
      </c>
      <c r="H430" s="4"/>
      <c r="I430" s="4"/>
      <c r="J430" s="4"/>
      <c r="K430" s="4"/>
      <c r="L430" s="4"/>
    </row>
    <row r="431" ht="15.0" customHeight="1">
      <c r="A431" s="4"/>
      <c r="B431" s="4"/>
      <c r="C431" s="73" t="str">
        <f>IFERROR(VLOOKUP(B431,'📦 Maestro Productos'!$A:$B,2,0),"")</f>
        <v/>
      </c>
      <c r="D431" s="4"/>
      <c r="E431" s="4"/>
      <c r="F431" s="4"/>
      <c r="G431" s="74" t="str">
        <f t="shared" si="2"/>
        <v/>
      </c>
      <c r="H431" s="4"/>
      <c r="I431" s="4"/>
      <c r="J431" s="4"/>
      <c r="K431" s="4"/>
      <c r="L431" s="4"/>
    </row>
    <row r="432" ht="15.0" customHeight="1">
      <c r="A432" s="4"/>
      <c r="B432" s="4"/>
      <c r="C432" s="63" t="str">
        <f>IFERROR(VLOOKUP(B432,'📦 Maestro Productos'!$A:$B,2,0),"")</f>
        <v/>
      </c>
      <c r="D432" s="4"/>
      <c r="E432" s="4"/>
      <c r="F432" s="4"/>
      <c r="G432" s="64" t="str">
        <f t="shared" si="2"/>
        <v/>
      </c>
      <c r="H432" s="4"/>
      <c r="I432" s="4"/>
      <c r="J432" s="4"/>
      <c r="K432" s="4"/>
      <c r="L432" s="4"/>
    </row>
    <row r="433" ht="15.0" customHeight="1">
      <c r="A433" s="4"/>
      <c r="B433" s="4"/>
      <c r="C433" s="73" t="str">
        <f>IFERROR(VLOOKUP(B433,'📦 Maestro Productos'!$A:$B,2,0),"")</f>
        <v/>
      </c>
      <c r="D433" s="4"/>
      <c r="E433" s="4"/>
      <c r="F433" s="4"/>
      <c r="G433" s="74" t="str">
        <f t="shared" si="2"/>
        <v/>
      </c>
      <c r="H433" s="4"/>
      <c r="I433" s="4"/>
      <c r="J433" s="4"/>
      <c r="K433" s="4"/>
      <c r="L433" s="4"/>
    </row>
    <row r="434" ht="15.0" customHeight="1">
      <c r="A434" s="4"/>
      <c r="B434" s="4"/>
      <c r="C434" s="63" t="str">
        <f>IFERROR(VLOOKUP(B434,'📦 Maestro Productos'!$A:$B,2,0),"")</f>
        <v/>
      </c>
      <c r="D434" s="4"/>
      <c r="E434" s="4"/>
      <c r="F434" s="4"/>
      <c r="G434" s="64" t="str">
        <f t="shared" si="2"/>
        <v/>
      </c>
      <c r="H434" s="4"/>
      <c r="I434" s="4"/>
      <c r="J434" s="4"/>
      <c r="K434" s="4"/>
      <c r="L434" s="4"/>
    </row>
    <row r="435" ht="15.0" customHeight="1">
      <c r="A435" s="4"/>
      <c r="B435" s="4"/>
      <c r="C435" s="73" t="str">
        <f>IFERROR(VLOOKUP(B435,'📦 Maestro Productos'!$A:$B,2,0),"")</f>
        <v/>
      </c>
      <c r="D435" s="4"/>
      <c r="E435" s="4"/>
      <c r="F435" s="4"/>
      <c r="G435" s="74" t="str">
        <f t="shared" si="2"/>
        <v/>
      </c>
      <c r="H435" s="4"/>
      <c r="I435" s="4"/>
      <c r="J435" s="4"/>
      <c r="K435" s="4"/>
      <c r="L435" s="4"/>
    </row>
    <row r="436" ht="15.0" customHeight="1">
      <c r="A436" s="4"/>
      <c r="B436" s="4"/>
      <c r="C436" s="63" t="str">
        <f>IFERROR(VLOOKUP(B436,'📦 Maestro Productos'!$A:$B,2,0),"")</f>
        <v/>
      </c>
      <c r="D436" s="4"/>
      <c r="E436" s="4"/>
      <c r="F436" s="4"/>
      <c r="G436" s="64" t="str">
        <f t="shared" si="2"/>
        <v/>
      </c>
      <c r="H436" s="4"/>
      <c r="I436" s="4"/>
      <c r="J436" s="4"/>
      <c r="K436" s="4"/>
      <c r="L436" s="4"/>
    </row>
    <row r="437" ht="15.0" customHeight="1">
      <c r="A437" s="4"/>
      <c r="B437" s="4"/>
      <c r="C437" s="73" t="str">
        <f>IFERROR(VLOOKUP(B437,'📦 Maestro Productos'!$A:$B,2,0),"")</f>
        <v/>
      </c>
      <c r="D437" s="4"/>
      <c r="E437" s="4"/>
      <c r="F437" s="4"/>
      <c r="G437" s="74" t="str">
        <f t="shared" si="2"/>
        <v/>
      </c>
      <c r="H437" s="4"/>
      <c r="I437" s="4"/>
      <c r="J437" s="4"/>
      <c r="K437" s="4"/>
      <c r="L437" s="4"/>
    </row>
    <row r="438" ht="15.0" customHeight="1">
      <c r="A438" s="4"/>
      <c r="B438" s="4"/>
      <c r="C438" s="63" t="str">
        <f>IFERROR(VLOOKUP(B438,'📦 Maestro Productos'!$A:$B,2,0),"")</f>
        <v/>
      </c>
      <c r="D438" s="4"/>
      <c r="E438" s="4"/>
      <c r="F438" s="4"/>
      <c r="G438" s="64" t="str">
        <f t="shared" si="2"/>
        <v/>
      </c>
      <c r="H438" s="4"/>
      <c r="I438" s="4"/>
      <c r="J438" s="4"/>
      <c r="K438" s="4"/>
      <c r="L438" s="4"/>
    </row>
    <row r="439" ht="15.0" customHeight="1">
      <c r="A439" s="4"/>
      <c r="B439" s="4"/>
      <c r="C439" s="73" t="str">
        <f>IFERROR(VLOOKUP(B439,'📦 Maestro Productos'!$A:$B,2,0),"")</f>
        <v/>
      </c>
      <c r="D439" s="4"/>
      <c r="E439" s="4"/>
      <c r="F439" s="4"/>
      <c r="G439" s="74" t="str">
        <f t="shared" si="2"/>
        <v/>
      </c>
      <c r="H439" s="4"/>
      <c r="I439" s="4"/>
      <c r="J439" s="4"/>
      <c r="K439" s="4"/>
      <c r="L439" s="4"/>
    </row>
    <row r="440" ht="15.0" customHeight="1">
      <c r="A440" s="4"/>
      <c r="B440" s="4"/>
      <c r="C440" s="63" t="str">
        <f>IFERROR(VLOOKUP(B440,'📦 Maestro Productos'!$A:$B,2,0),"")</f>
        <v/>
      </c>
      <c r="D440" s="4"/>
      <c r="E440" s="4"/>
      <c r="F440" s="4"/>
      <c r="G440" s="64" t="str">
        <f t="shared" si="2"/>
        <v/>
      </c>
      <c r="H440" s="4"/>
      <c r="I440" s="4"/>
      <c r="J440" s="4"/>
      <c r="K440" s="4"/>
      <c r="L440" s="4"/>
    </row>
    <row r="441" ht="15.0" customHeight="1">
      <c r="A441" s="4"/>
      <c r="B441" s="4"/>
      <c r="C441" s="73" t="str">
        <f>IFERROR(VLOOKUP(B441,'📦 Maestro Productos'!$A:$B,2,0),"")</f>
        <v/>
      </c>
      <c r="D441" s="4"/>
      <c r="E441" s="4"/>
      <c r="F441" s="4"/>
      <c r="G441" s="74" t="str">
        <f t="shared" si="2"/>
        <v/>
      </c>
      <c r="H441" s="4"/>
      <c r="I441" s="4"/>
      <c r="J441" s="4"/>
      <c r="K441" s="4"/>
      <c r="L441" s="4"/>
    </row>
    <row r="442" ht="15.0" customHeight="1">
      <c r="A442" s="4"/>
      <c r="B442" s="4"/>
      <c r="C442" s="63" t="str">
        <f>IFERROR(VLOOKUP(B442,'📦 Maestro Productos'!$A:$B,2,0),"")</f>
        <v/>
      </c>
      <c r="D442" s="4"/>
      <c r="E442" s="4"/>
      <c r="F442" s="4"/>
      <c r="G442" s="64" t="str">
        <f t="shared" si="2"/>
        <v/>
      </c>
      <c r="H442" s="4"/>
      <c r="I442" s="4"/>
      <c r="J442" s="4"/>
      <c r="K442" s="4"/>
      <c r="L442" s="4"/>
    </row>
    <row r="443" ht="15.0" customHeight="1">
      <c r="A443" s="4"/>
      <c r="B443" s="4"/>
      <c r="C443" s="73" t="str">
        <f>IFERROR(VLOOKUP(B443,'📦 Maestro Productos'!$A:$B,2,0),"")</f>
        <v/>
      </c>
      <c r="D443" s="4"/>
      <c r="E443" s="4"/>
      <c r="F443" s="4"/>
      <c r="G443" s="74" t="str">
        <f t="shared" si="2"/>
        <v/>
      </c>
      <c r="H443" s="4"/>
      <c r="I443" s="4"/>
      <c r="J443" s="4"/>
      <c r="K443" s="4"/>
      <c r="L443" s="4"/>
    </row>
    <row r="444" ht="15.0" customHeight="1">
      <c r="A444" s="4"/>
      <c r="B444" s="4"/>
      <c r="C444" s="63" t="str">
        <f>IFERROR(VLOOKUP(B444,'📦 Maestro Productos'!$A:$B,2,0),"")</f>
        <v/>
      </c>
      <c r="D444" s="4"/>
      <c r="E444" s="4"/>
      <c r="F444" s="4"/>
      <c r="G444" s="64" t="str">
        <f t="shared" si="2"/>
        <v/>
      </c>
      <c r="H444" s="4"/>
      <c r="I444" s="4"/>
      <c r="J444" s="4"/>
      <c r="K444" s="4"/>
      <c r="L444" s="4"/>
    </row>
    <row r="445" ht="15.0" customHeight="1">
      <c r="A445" s="4"/>
      <c r="B445" s="4"/>
      <c r="C445" s="73" t="str">
        <f>IFERROR(VLOOKUP(B445,'📦 Maestro Productos'!$A:$B,2,0),"")</f>
        <v/>
      </c>
      <c r="D445" s="4"/>
      <c r="E445" s="4"/>
      <c r="F445" s="4"/>
      <c r="G445" s="74" t="str">
        <f t="shared" si="2"/>
        <v/>
      </c>
      <c r="H445" s="4"/>
      <c r="I445" s="4"/>
      <c r="J445" s="4"/>
      <c r="K445" s="4"/>
      <c r="L445" s="4"/>
    </row>
    <row r="446" ht="15.0" customHeight="1">
      <c r="A446" s="4"/>
      <c r="B446" s="4"/>
      <c r="C446" s="63" t="str">
        <f>IFERROR(VLOOKUP(B446,'📦 Maestro Productos'!$A:$B,2,0),"")</f>
        <v/>
      </c>
      <c r="D446" s="4"/>
      <c r="E446" s="4"/>
      <c r="F446" s="4"/>
      <c r="G446" s="64" t="str">
        <f t="shared" si="2"/>
        <v/>
      </c>
      <c r="H446" s="4"/>
      <c r="I446" s="4"/>
      <c r="J446" s="4"/>
      <c r="K446" s="4"/>
      <c r="L446" s="4"/>
    </row>
    <row r="447" ht="15.0" customHeight="1">
      <c r="A447" s="4"/>
      <c r="B447" s="4"/>
      <c r="C447" s="73" t="str">
        <f>IFERROR(VLOOKUP(B447,'📦 Maestro Productos'!$A:$B,2,0),"")</f>
        <v/>
      </c>
      <c r="D447" s="4"/>
      <c r="E447" s="4"/>
      <c r="F447" s="4"/>
      <c r="G447" s="74" t="str">
        <f t="shared" si="2"/>
        <v/>
      </c>
      <c r="H447" s="4"/>
      <c r="I447" s="4"/>
      <c r="J447" s="4"/>
      <c r="K447" s="4"/>
      <c r="L447" s="4"/>
    </row>
    <row r="448" ht="15.0" customHeight="1">
      <c r="A448" s="4"/>
      <c r="B448" s="4"/>
      <c r="C448" s="63" t="str">
        <f>IFERROR(VLOOKUP(B448,'📦 Maestro Productos'!$A:$B,2,0),"")</f>
        <v/>
      </c>
      <c r="D448" s="4"/>
      <c r="E448" s="4"/>
      <c r="F448" s="4"/>
      <c r="G448" s="64" t="str">
        <f t="shared" si="2"/>
        <v/>
      </c>
      <c r="H448" s="4"/>
      <c r="I448" s="4"/>
      <c r="J448" s="4"/>
      <c r="K448" s="4"/>
      <c r="L448" s="4"/>
    </row>
    <row r="449" ht="15.0" customHeight="1">
      <c r="A449" s="4"/>
      <c r="B449" s="4"/>
      <c r="C449" s="73" t="str">
        <f>IFERROR(VLOOKUP(B449,'📦 Maestro Productos'!$A:$B,2,0),"")</f>
        <v/>
      </c>
      <c r="D449" s="4"/>
      <c r="E449" s="4"/>
      <c r="F449" s="4"/>
      <c r="G449" s="74" t="str">
        <f t="shared" si="2"/>
        <v/>
      </c>
      <c r="H449" s="4"/>
      <c r="I449" s="4"/>
      <c r="J449" s="4"/>
      <c r="K449" s="4"/>
      <c r="L449" s="4"/>
    </row>
    <row r="450" ht="15.0" customHeight="1">
      <c r="A450" s="4"/>
      <c r="B450" s="4"/>
      <c r="C450" s="63" t="str">
        <f>IFERROR(VLOOKUP(B450,'📦 Maestro Productos'!$A:$B,2,0),"")</f>
        <v/>
      </c>
      <c r="D450" s="4"/>
      <c r="E450" s="4"/>
      <c r="F450" s="4"/>
      <c r="G450" s="64" t="str">
        <f t="shared" si="2"/>
        <v/>
      </c>
      <c r="H450" s="4"/>
      <c r="I450" s="4"/>
      <c r="J450" s="4"/>
      <c r="K450" s="4"/>
      <c r="L450" s="4"/>
    </row>
    <row r="451" ht="15.0" customHeight="1">
      <c r="A451" s="4"/>
      <c r="B451" s="4"/>
      <c r="C451" s="73" t="str">
        <f>IFERROR(VLOOKUP(B451,'📦 Maestro Productos'!$A:$B,2,0),"")</f>
        <v/>
      </c>
      <c r="D451" s="4"/>
      <c r="E451" s="4"/>
      <c r="F451" s="4"/>
      <c r="G451" s="74" t="str">
        <f t="shared" si="2"/>
        <v/>
      </c>
      <c r="H451" s="4"/>
      <c r="I451" s="4"/>
      <c r="J451" s="4"/>
      <c r="K451" s="4"/>
      <c r="L451" s="4"/>
    </row>
    <row r="452" ht="15.0" customHeight="1">
      <c r="A452" s="4"/>
      <c r="B452" s="4"/>
      <c r="C452" s="63" t="str">
        <f>IFERROR(VLOOKUP(B452,'📦 Maestro Productos'!$A:$B,2,0),"")</f>
        <v/>
      </c>
      <c r="D452" s="4"/>
      <c r="E452" s="4"/>
      <c r="F452" s="4"/>
      <c r="G452" s="64" t="str">
        <f t="shared" si="2"/>
        <v/>
      </c>
      <c r="H452" s="4"/>
      <c r="I452" s="4"/>
      <c r="J452" s="4"/>
      <c r="K452" s="4"/>
      <c r="L452" s="4"/>
    </row>
    <row r="453" ht="15.0" customHeight="1">
      <c r="A453" s="4"/>
      <c r="B453" s="4"/>
      <c r="C453" s="73" t="str">
        <f>IFERROR(VLOOKUP(B453,'📦 Maestro Productos'!$A:$B,2,0),"")</f>
        <v/>
      </c>
      <c r="D453" s="4"/>
      <c r="E453" s="4"/>
      <c r="F453" s="4"/>
      <c r="G453" s="74" t="str">
        <f t="shared" si="2"/>
        <v/>
      </c>
      <c r="H453" s="4"/>
      <c r="I453" s="4"/>
      <c r="J453" s="4"/>
      <c r="K453" s="4"/>
      <c r="L453" s="4"/>
    </row>
    <row r="454" ht="15.0" customHeight="1">
      <c r="A454" s="4"/>
      <c r="B454" s="4"/>
      <c r="C454" s="63" t="str">
        <f>IFERROR(VLOOKUP(B454,'📦 Maestro Productos'!$A:$B,2,0),"")</f>
        <v/>
      </c>
      <c r="D454" s="4"/>
      <c r="E454" s="4"/>
      <c r="F454" s="4"/>
      <c r="G454" s="64" t="str">
        <f t="shared" si="2"/>
        <v/>
      </c>
      <c r="H454" s="4"/>
      <c r="I454" s="4"/>
      <c r="J454" s="4"/>
      <c r="K454" s="4"/>
      <c r="L454" s="4"/>
    </row>
    <row r="455" ht="15.0" customHeight="1">
      <c r="A455" s="4"/>
      <c r="B455" s="4"/>
      <c r="C455" s="73" t="str">
        <f>IFERROR(VLOOKUP(B455,'📦 Maestro Productos'!$A:$B,2,0),"")</f>
        <v/>
      </c>
      <c r="D455" s="4"/>
      <c r="E455" s="4"/>
      <c r="F455" s="4"/>
      <c r="G455" s="74" t="str">
        <f t="shared" si="2"/>
        <v/>
      </c>
      <c r="H455" s="4"/>
      <c r="I455" s="4"/>
      <c r="J455" s="4"/>
      <c r="K455" s="4"/>
      <c r="L455" s="4"/>
    </row>
    <row r="456" ht="15.0" customHeight="1">
      <c r="A456" s="4"/>
      <c r="B456" s="4"/>
      <c r="C456" s="63" t="str">
        <f>IFERROR(VLOOKUP(B456,'📦 Maestro Productos'!$A:$B,2,0),"")</f>
        <v/>
      </c>
      <c r="D456" s="4"/>
      <c r="E456" s="4"/>
      <c r="F456" s="4"/>
      <c r="G456" s="64" t="str">
        <f t="shared" si="2"/>
        <v/>
      </c>
      <c r="H456" s="4"/>
      <c r="I456" s="4"/>
      <c r="J456" s="4"/>
      <c r="K456" s="4"/>
      <c r="L456" s="4"/>
    </row>
    <row r="457" ht="15.0" customHeight="1">
      <c r="A457" s="4"/>
      <c r="B457" s="4"/>
      <c r="C457" s="73" t="str">
        <f>IFERROR(VLOOKUP(B457,'📦 Maestro Productos'!$A:$B,2,0),"")</f>
        <v/>
      </c>
      <c r="D457" s="4"/>
      <c r="E457" s="4"/>
      <c r="F457" s="4"/>
      <c r="G457" s="74" t="str">
        <f t="shared" si="2"/>
        <v/>
      </c>
      <c r="H457" s="4"/>
      <c r="I457" s="4"/>
      <c r="J457" s="4"/>
      <c r="K457" s="4"/>
      <c r="L457" s="4"/>
    </row>
    <row r="458" ht="15.0" customHeight="1">
      <c r="A458" s="4"/>
      <c r="B458" s="4"/>
      <c r="C458" s="63" t="str">
        <f>IFERROR(VLOOKUP(B458,'📦 Maestro Productos'!$A:$B,2,0),"")</f>
        <v/>
      </c>
      <c r="D458" s="4"/>
      <c r="E458" s="4"/>
      <c r="F458" s="4"/>
      <c r="G458" s="64" t="str">
        <f t="shared" si="2"/>
        <v/>
      </c>
      <c r="H458" s="4"/>
      <c r="I458" s="4"/>
      <c r="J458" s="4"/>
      <c r="K458" s="4"/>
      <c r="L458" s="4"/>
    </row>
    <row r="459" ht="15.0" customHeight="1">
      <c r="A459" s="4"/>
      <c r="B459" s="4"/>
      <c r="C459" s="73" t="str">
        <f>IFERROR(VLOOKUP(B459,'📦 Maestro Productos'!$A:$B,2,0),"")</f>
        <v/>
      </c>
      <c r="D459" s="4"/>
      <c r="E459" s="4"/>
      <c r="F459" s="4"/>
      <c r="G459" s="74" t="str">
        <f t="shared" si="2"/>
        <v/>
      </c>
      <c r="H459" s="4"/>
      <c r="I459" s="4"/>
      <c r="J459" s="4"/>
      <c r="K459" s="4"/>
      <c r="L459" s="4"/>
    </row>
    <row r="460" ht="15.0" customHeight="1">
      <c r="A460" s="4"/>
      <c r="B460" s="4"/>
      <c r="C460" s="63" t="str">
        <f>IFERROR(VLOOKUP(B460,'📦 Maestro Productos'!$A:$B,2,0),"")</f>
        <v/>
      </c>
      <c r="D460" s="4"/>
      <c r="E460" s="4"/>
      <c r="F460" s="4"/>
      <c r="G460" s="64" t="str">
        <f t="shared" si="2"/>
        <v/>
      </c>
      <c r="H460" s="4"/>
      <c r="I460" s="4"/>
      <c r="J460" s="4"/>
      <c r="K460" s="4"/>
      <c r="L460" s="4"/>
    </row>
    <row r="461" ht="15.0" customHeight="1">
      <c r="A461" s="4"/>
      <c r="B461" s="4"/>
      <c r="C461" s="73" t="str">
        <f>IFERROR(VLOOKUP(B461,'📦 Maestro Productos'!$A:$B,2,0),"")</f>
        <v/>
      </c>
      <c r="D461" s="4"/>
      <c r="E461" s="4"/>
      <c r="F461" s="4"/>
      <c r="G461" s="74" t="str">
        <f t="shared" si="2"/>
        <v/>
      </c>
      <c r="H461" s="4"/>
      <c r="I461" s="4"/>
      <c r="J461" s="4"/>
      <c r="K461" s="4"/>
      <c r="L461" s="4"/>
    </row>
    <row r="462" ht="15.0" customHeight="1">
      <c r="A462" s="4"/>
      <c r="B462" s="4"/>
      <c r="C462" s="63" t="str">
        <f>IFERROR(VLOOKUP(B462,'📦 Maestro Productos'!$A:$B,2,0),"")</f>
        <v/>
      </c>
      <c r="D462" s="4"/>
      <c r="E462" s="4"/>
      <c r="F462" s="4"/>
      <c r="G462" s="64" t="str">
        <f t="shared" si="2"/>
        <v/>
      </c>
      <c r="H462" s="4"/>
      <c r="I462" s="4"/>
      <c r="J462" s="4"/>
      <c r="K462" s="4"/>
      <c r="L462" s="4"/>
    </row>
    <row r="463" ht="15.0" customHeight="1">
      <c r="A463" s="4"/>
      <c r="B463" s="4"/>
      <c r="C463" s="73" t="str">
        <f>IFERROR(VLOOKUP(B463,'📦 Maestro Productos'!$A:$B,2,0),"")</f>
        <v/>
      </c>
      <c r="D463" s="4"/>
      <c r="E463" s="4"/>
      <c r="F463" s="4"/>
      <c r="G463" s="74" t="str">
        <f t="shared" si="2"/>
        <v/>
      </c>
      <c r="H463" s="4"/>
      <c r="I463" s="4"/>
      <c r="J463" s="4"/>
      <c r="K463" s="4"/>
      <c r="L463" s="4"/>
    </row>
    <row r="464" ht="15.0" customHeight="1">
      <c r="A464" s="4"/>
      <c r="B464" s="4"/>
      <c r="C464" s="63" t="str">
        <f>IFERROR(VLOOKUP(B464,'📦 Maestro Productos'!$A:$B,2,0),"")</f>
        <v/>
      </c>
      <c r="D464" s="4"/>
      <c r="E464" s="4"/>
      <c r="F464" s="4"/>
      <c r="G464" s="64" t="str">
        <f t="shared" si="2"/>
        <v/>
      </c>
      <c r="H464" s="4"/>
      <c r="I464" s="4"/>
      <c r="J464" s="4"/>
      <c r="K464" s="4"/>
      <c r="L464" s="4"/>
    </row>
    <row r="465" ht="15.0" customHeight="1">
      <c r="A465" s="4"/>
      <c r="B465" s="4"/>
      <c r="C465" s="73" t="str">
        <f>IFERROR(VLOOKUP(B465,'📦 Maestro Productos'!$A:$B,2,0),"")</f>
        <v/>
      </c>
      <c r="D465" s="4"/>
      <c r="E465" s="4"/>
      <c r="F465" s="4"/>
      <c r="G465" s="74" t="str">
        <f t="shared" si="2"/>
        <v/>
      </c>
      <c r="H465" s="4"/>
      <c r="I465" s="4"/>
      <c r="J465" s="4"/>
      <c r="K465" s="4"/>
      <c r="L465" s="4"/>
    </row>
    <row r="466" ht="15.0" customHeight="1">
      <c r="A466" s="4"/>
      <c r="B466" s="4"/>
      <c r="C466" s="63" t="str">
        <f>IFERROR(VLOOKUP(B466,'📦 Maestro Productos'!$A:$B,2,0),"")</f>
        <v/>
      </c>
      <c r="D466" s="4"/>
      <c r="E466" s="4"/>
      <c r="F466" s="4"/>
      <c r="G466" s="64" t="str">
        <f t="shared" si="2"/>
        <v/>
      </c>
      <c r="H466" s="4"/>
      <c r="I466" s="4"/>
      <c r="J466" s="4"/>
      <c r="K466" s="4"/>
      <c r="L466" s="4"/>
    </row>
    <row r="467" ht="15.0" customHeight="1">
      <c r="A467" s="4"/>
      <c r="B467" s="4"/>
      <c r="C467" s="73" t="str">
        <f>IFERROR(VLOOKUP(B467,'📦 Maestro Productos'!$A:$B,2,0),"")</f>
        <v/>
      </c>
      <c r="D467" s="4"/>
      <c r="E467" s="4"/>
      <c r="F467" s="4"/>
      <c r="G467" s="74" t="str">
        <f t="shared" si="2"/>
        <v/>
      </c>
      <c r="H467" s="4"/>
      <c r="I467" s="4"/>
      <c r="J467" s="4"/>
      <c r="K467" s="4"/>
      <c r="L467" s="4"/>
    </row>
    <row r="468" ht="15.0" customHeight="1">
      <c r="A468" s="4"/>
      <c r="B468" s="4"/>
      <c r="C468" s="63" t="str">
        <f>IFERROR(VLOOKUP(B468,'📦 Maestro Productos'!$A:$B,2,0),"")</f>
        <v/>
      </c>
      <c r="D468" s="4"/>
      <c r="E468" s="4"/>
      <c r="F468" s="4"/>
      <c r="G468" s="64" t="str">
        <f t="shared" si="2"/>
        <v/>
      </c>
      <c r="H468" s="4"/>
      <c r="I468" s="4"/>
      <c r="J468" s="4"/>
      <c r="K468" s="4"/>
      <c r="L468" s="4"/>
    </row>
    <row r="469" ht="15.0" customHeight="1">
      <c r="A469" s="4"/>
      <c r="B469" s="4"/>
      <c r="C469" s="73" t="str">
        <f>IFERROR(VLOOKUP(B469,'📦 Maestro Productos'!$A:$B,2,0),"")</f>
        <v/>
      </c>
      <c r="D469" s="4"/>
      <c r="E469" s="4"/>
      <c r="F469" s="4"/>
      <c r="G469" s="74" t="str">
        <f t="shared" si="2"/>
        <v/>
      </c>
      <c r="H469" s="4"/>
      <c r="I469" s="4"/>
      <c r="J469" s="4"/>
      <c r="K469" s="4"/>
      <c r="L469" s="4"/>
    </row>
    <row r="470" ht="15.0" customHeight="1">
      <c r="A470" s="4"/>
      <c r="B470" s="4"/>
      <c r="C470" s="63" t="str">
        <f>IFERROR(VLOOKUP(B470,'📦 Maestro Productos'!$A:$B,2,0),"")</f>
        <v/>
      </c>
      <c r="D470" s="4"/>
      <c r="E470" s="4"/>
      <c r="F470" s="4"/>
      <c r="G470" s="64" t="str">
        <f t="shared" si="2"/>
        <v/>
      </c>
      <c r="H470" s="4"/>
      <c r="I470" s="4"/>
      <c r="J470" s="4"/>
      <c r="K470" s="4"/>
      <c r="L470" s="4"/>
    </row>
    <row r="471" ht="15.0" customHeight="1">
      <c r="A471" s="4"/>
      <c r="B471" s="4"/>
      <c r="C471" s="73" t="str">
        <f>IFERROR(VLOOKUP(B471,'📦 Maestro Productos'!$A:$B,2,0),"")</f>
        <v/>
      </c>
      <c r="D471" s="4"/>
      <c r="E471" s="4"/>
      <c r="F471" s="4"/>
      <c r="G471" s="74" t="str">
        <f t="shared" si="2"/>
        <v/>
      </c>
      <c r="H471" s="4"/>
      <c r="I471" s="4"/>
      <c r="J471" s="4"/>
      <c r="K471" s="4"/>
      <c r="L471" s="4"/>
    </row>
    <row r="472" ht="15.0" customHeight="1">
      <c r="A472" s="4"/>
      <c r="B472" s="4"/>
      <c r="C472" s="63" t="str">
        <f>IFERROR(VLOOKUP(B472,'📦 Maestro Productos'!$A:$B,2,0),"")</f>
        <v/>
      </c>
      <c r="D472" s="4"/>
      <c r="E472" s="4"/>
      <c r="F472" s="4"/>
      <c r="G472" s="64" t="str">
        <f t="shared" si="2"/>
        <v/>
      </c>
      <c r="H472" s="4"/>
      <c r="I472" s="4"/>
      <c r="J472" s="4"/>
      <c r="K472" s="4"/>
      <c r="L472" s="4"/>
    </row>
    <row r="473" ht="15.0" customHeight="1">
      <c r="A473" s="4"/>
      <c r="B473" s="4"/>
      <c r="C473" s="73" t="str">
        <f>IFERROR(VLOOKUP(B473,'📦 Maestro Productos'!$A:$B,2,0),"")</f>
        <v/>
      </c>
      <c r="D473" s="4"/>
      <c r="E473" s="4"/>
      <c r="F473" s="4"/>
      <c r="G473" s="74" t="str">
        <f t="shared" si="2"/>
        <v/>
      </c>
      <c r="H473" s="4"/>
      <c r="I473" s="4"/>
      <c r="J473" s="4"/>
      <c r="K473" s="4"/>
      <c r="L473" s="4"/>
    </row>
    <row r="474" ht="15.0" customHeight="1">
      <c r="A474" s="4"/>
      <c r="B474" s="4"/>
      <c r="C474" s="63" t="str">
        <f>IFERROR(VLOOKUP(B474,'📦 Maestro Productos'!$A:$B,2,0),"")</f>
        <v/>
      </c>
      <c r="D474" s="4"/>
      <c r="E474" s="4"/>
      <c r="F474" s="4"/>
      <c r="G474" s="64" t="str">
        <f t="shared" si="2"/>
        <v/>
      </c>
      <c r="H474" s="4"/>
      <c r="I474" s="4"/>
      <c r="J474" s="4"/>
      <c r="K474" s="4"/>
      <c r="L474" s="4"/>
    </row>
    <row r="475" ht="15.0" customHeight="1">
      <c r="A475" s="4"/>
      <c r="B475" s="4"/>
      <c r="C475" s="73" t="str">
        <f>IFERROR(VLOOKUP(B475,'📦 Maestro Productos'!$A:$B,2,0),"")</f>
        <v/>
      </c>
      <c r="D475" s="4"/>
      <c r="E475" s="4"/>
      <c r="F475" s="4"/>
      <c r="G475" s="74" t="str">
        <f t="shared" si="2"/>
        <v/>
      </c>
      <c r="H475" s="4"/>
      <c r="I475" s="4"/>
      <c r="J475" s="4"/>
      <c r="K475" s="4"/>
      <c r="L475" s="4"/>
    </row>
    <row r="476" ht="15.0" customHeight="1">
      <c r="A476" s="4"/>
      <c r="B476" s="4"/>
      <c r="C476" s="63" t="str">
        <f>IFERROR(VLOOKUP(B476,'📦 Maestro Productos'!$A:$B,2,0),"")</f>
        <v/>
      </c>
      <c r="D476" s="4"/>
      <c r="E476" s="4"/>
      <c r="F476" s="4"/>
      <c r="G476" s="64" t="str">
        <f t="shared" si="2"/>
        <v/>
      </c>
      <c r="H476" s="4"/>
      <c r="I476" s="4"/>
      <c r="J476" s="4"/>
      <c r="K476" s="4"/>
      <c r="L476" s="4"/>
    </row>
    <row r="477" ht="15.0" customHeight="1">
      <c r="A477" s="4"/>
      <c r="B477" s="4"/>
      <c r="C477" s="73" t="str">
        <f>IFERROR(VLOOKUP(B477,'📦 Maestro Productos'!$A:$B,2,0),"")</f>
        <v/>
      </c>
      <c r="D477" s="4"/>
      <c r="E477" s="4"/>
      <c r="F477" s="4"/>
      <c r="G477" s="74" t="str">
        <f t="shared" si="2"/>
        <v/>
      </c>
      <c r="H477" s="4"/>
      <c r="I477" s="4"/>
      <c r="J477" s="4"/>
      <c r="K477" s="4"/>
      <c r="L477" s="4"/>
    </row>
    <row r="478" ht="15.0" customHeight="1">
      <c r="A478" s="4"/>
      <c r="B478" s="4"/>
      <c r="C478" s="63" t="str">
        <f>IFERROR(VLOOKUP(B478,'📦 Maestro Productos'!$A:$B,2,0),"")</f>
        <v/>
      </c>
      <c r="D478" s="4"/>
      <c r="E478" s="4"/>
      <c r="F478" s="4"/>
      <c r="G478" s="64" t="str">
        <f t="shared" si="2"/>
        <v/>
      </c>
      <c r="H478" s="4"/>
      <c r="I478" s="4"/>
      <c r="J478" s="4"/>
      <c r="K478" s="4"/>
      <c r="L478" s="4"/>
    </row>
    <row r="479" ht="15.0" customHeight="1">
      <c r="A479" s="4"/>
      <c r="B479" s="4"/>
      <c r="C479" s="73" t="str">
        <f>IFERROR(VLOOKUP(B479,'📦 Maestro Productos'!$A:$B,2,0),"")</f>
        <v/>
      </c>
      <c r="D479" s="4"/>
      <c r="E479" s="4"/>
      <c r="F479" s="4"/>
      <c r="G479" s="74" t="str">
        <f t="shared" si="2"/>
        <v/>
      </c>
      <c r="H479" s="4"/>
      <c r="I479" s="4"/>
      <c r="J479" s="4"/>
      <c r="K479" s="4"/>
      <c r="L479" s="4"/>
    </row>
    <row r="480" ht="15.0" customHeight="1">
      <c r="A480" s="4"/>
      <c r="B480" s="4"/>
      <c r="C480" s="63" t="str">
        <f>IFERROR(VLOOKUP(B480,'📦 Maestro Productos'!$A:$B,2,0),"")</f>
        <v/>
      </c>
      <c r="D480" s="4"/>
      <c r="E480" s="4"/>
      <c r="F480" s="4"/>
      <c r="G480" s="64" t="str">
        <f t="shared" si="2"/>
        <v/>
      </c>
      <c r="H480" s="4"/>
      <c r="I480" s="4"/>
      <c r="J480" s="4"/>
      <c r="K480" s="4"/>
      <c r="L480" s="4"/>
    </row>
    <row r="481" ht="15.0" customHeight="1">
      <c r="A481" s="4"/>
      <c r="B481" s="4"/>
      <c r="C481" s="73" t="str">
        <f>IFERROR(VLOOKUP(B481,'📦 Maestro Productos'!$A:$B,2,0),"")</f>
        <v/>
      </c>
      <c r="D481" s="4"/>
      <c r="E481" s="4"/>
      <c r="F481" s="4"/>
      <c r="G481" s="74" t="str">
        <f t="shared" si="2"/>
        <v/>
      </c>
      <c r="H481" s="4"/>
      <c r="I481" s="4"/>
      <c r="J481" s="4"/>
      <c r="K481" s="4"/>
      <c r="L481" s="4"/>
    </row>
    <row r="482" ht="15.0" customHeight="1">
      <c r="A482" s="4"/>
      <c r="B482" s="4"/>
      <c r="C482" s="63" t="str">
        <f>IFERROR(VLOOKUP(B482,'📦 Maestro Productos'!$A:$B,2,0),"")</f>
        <v/>
      </c>
      <c r="D482" s="4"/>
      <c r="E482" s="4"/>
      <c r="F482" s="4"/>
      <c r="G482" s="64" t="str">
        <f t="shared" si="2"/>
        <v/>
      </c>
      <c r="H482" s="4"/>
      <c r="I482" s="4"/>
      <c r="J482" s="4"/>
      <c r="K482" s="4"/>
      <c r="L482" s="4"/>
    </row>
    <row r="483" ht="15.0" customHeight="1">
      <c r="A483" s="4"/>
      <c r="B483" s="4"/>
      <c r="C483" s="73" t="str">
        <f>IFERROR(VLOOKUP(B483,'📦 Maestro Productos'!$A:$B,2,0),"")</f>
        <v/>
      </c>
      <c r="D483" s="4"/>
      <c r="E483" s="4"/>
      <c r="F483" s="4"/>
      <c r="G483" s="74" t="str">
        <f t="shared" si="2"/>
        <v/>
      </c>
      <c r="H483" s="4"/>
      <c r="I483" s="4"/>
      <c r="J483" s="4"/>
      <c r="K483" s="4"/>
      <c r="L483" s="4"/>
    </row>
    <row r="484" ht="15.0" customHeight="1">
      <c r="A484" s="4"/>
      <c r="B484" s="4"/>
      <c r="C484" s="63" t="str">
        <f>IFERROR(VLOOKUP(B484,'📦 Maestro Productos'!$A:$B,2,0),"")</f>
        <v/>
      </c>
      <c r="D484" s="4"/>
      <c r="E484" s="4"/>
      <c r="F484" s="4"/>
      <c r="G484" s="64" t="str">
        <f t="shared" si="2"/>
        <v/>
      </c>
      <c r="H484" s="4"/>
      <c r="I484" s="4"/>
      <c r="J484" s="4"/>
      <c r="K484" s="4"/>
      <c r="L484" s="4"/>
    </row>
    <row r="485" ht="15.0" customHeight="1">
      <c r="A485" s="4"/>
      <c r="B485" s="4"/>
      <c r="C485" s="73" t="str">
        <f>IFERROR(VLOOKUP(B485,'📦 Maestro Productos'!$A:$B,2,0),"")</f>
        <v/>
      </c>
      <c r="D485" s="4"/>
      <c r="E485" s="4"/>
      <c r="F485" s="4"/>
      <c r="G485" s="74" t="str">
        <f t="shared" si="2"/>
        <v/>
      </c>
      <c r="H485" s="4"/>
      <c r="I485" s="4"/>
      <c r="J485" s="4"/>
      <c r="K485" s="4"/>
      <c r="L485" s="4"/>
    </row>
    <row r="486" ht="15.0" customHeight="1">
      <c r="A486" s="4"/>
      <c r="B486" s="4"/>
      <c r="C486" s="63" t="str">
        <f>IFERROR(VLOOKUP(B486,'📦 Maestro Productos'!$A:$B,2,0),"")</f>
        <v/>
      </c>
      <c r="D486" s="4"/>
      <c r="E486" s="4"/>
      <c r="F486" s="4"/>
      <c r="G486" s="64" t="str">
        <f t="shared" si="2"/>
        <v/>
      </c>
      <c r="H486" s="4"/>
      <c r="I486" s="4"/>
      <c r="J486" s="4"/>
      <c r="K486" s="4"/>
      <c r="L486" s="4"/>
    </row>
    <row r="487" ht="15.0" customHeight="1">
      <c r="A487" s="4"/>
      <c r="B487" s="4"/>
      <c r="C487" s="73" t="str">
        <f>IFERROR(VLOOKUP(B487,'📦 Maestro Productos'!$A:$B,2,0),"")</f>
        <v/>
      </c>
      <c r="D487" s="4"/>
      <c r="E487" s="4"/>
      <c r="F487" s="4"/>
      <c r="G487" s="74" t="str">
        <f t="shared" si="2"/>
        <v/>
      </c>
      <c r="H487" s="4"/>
      <c r="I487" s="4"/>
      <c r="J487" s="4"/>
      <c r="K487" s="4"/>
      <c r="L487" s="4"/>
    </row>
    <row r="488" ht="15.0" customHeight="1">
      <c r="A488" s="4"/>
      <c r="B488" s="4"/>
      <c r="C488" s="63" t="str">
        <f>IFERROR(VLOOKUP(B488,'📦 Maestro Productos'!$A:$B,2,0),"")</f>
        <v/>
      </c>
      <c r="D488" s="4"/>
      <c r="E488" s="4"/>
      <c r="F488" s="4"/>
      <c r="G488" s="64" t="str">
        <f t="shared" si="2"/>
        <v/>
      </c>
      <c r="H488" s="4"/>
      <c r="I488" s="4"/>
      <c r="J488" s="4"/>
      <c r="K488" s="4"/>
      <c r="L488" s="4"/>
    </row>
    <row r="489" ht="15.0" customHeight="1">
      <c r="A489" s="4"/>
      <c r="B489" s="4"/>
      <c r="C489" s="73" t="str">
        <f>IFERROR(VLOOKUP(B489,'📦 Maestro Productos'!$A:$B,2,0),"")</f>
        <v/>
      </c>
      <c r="D489" s="4"/>
      <c r="E489" s="4"/>
      <c r="F489" s="4"/>
      <c r="G489" s="74" t="str">
        <f t="shared" si="2"/>
        <v/>
      </c>
      <c r="H489" s="4"/>
      <c r="I489" s="4"/>
      <c r="J489" s="4"/>
      <c r="K489" s="4"/>
      <c r="L489" s="4"/>
    </row>
    <row r="490" ht="15.0" customHeight="1">
      <c r="A490" s="4"/>
      <c r="B490" s="4"/>
      <c r="C490" s="63" t="str">
        <f>IFERROR(VLOOKUP(B490,'📦 Maestro Productos'!$A:$B,2,0),"")</f>
        <v/>
      </c>
      <c r="D490" s="4"/>
      <c r="E490" s="4"/>
      <c r="F490" s="4"/>
      <c r="G490" s="64" t="str">
        <f t="shared" si="2"/>
        <v/>
      </c>
      <c r="H490" s="4"/>
      <c r="I490" s="4"/>
      <c r="J490" s="4"/>
      <c r="K490" s="4"/>
      <c r="L490" s="4"/>
    </row>
    <row r="491" ht="15.0" customHeight="1">
      <c r="A491" s="4"/>
      <c r="B491" s="4"/>
      <c r="C491" s="73" t="str">
        <f>IFERROR(VLOOKUP(B491,'📦 Maestro Productos'!$A:$B,2,0),"")</f>
        <v/>
      </c>
      <c r="D491" s="4"/>
      <c r="E491" s="4"/>
      <c r="F491" s="4"/>
      <c r="G491" s="74" t="str">
        <f t="shared" si="2"/>
        <v/>
      </c>
      <c r="H491" s="4"/>
      <c r="I491" s="4"/>
      <c r="J491" s="4"/>
      <c r="K491" s="4"/>
      <c r="L491" s="4"/>
    </row>
    <row r="492" ht="15.0" customHeight="1">
      <c r="A492" s="4"/>
      <c r="B492" s="4"/>
      <c r="C492" s="63" t="str">
        <f>IFERROR(VLOOKUP(B492,'📦 Maestro Productos'!$A:$B,2,0),"")</f>
        <v/>
      </c>
      <c r="D492" s="4"/>
      <c r="E492" s="4"/>
      <c r="F492" s="4"/>
      <c r="G492" s="64" t="str">
        <f t="shared" si="2"/>
        <v/>
      </c>
      <c r="H492" s="4"/>
      <c r="I492" s="4"/>
      <c r="J492" s="4"/>
      <c r="K492" s="4"/>
      <c r="L492" s="4"/>
    </row>
    <row r="493" ht="15.0" customHeight="1">
      <c r="A493" s="4"/>
      <c r="B493" s="4"/>
      <c r="C493" s="73" t="str">
        <f>IFERROR(VLOOKUP(B493,'📦 Maestro Productos'!$A:$B,2,0),"")</f>
        <v/>
      </c>
      <c r="D493" s="4"/>
      <c r="E493" s="4"/>
      <c r="F493" s="4"/>
      <c r="G493" s="74" t="str">
        <f t="shared" si="2"/>
        <v/>
      </c>
      <c r="H493" s="4"/>
      <c r="I493" s="4"/>
      <c r="J493" s="4"/>
      <c r="K493" s="4"/>
      <c r="L493" s="4"/>
    </row>
    <row r="494" ht="15.0" customHeight="1">
      <c r="A494" s="4"/>
      <c r="B494" s="4"/>
      <c r="C494" s="63" t="str">
        <f>IFERROR(VLOOKUP(B494,'📦 Maestro Productos'!$A:$B,2,0),"")</f>
        <v/>
      </c>
      <c r="D494" s="4"/>
      <c r="E494" s="4"/>
      <c r="F494" s="4"/>
      <c r="G494" s="64" t="str">
        <f t="shared" si="2"/>
        <v/>
      </c>
      <c r="H494" s="4"/>
      <c r="I494" s="4"/>
      <c r="J494" s="4"/>
      <c r="K494" s="4"/>
      <c r="L494" s="4"/>
    </row>
    <row r="495" ht="15.0" customHeight="1">
      <c r="A495" s="4"/>
      <c r="B495" s="4"/>
      <c r="C495" s="73" t="str">
        <f>IFERROR(VLOOKUP(B495,'📦 Maestro Productos'!$A:$B,2,0),"")</f>
        <v/>
      </c>
      <c r="D495" s="4"/>
      <c r="E495" s="4"/>
      <c r="F495" s="4"/>
      <c r="G495" s="74" t="str">
        <f t="shared" si="2"/>
        <v/>
      </c>
      <c r="H495" s="4"/>
      <c r="I495" s="4"/>
      <c r="J495" s="4"/>
      <c r="K495" s="4"/>
      <c r="L495" s="4"/>
    </row>
    <row r="496" ht="15.0" customHeight="1">
      <c r="A496" s="4"/>
      <c r="B496" s="4"/>
      <c r="C496" s="63" t="str">
        <f>IFERROR(VLOOKUP(B496,'📦 Maestro Productos'!$A:$B,2,0),"")</f>
        <v/>
      </c>
      <c r="D496" s="4"/>
      <c r="E496" s="4"/>
      <c r="F496" s="4"/>
      <c r="G496" s="64" t="str">
        <f t="shared" si="2"/>
        <v/>
      </c>
      <c r="H496" s="4"/>
      <c r="I496" s="4"/>
      <c r="J496" s="4"/>
      <c r="K496" s="4"/>
      <c r="L496" s="4"/>
    </row>
    <row r="497" ht="15.0" customHeight="1">
      <c r="A497" s="4"/>
      <c r="B497" s="4"/>
      <c r="C497" s="73" t="str">
        <f>IFERROR(VLOOKUP(B497,'📦 Maestro Productos'!$A:$B,2,0),"")</f>
        <v/>
      </c>
      <c r="D497" s="4"/>
      <c r="E497" s="4"/>
      <c r="F497" s="4"/>
      <c r="G497" s="74" t="str">
        <f t="shared" si="2"/>
        <v/>
      </c>
      <c r="H497" s="4"/>
      <c r="I497" s="4"/>
      <c r="J497" s="4"/>
      <c r="K497" s="4"/>
      <c r="L497" s="4"/>
    </row>
    <row r="498" ht="15.0" customHeight="1">
      <c r="A498" s="4"/>
      <c r="B498" s="4"/>
      <c r="C498" s="63" t="str">
        <f>IFERROR(VLOOKUP(B498,'📦 Maestro Productos'!$A:$B,2,0),"")</f>
        <v/>
      </c>
      <c r="D498" s="4"/>
      <c r="E498" s="4"/>
      <c r="F498" s="4"/>
      <c r="G498" s="64" t="str">
        <f t="shared" si="2"/>
        <v/>
      </c>
      <c r="H498" s="4"/>
      <c r="I498" s="4"/>
      <c r="J498" s="4"/>
      <c r="K498" s="4"/>
      <c r="L498" s="4"/>
    </row>
    <row r="499" ht="15.0" customHeight="1">
      <c r="A499" s="4"/>
      <c r="B499" s="4"/>
      <c r="C499" s="73" t="str">
        <f>IFERROR(VLOOKUP(B499,'📦 Maestro Productos'!$A:$B,2,0),"")</f>
        <v/>
      </c>
      <c r="D499" s="4"/>
      <c r="E499" s="4"/>
      <c r="F499" s="4"/>
      <c r="G499" s="74" t="str">
        <f t="shared" si="2"/>
        <v/>
      </c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2">
    <mergeCell ref="A1:L1"/>
    <mergeCell ref="A2:L2"/>
  </mergeCells>
  <dataValidations>
    <dataValidation type="list" allowBlank="1" sqref="D4:D500">
      <formula1>"Obra Instalación,Venta Directa,Merma/Baja,Transferencia Almacén,Muestra,Otro"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2" width="38.0"/>
    <col customWidth="1" min="3" max="3" width="20.0"/>
    <col customWidth="1" min="4" max="4" width="18.0"/>
    <col customWidth="1" min="5" max="5" width="8.0"/>
    <col customWidth="1" min="6" max="6" width="16.0"/>
    <col customWidth="1" min="7" max="7" width="17.0"/>
    <col customWidth="1" min="8" max="9" width="13.0"/>
    <col customWidth="1" min="10" max="10" width="22.0"/>
    <col customWidth="1" min="11" max="26" width="8.71"/>
  </cols>
  <sheetData>
    <row r="1" ht="31.5" customHeight="1">
      <c r="A1" s="45" t="s">
        <v>114</v>
      </c>
      <c r="B1" s="2"/>
      <c r="C1" s="2"/>
      <c r="D1" s="2"/>
      <c r="E1" s="2"/>
      <c r="F1" s="2"/>
      <c r="G1" s="2"/>
      <c r="H1" s="2"/>
      <c r="I1" s="2"/>
      <c r="J1" s="3"/>
    </row>
    <row r="2" ht="15.0" customHeight="1">
      <c r="A2" s="46" t="s">
        <v>115</v>
      </c>
    </row>
    <row r="3" ht="27.75" customHeight="1">
      <c r="A3" s="47" t="s">
        <v>10</v>
      </c>
      <c r="B3" s="47" t="s">
        <v>116</v>
      </c>
      <c r="C3" s="47" t="s">
        <v>26</v>
      </c>
      <c r="D3" s="47" t="s">
        <v>117</v>
      </c>
      <c r="E3" s="47" t="s">
        <v>27</v>
      </c>
      <c r="F3" s="47" t="s">
        <v>41</v>
      </c>
      <c r="G3" s="47" t="s">
        <v>82</v>
      </c>
      <c r="H3" s="47" t="s">
        <v>13</v>
      </c>
      <c r="I3" s="47" t="s">
        <v>32</v>
      </c>
      <c r="J3" s="47" t="s">
        <v>118</v>
      </c>
    </row>
    <row r="4" ht="15.0" customHeight="1">
      <c r="A4" s="27" t="s">
        <v>49</v>
      </c>
      <c r="B4" s="49" t="s">
        <v>119</v>
      </c>
      <c r="C4" s="27" t="s">
        <v>120</v>
      </c>
      <c r="D4" s="27" t="s">
        <v>121</v>
      </c>
      <c r="E4" s="27" t="s">
        <v>122</v>
      </c>
      <c r="F4" s="57">
        <v>180.0</v>
      </c>
      <c r="G4" s="57">
        <v>295.0</v>
      </c>
      <c r="H4" s="27">
        <v>10.0</v>
      </c>
      <c r="I4" s="27">
        <v>100.0</v>
      </c>
      <c r="J4" s="27" t="s">
        <v>123</v>
      </c>
    </row>
    <row r="5" ht="15.0" customHeight="1">
      <c r="A5" s="31" t="s">
        <v>60</v>
      </c>
      <c r="B5" s="52" t="s">
        <v>124</v>
      </c>
      <c r="C5" s="31" t="s">
        <v>120</v>
      </c>
      <c r="D5" s="31" t="s">
        <v>61</v>
      </c>
      <c r="E5" s="31" t="s">
        <v>122</v>
      </c>
      <c r="F5" s="75">
        <v>210.0</v>
      </c>
      <c r="G5" s="75">
        <v>340.0</v>
      </c>
      <c r="H5" s="31">
        <v>10.0</v>
      </c>
      <c r="I5" s="31">
        <v>80.0</v>
      </c>
      <c r="J5" s="31" t="s">
        <v>123</v>
      </c>
    </row>
    <row r="6" ht="15.0" customHeight="1">
      <c r="A6" s="27" t="s">
        <v>125</v>
      </c>
      <c r="B6" s="49" t="s">
        <v>126</v>
      </c>
      <c r="C6" s="27" t="s">
        <v>120</v>
      </c>
      <c r="D6" s="27" t="s">
        <v>127</v>
      </c>
      <c r="E6" s="27" t="s">
        <v>122</v>
      </c>
      <c r="F6" s="57">
        <v>250.0</v>
      </c>
      <c r="G6" s="57">
        <v>399.0</v>
      </c>
      <c r="H6" s="27">
        <v>5.0</v>
      </c>
      <c r="I6" s="27">
        <v>50.0</v>
      </c>
      <c r="J6" s="27" t="s">
        <v>128</v>
      </c>
    </row>
    <row r="7" ht="15.0" customHeight="1">
      <c r="A7" s="31" t="s">
        <v>56</v>
      </c>
      <c r="B7" s="52" t="s">
        <v>129</v>
      </c>
      <c r="C7" s="31" t="s">
        <v>130</v>
      </c>
      <c r="D7" s="31" t="s">
        <v>131</v>
      </c>
      <c r="E7" s="31" t="s">
        <v>122</v>
      </c>
      <c r="F7" s="75">
        <v>850.0</v>
      </c>
      <c r="G7" s="75">
        <v>1350.0</v>
      </c>
      <c r="H7" s="31">
        <v>3.0</v>
      </c>
      <c r="I7" s="31">
        <v>20.0</v>
      </c>
      <c r="J7" s="31" t="s">
        <v>132</v>
      </c>
    </row>
    <row r="8" ht="15.0" customHeight="1">
      <c r="A8" s="27" t="s">
        <v>108</v>
      </c>
      <c r="B8" s="49" t="s">
        <v>133</v>
      </c>
      <c r="C8" s="27" t="s">
        <v>130</v>
      </c>
      <c r="D8" s="27" t="s">
        <v>131</v>
      </c>
      <c r="E8" s="27" t="s">
        <v>122</v>
      </c>
      <c r="F8" s="57">
        <v>980.0</v>
      </c>
      <c r="G8" s="57">
        <v>1580.0</v>
      </c>
      <c r="H8" s="27">
        <v>3.0</v>
      </c>
      <c r="I8" s="27">
        <v>20.0</v>
      </c>
      <c r="J8" s="27" t="s">
        <v>132</v>
      </c>
    </row>
    <row r="9" ht="15.0" customHeight="1">
      <c r="A9" s="31" t="s">
        <v>134</v>
      </c>
      <c r="B9" s="52" t="s">
        <v>135</v>
      </c>
      <c r="C9" s="31" t="s">
        <v>130</v>
      </c>
      <c r="D9" s="31" t="s">
        <v>136</v>
      </c>
      <c r="E9" s="31" t="s">
        <v>122</v>
      </c>
      <c r="F9" s="75">
        <v>1800.0</v>
      </c>
      <c r="G9" s="75">
        <v>2900.0</v>
      </c>
      <c r="H9" s="31">
        <v>2.0</v>
      </c>
      <c r="I9" s="31">
        <v>10.0</v>
      </c>
      <c r="J9" s="31" t="s">
        <v>137</v>
      </c>
    </row>
    <row r="10" ht="15.0" customHeight="1">
      <c r="A10" s="27" t="s">
        <v>74</v>
      </c>
      <c r="B10" s="49" t="s">
        <v>138</v>
      </c>
      <c r="C10" s="27" t="s">
        <v>139</v>
      </c>
      <c r="D10" s="27" t="s">
        <v>140</v>
      </c>
      <c r="E10" s="27" t="s">
        <v>122</v>
      </c>
      <c r="F10" s="57">
        <v>2200.0</v>
      </c>
      <c r="G10" s="57">
        <v>3500.0</v>
      </c>
      <c r="H10" s="27">
        <v>2.0</v>
      </c>
      <c r="I10" s="27">
        <v>10.0</v>
      </c>
      <c r="J10" s="27" t="s">
        <v>141</v>
      </c>
    </row>
    <row r="11" ht="15.0" customHeight="1">
      <c r="A11" s="31" t="s">
        <v>142</v>
      </c>
      <c r="B11" s="52" t="s">
        <v>143</v>
      </c>
      <c r="C11" s="31" t="s">
        <v>139</v>
      </c>
      <c r="D11" s="31" t="s">
        <v>140</v>
      </c>
      <c r="E11" s="31" t="s">
        <v>122</v>
      </c>
      <c r="F11" s="75">
        <v>4100.0</v>
      </c>
      <c r="G11" s="75">
        <v>6500.0</v>
      </c>
      <c r="H11" s="31">
        <v>1.0</v>
      </c>
      <c r="I11" s="31">
        <v>5.0</v>
      </c>
      <c r="J11" s="31" t="s">
        <v>141</v>
      </c>
    </row>
    <row r="12" ht="15.0" customHeight="1">
      <c r="A12" s="27" t="s">
        <v>64</v>
      </c>
      <c r="B12" s="49" t="s">
        <v>144</v>
      </c>
      <c r="C12" s="27" t="s">
        <v>145</v>
      </c>
      <c r="D12" s="27" t="s">
        <v>146</v>
      </c>
      <c r="E12" s="27" t="s">
        <v>122</v>
      </c>
      <c r="F12" s="57">
        <v>1900.0</v>
      </c>
      <c r="G12" s="57">
        <v>3200.0</v>
      </c>
      <c r="H12" s="27">
        <v>2.0</v>
      </c>
      <c r="I12" s="27">
        <v>10.0</v>
      </c>
      <c r="J12" s="27" t="s">
        <v>147</v>
      </c>
    </row>
    <row r="13" ht="15.0" customHeight="1">
      <c r="A13" s="31" t="s">
        <v>148</v>
      </c>
      <c r="B13" s="52" t="s">
        <v>149</v>
      </c>
      <c r="C13" s="31" t="s">
        <v>145</v>
      </c>
      <c r="D13" s="31" t="s">
        <v>150</v>
      </c>
      <c r="E13" s="31" t="s">
        <v>122</v>
      </c>
      <c r="F13" s="75">
        <v>2800.0</v>
      </c>
      <c r="G13" s="75">
        <v>4500.0</v>
      </c>
      <c r="H13" s="31">
        <v>1.0</v>
      </c>
      <c r="I13" s="31">
        <v>5.0</v>
      </c>
      <c r="J13" s="31" t="s">
        <v>147</v>
      </c>
    </row>
    <row r="14" ht="15.0" customHeight="1">
      <c r="A14" s="27" t="s">
        <v>100</v>
      </c>
      <c r="B14" s="49" t="s">
        <v>151</v>
      </c>
      <c r="C14" s="27" t="s">
        <v>152</v>
      </c>
      <c r="D14" s="27" t="s">
        <v>153</v>
      </c>
      <c r="E14" s="27" t="s">
        <v>122</v>
      </c>
      <c r="F14" s="57">
        <v>750.0</v>
      </c>
      <c r="G14" s="57">
        <v>1250.0</v>
      </c>
      <c r="H14" s="27">
        <v>3.0</v>
      </c>
      <c r="I14" s="27">
        <v>15.0</v>
      </c>
      <c r="J14" s="27" t="s">
        <v>154</v>
      </c>
    </row>
    <row r="15" ht="15.0" customHeight="1">
      <c r="A15" s="31" t="s">
        <v>155</v>
      </c>
      <c r="B15" s="52" t="s">
        <v>156</v>
      </c>
      <c r="C15" s="31" t="s">
        <v>152</v>
      </c>
      <c r="D15" s="31" t="s">
        <v>157</v>
      </c>
      <c r="E15" s="31" t="s">
        <v>122</v>
      </c>
      <c r="F15" s="75">
        <v>85.0</v>
      </c>
      <c r="G15" s="75">
        <v>145.0</v>
      </c>
      <c r="H15" s="31">
        <v>20.0</v>
      </c>
      <c r="I15" s="31">
        <v>100.0</v>
      </c>
      <c r="J15" s="31" t="s">
        <v>158</v>
      </c>
    </row>
    <row r="16" ht="15.0" customHeight="1">
      <c r="A16" s="27" t="s">
        <v>70</v>
      </c>
      <c r="B16" s="49" t="s">
        <v>159</v>
      </c>
      <c r="C16" s="27" t="s">
        <v>160</v>
      </c>
      <c r="D16" s="27" t="s">
        <v>161</v>
      </c>
      <c r="E16" s="27" t="s">
        <v>162</v>
      </c>
      <c r="F16" s="57">
        <v>0.85</v>
      </c>
      <c r="G16" s="57">
        <v>1.6</v>
      </c>
      <c r="H16" s="27">
        <v>500.0</v>
      </c>
      <c r="I16" s="27">
        <v>5000.0</v>
      </c>
      <c r="J16" s="27" t="s">
        <v>163</v>
      </c>
    </row>
    <row r="17" ht="15.0" customHeight="1">
      <c r="A17" s="31" t="s">
        <v>164</v>
      </c>
      <c r="B17" s="52" t="s">
        <v>165</v>
      </c>
      <c r="C17" s="31" t="s">
        <v>160</v>
      </c>
      <c r="D17" s="31" t="s">
        <v>161</v>
      </c>
      <c r="E17" s="31" t="s">
        <v>162</v>
      </c>
      <c r="F17" s="75">
        <v>1.2</v>
      </c>
      <c r="G17" s="75">
        <v>2.2</v>
      </c>
      <c r="H17" s="31">
        <v>500.0</v>
      </c>
      <c r="I17" s="31">
        <v>5000.0</v>
      </c>
      <c r="J17" s="31" t="s">
        <v>163</v>
      </c>
    </row>
    <row r="18" ht="15.0" customHeight="1">
      <c r="A18" s="27" t="s">
        <v>93</v>
      </c>
      <c r="B18" s="49" t="s">
        <v>166</v>
      </c>
      <c r="C18" s="27" t="s">
        <v>167</v>
      </c>
      <c r="D18" s="27" t="s">
        <v>168</v>
      </c>
      <c r="E18" s="27" t="s">
        <v>169</v>
      </c>
      <c r="F18" s="57">
        <v>120.0</v>
      </c>
      <c r="G18" s="57">
        <v>210.0</v>
      </c>
      <c r="H18" s="27">
        <v>10.0</v>
      </c>
      <c r="I18" s="27">
        <v>50.0</v>
      </c>
      <c r="J18" s="27" t="s">
        <v>170</v>
      </c>
    </row>
    <row r="19" ht="15.0" customHeight="1">
      <c r="A19" s="31" t="s">
        <v>171</v>
      </c>
      <c r="B19" s="52" t="s">
        <v>172</v>
      </c>
      <c r="C19" s="31" t="s">
        <v>167</v>
      </c>
      <c r="D19" s="31" t="s">
        <v>168</v>
      </c>
      <c r="E19" s="31" t="s">
        <v>169</v>
      </c>
      <c r="F19" s="75">
        <v>145.0</v>
      </c>
      <c r="G19" s="75">
        <v>255.0</v>
      </c>
      <c r="H19" s="31">
        <v>5.0</v>
      </c>
      <c r="I19" s="31">
        <v>30.0</v>
      </c>
      <c r="J19" s="31" t="s">
        <v>170</v>
      </c>
    </row>
    <row r="20" ht="15.0" customHeight="1">
      <c r="A20" s="27" t="s">
        <v>173</v>
      </c>
      <c r="B20" s="49" t="s">
        <v>174</v>
      </c>
      <c r="C20" s="27" t="s">
        <v>175</v>
      </c>
      <c r="D20" s="27" t="s">
        <v>176</v>
      </c>
      <c r="E20" s="27" t="s">
        <v>122</v>
      </c>
      <c r="F20" s="57">
        <v>45.0</v>
      </c>
      <c r="G20" s="57">
        <v>85.0</v>
      </c>
      <c r="H20" s="27">
        <v>20.0</v>
      </c>
      <c r="I20" s="27">
        <v>100.0</v>
      </c>
      <c r="J20" s="27" t="s">
        <v>177</v>
      </c>
    </row>
    <row r="21" ht="15.0" customHeight="1">
      <c r="A21" s="31" t="s">
        <v>178</v>
      </c>
      <c r="B21" s="52" t="s">
        <v>179</v>
      </c>
      <c r="C21" s="31" t="s">
        <v>175</v>
      </c>
      <c r="D21" s="31" t="s">
        <v>180</v>
      </c>
      <c r="E21" s="31" t="s">
        <v>122</v>
      </c>
      <c r="F21" s="75">
        <v>120.0</v>
      </c>
      <c r="G21" s="75">
        <v>210.0</v>
      </c>
      <c r="H21" s="31">
        <v>5.0</v>
      </c>
      <c r="I21" s="31">
        <v>30.0</v>
      </c>
      <c r="J21" s="31" t="s">
        <v>177</v>
      </c>
    </row>
    <row r="22" ht="15.0" customHeight="1">
      <c r="A22" s="27" t="s">
        <v>181</v>
      </c>
      <c r="B22" s="49" t="s">
        <v>182</v>
      </c>
      <c r="C22" s="27" t="s">
        <v>183</v>
      </c>
      <c r="D22" s="27" t="s">
        <v>184</v>
      </c>
      <c r="E22" s="27" t="s">
        <v>162</v>
      </c>
      <c r="F22" s="57">
        <v>0.55</v>
      </c>
      <c r="G22" s="57">
        <v>1.1</v>
      </c>
      <c r="H22" s="27">
        <v>200.0</v>
      </c>
      <c r="I22" s="27">
        <v>2000.0</v>
      </c>
      <c r="J22" s="27" t="s">
        <v>185</v>
      </c>
    </row>
    <row r="23" ht="15.0" customHeight="1">
      <c r="A23" s="31" t="s">
        <v>186</v>
      </c>
      <c r="B23" s="52" t="s">
        <v>187</v>
      </c>
      <c r="C23" s="31" t="s">
        <v>183</v>
      </c>
      <c r="D23" s="31" t="s">
        <v>188</v>
      </c>
      <c r="E23" s="31" t="s">
        <v>162</v>
      </c>
      <c r="F23" s="75">
        <v>8.5</v>
      </c>
      <c r="G23" s="75">
        <v>16.0</v>
      </c>
      <c r="H23" s="31">
        <v>100.0</v>
      </c>
      <c r="I23" s="31">
        <v>500.0</v>
      </c>
      <c r="J23" s="31" t="s">
        <v>185</v>
      </c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8.0"/>
    <col customWidth="1" min="4" max="4" width="20.0"/>
    <col customWidth="1" min="5" max="5" width="16.0"/>
    <col customWidth="1" min="6" max="6" width="14.0"/>
    <col customWidth="1" min="7" max="7" width="11.0"/>
    <col customWidth="1" min="8" max="8" width="12.0"/>
    <col customWidth="1" min="9" max="9" width="11.0"/>
    <col customWidth="1" min="10" max="12" width="9.0"/>
    <col customWidth="1" min="13" max="14" width="14.0"/>
    <col customWidth="1" min="15" max="15" width="13.0"/>
    <col customWidth="1" min="16" max="16" width="11.0"/>
    <col customWidth="1" min="17" max="18" width="10.0"/>
    <col customWidth="1" min="19" max="20" width="13.0"/>
    <col customWidth="1" min="21" max="22" width="14.0"/>
    <col customWidth="1" min="23" max="23" width="13.0"/>
    <col customWidth="1" min="24" max="25" width="9.0"/>
    <col customWidth="1" min="26" max="26" width="10.0"/>
  </cols>
  <sheetData>
    <row r="1" ht="36.0" customHeight="1">
      <c r="A1" s="45" t="s">
        <v>189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8.0" customHeight="1">
      <c r="A2" s="76" t="s">
        <v>190</v>
      </c>
    </row>
    <row r="3" ht="21.75" customHeight="1">
      <c r="A3" s="77" t="s">
        <v>191</v>
      </c>
      <c r="E3" s="78">
        <v>35.0</v>
      </c>
      <c r="F3" s="79" t="s">
        <v>192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80" t="s">
        <v>193</v>
      </c>
      <c r="B4" s="2"/>
      <c r="C4" s="2"/>
      <c r="D4" s="2"/>
      <c r="E4" s="2"/>
      <c r="F4" s="3"/>
      <c r="G4" s="81" t="s">
        <v>194</v>
      </c>
      <c r="H4" s="2"/>
      <c r="I4" s="2"/>
      <c r="J4" s="2"/>
      <c r="K4" s="2"/>
      <c r="L4" s="3"/>
      <c r="M4" s="82" t="s">
        <v>195</v>
      </c>
      <c r="N4" s="2"/>
      <c r="O4" s="2"/>
      <c r="P4" s="3"/>
      <c r="Q4" s="83" t="s">
        <v>196</v>
      </c>
      <c r="R4" s="2"/>
      <c r="S4" s="2"/>
      <c r="T4" s="3"/>
      <c r="U4" s="18" t="s">
        <v>197</v>
      </c>
      <c r="V4" s="2"/>
      <c r="W4" s="2"/>
      <c r="X4" s="3"/>
      <c r="Y4" s="8" t="s">
        <v>198</v>
      </c>
      <c r="Z4" s="3"/>
    </row>
    <row r="5" ht="36.0" customHeight="1">
      <c r="A5" s="84" t="s">
        <v>199</v>
      </c>
      <c r="B5" s="84" t="s">
        <v>200</v>
      </c>
      <c r="C5" s="84" t="s">
        <v>201</v>
      </c>
      <c r="D5" s="84" t="s">
        <v>202</v>
      </c>
      <c r="E5" s="84" t="s">
        <v>203</v>
      </c>
      <c r="F5" s="84" t="s">
        <v>15</v>
      </c>
      <c r="G5" s="85" t="s">
        <v>204</v>
      </c>
      <c r="H5" s="85" t="s">
        <v>205</v>
      </c>
      <c r="I5" s="85" t="s">
        <v>206</v>
      </c>
      <c r="J5" s="85" t="s">
        <v>207</v>
      </c>
      <c r="K5" s="85" t="s">
        <v>208</v>
      </c>
      <c r="L5" s="85" t="s">
        <v>209</v>
      </c>
      <c r="M5" s="86" t="s">
        <v>210</v>
      </c>
      <c r="N5" s="86" t="s">
        <v>211</v>
      </c>
      <c r="O5" s="86" t="s">
        <v>212</v>
      </c>
      <c r="P5" s="86" t="s">
        <v>213</v>
      </c>
      <c r="Q5" s="87" t="s">
        <v>214</v>
      </c>
      <c r="R5" s="87" t="s">
        <v>215</v>
      </c>
      <c r="S5" s="87" t="s">
        <v>216</v>
      </c>
      <c r="T5" s="87" t="s">
        <v>217</v>
      </c>
      <c r="U5" s="88" t="s">
        <v>218</v>
      </c>
      <c r="V5" s="88" t="s">
        <v>219</v>
      </c>
      <c r="W5" s="88" t="s">
        <v>220</v>
      </c>
      <c r="X5" s="88" t="s">
        <v>221</v>
      </c>
      <c r="Y5" s="89" t="s">
        <v>222</v>
      </c>
      <c r="Z5" s="89" t="s">
        <v>223</v>
      </c>
    </row>
    <row r="6" ht="19.5" customHeight="1">
      <c r="A6" s="90" t="s">
        <v>224</v>
      </c>
      <c r="B6" s="91" t="s">
        <v>225</v>
      </c>
      <c r="C6" s="91" t="s">
        <v>226</v>
      </c>
      <c r="D6" s="91" t="s">
        <v>227</v>
      </c>
      <c r="E6" s="90" t="s">
        <v>228</v>
      </c>
      <c r="F6" s="92" t="s">
        <v>229</v>
      </c>
      <c r="G6" s="93">
        <v>45665.0</v>
      </c>
      <c r="H6" s="93">
        <v>45679.0</v>
      </c>
      <c r="I6" s="93">
        <v>45678.0</v>
      </c>
      <c r="J6" s="90">
        <f t="shared" ref="J6:J13" si="2">IF(H6="","",H6-G6)</f>
        <v>14</v>
      </c>
      <c r="K6" s="90">
        <f t="shared" ref="K6:K13" si="3">IF(I6="","",I6-G6)</f>
        <v>13</v>
      </c>
      <c r="L6" s="90">
        <f t="shared" ref="L6:L15" si="4">IF(OR(J6="",K6=""),"",K6-J6)</f>
        <v>-1</v>
      </c>
      <c r="M6" s="94">
        <v>-1.0</v>
      </c>
      <c r="N6" s="94">
        <f>IFERROR(SUMIF('📤 Salidas'!$I:$I,"*"&amp;A6&amp;"*",'📤 Salidas'!$G:$G),0)</f>
        <v>0</v>
      </c>
      <c r="O6" s="94">
        <f t="shared" ref="O6:O15" si="5">IF(M6=0,"",N6-M6)</f>
        <v>1</v>
      </c>
      <c r="P6" s="95">
        <f t="shared" ref="P6:P15" si="6">IF(M6=0,"",N6/M6-1)</f>
        <v>-1</v>
      </c>
      <c r="Q6" s="96"/>
      <c r="R6" s="96">
        <f>IFERROR(SUMIF('⏱️ Horas MO'!$B:$B,A6,'⏱️ Horas MO'!$G:$G),0)</f>
        <v>38</v>
      </c>
      <c r="S6" s="94" t="str">
        <f t="shared" ref="S6:T6" si="1">IF(Q6=0,"",Q6*$E$3)</f>
        <v/>
      </c>
      <c r="T6" s="94">
        <f t="shared" si="1"/>
        <v>1330</v>
      </c>
      <c r="U6" s="94"/>
      <c r="V6" s="94" t="str">
        <f t="shared" ref="V6:V15" si="8">IF(N6=0,"",N6+T6)</f>
        <v/>
      </c>
      <c r="W6" s="97" t="str">
        <f t="shared" ref="W6:W15" si="9">IF(V6="","",U6-V6)</f>
        <v/>
      </c>
      <c r="X6" s="98" t="str">
        <f t="shared" ref="X6:X15" si="10">IF(OR(W6="",U6=0),"",W6/U6)</f>
        <v/>
      </c>
      <c r="Y6" s="90">
        <f>IFERROR(COUNTIF('⚠️ Incidencias'!$B:$B,A6),0)</f>
        <v>1</v>
      </c>
      <c r="Z6" s="99" t="str">
        <f t="shared" ref="Z6:Z15" si="11">IF(X6="","⚪",IF(X6&gt;=0.3,"🟢",IF(X6&gt;=0.15,"🟡","🔴")))</f>
        <v>⚪</v>
      </c>
    </row>
    <row r="7" ht="19.5" customHeight="1">
      <c r="A7" s="100" t="s">
        <v>230</v>
      </c>
      <c r="B7" s="101" t="s">
        <v>231</v>
      </c>
      <c r="C7" s="101" t="s">
        <v>232</v>
      </c>
      <c r="D7" s="101" t="s">
        <v>233</v>
      </c>
      <c r="E7" s="100" t="s">
        <v>234</v>
      </c>
      <c r="F7" s="92" t="s">
        <v>229</v>
      </c>
      <c r="G7" s="102">
        <v>45672.0</v>
      </c>
      <c r="H7" s="102">
        <v>45693.0</v>
      </c>
      <c r="I7" s="102">
        <v>45696.0</v>
      </c>
      <c r="J7" s="100">
        <f t="shared" si="2"/>
        <v>21</v>
      </c>
      <c r="K7" s="100">
        <f t="shared" si="3"/>
        <v>24</v>
      </c>
      <c r="L7" s="100">
        <f t="shared" si="4"/>
        <v>3</v>
      </c>
      <c r="M7" s="103">
        <v>3.0</v>
      </c>
      <c r="N7" s="103">
        <f>IFERROR(SUMIF('📤 Salidas'!$I:$I,"*"&amp;A7&amp;"*",'📤 Salidas'!$G:$G),0)</f>
        <v>0</v>
      </c>
      <c r="O7" s="103">
        <f t="shared" si="5"/>
        <v>-3</v>
      </c>
      <c r="P7" s="104">
        <f t="shared" si="6"/>
        <v>-1</v>
      </c>
      <c r="Q7" s="105"/>
      <c r="R7" s="105">
        <f>IFERROR(SUMIF('⏱️ Horas MO'!$B:$B,A7,'⏱️ Horas MO'!$G:$G),0)</f>
        <v>16</v>
      </c>
      <c r="S7" s="103" t="str">
        <f t="shared" ref="S7:T7" si="7">IF(Q7=0,"",Q7*$E$3)</f>
        <v/>
      </c>
      <c r="T7" s="103">
        <f t="shared" si="7"/>
        <v>560</v>
      </c>
      <c r="U7" s="103"/>
      <c r="V7" s="103" t="str">
        <f t="shared" si="8"/>
        <v/>
      </c>
      <c r="W7" s="106" t="str">
        <f t="shared" si="9"/>
        <v/>
      </c>
      <c r="X7" s="107" t="str">
        <f t="shared" si="10"/>
        <v/>
      </c>
      <c r="Y7" s="100">
        <f>IFERROR(COUNTIF('⚠️ Incidencias'!$B:$B,A7),0)</f>
        <v>2</v>
      </c>
      <c r="Z7" s="108" t="str">
        <f t="shared" si="11"/>
        <v>⚪</v>
      </c>
    </row>
    <row r="8" ht="19.5" customHeight="1">
      <c r="A8" s="90" t="s">
        <v>235</v>
      </c>
      <c r="B8" s="91" t="s">
        <v>236</v>
      </c>
      <c r="C8" s="91" t="s">
        <v>237</v>
      </c>
      <c r="D8" s="91" t="s">
        <v>145</v>
      </c>
      <c r="E8" s="90" t="s">
        <v>228</v>
      </c>
      <c r="F8" s="92" t="s">
        <v>229</v>
      </c>
      <c r="G8" s="93">
        <v>45677.0</v>
      </c>
      <c r="H8" s="93">
        <v>45684.0</v>
      </c>
      <c r="I8" s="93">
        <v>45683.0</v>
      </c>
      <c r="J8" s="90">
        <f t="shared" si="2"/>
        <v>7</v>
      </c>
      <c r="K8" s="90">
        <f t="shared" si="3"/>
        <v>6</v>
      </c>
      <c r="L8" s="90">
        <f t="shared" si="4"/>
        <v>-1</v>
      </c>
      <c r="M8" s="94">
        <v>-1.0</v>
      </c>
      <c r="N8" s="94">
        <f>IFERROR(SUMIF('📤 Salidas'!$I:$I,"*"&amp;A8&amp;"*",'📤 Salidas'!$G:$G),0)</f>
        <v>0</v>
      </c>
      <c r="O8" s="94">
        <f t="shared" si="5"/>
        <v>1</v>
      </c>
      <c r="P8" s="95">
        <f t="shared" si="6"/>
        <v>-1</v>
      </c>
      <c r="Q8" s="96"/>
      <c r="R8" s="96">
        <f>IFERROR(SUMIF('⏱️ Horas MO'!$B:$B,A8,'⏱️ Horas MO'!$G:$G),0)</f>
        <v>22</v>
      </c>
      <c r="S8" s="94" t="str">
        <f t="shared" ref="S8:T8" si="12">IF(Q8=0,"",Q8*$E$3)</f>
        <v/>
      </c>
      <c r="T8" s="94">
        <f t="shared" si="12"/>
        <v>770</v>
      </c>
      <c r="U8" s="94"/>
      <c r="V8" s="94" t="str">
        <f t="shared" si="8"/>
        <v/>
      </c>
      <c r="W8" s="97" t="str">
        <f t="shared" si="9"/>
        <v/>
      </c>
      <c r="X8" s="98" t="str">
        <f t="shared" si="10"/>
        <v/>
      </c>
      <c r="Y8" s="90">
        <f>IFERROR(COUNTIF('⚠️ Incidencias'!$B:$B,A8),0)</f>
        <v>0</v>
      </c>
      <c r="Z8" s="99" t="str">
        <f t="shared" si="11"/>
        <v>⚪</v>
      </c>
    </row>
    <row r="9" ht="19.5" customHeight="1">
      <c r="A9" s="100" t="s">
        <v>238</v>
      </c>
      <c r="B9" s="101" t="s">
        <v>239</v>
      </c>
      <c r="C9" s="101" t="s">
        <v>240</v>
      </c>
      <c r="D9" s="101" t="s">
        <v>233</v>
      </c>
      <c r="E9" s="100" t="s">
        <v>241</v>
      </c>
      <c r="F9" s="109" t="s">
        <v>242</v>
      </c>
      <c r="G9" s="102">
        <v>45691.0</v>
      </c>
      <c r="H9" s="102">
        <v>45717.0</v>
      </c>
      <c r="I9" s="102"/>
      <c r="J9" s="100">
        <f t="shared" si="2"/>
        <v>26</v>
      </c>
      <c r="K9" s="100" t="str">
        <f t="shared" si="3"/>
        <v/>
      </c>
      <c r="L9" s="100" t="str">
        <f t="shared" si="4"/>
        <v/>
      </c>
      <c r="M9" s="103"/>
      <c r="N9" s="103">
        <f>IFERROR(SUMIF('📤 Salidas'!$I:$I,"*"&amp;A9&amp;"*",'📤 Salidas'!$G:$G),0)</f>
        <v>0</v>
      </c>
      <c r="O9" s="103" t="str">
        <f t="shared" si="5"/>
        <v/>
      </c>
      <c r="P9" s="104" t="str">
        <f t="shared" si="6"/>
        <v/>
      </c>
      <c r="Q9" s="105"/>
      <c r="R9" s="105">
        <f>IFERROR(SUMIF('⏱️ Horas MO'!$B:$B,A9,'⏱️ Horas MO'!$G:$G),0)</f>
        <v>16</v>
      </c>
      <c r="S9" s="103" t="str">
        <f t="shared" ref="S9:T9" si="13">IF(Q9=0,"",Q9*$E$3)</f>
        <v/>
      </c>
      <c r="T9" s="103">
        <f t="shared" si="13"/>
        <v>560</v>
      </c>
      <c r="U9" s="103"/>
      <c r="V9" s="103" t="str">
        <f t="shared" si="8"/>
        <v/>
      </c>
      <c r="W9" s="106" t="str">
        <f t="shared" si="9"/>
        <v/>
      </c>
      <c r="X9" s="107" t="str">
        <f t="shared" si="10"/>
        <v/>
      </c>
      <c r="Y9" s="100">
        <f>IFERROR(COUNTIF('⚠️ Incidencias'!$B:$B,A9),0)</f>
        <v>1</v>
      </c>
      <c r="Z9" s="108" t="str">
        <f t="shared" si="11"/>
        <v>⚪</v>
      </c>
    </row>
    <row r="10" ht="19.5" customHeight="1">
      <c r="A10" s="90" t="s">
        <v>243</v>
      </c>
      <c r="B10" s="91" t="s">
        <v>244</v>
      </c>
      <c r="C10" s="91" t="s">
        <v>245</v>
      </c>
      <c r="D10" s="91" t="s">
        <v>246</v>
      </c>
      <c r="E10" s="90" t="s">
        <v>234</v>
      </c>
      <c r="F10" s="109" t="s">
        <v>242</v>
      </c>
      <c r="G10" s="93">
        <v>45698.0</v>
      </c>
      <c r="H10" s="93">
        <v>45731.0</v>
      </c>
      <c r="I10" s="93"/>
      <c r="J10" s="90">
        <f t="shared" si="2"/>
        <v>33</v>
      </c>
      <c r="K10" s="90" t="str">
        <f t="shared" si="3"/>
        <v/>
      </c>
      <c r="L10" s="90" t="str">
        <f t="shared" si="4"/>
        <v/>
      </c>
      <c r="M10" s="94"/>
      <c r="N10" s="94">
        <f>IFERROR(SUMIF('📤 Salidas'!$I:$I,"*"&amp;A10&amp;"*",'📤 Salidas'!$G:$G),0)</f>
        <v>0</v>
      </c>
      <c r="O10" s="94" t="str">
        <f t="shared" si="5"/>
        <v/>
      </c>
      <c r="P10" s="95" t="str">
        <f t="shared" si="6"/>
        <v/>
      </c>
      <c r="Q10" s="96"/>
      <c r="R10" s="96">
        <f>IFERROR(SUMIF('⏱️ Horas MO'!$B:$B,A10,'⏱️ Horas MO'!$G:$G),0)</f>
        <v>8</v>
      </c>
      <c r="S10" s="94" t="str">
        <f t="shared" ref="S10:T10" si="14">IF(Q10=0,"",Q10*$E$3)</f>
        <v/>
      </c>
      <c r="T10" s="94">
        <f t="shared" si="14"/>
        <v>280</v>
      </c>
      <c r="U10" s="94"/>
      <c r="V10" s="94" t="str">
        <f t="shared" si="8"/>
        <v/>
      </c>
      <c r="W10" s="97" t="str">
        <f t="shared" si="9"/>
        <v/>
      </c>
      <c r="X10" s="98" t="str">
        <f t="shared" si="10"/>
        <v/>
      </c>
      <c r="Y10" s="90">
        <f>IFERROR(COUNTIF('⚠️ Incidencias'!$B:$B,A10),0)</f>
        <v>1</v>
      </c>
      <c r="Z10" s="99" t="str">
        <f t="shared" si="11"/>
        <v>⚪</v>
      </c>
    </row>
    <row r="11" ht="19.5" customHeight="1">
      <c r="A11" s="100" t="s">
        <v>247</v>
      </c>
      <c r="B11" s="101" t="s">
        <v>248</v>
      </c>
      <c r="C11" s="101" t="s">
        <v>249</v>
      </c>
      <c r="D11" s="101" t="s">
        <v>152</v>
      </c>
      <c r="E11" s="100" t="s">
        <v>250</v>
      </c>
      <c r="F11" s="92" t="s">
        <v>229</v>
      </c>
      <c r="G11" s="102">
        <v>45662.0</v>
      </c>
      <c r="H11" s="102">
        <v>45669.0</v>
      </c>
      <c r="I11" s="102">
        <v>45671.0</v>
      </c>
      <c r="J11" s="100">
        <f t="shared" si="2"/>
        <v>7</v>
      </c>
      <c r="K11" s="100">
        <f t="shared" si="3"/>
        <v>9</v>
      </c>
      <c r="L11" s="100">
        <f t="shared" si="4"/>
        <v>2</v>
      </c>
      <c r="M11" s="103">
        <v>2.0</v>
      </c>
      <c r="N11" s="103">
        <f>IFERROR(SUMIF('📤 Salidas'!$I:$I,"*"&amp;A11&amp;"*",'📤 Salidas'!$G:$G),0)</f>
        <v>0</v>
      </c>
      <c r="O11" s="103">
        <f t="shared" si="5"/>
        <v>-2</v>
      </c>
      <c r="P11" s="104">
        <f t="shared" si="6"/>
        <v>-1</v>
      </c>
      <c r="Q11" s="105"/>
      <c r="R11" s="105">
        <f>IFERROR(SUMIF('⏱️ Horas MO'!$B:$B,A11,'⏱️ Horas MO'!$G:$G),0)</f>
        <v>30</v>
      </c>
      <c r="S11" s="103" t="str">
        <f t="shared" ref="S11:T11" si="15">IF(Q11=0,"",Q11*$E$3)</f>
        <v/>
      </c>
      <c r="T11" s="103">
        <f t="shared" si="15"/>
        <v>1050</v>
      </c>
      <c r="U11" s="103"/>
      <c r="V11" s="103" t="str">
        <f t="shared" si="8"/>
        <v/>
      </c>
      <c r="W11" s="106" t="str">
        <f t="shared" si="9"/>
        <v/>
      </c>
      <c r="X11" s="107" t="str">
        <f t="shared" si="10"/>
        <v/>
      </c>
      <c r="Y11" s="100">
        <f>IFERROR(COUNTIF('⚠️ Incidencias'!$B:$B,A11),0)</f>
        <v>1</v>
      </c>
      <c r="Z11" s="108" t="str">
        <f t="shared" si="11"/>
        <v>⚪</v>
      </c>
    </row>
    <row r="12" ht="19.5" customHeight="1">
      <c r="A12" s="90" t="s">
        <v>251</v>
      </c>
      <c r="B12" s="91" t="s">
        <v>252</v>
      </c>
      <c r="C12" s="91" t="s">
        <v>253</v>
      </c>
      <c r="D12" s="91" t="s">
        <v>233</v>
      </c>
      <c r="E12" s="90" t="s">
        <v>228</v>
      </c>
      <c r="F12" s="92" t="s">
        <v>229</v>
      </c>
      <c r="G12" s="93">
        <v>45685.0</v>
      </c>
      <c r="H12" s="93">
        <v>45706.0</v>
      </c>
      <c r="I12" s="93">
        <v>45705.0</v>
      </c>
      <c r="J12" s="90">
        <f t="shared" si="2"/>
        <v>21</v>
      </c>
      <c r="K12" s="90">
        <f t="shared" si="3"/>
        <v>20</v>
      </c>
      <c r="L12" s="90">
        <f t="shared" si="4"/>
        <v>-1</v>
      </c>
      <c r="M12" s="94">
        <v>-1.0</v>
      </c>
      <c r="N12" s="94">
        <f>IFERROR(SUMIF('📤 Salidas'!$I:$I,"*"&amp;A12&amp;"*",'📤 Salidas'!$G:$G),0)</f>
        <v>0</v>
      </c>
      <c r="O12" s="94">
        <f t="shared" si="5"/>
        <v>1</v>
      </c>
      <c r="P12" s="95">
        <f t="shared" si="6"/>
        <v>-1</v>
      </c>
      <c r="Q12" s="96"/>
      <c r="R12" s="96">
        <f>IFERROR(SUMIF('⏱️ Horas MO'!$B:$B,A12,'⏱️ Horas MO'!$G:$G),0)</f>
        <v>40</v>
      </c>
      <c r="S12" s="94" t="str">
        <f t="shared" ref="S12:T12" si="16">IF(Q12=0,"",Q12*$E$3)</f>
        <v/>
      </c>
      <c r="T12" s="94">
        <f t="shared" si="16"/>
        <v>1400</v>
      </c>
      <c r="U12" s="94"/>
      <c r="V12" s="94" t="str">
        <f t="shared" si="8"/>
        <v/>
      </c>
      <c r="W12" s="97" t="str">
        <f t="shared" si="9"/>
        <v/>
      </c>
      <c r="X12" s="98" t="str">
        <f t="shared" si="10"/>
        <v/>
      </c>
      <c r="Y12" s="90">
        <f>IFERROR(COUNTIF('⚠️ Incidencias'!$B:$B,A12),0)</f>
        <v>0</v>
      </c>
      <c r="Z12" s="99" t="str">
        <f t="shared" si="11"/>
        <v>⚪</v>
      </c>
    </row>
    <row r="13" ht="19.5" customHeight="1">
      <c r="A13" s="100" t="s">
        <v>254</v>
      </c>
      <c r="B13" s="101" t="s">
        <v>255</v>
      </c>
      <c r="C13" s="101" t="s">
        <v>256</v>
      </c>
      <c r="D13" s="101" t="s">
        <v>145</v>
      </c>
      <c r="E13" s="100" t="s">
        <v>241</v>
      </c>
      <c r="F13" s="92" t="s">
        <v>229</v>
      </c>
      <c r="G13" s="102">
        <v>45689.0</v>
      </c>
      <c r="H13" s="102">
        <v>45698.0</v>
      </c>
      <c r="I13" s="102">
        <v>45700.0</v>
      </c>
      <c r="J13" s="100">
        <f t="shared" si="2"/>
        <v>9</v>
      </c>
      <c r="K13" s="100">
        <f t="shared" si="3"/>
        <v>11</v>
      </c>
      <c r="L13" s="100">
        <f t="shared" si="4"/>
        <v>2</v>
      </c>
      <c r="M13" s="103">
        <v>2.0</v>
      </c>
      <c r="N13" s="103">
        <f>IFERROR(SUMIF('📤 Salidas'!$I:$I,"*"&amp;A13&amp;"*",'📤 Salidas'!$G:$G),0)</f>
        <v>0</v>
      </c>
      <c r="O13" s="103">
        <f t="shared" si="5"/>
        <v>-2</v>
      </c>
      <c r="P13" s="104">
        <f t="shared" si="6"/>
        <v>-1</v>
      </c>
      <c r="Q13" s="105"/>
      <c r="R13" s="105">
        <f>IFERROR(SUMIF('⏱️ Horas MO'!$B:$B,A13,'⏱️ Horas MO'!$G:$G),0)</f>
        <v>16</v>
      </c>
      <c r="S13" s="103" t="str">
        <f t="shared" ref="S13:T13" si="17">IF(Q13=0,"",Q13*$E$3)</f>
        <v/>
      </c>
      <c r="T13" s="103">
        <f t="shared" si="17"/>
        <v>560</v>
      </c>
      <c r="U13" s="103"/>
      <c r="V13" s="103" t="str">
        <f t="shared" si="8"/>
        <v/>
      </c>
      <c r="W13" s="106" t="str">
        <f t="shared" si="9"/>
        <v/>
      </c>
      <c r="X13" s="107" t="str">
        <f t="shared" si="10"/>
        <v/>
      </c>
      <c r="Y13" s="100">
        <f>IFERROR(COUNTIF('⚠️ Incidencias'!$B:$B,A13),0)</f>
        <v>1</v>
      </c>
      <c r="Z13" s="108" t="str">
        <f t="shared" si="11"/>
        <v>⚪</v>
      </c>
    </row>
    <row r="14" ht="19.5" customHeight="1">
      <c r="A14" s="90" t="s">
        <v>257</v>
      </c>
      <c r="B14" s="91" t="s">
        <v>258</v>
      </c>
      <c r="C14" s="91" t="s">
        <v>259</v>
      </c>
      <c r="D14" s="91" t="s">
        <v>227</v>
      </c>
      <c r="E14" s="90" t="s">
        <v>250</v>
      </c>
      <c r="F14" s="110" t="s">
        <v>260</v>
      </c>
      <c r="G14" s="93"/>
      <c r="H14" s="93"/>
      <c r="I14" s="93"/>
      <c r="J14" s="90"/>
      <c r="K14" s="90"/>
      <c r="L14" s="90" t="str">
        <f t="shared" si="4"/>
        <v/>
      </c>
      <c r="M14" s="94"/>
      <c r="N14" s="94">
        <f>IFERROR(SUMIF('📤 Salidas'!$I:$I,"*"&amp;A14&amp;"*",'📤 Salidas'!$G:$G),0)</f>
        <v>0</v>
      </c>
      <c r="O14" s="94" t="str">
        <f t="shared" si="5"/>
        <v/>
      </c>
      <c r="P14" s="95" t="str">
        <f t="shared" si="6"/>
        <v/>
      </c>
      <c r="Q14" s="96"/>
      <c r="R14" s="96">
        <f>IFERROR(SUMIF('⏱️ Horas MO'!$B:$B,A14,'⏱️ Horas MO'!$G:$G),0)</f>
        <v>0</v>
      </c>
      <c r="S14" s="94" t="str">
        <f t="shared" ref="S14:T14" si="18">IF(Q14=0,"",Q14*$E$3)</f>
        <v/>
      </c>
      <c r="T14" s="94" t="str">
        <f t="shared" si="18"/>
        <v/>
      </c>
      <c r="U14" s="94"/>
      <c r="V14" s="94" t="str">
        <f t="shared" si="8"/>
        <v/>
      </c>
      <c r="W14" s="97" t="str">
        <f t="shared" si="9"/>
        <v/>
      </c>
      <c r="X14" s="98" t="str">
        <f t="shared" si="10"/>
        <v/>
      </c>
      <c r="Y14" s="90">
        <f>IFERROR(COUNTIF('⚠️ Incidencias'!$B:$B,A14),0)</f>
        <v>0</v>
      </c>
      <c r="Z14" s="99" t="str">
        <f t="shared" si="11"/>
        <v>⚪</v>
      </c>
    </row>
    <row r="15" ht="19.5" customHeight="1">
      <c r="A15" s="100" t="s">
        <v>261</v>
      </c>
      <c r="B15" s="101" t="s">
        <v>262</v>
      </c>
      <c r="C15" s="101" t="s">
        <v>263</v>
      </c>
      <c r="D15" s="101" t="s">
        <v>233</v>
      </c>
      <c r="E15" s="100" t="s">
        <v>234</v>
      </c>
      <c r="F15" s="110" t="s">
        <v>260</v>
      </c>
      <c r="G15" s="102"/>
      <c r="H15" s="102"/>
      <c r="I15" s="102"/>
      <c r="J15" s="100"/>
      <c r="K15" s="100"/>
      <c r="L15" s="100" t="str">
        <f t="shared" si="4"/>
        <v/>
      </c>
      <c r="M15" s="103"/>
      <c r="N15" s="103">
        <f>IFERROR(SUMIF('📤 Salidas'!$I:$I,"*"&amp;A15&amp;"*",'📤 Salidas'!$G:$G),0)</f>
        <v>0</v>
      </c>
      <c r="O15" s="103" t="str">
        <f t="shared" si="5"/>
        <v/>
      </c>
      <c r="P15" s="104" t="str">
        <f t="shared" si="6"/>
        <v/>
      </c>
      <c r="Q15" s="105"/>
      <c r="R15" s="105">
        <f>IFERROR(SUMIF('⏱️ Horas MO'!$B:$B,A15,'⏱️ Horas MO'!$G:$G),0)</f>
        <v>0</v>
      </c>
      <c r="S15" s="103" t="str">
        <f t="shared" ref="S15:T15" si="19">IF(Q15=0,"",Q15*$E$3)</f>
        <v/>
      </c>
      <c r="T15" s="103" t="str">
        <f t="shared" si="19"/>
        <v/>
      </c>
      <c r="U15" s="103"/>
      <c r="V15" s="103" t="str">
        <f t="shared" si="8"/>
        <v/>
      </c>
      <c r="W15" s="106" t="str">
        <f t="shared" si="9"/>
        <v/>
      </c>
      <c r="X15" s="107" t="str">
        <f t="shared" si="10"/>
        <v/>
      </c>
      <c r="Y15" s="100">
        <f>IFERROR(COUNTIF('⚠️ Incidencias'!$B:$B,A15),0)</f>
        <v>0</v>
      </c>
      <c r="Z15" s="108" t="str">
        <f t="shared" si="11"/>
        <v>⚪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Q4:T4"/>
    <mergeCell ref="U4:X4"/>
    <mergeCell ref="A1:Z1"/>
    <mergeCell ref="A2:Z2"/>
    <mergeCell ref="A3:D3"/>
    <mergeCell ref="F3:I3"/>
    <mergeCell ref="A4:F4"/>
    <mergeCell ref="G4:L4"/>
    <mergeCell ref="M4:P4"/>
    <mergeCell ref="Y4:Z4"/>
  </mergeCells>
  <dataValidations>
    <dataValidation type="list" allowBlank="1" sqref="F6:F500">
      <formula1>"En Presupuesto,En Ejecución,Completado,En Garantía,Cancelado"</formula1>
    </dataValidation>
    <dataValidation type="list" allowBlank="1" sqref="D6:D500">
      <formula1>"Solar Residencial,Solar Industrial,Aerotermia,Calefacción,Mixto Solar+Aero"</formula1>
    </dataValidation>
    <dataValidation type="list" allowBlank="1" sqref="E6:E500">
      <formula1>"Equipo Alpha,Equipo Beta,Equipo Gamma,Equipo Delta"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16.0"/>
    <col customWidth="1" min="4" max="4" width="18.0"/>
    <col customWidth="1" min="5" max="5" width="12.0"/>
    <col customWidth="1" min="6" max="6" width="30.0"/>
    <col customWidth="1" min="7" max="7" width="8.0"/>
    <col customWidth="1" min="8" max="8" width="11.0"/>
    <col customWidth="1" min="9" max="9" width="13.0"/>
    <col customWidth="1" min="10" max="10" width="30.0"/>
    <col customWidth="1" min="11" max="26" width="8.71"/>
  </cols>
  <sheetData>
    <row r="1" ht="36.0" customHeight="1">
      <c r="A1" s="111" t="s">
        <v>264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76" t="s">
        <v>265</v>
      </c>
    </row>
    <row r="3" ht="27.75" customHeight="1">
      <c r="A3" s="112" t="s">
        <v>37</v>
      </c>
      <c r="B3" s="112" t="s">
        <v>266</v>
      </c>
      <c r="C3" s="112" t="s">
        <v>267</v>
      </c>
      <c r="D3" s="112" t="s">
        <v>268</v>
      </c>
      <c r="E3" s="112" t="s">
        <v>43</v>
      </c>
      <c r="F3" s="112" t="s">
        <v>18</v>
      </c>
      <c r="G3" s="112" t="s">
        <v>269</v>
      </c>
      <c r="H3" s="112" t="s">
        <v>270</v>
      </c>
      <c r="I3" s="112" t="s">
        <v>19</v>
      </c>
      <c r="J3" s="112" t="s">
        <v>47</v>
      </c>
    </row>
    <row r="4" ht="18.0" customHeight="1">
      <c r="A4" s="90" t="s">
        <v>271</v>
      </c>
      <c r="B4" s="90" t="s">
        <v>224</v>
      </c>
      <c r="C4" s="90" t="s">
        <v>228</v>
      </c>
      <c r="D4" s="91" t="s">
        <v>272</v>
      </c>
      <c r="E4" s="113">
        <v>45665.0</v>
      </c>
      <c r="F4" s="91" t="s">
        <v>273</v>
      </c>
      <c r="G4" s="96">
        <v>8.0</v>
      </c>
      <c r="H4" s="114">
        <f>'📋 Proyectos'!$E$3</f>
        <v>35</v>
      </c>
      <c r="I4" s="114">
        <f t="shared" ref="I4:I27" si="1">G4*H4</f>
        <v>280</v>
      </c>
      <c r="J4" s="91"/>
    </row>
    <row r="5" ht="18.0" customHeight="1">
      <c r="A5" s="100" t="s">
        <v>274</v>
      </c>
      <c r="B5" s="100" t="s">
        <v>224</v>
      </c>
      <c r="C5" s="100" t="s">
        <v>228</v>
      </c>
      <c r="D5" s="101" t="s">
        <v>275</v>
      </c>
      <c r="E5" s="115">
        <v>45665.0</v>
      </c>
      <c r="F5" s="101" t="s">
        <v>273</v>
      </c>
      <c r="G5" s="105">
        <v>8.0</v>
      </c>
      <c r="H5" s="116">
        <f>'📋 Proyectos'!$E$3</f>
        <v>35</v>
      </c>
      <c r="I5" s="116">
        <f t="shared" si="1"/>
        <v>280</v>
      </c>
      <c r="J5" s="101"/>
    </row>
    <row r="6" ht="18.0" customHeight="1">
      <c r="A6" s="90" t="s">
        <v>276</v>
      </c>
      <c r="B6" s="90" t="s">
        <v>224</v>
      </c>
      <c r="C6" s="90" t="s">
        <v>228</v>
      </c>
      <c r="D6" s="91" t="s">
        <v>272</v>
      </c>
      <c r="E6" s="113">
        <v>45666.0</v>
      </c>
      <c r="F6" s="91" t="s">
        <v>277</v>
      </c>
      <c r="G6" s="96">
        <v>8.0</v>
      </c>
      <c r="H6" s="114">
        <f>'📋 Proyectos'!$E$3</f>
        <v>35</v>
      </c>
      <c r="I6" s="114">
        <f t="shared" si="1"/>
        <v>280</v>
      </c>
      <c r="J6" s="91"/>
    </row>
    <row r="7" ht="18.0" customHeight="1">
      <c r="A7" s="100" t="s">
        <v>278</v>
      </c>
      <c r="B7" s="100" t="s">
        <v>224</v>
      </c>
      <c r="C7" s="100" t="s">
        <v>228</v>
      </c>
      <c r="D7" s="101" t="s">
        <v>275</v>
      </c>
      <c r="E7" s="115">
        <v>45666.0</v>
      </c>
      <c r="F7" s="101" t="s">
        <v>277</v>
      </c>
      <c r="G7" s="105">
        <v>7.0</v>
      </c>
      <c r="H7" s="116">
        <f>'📋 Proyectos'!$E$3</f>
        <v>35</v>
      </c>
      <c r="I7" s="116">
        <f t="shared" si="1"/>
        <v>245</v>
      </c>
      <c r="J7" s="101"/>
    </row>
    <row r="8" ht="18.0" customHeight="1">
      <c r="A8" s="90" t="s">
        <v>279</v>
      </c>
      <c r="B8" s="90" t="s">
        <v>224</v>
      </c>
      <c r="C8" s="90" t="s">
        <v>228</v>
      </c>
      <c r="D8" s="91" t="s">
        <v>272</v>
      </c>
      <c r="E8" s="113">
        <v>45678.0</v>
      </c>
      <c r="F8" s="91" t="s">
        <v>280</v>
      </c>
      <c r="G8" s="96">
        <v>7.0</v>
      </c>
      <c r="H8" s="114">
        <f>'📋 Proyectos'!$E$3</f>
        <v>35</v>
      </c>
      <c r="I8" s="114">
        <f t="shared" si="1"/>
        <v>245</v>
      </c>
      <c r="J8" s="91"/>
    </row>
    <row r="9" ht="18.0" customHeight="1">
      <c r="A9" s="100" t="s">
        <v>281</v>
      </c>
      <c r="B9" s="100" t="s">
        <v>235</v>
      </c>
      <c r="C9" s="100" t="s">
        <v>228</v>
      </c>
      <c r="D9" s="101" t="s">
        <v>272</v>
      </c>
      <c r="E9" s="115">
        <v>45677.0</v>
      </c>
      <c r="F9" s="101" t="s">
        <v>282</v>
      </c>
      <c r="G9" s="105">
        <v>8.0</v>
      </c>
      <c r="H9" s="116">
        <f>'📋 Proyectos'!$E$3</f>
        <v>35</v>
      </c>
      <c r="I9" s="116">
        <f t="shared" si="1"/>
        <v>280</v>
      </c>
      <c r="J9" s="101"/>
    </row>
    <row r="10" ht="18.0" customHeight="1">
      <c r="A10" s="90" t="s">
        <v>283</v>
      </c>
      <c r="B10" s="90" t="s">
        <v>235</v>
      </c>
      <c r="C10" s="90" t="s">
        <v>228</v>
      </c>
      <c r="D10" s="91" t="s">
        <v>275</v>
      </c>
      <c r="E10" s="113">
        <v>45677.0</v>
      </c>
      <c r="F10" s="91" t="s">
        <v>284</v>
      </c>
      <c r="G10" s="96">
        <v>7.0</v>
      </c>
      <c r="H10" s="114">
        <f>'📋 Proyectos'!$E$3</f>
        <v>35</v>
      </c>
      <c r="I10" s="114">
        <f t="shared" si="1"/>
        <v>245</v>
      </c>
      <c r="J10" s="91"/>
    </row>
    <row r="11" ht="18.0" customHeight="1">
      <c r="A11" s="100" t="s">
        <v>285</v>
      </c>
      <c r="B11" s="100" t="s">
        <v>235</v>
      </c>
      <c r="C11" s="100" t="s">
        <v>228</v>
      </c>
      <c r="D11" s="101" t="s">
        <v>272</v>
      </c>
      <c r="E11" s="115">
        <v>45683.0</v>
      </c>
      <c r="F11" s="101" t="s">
        <v>280</v>
      </c>
      <c r="G11" s="105">
        <v>7.0</v>
      </c>
      <c r="H11" s="116">
        <f>'📋 Proyectos'!$E$3</f>
        <v>35</v>
      </c>
      <c r="I11" s="116">
        <f t="shared" si="1"/>
        <v>245</v>
      </c>
      <c r="J11" s="101"/>
    </row>
    <row r="12" ht="18.0" customHeight="1">
      <c r="A12" s="90" t="s">
        <v>286</v>
      </c>
      <c r="B12" s="90" t="s">
        <v>247</v>
      </c>
      <c r="C12" s="90" t="s">
        <v>250</v>
      </c>
      <c r="D12" s="91" t="s">
        <v>287</v>
      </c>
      <c r="E12" s="113">
        <v>45662.0</v>
      </c>
      <c r="F12" s="91" t="s">
        <v>288</v>
      </c>
      <c r="G12" s="96">
        <v>8.0</v>
      </c>
      <c r="H12" s="114">
        <f>'📋 Proyectos'!$E$3</f>
        <v>35</v>
      </c>
      <c r="I12" s="114">
        <f t="shared" si="1"/>
        <v>280</v>
      </c>
      <c r="J12" s="91"/>
    </row>
    <row r="13" ht="18.0" customHeight="1">
      <c r="A13" s="100" t="s">
        <v>289</v>
      </c>
      <c r="B13" s="100" t="s">
        <v>247</v>
      </c>
      <c r="C13" s="100" t="s">
        <v>250</v>
      </c>
      <c r="D13" s="101" t="s">
        <v>290</v>
      </c>
      <c r="E13" s="115">
        <v>45662.0</v>
      </c>
      <c r="F13" s="101" t="s">
        <v>288</v>
      </c>
      <c r="G13" s="105">
        <v>8.0</v>
      </c>
      <c r="H13" s="116">
        <f>'📋 Proyectos'!$E$3</f>
        <v>35</v>
      </c>
      <c r="I13" s="116">
        <f t="shared" si="1"/>
        <v>280</v>
      </c>
      <c r="J13" s="101"/>
    </row>
    <row r="14" ht="18.0" customHeight="1">
      <c r="A14" s="90" t="s">
        <v>291</v>
      </c>
      <c r="B14" s="90" t="s">
        <v>247</v>
      </c>
      <c r="C14" s="90" t="s">
        <v>250</v>
      </c>
      <c r="D14" s="91" t="s">
        <v>287</v>
      </c>
      <c r="E14" s="113">
        <v>45671.0</v>
      </c>
      <c r="F14" s="91" t="s">
        <v>292</v>
      </c>
      <c r="G14" s="96">
        <v>8.0</v>
      </c>
      <c r="H14" s="114">
        <f>'📋 Proyectos'!$E$3</f>
        <v>35</v>
      </c>
      <c r="I14" s="114">
        <f t="shared" si="1"/>
        <v>280</v>
      </c>
      <c r="J14" s="91" t="s">
        <v>293</v>
      </c>
    </row>
    <row r="15" ht="18.0" customHeight="1">
      <c r="A15" s="100" t="s">
        <v>294</v>
      </c>
      <c r="B15" s="100" t="s">
        <v>247</v>
      </c>
      <c r="C15" s="100" t="s">
        <v>250</v>
      </c>
      <c r="D15" s="101" t="s">
        <v>290</v>
      </c>
      <c r="E15" s="115">
        <v>45671.0</v>
      </c>
      <c r="F15" s="101" t="s">
        <v>292</v>
      </c>
      <c r="G15" s="105">
        <v>6.0</v>
      </c>
      <c r="H15" s="116">
        <f>'📋 Proyectos'!$E$3</f>
        <v>35</v>
      </c>
      <c r="I15" s="116">
        <f t="shared" si="1"/>
        <v>210</v>
      </c>
      <c r="J15" s="101"/>
    </row>
    <row r="16" ht="18.0" customHeight="1">
      <c r="A16" s="90" t="s">
        <v>295</v>
      </c>
      <c r="B16" s="90" t="s">
        <v>251</v>
      </c>
      <c r="C16" s="90" t="s">
        <v>228</v>
      </c>
      <c r="D16" s="91" t="s">
        <v>272</v>
      </c>
      <c r="E16" s="113">
        <v>45685.0</v>
      </c>
      <c r="F16" s="91" t="s">
        <v>296</v>
      </c>
      <c r="G16" s="96">
        <v>8.0</v>
      </c>
      <c r="H16" s="114">
        <f>'📋 Proyectos'!$E$3</f>
        <v>35</v>
      </c>
      <c r="I16" s="114">
        <f t="shared" si="1"/>
        <v>280</v>
      </c>
      <c r="J16" s="91"/>
    </row>
    <row r="17" ht="18.0" customHeight="1">
      <c r="A17" s="100" t="s">
        <v>297</v>
      </c>
      <c r="B17" s="100" t="s">
        <v>251</v>
      </c>
      <c r="C17" s="100" t="s">
        <v>228</v>
      </c>
      <c r="D17" s="101" t="s">
        <v>275</v>
      </c>
      <c r="E17" s="115">
        <v>45685.0</v>
      </c>
      <c r="F17" s="101" t="s">
        <v>296</v>
      </c>
      <c r="G17" s="105">
        <v>8.0</v>
      </c>
      <c r="H17" s="116">
        <f>'📋 Proyectos'!$E$3</f>
        <v>35</v>
      </c>
      <c r="I17" s="116">
        <f t="shared" si="1"/>
        <v>280</v>
      </c>
      <c r="J17" s="101"/>
    </row>
    <row r="18" ht="18.0" customHeight="1">
      <c r="A18" s="90" t="s">
        <v>298</v>
      </c>
      <c r="B18" s="90" t="s">
        <v>251</v>
      </c>
      <c r="C18" s="90" t="s">
        <v>228</v>
      </c>
      <c r="D18" s="91" t="s">
        <v>299</v>
      </c>
      <c r="E18" s="113">
        <v>45691.0</v>
      </c>
      <c r="F18" s="91" t="s">
        <v>300</v>
      </c>
      <c r="G18" s="96">
        <v>8.0</v>
      </c>
      <c r="H18" s="114">
        <f>'📋 Proyectos'!$E$3</f>
        <v>35</v>
      </c>
      <c r="I18" s="114">
        <f t="shared" si="1"/>
        <v>280</v>
      </c>
      <c r="J18" s="91"/>
    </row>
    <row r="19" ht="18.0" customHeight="1">
      <c r="A19" s="100" t="s">
        <v>301</v>
      </c>
      <c r="B19" s="100" t="s">
        <v>251</v>
      </c>
      <c r="C19" s="100" t="s">
        <v>228</v>
      </c>
      <c r="D19" s="101" t="s">
        <v>272</v>
      </c>
      <c r="E19" s="115">
        <v>45705.0</v>
      </c>
      <c r="F19" s="101" t="s">
        <v>280</v>
      </c>
      <c r="G19" s="105">
        <v>8.0</v>
      </c>
      <c r="H19" s="116">
        <f>'📋 Proyectos'!$E$3</f>
        <v>35</v>
      </c>
      <c r="I19" s="116">
        <f t="shared" si="1"/>
        <v>280</v>
      </c>
      <c r="J19" s="101"/>
    </row>
    <row r="20" ht="18.0" customHeight="1">
      <c r="A20" s="90" t="s">
        <v>302</v>
      </c>
      <c r="B20" s="90" t="s">
        <v>251</v>
      </c>
      <c r="C20" s="90" t="s">
        <v>228</v>
      </c>
      <c r="D20" s="91" t="s">
        <v>275</v>
      </c>
      <c r="E20" s="113">
        <v>45705.0</v>
      </c>
      <c r="F20" s="91" t="s">
        <v>280</v>
      </c>
      <c r="G20" s="96">
        <v>8.0</v>
      </c>
      <c r="H20" s="114">
        <f>'📋 Proyectos'!$E$3</f>
        <v>35</v>
      </c>
      <c r="I20" s="114">
        <f t="shared" si="1"/>
        <v>280</v>
      </c>
      <c r="J20" s="91"/>
    </row>
    <row r="21" ht="18.0" customHeight="1">
      <c r="A21" s="100" t="s">
        <v>303</v>
      </c>
      <c r="B21" s="100" t="s">
        <v>254</v>
      </c>
      <c r="C21" s="100" t="s">
        <v>241</v>
      </c>
      <c r="D21" s="101" t="s">
        <v>304</v>
      </c>
      <c r="E21" s="115">
        <v>45689.0</v>
      </c>
      <c r="F21" s="101" t="s">
        <v>282</v>
      </c>
      <c r="G21" s="105">
        <v>8.0</v>
      </c>
      <c r="H21" s="116">
        <f>'📋 Proyectos'!$E$3</f>
        <v>35</v>
      </c>
      <c r="I21" s="116">
        <f t="shared" si="1"/>
        <v>280</v>
      </c>
      <c r="J21" s="101"/>
    </row>
    <row r="22" ht="18.0" customHeight="1">
      <c r="A22" s="90" t="s">
        <v>305</v>
      </c>
      <c r="B22" s="90" t="s">
        <v>254</v>
      </c>
      <c r="C22" s="90" t="s">
        <v>241</v>
      </c>
      <c r="D22" s="91" t="s">
        <v>304</v>
      </c>
      <c r="E22" s="113">
        <v>45700.0</v>
      </c>
      <c r="F22" s="91" t="s">
        <v>306</v>
      </c>
      <c r="G22" s="96">
        <v>8.0</v>
      </c>
      <c r="H22" s="114">
        <f>'📋 Proyectos'!$E$3</f>
        <v>35</v>
      </c>
      <c r="I22" s="114">
        <f t="shared" si="1"/>
        <v>280</v>
      </c>
      <c r="J22" s="91" t="s">
        <v>307</v>
      </c>
    </row>
    <row r="23" ht="18.0" customHeight="1">
      <c r="A23" s="100" t="s">
        <v>308</v>
      </c>
      <c r="B23" s="100" t="s">
        <v>230</v>
      </c>
      <c r="C23" s="100" t="s">
        <v>234</v>
      </c>
      <c r="D23" s="101" t="s">
        <v>299</v>
      </c>
      <c r="E23" s="115">
        <v>45672.0</v>
      </c>
      <c r="F23" s="101" t="s">
        <v>273</v>
      </c>
      <c r="G23" s="105">
        <v>8.0</v>
      </c>
      <c r="H23" s="116">
        <f>'📋 Proyectos'!$E$3</f>
        <v>35</v>
      </c>
      <c r="I23" s="116">
        <f t="shared" si="1"/>
        <v>280</v>
      </c>
      <c r="J23" s="101"/>
    </row>
    <row r="24" ht="18.0" customHeight="1">
      <c r="A24" s="90" t="s">
        <v>309</v>
      </c>
      <c r="B24" s="90" t="s">
        <v>230</v>
      </c>
      <c r="C24" s="90" t="s">
        <v>234</v>
      </c>
      <c r="D24" s="91" t="s">
        <v>299</v>
      </c>
      <c r="E24" s="113">
        <v>45696.0</v>
      </c>
      <c r="F24" s="91" t="s">
        <v>280</v>
      </c>
      <c r="G24" s="96">
        <v>8.0</v>
      </c>
      <c r="H24" s="114">
        <f>'📋 Proyectos'!$E$3</f>
        <v>35</v>
      </c>
      <c r="I24" s="114">
        <f t="shared" si="1"/>
        <v>280</v>
      </c>
      <c r="J24" s="91" t="s">
        <v>310</v>
      </c>
    </row>
    <row r="25" ht="18.0" customHeight="1">
      <c r="A25" s="100" t="s">
        <v>311</v>
      </c>
      <c r="B25" s="100" t="s">
        <v>238</v>
      </c>
      <c r="C25" s="100" t="s">
        <v>241</v>
      </c>
      <c r="D25" s="101" t="s">
        <v>304</v>
      </c>
      <c r="E25" s="115">
        <v>45691.0</v>
      </c>
      <c r="F25" s="101" t="s">
        <v>312</v>
      </c>
      <c r="G25" s="105">
        <v>8.0</v>
      </c>
      <c r="H25" s="116">
        <f>'📋 Proyectos'!$E$3</f>
        <v>35</v>
      </c>
      <c r="I25" s="116">
        <f t="shared" si="1"/>
        <v>280</v>
      </c>
      <c r="J25" s="101"/>
    </row>
    <row r="26" ht="18.0" customHeight="1">
      <c r="A26" s="90" t="s">
        <v>313</v>
      </c>
      <c r="B26" s="90" t="s">
        <v>238</v>
      </c>
      <c r="C26" s="90" t="s">
        <v>241</v>
      </c>
      <c r="D26" s="91" t="s">
        <v>304</v>
      </c>
      <c r="E26" s="113">
        <v>45698.0</v>
      </c>
      <c r="F26" s="91" t="s">
        <v>314</v>
      </c>
      <c r="G26" s="96">
        <v>8.0</v>
      </c>
      <c r="H26" s="114">
        <f>'📋 Proyectos'!$E$3</f>
        <v>35</v>
      </c>
      <c r="I26" s="114">
        <f t="shared" si="1"/>
        <v>280</v>
      </c>
      <c r="J26" s="91"/>
    </row>
    <row r="27" ht="18.0" customHeight="1">
      <c r="A27" s="100" t="s">
        <v>315</v>
      </c>
      <c r="B27" s="100" t="s">
        <v>243</v>
      </c>
      <c r="C27" s="100" t="s">
        <v>234</v>
      </c>
      <c r="D27" s="101" t="s">
        <v>299</v>
      </c>
      <c r="E27" s="115">
        <v>45698.0</v>
      </c>
      <c r="F27" s="101" t="s">
        <v>316</v>
      </c>
      <c r="G27" s="105">
        <v>8.0</v>
      </c>
      <c r="H27" s="116">
        <f>'📋 Proyectos'!$E$3</f>
        <v>35</v>
      </c>
      <c r="I27" s="116">
        <f t="shared" si="1"/>
        <v>280</v>
      </c>
      <c r="J27" s="101"/>
    </row>
    <row r="28" ht="15.0" customHeight="1">
      <c r="A28" s="4"/>
      <c r="B28" s="4"/>
      <c r="C28" s="4"/>
      <c r="D28" s="4"/>
      <c r="E28" s="4"/>
      <c r="F28" s="4"/>
      <c r="G28" s="4"/>
      <c r="H28" s="114">
        <f>'📋 Proyectos'!$E$3</f>
        <v>35</v>
      </c>
      <c r="I28" s="114" t="str">
        <f t="shared" ref="I28:I299" si="2">IF(G28="","",G28*H28)</f>
        <v/>
      </c>
      <c r="J28" s="4"/>
    </row>
    <row r="29" ht="15.0" customHeight="1">
      <c r="A29" s="4"/>
      <c r="B29" s="4"/>
      <c r="C29" s="4"/>
      <c r="D29" s="4"/>
      <c r="E29" s="4"/>
      <c r="F29" s="4"/>
      <c r="G29" s="4"/>
      <c r="H29" s="116">
        <f>'📋 Proyectos'!$E$3</f>
        <v>35</v>
      </c>
      <c r="I29" s="116" t="str">
        <f t="shared" si="2"/>
        <v/>
      </c>
      <c r="J29" s="4"/>
    </row>
    <row r="30" ht="15.0" customHeight="1">
      <c r="A30" s="4"/>
      <c r="B30" s="4"/>
      <c r="C30" s="4"/>
      <c r="D30" s="4"/>
      <c r="E30" s="4"/>
      <c r="F30" s="4"/>
      <c r="G30" s="4"/>
      <c r="H30" s="114">
        <f>'📋 Proyectos'!$E$3</f>
        <v>35</v>
      </c>
      <c r="I30" s="114" t="str">
        <f t="shared" si="2"/>
        <v/>
      </c>
      <c r="J30" s="4"/>
    </row>
    <row r="31" ht="15.0" customHeight="1">
      <c r="A31" s="4"/>
      <c r="B31" s="4"/>
      <c r="C31" s="4"/>
      <c r="D31" s="4"/>
      <c r="E31" s="4"/>
      <c r="F31" s="4"/>
      <c r="G31" s="4"/>
      <c r="H31" s="116">
        <f>'📋 Proyectos'!$E$3</f>
        <v>35</v>
      </c>
      <c r="I31" s="116" t="str">
        <f t="shared" si="2"/>
        <v/>
      </c>
      <c r="J31" s="4"/>
    </row>
    <row r="32" ht="15.0" customHeight="1">
      <c r="A32" s="4"/>
      <c r="B32" s="4"/>
      <c r="C32" s="4"/>
      <c r="D32" s="4"/>
      <c r="E32" s="4"/>
      <c r="F32" s="4"/>
      <c r="G32" s="4"/>
      <c r="H32" s="114">
        <f>'📋 Proyectos'!$E$3</f>
        <v>35</v>
      </c>
      <c r="I32" s="114" t="str">
        <f t="shared" si="2"/>
        <v/>
      </c>
      <c r="J32" s="4"/>
    </row>
    <row r="33" ht="15.0" customHeight="1">
      <c r="A33" s="4"/>
      <c r="B33" s="4"/>
      <c r="C33" s="4"/>
      <c r="D33" s="4"/>
      <c r="E33" s="4"/>
      <c r="F33" s="4"/>
      <c r="G33" s="4"/>
      <c r="H33" s="116">
        <f>'📋 Proyectos'!$E$3</f>
        <v>35</v>
      </c>
      <c r="I33" s="116" t="str">
        <f t="shared" si="2"/>
        <v/>
      </c>
      <c r="J33" s="4"/>
    </row>
    <row r="34" ht="15.0" customHeight="1">
      <c r="A34" s="4"/>
      <c r="B34" s="4"/>
      <c r="C34" s="4"/>
      <c r="D34" s="4"/>
      <c r="E34" s="4"/>
      <c r="F34" s="4"/>
      <c r="G34" s="4"/>
      <c r="H34" s="114">
        <f>'📋 Proyectos'!$E$3</f>
        <v>35</v>
      </c>
      <c r="I34" s="114" t="str">
        <f t="shared" si="2"/>
        <v/>
      </c>
      <c r="J34" s="4"/>
    </row>
    <row r="35" ht="15.0" customHeight="1">
      <c r="A35" s="4"/>
      <c r="B35" s="4"/>
      <c r="C35" s="4"/>
      <c r="D35" s="4"/>
      <c r="E35" s="4"/>
      <c r="F35" s="4"/>
      <c r="G35" s="4"/>
      <c r="H35" s="116">
        <f>'📋 Proyectos'!$E$3</f>
        <v>35</v>
      </c>
      <c r="I35" s="116" t="str">
        <f t="shared" si="2"/>
        <v/>
      </c>
      <c r="J35" s="4"/>
    </row>
    <row r="36" ht="15.0" customHeight="1">
      <c r="A36" s="4"/>
      <c r="B36" s="4"/>
      <c r="C36" s="4"/>
      <c r="D36" s="4"/>
      <c r="E36" s="4"/>
      <c r="F36" s="4"/>
      <c r="G36" s="4"/>
      <c r="H36" s="114">
        <f>'📋 Proyectos'!$E$3</f>
        <v>35</v>
      </c>
      <c r="I36" s="114" t="str">
        <f t="shared" si="2"/>
        <v/>
      </c>
      <c r="J36" s="4"/>
    </row>
    <row r="37" ht="15.0" customHeight="1">
      <c r="A37" s="4"/>
      <c r="B37" s="4"/>
      <c r="C37" s="4"/>
      <c r="D37" s="4"/>
      <c r="E37" s="4"/>
      <c r="F37" s="4"/>
      <c r="G37" s="4"/>
      <c r="H37" s="116">
        <f>'📋 Proyectos'!$E$3</f>
        <v>35</v>
      </c>
      <c r="I37" s="116" t="str">
        <f t="shared" si="2"/>
        <v/>
      </c>
      <c r="J37" s="4"/>
    </row>
    <row r="38" ht="15.0" customHeight="1">
      <c r="A38" s="4"/>
      <c r="B38" s="4"/>
      <c r="C38" s="4"/>
      <c r="D38" s="4"/>
      <c r="E38" s="4"/>
      <c r="F38" s="4"/>
      <c r="G38" s="4"/>
      <c r="H38" s="114">
        <f>'📋 Proyectos'!$E$3</f>
        <v>35</v>
      </c>
      <c r="I38" s="114" t="str">
        <f t="shared" si="2"/>
        <v/>
      </c>
      <c r="J38" s="4"/>
    </row>
    <row r="39" ht="15.0" customHeight="1">
      <c r="A39" s="4"/>
      <c r="B39" s="4"/>
      <c r="C39" s="4"/>
      <c r="D39" s="4"/>
      <c r="E39" s="4"/>
      <c r="F39" s="4"/>
      <c r="G39" s="4"/>
      <c r="H39" s="116">
        <f>'📋 Proyectos'!$E$3</f>
        <v>35</v>
      </c>
      <c r="I39" s="116" t="str">
        <f t="shared" si="2"/>
        <v/>
      </c>
      <c r="J39" s="4"/>
    </row>
    <row r="40" ht="15.0" customHeight="1">
      <c r="A40" s="4"/>
      <c r="B40" s="4"/>
      <c r="C40" s="4"/>
      <c r="D40" s="4"/>
      <c r="E40" s="4"/>
      <c r="F40" s="4"/>
      <c r="G40" s="4"/>
      <c r="H40" s="114">
        <f>'📋 Proyectos'!$E$3</f>
        <v>35</v>
      </c>
      <c r="I40" s="114" t="str">
        <f t="shared" si="2"/>
        <v/>
      </c>
      <c r="J40" s="4"/>
    </row>
    <row r="41" ht="15.0" customHeight="1">
      <c r="A41" s="4"/>
      <c r="B41" s="4"/>
      <c r="C41" s="4"/>
      <c r="D41" s="4"/>
      <c r="E41" s="4"/>
      <c r="F41" s="4"/>
      <c r="G41" s="4"/>
      <c r="H41" s="116">
        <f>'📋 Proyectos'!$E$3</f>
        <v>35</v>
      </c>
      <c r="I41" s="116" t="str">
        <f t="shared" si="2"/>
        <v/>
      </c>
      <c r="J41" s="4"/>
    </row>
    <row r="42" ht="15.0" customHeight="1">
      <c r="A42" s="4"/>
      <c r="B42" s="4"/>
      <c r="C42" s="4"/>
      <c r="D42" s="4"/>
      <c r="E42" s="4"/>
      <c r="F42" s="4"/>
      <c r="G42" s="4"/>
      <c r="H42" s="114">
        <f>'📋 Proyectos'!$E$3</f>
        <v>35</v>
      </c>
      <c r="I42" s="114" t="str">
        <f t="shared" si="2"/>
        <v/>
      </c>
      <c r="J42" s="4"/>
    </row>
    <row r="43" ht="15.0" customHeight="1">
      <c r="A43" s="4"/>
      <c r="B43" s="4"/>
      <c r="C43" s="4"/>
      <c r="D43" s="4"/>
      <c r="E43" s="4"/>
      <c r="F43" s="4"/>
      <c r="G43" s="4"/>
      <c r="H43" s="116">
        <f>'📋 Proyectos'!$E$3</f>
        <v>35</v>
      </c>
      <c r="I43" s="116" t="str">
        <f t="shared" si="2"/>
        <v/>
      </c>
      <c r="J43" s="4"/>
    </row>
    <row r="44" ht="15.0" customHeight="1">
      <c r="A44" s="4"/>
      <c r="B44" s="4"/>
      <c r="C44" s="4"/>
      <c r="D44" s="4"/>
      <c r="E44" s="4"/>
      <c r="F44" s="4"/>
      <c r="G44" s="4"/>
      <c r="H44" s="114">
        <f>'📋 Proyectos'!$E$3</f>
        <v>35</v>
      </c>
      <c r="I44" s="114" t="str">
        <f t="shared" si="2"/>
        <v/>
      </c>
      <c r="J44" s="4"/>
    </row>
    <row r="45" ht="15.0" customHeight="1">
      <c r="A45" s="4"/>
      <c r="B45" s="4"/>
      <c r="C45" s="4"/>
      <c r="D45" s="4"/>
      <c r="E45" s="4"/>
      <c r="F45" s="4"/>
      <c r="G45" s="4"/>
      <c r="H45" s="116">
        <f>'📋 Proyectos'!$E$3</f>
        <v>35</v>
      </c>
      <c r="I45" s="116" t="str">
        <f t="shared" si="2"/>
        <v/>
      </c>
      <c r="J45" s="4"/>
    </row>
    <row r="46" ht="15.0" customHeight="1">
      <c r="A46" s="4"/>
      <c r="B46" s="4"/>
      <c r="C46" s="4"/>
      <c r="D46" s="4"/>
      <c r="E46" s="4"/>
      <c r="F46" s="4"/>
      <c r="G46" s="4"/>
      <c r="H46" s="114">
        <f>'📋 Proyectos'!$E$3</f>
        <v>35</v>
      </c>
      <c r="I46" s="114" t="str">
        <f t="shared" si="2"/>
        <v/>
      </c>
      <c r="J46" s="4"/>
    </row>
    <row r="47" ht="15.0" customHeight="1">
      <c r="A47" s="4"/>
      <c r="B47" s="4"/>
      <c r="C47" s="4"/>
      <c r="D47" s="4"/>
      <c r="E47" s="4"/>
      <c r="F47" s="4"/>
      <c r="G47" s="4"/>
      <c r="H47" s="116">
        <f>'📋 Proyectos'!$E$3</f>
        <v>35</v>
      </c>
      <c r="I47" s="116" t="str">
        <f t="shared" si="2"/>
        <v/>
      </c>
      <c r="J47" s="4"/>
    </row>
    <row r="48" ht="15.0" customHeight="1">
      <c r="A48" s="4"/>
      <c r="B48" s="4"/>
      <c r="C48" s="4"/>
      <c r="D48" s="4"/>
      <c r="E48" s="4"/>
      <c r="F48" s="4"/>
      <c r="G48" s="4"/>
      <c r="H48" s="114">
        <f>'📋 Proyectos'!$E$3</f>
        <v>35</v>
      </c>
      <c r="I48" s="114" t="str">
        <f t="shared" si="2"/>
        <v/>
      </c>
      <c r="J48" s="4"/>
    </row>
    <row r="49" ht="15.0" customHeight="1">
      <c r="A49" s="4"/>
      <c r="B49" s="4"/>
      <c r="C49" s="4"/>
      <c r="D49" s="4"/>
      <c r="E49" s="4"/>
      <c r="F49" s="4"/>
      <c r="G49" s="4"/>
      <c r="H49" s="116">
        <f>'📋 Proyectos'!$E$3</f>
        <v>35</v>
      </c>
      <c r="I49" s="116" t="str">
        <f t="shared" si="2"/>
        <v/>
      </c>
      <c r="J49" s="4"/>
    </row>
    <row r="50" ht="15.0" customHeight="1">
      <c r="A50" s="4"/>
      <c r="B50" s="4"/>
      <c r="C50" s="4"/>
      <c r="D50" s="4"/>
      <c r="E50" s="4"/>
      <c r="F50" s="4"/>
      <c r="G50" s="4"/>
      <c r="H50" s="114">
        <f>'📋 Proyectos'!$E$3</f>
        <v>35</v>
      </c>
      <c r="I50" s="114" t="str">
        <f t="shared" si="2"/>
        <v/>
      </c>
      <c r="J50" s="4"/>
    </row>
    <row r="51" ht="15.0" customHeight="1">
      <c r="A51" s="4"/>
      <c r="B51" s="4"/>
      <c r="C51" s="4"/>
      <c r="D51" s="4"/>
      <c r="E51" s="4"/>
      <c r="F51" s="4"/>
      <c r="G51" s="4"/>
      <c r="H51" s="116">
        <f>'📋 Proyectos'!$E$3</f>
        <v>35</v>
      </c>
      <c r="I51" s="116" t="str">
        <f t="shared" si="2"/>
        <v/>
      </c>
      <c r="J51" s="4"/>
    </row>
    <row r="52" ht="15.0" customHeight="1">
      <c r="A52" s="4"/>
      <c r="B52" s="4"/>
      <c r="C52" s="4"/>
      <c r="D52" s="4"/>
      <c r="E52" s="4"/>
      <c r="F52" s="4"/>
      <c r="G52" s="4"/>
      <c r="H52" s="114">
        <f>'📋 Proyectos'!$E$3</f>
        <v>35</v>
      </c>
      <c r="I52" s="114" t="str">
        <f t="shared" si="2"/>
        <v/>
      </c>
      <c r="J52" s="4"/>
    </row>
    <row r="53" ht="15.0" customHeight="1">
      <c r="A53" s="4"/>
      <c r="B53" s="4"/>
      <c r="C53" s="4"/>
      <c r="D53" s="4"/>
      <c r="E53" s="4"/>
      <c r="F53" s="4"/>
      <c r="G53" s="4"/>
      <c r="H53" s="116">
        <f>'📋 Proyectos'!$E$3</f>
        <v>35</v>
      </c>
      <c r="I53" s="116" t="str">
        <f t="shared" si="2"/>
        <v/>
      </c>
      <c r="J53" s="4"/>
    </row>
    <row r="54" ht="15.0" customHeight="1">
      <c r="A54" s="4"/>
      <c r="B54" s="4"/>
      <c r="C54" s="4"/>
      <c r="D54" s="4"/>
      <c r="E54" s="4"/>
      <c r="F54" s="4"/>
      <c r="G54" s="4"/>
      <c r="H54" s="114">
        <f>'📋 Proyectos'!$E$3</f>
        <v>35</v>
      </c>
      <c r="I54" s="114" t="str">
        <f t="shared" si="2"/>
        <v/>
      </c>
      <c r="J54" s="4"/>
    </row>
    <row r="55" ht="15.0" customHeight="1">
      <c r="A55" s="4"/>
      <c r="B55" s="4"/>
      <c r="C55" s="4"/>
      <c r="D55" s="4"/>
      <c r="E55" s="4"/>
      <c r="F55" s="4"/>
      <c r="G55" s="4"/>
      <c r="H55" s="116">
        <f>'📋 Proyectos'!$E$3</f>
        <v>35</v>
      </c>
      <c r="I55" s="116" t="str">
        <f t="shared" si="2"/>
        <v/>
      </c>
      <c r="J55" s="4"/>
    </row>
    <row r="56" ht="15.0" customHeight="1">
      <c r="A56" s="4"/>
      <c r="B56" s="4"/>
      <c r="C56" s="4"/>
      <c r="D56" s="4"/>
      <c r="E56" s="4"/>
      <c r="F56" s="4"/>
      <c r="G56" s="4"/>
      <c r="H56" s="114">
        <f>'📋 Proyectos'!$E$3</f>
        <v>35</v>
      </c>
      <c r="I56" s="114" t="str">
        <f t="shared" si="2"/>
        <v/>
      </c>
      <c r="J56" s="4"/>
    </row>
    <row r="57" ht="15.0" customHeight="1">
      <c r="A57" s="4"/>
      <c r="B57" s="4"/>
      <c r="C57" s="4"/>
      <c r="D57" s="4"/>
      <c r="E57" s="4"/>
      <c r="F57" s="4"/>
      <c r="G57" s="4"/>
      <c r="H57" s="116">
        <f>'📋 Proyectos'!$E$3</f>
        <v>35</v>
      </c>
      <c r="I57" s="116" t="str">
        <f t="shared" si="2"/>
        <v/>
      </c>
      <c r="J57" s="4"/>
    </row>
    <row r="58" ht="15.0" customHeight="1">
      <c r="A58" s="4"/>
      <c r="B58" s="4"/>
      <c r="C58" s="4"/>
      <c r="D58" s="4"/>
      <c r="E58" s="4"/>
      <c r="F58" s="4"/>
      <c r="G58" s="4"/>
      <c r="H58" s="114">
        <f>'📋 Proyectos'!$E$3</f>
        <v>35</v>
      </c>
      <c r="I58" s="114" t="str">
        <f t="shared" si="2"/>
        <v/>
      </c>
      <c r="J58" s="4"/>
    </row>
    <row r="59" ht="15.0" customHeight="1">
      <c r="A59" s="4"/>
      <c r="B59" s="4"/>
      <c r="C59" s="4"/>
      <c r="D59" s="4"/>
      <c r="E59" s="4"/>
      <c r="F59" s="4"/>
      <c r="G59" s="4"/>
      <c r="H59" s="116">
        <f>'📋 Proyectos'!$E$3</f>
        <v>35</v>
      </c>
      <c r="I59" s="116" t="str">
        <f t="shared" si="2"/>
        <v/>
      </c>
      <c r="J59" s="4"/>
    </row>
    <row r="60" ht="15.0" customHeight="1">
      <c r="A60" s="4"/>
      <c r="B60" s="4"/>
      <c r="C60" s="4"/>
      <c r="D60" s="4"/>
      <c r="E60" s="4"/>
      <c r="F60" s="4"/>
      <c r="G60" s="4"/>
      <c r="H60" s="114">
        <f>'📋 Proyectos'!$E$3</f>
        <v>35</v>
      </c>
      <c r="I60" s="114" t="str">
        <f t="shared" si="2"/>
        <v/>
      </c>
      <c r="J60" s="4"/>
    </row>
    <row r="61" ht="15.0" customHeight="1">
      <c r="A61" s="4"/>
      <c r="B61" s="4"/>
      <c r="C61" s="4"/>
      <c r="D61" s="4"/>
      <c r="E61" s="4"/>
      <c r="F61" s="4"/>
      <c r="G61" s="4"/>
      <c r="H61" s="116">
        <f>'📋 Proyectos'!$E$3</f>
        <v>35</v>
      </c>
      <c r="I61" s="116" t="str">
        <f t="shared" si="2"/>
        <v/>
      </c>
      <c r="J61" s="4"/>
    </row>
    <row r="62" ht="15.0" customHeight="1">
      <c r="A62" s="4"/>
      <c r="B62" s="4"/>
      <c r="C62" s="4"/>
      <c r="D62" s="4"/>
      <c r="E62" s="4"/>
      <c r="F62" s="4"/>
      <c r="G62" s="4"/>
      <c r="H62" s="114">
        <f>'📋 Proyectos'!$E$3</f>
        <v>35</v>
      </c>
      <c r="I62" s="114" t="str">
        <f t="shared" si="2"/>
        <v/>
      </c>
      <c r="J62" s="4"/>
    </row>
    <row r="63" ht="15.0" customHeight="1">
      <c r="A63" s="4"/>
      <c r="B63" s="4"/>
      <c r="C63" s="4"/>
      <c r="D63" s="4"/>
      <c r="E63" s="4"/>
      <c r="F63" s="4"/>
      <c r="G63" s="4"/>
      <c r="H63" s="116">
        <f>'📋 Proyectos'!$E$3</f>
        <v>35</v>
      </c>
      <c r="I63" s="116" t="str">
        <f t="shared" si="2"/>
        <v/>
      </c>
      <c r="J63" s="4"/>
    </row>
    <row r="64" ht="15.0" customHeight="1">
      <c r="A64" s="4"/>
      <c r="B64" s="4"/>
      <c r="C64" s="4"/>
      <c r="D64" s="4"/>
      <c r="E64" s="4"/>
      <c r="F64" s="4"/>
      <c r="G64" s="4"/>
      <c r="H64" s="114">
        <f>'📋 Proyectos'!$E$3</f>
        <v>35</v>
      </c>
      <c r="I64" s="114" t="str">
        <f t="shared" si="2"/>
        <v/>
      </c>
      <c r="J64" s="4"/>
    </row>
    <row r="65" ht="15.0" customHeight="1">
      <c r="A65" s="4"/>
      <c r="B65" s="4"/>
      <c r="C65" s="4"/>
      <c r="D65" s="4"/>
      <c r="E65" s="4"/>
      <c r="F65" s="4"/>
      <c r="G65" s="4"/>
      <c r="H65" s="116">
        <f>'📋 Proyectos'!$E$3</f>
        <v>35</v>
      </c>
      <c r="I65" s="116" t="str">
        <f t="shared" si="2"/>
        <v/>
      </c>
      <c r="J65" s="4"/>
    </row>
    <row r="66" ht="15.0" customHeight="1">
      <c r="A66" s="4"/>
      <c r="B66" s="4"/>
      <c r="C66" s="4"/>
      <c r="D66" s="4"/>
      <c r="E66" s="4"/>
      <c r="F66" s="4"/>
      <c r="G66" s="4"/>
      <c r="H66" s="114">
        <f>'📋 Proyectos'!$E$3</f>
        <v>35</v>
      </c>
      <c r="I66" s="114" t="str">
        <f t="shared" si="2"/>
        <v/>
      </c>
      <c r="J66" s="4"/>
    </row>
    <row r="67" ht="15.0" customHeight="1">
      <c r="A67" s="4"/>
      <c r="B67" s="4"/>
      <c r="C67" s="4"/>
      <c r="D67" s="4"/>
      <c r="E67" s="4"/>
      <c r="F67" s="4"/>
      <c r="G67" s="4"/>
      <c r="H67" s="116">
        <f>'📋 Proyectos'!$E$3</f>
        <v>35</v>
      </c>
      <c r="I67" s="116" t="str">
        <f t="shared" si="2"/>
        <v/>
      </c>
      <c r="J67" s="4"/>
    </row>
    <row r="68" ht="15.0" customHeight="1">
      <c r="A68" s="4"/>
      <c r="B68" s="4"/>
      <c r="C68" s="4"/>
      <c r="D68" s="4"/>
      <c r="E68" s="4"/>
      <c r="F68" s="4"/>
      <c r="G68" s="4"/>
      <c r="H68" s="114">
        <f>'📋 Proyectos'!$E$3</f>
        <v>35</v>
      </c>
      <c r="I68" s="114" t="str">
        <f t="shared" si="2"/>
        <v/>
      </c>
      <c r="J68" s="4"/>
    </row>
    <row r="69" ht="15.0" customHeight="1">
      <c r="A69" s="4"/>
      <c r="B69" s="4"/>
      <c r="C69" s="4"/>
      <c r="D69" s="4"/>
      <c r="E69" s="4"/>
      <c r="F69" s="4"/>
      <c r="G69" s="4"/>
      <c r="H69" s="116">
        <f>'📋 Proyectos'!$E$3</f>
        <v>35</v>
      </c>
      <c r="I69" s="116" t="str">
        <f t="shared" si="2"/>
        <v/>
      </c>
      <c r="J69" s="4"/>
    </row>
    <row r="70" ht="15.0" customHeight="1">
      <c r="A70" s="4"/>
      <c r="B70" s="4"/>
      <c r="C70" s="4"/>
      <c r="D70" s="4"/>
      <c r="E70" s="4"/>
      <c r="F70" s="4"/>
      <c r="G70" s="4"/>
      <c r="H70" s="114">
        <f>'📋 Proyectos'!$E$3</f>
        <v>35</v>
      </c>
      <c r="I70" s="114" t="str">
        <f t="shared" si="2"/>
        <v/>
      </c>
      <c r="J70" s="4"/>
    </row>
    <row r="71" ht="15.0" customHeight="1">
      <c r="A71" s="4"/>
      <c r="B71" s="4"/>
      <c r="C71" s="4"/>
      <c r="D71" s="4"/>
      <c r="E71" s="4"/>
      <c r="F71" s="4"/>
      <c r="G71" s="4"/>
      <c r="H71" s="116">
        <f>'📋 Proyectos'!$E$3</f>
        <v>35</v>
      </c>
      <c r="I71" s="116" t="str">
        <f t="shared" si="2"/>
        <v/>
      </c>
      <c r="J71" s="4"/>
    </row>
    <row r="72" ht="15.0" customHeight="1">
      <c r="A72" s="4"/>
      <c r="B72" s="4"/>
      <c r="C72" s="4"/>
      <c r="D72" s="4"/>
      <c r="E72" s="4"/>
      <c r="F72" s="4"/>
      <c r="G72" s="4"/>
      <c r="H72" s="114">
        <f>'📋 Proyectos'!$E$3</f>
        <v>35</v>
      </c>
      <c r="I72" s="114" t="str">
        <f t="shared" si="2"/>
        <v/>
      </c>
      <c r="J72" s="4"/>
    </row>
    <row r="73" ht="15.0" customHeight="1">
      <c r="A73" s="4"/>
      <c r="B73" s="4"/>
      <c r="C73" s="4"/>
      <c r="D73" s="4"/>
      <c r="E73" s="4"/>
      <c r="F73" s="4"/>
      <c r="G73" s="4"/>
      <c r="H73" s="116">
        <f>'📋 Proyectos'!$E$3</f>
        <v>35</v>
      </c>
      <c r="I73" s="116" t="str">
        <f t="shared" si="2"/>
        <v/>
      </c>
      <c r="J73" s="4"/>
    </row>
    <row r="74" ht="15.0" customHeight="1">
      <c r="A74" s="4"/>
      <c r="B74" s="4"/>
      <c r="C74" s="4"/>
      <c r="D74" s="4"/>
      <c r="E74" s="4"/>
      <c r="F74" s="4"/>
      <c r="G74" s="4"/>
      <c r="H74" s="114">
        <f>'📋 Proyectos'!$E$3</f>
        <v>35</v>
      </c>
      <c r="I74" s="114" t="str">
        <f t="shared" si="2"/>
        <v/>
      </c>
      <c r="J74" s="4"/>
    </row>
    <row r="75" ht="15.0" customHeight="1">
      <c r="A75" s="4"/>
      <c r="B75" s="4"/>
      <c r="C75" s="4"/>
      <c r="D75" s="4"/>
      <c r="E75" s="4"/>
      <c r="F75" s="4"/>
      <c r="G75" s="4"/>
      <c r="H75" s="116">
        <f>'📋 Proyectos'!$E$3</f>
        <v>35</v>
      </c>
      <c r="I75" s="116" t="str">
        <f t="shared" si="2"/>
        <v/>
      </c>
      <c r="J75" s="4"/>
    </row>
    <row r="76" ht="15.0" customHeight="1">
      <c r="A76" s="4"/>
      <c r="B76" s="4"/>
      <c r="C76" s="4"/>
      <c r="D76" s="4"/>
      <c r="E76" s="4"/>
      <c r="F76" s="4"/>
      <c r="G76" s="4"/>
      <c r="H76" s="114">
        <f>'📋 Proyectos'!$E$3</f>
        <v>35</v>
      </c>
      <c r="I76" s="114" t="str">
        <f t="shared" si="2"/>
        <v/>
      </c>
      <c r="J76" s="4"/>
    </row>
    <row r="77" ht="15.0" customHeight="1">
      <c r="A77" s="4"/>
      <c r="B77" s="4"/>
      <c r="C77" s="4"/>
      <c r="D77" s="4"/>
      <c r="E77" s="4"/>
      <c r="F77" s="4"/>
      <c r="G77" s="4"/>
      <c r="H77" s="116">
        <f>'📋 Proyectos'!$E$3</f>
        <v>35</v>
      </c>
      <c r="I77" s="116" t="str">
        <f t="shared" si="2"/>
        <v/>
      </c>
      <c r="J77" s="4"/>
    </row>
    <row r="78" ht="15.0" customHeight="1">
      <c r="A78" s="4"/>
      <c r="B78" s="4"/>
      <c r="C78" s="4"/>
      <c r="D78" s="4"/>
      <c r="E78" s="4"/>
      <c r="F78" s="4"/>
      <c r="G78" s="4"/>
      <c r="H78" s="114">
        <f>'📋 Proyectos'!$E$3</f>
        <v>35</v>
      </c>
      <c r="I78" s="114" t="str">
        <f t="shared" si="2"/>
        <v/>
      </c>
      <c r="J78" s="4"/>
    </row>
    <row r="79" ht="15.0" customHeight="1">
      <c r="A79" s="4"/>
      <c r="B79" s="4"/>
      <c r="C79" s="4"/>
      <c r="D79" s="4"/>
      <c r="E79" s="4"/>
      <c r="F79" s="4"/>
      <c r="G79" s="4"/>
      <c r="H79" s="116">
        <f>'📋 Proyectos'!$E$3</f>
        <v>35</v>
      </c>
      <c r="I79" s="116" t="str">
        <f t="shared" si="2"/>
        <v/>
      </c>
      <c r="J79" s="4"/>
    </row>
    <row r="80" ht="15.0" customHeight="1">
      <c r="A80" s="4"/>
      <c r="B80" s="4"/>
      <c r="C80" s="4"/>
      <c r="D80" s="4"/>
      <c r="E80" s="4"/>
      <c r="F80" s="4"/>
      <c r="G80" s="4"/>
      <c r="H80" s="114">
        <f>'📋 Proyectos'!$E$3</f>
        <v>35</v>
      </c>
      <c r="I80" s="114" t="str">
        <f t="shared" si="2"/>
        <v/>
      </c>
      <c r="J80" s="4"/>
    </row>
    <row r="81" ht="15.0" customHeight="1">
      <c r="A81" s="4"/>
      <c r="B81" s="4"/>
      <c r="C81" s="4"/>
      <c r="D81" s="4"/>
      <c r="E81" s="4"/>
      <c r="F81" s="4"/>
      <c r="G81" s="4"/>
      <c r="H81" s="116">
        <f>'📋 Proyectos'!$E$3</f>
        <v>35</v>
      </c>
      <c r="I81" s="116" t="str">
        <f t="shared" si="2"/>
        <v/>
      </c>
      <c r="J81" s="4"/>
    </row>
    <row r="82" ht="15.0" customHeight="1">
      <c r="A82" s="4"/>
      <c r="B82" s="4"/>
      <c r="C82" s="4"/>
      <c r="D82" s="4"/>
      <c r="E82" s="4"/>
      <c r="F82" s="4"/>
      <c r="G82" s="4"/>
      <c r="H82" s="114">
        <f>'📋 Proyectos'!$E$3</f>
        <v>35</v>
      </c>
      <c r="I82" s="114" t="str">
        <f t="shared" si="2"/>
        <v/>
      </c>
      <c r="J82" s="4"/>
    </row>
    <row r="83" ht="15.0" customHeight="1">
      <c r="A83" s="4"/>
      <c r="B83" s="4"/>
      <c r="C83" s="4"/>
      <c r="D83" s="4"/>
      <c r="E83" s="4"/>
      <c r="F83" s="4"/>
      <c r="G83" s="4"/>
      <c r="H83" s="116">
        <f>'📋 Proyectos'!$E$3</f>
        <v>35</v>
      </c>
      <c r="I83" s="116" t="str">
        <f t="shared" si="2"/>
        <v/>
      </c>
      <c r="J83" s="4"/>
    </row>
    <row r="84" ht="15.0" customHeight="1">
      <c r="A84" s="4"/>
      <c r="B84" s="4"/>
      <c r="C84" s="4"/>
      <c r="D84" s="4"/>
      <c r="E84" s="4"/>
      <c r="F84" s="4"/>
      <c r="G84" s="4"/>
      <c r="H84" s="114">
        <f>'📋 Proyectos'!$E$3</f>
        <v>35</v>
      </c>
      <c r="I84" s="114" t="str">
        <f t="shared" si="2"/>
        <v/>
      </c>
      <c r="J84" s="4"/>
    </row>
    <row r="85" ht="15.0" customHeight="1">
      <c r="A85" s="4"/>
      <c r="B85" s="4"/>
      <c r="C85" s="4"/>
      <c r="D85" s="4"/>
      <c r="E85" s="4"/>
      <c r="F85" s="4"/>
      <c r="G85" s="4"/>
      <c r="H85" s="116">
        <f>'📋 Proyectos'!$E$3</f>
        <v>35</v>
      </c>
      <c r="I85" s="116" t="str">
        <f t="shared" si="2"/>
        <v/>
      </c>
      <c r="J85" s="4"/>
    </row>
    <row r="86" ht="15.0" customHeight="1">
      <c r="A86" s="4"/>
      <c r="B86" s="4"/>
      <c r="C86" s="4"/>
      <c r="D86" s="4"/>
      <c r="E86" s="4"/>
      <c r="F86" s="4"/>
      <c r="G86" s="4"/>
      <c r="H86" s="114">
        <f>'📋 Proyectos'!$E$3</f>
        <v>35</v>
      </c>
      <c r="I86" s="114" t="str">
        <f t="shared" si="2"/>
        <v/>
      </c>
      <c r="J86" s="4"/>
    </row>
    <row r="87" ht="15.0" customHeight="1">
      <c r="A87" s="4"/>
      <c r="B87" s="4"/>
      <c r="C87" s="4"/>
      <c r="D87" s="4"/>
      <c r="E87" s="4"/>
      <c r="F87" s="4"/>
      <c r="G87" s="4"/>
      <c r="H87" s="116">
        <f>'📋 Proyectos'!$E$3</f>
        <v>35</v>
      </c>
      <c r="I87" s="116" t="str">
        <f t="shared" si="2"/>
        <v/>
      </c>
      <c r="J87" s="4"/>
    </row>
    <row r="88" ht="15.0" customHeight="1">
      <c r="A88" s="4"/>
      <c r="B88" s="4"/>
      <c r="C88" s="4"/>
      <c r="D88" s="4"/>
      <c r="E88" s="4"/>
      <c r="F88" s="4"/>
      <c r="G88" s="4"/>
      <c r="H88" s="114">
        <f>'📋 Proyectos'!$E$3</f>
        <v>35</v>
      </c>
      <c r="I88" s="114" t="str">
        <f t="shared" si="2"/>
        <v/>
      </c>
      <c r="J88" s="4"/>
    </row>
    <row r="89" ht="15.0" customHeight="1">
      <c r="A89" s="4"/>
      <c r="B89" s="4"/>
      <c r="C89" s="4"/>
      <c r="D89" s="4"/>
      <c r="E89" s="4"/>
      <c r="F89" s="4"/>
      <c r="G89" s="4"/>
      <c r="H89" s="116">
        <f>'📋 Proyectos'!$E$3</f>
        <v>35</v>
      </c>
      <c r="I89" s="116" t="str">
        <f t="shared" si="2"/>
        <v/>
      </c>
      <c r="J89" s="4"/>
    </row>
    <row r="90" ht="15.0" customHeight="1">
      <c r="A90" s="4"/>
      <c r="B90" s="4"/>
      <c r="C90" s="4"/>
      <c r="D90" s="4"/>
      <c r="E90" s="4"/>
      <c r="F90" s="4"/>
      <c r="G90" s="4"/>
      <c r="H90" s="114">
        <f>'📋 Proyectos'!$E$3</f>
        <v>35</v>
      </c>
      <c r="I90" s="114" t="str">
        <f t="shared" si="2"/>
        <v/>
      </c>
      <c r="J90" s="4"/>
    </row>
    <row r="91" ht="15.0" customHeight="1">
      <c r="A91" s="4"/>
      <c r="B91" s="4"/>
      <c r="C91" s="4"/>
      <c r="D91" s="4"/>
      <c r="E91" s="4"/>
      <c r="F91" s="4"/>
      <c r="G91" s="4"/>
      <c r="H91" s="116">
        <f>'📋 Proyectos'!$E$3</f>
        <v>35</v>
      </c>
      <c r="I91" s="116" t="str">
        <f t="shared" si="2"/>
        <v/>
      </c>
      <c r="J91" s="4"/>
    </row>
    <row r="92" ht="15.0" customHeight="1">
      <c r="A92" s="4"/>
      <c r="B92" s="4"/>
      <c r="C92" s="4"/>
      <c r="D92" s="4"/>
      <c r="E92" s="4"/>
      <c r="F92" s="4"/>
      <c r="G92" s="4"/>
      <c r="H92" s="114">
        <f>'📋 Proyectos'!$E$3</f>
        <v>35</v>
      </c>
      <c r="I92" s="114" t="str">
        <f t="shared" si="2"/>
        <v/>
      </c>
      <c r="J92" s="4"/>
    </row>
    <row r="93" ht="15.0" customHeight="1">
      <c r="A93" s="4"/>
      <c r="B93" s="4"/>
      <c r="C93" s="4"/>
      <c r="D93" s="4"/>
      <c r="E93" s="4"/>
      <c r="F93" s="4"/>
      <c r="G93" s="4"/>
      <c r="H93" s="116">
        <f>'📋 Proyectos'!$E$3</f>
        <v>35</v>
      </c>
      <c r="I93" s="116" t="str">
        <f t="shared" si="2"/>
        <v/>
      </c>
      <c r="J93" s="4"/>
    </row>
    <row r="94" ht="15.0" customHeight="1">
      <c r="A94" s="4"/>
      <c r="B94" s="4"/>
      <c r="C94" s="4"/>
      <c r="D94" s="4"/>
      <c r="E94" s="4"/>
      <c r="F94" s="4"/>
      <c r="G94" s="4"/>
      <c r="H94" s="114">
        <f>'📋 Proyectos'!$E$3</f>
        <v>35</v>
      </c>
      <c r="I94" s="114" t="str">
        <f t="shared" si="2"/>
        <v/>
      </c>
      <c r="J94" s="4"/>
    </row>
    <row r="95" ht="15.0" customHeight="1">
      <c r="A95" s="4"/>
      <c r="B95" s="4"/>
      <c r="C95" s="4"/>
      <c r="D95" s="4"/>
      <c r="E95" s="4"/>
      <c r="F95" s="4"/>
      <c r="G95" s="4"/>
      <c r="H95" s="116">
        <f>'📋 Proyectos'!$E$3</f>
        <v>35</v>
      </c>
      <c r="I95" s="116" t="str">
        <f t="shared" si="2"/>
        <v/>
      </c>
      <c r="J95" s="4"/>
    </row>
    <row r="96" ht="15.0" customHeight="1">
      <c r="A96" s="4"/>
      <c r="B96" s="4"/>
      <c r="C96" s="4"/>
      <c r="D96" s="4"/>
      <c r="E96" s="4"/>
      <c r="F96" s="4"/>
      <c r="G96" s="4"/>
      <c r="H96" s="114">
        <f>'📋 Proyectos'!$E$3</f>
        <v>35</v>
      </c>
      <c r="I96" s="114" t="str">
        <f t="shared" si="2"/>
        <v/>
      </c>
      <c r="J96" s="4"/>
    </row>
    <row r="97" ht="15.0" customHeight="1">
      <c r="A97" s="4"/>
      <c r="B97" s="4"/>
      <c r="C97" s="4"/>
      <c r="D97" s="4"/>
      <c r="E97" s="4"/>
      <c r="F97" s="4"/>
      <c r="G97" s="4"/>
      <c r="H97" s="116">
        <f>'📋 Proyectos'!$E$3</f>
        <v>35</v>
      </c>
      <c r="I97" s="116" t="str">
        <f t="shared" si="2"/>
        <v/>
      </c>
      <c r="J97" s="4"/>
    </row>
    <row r="98" ht="15.0" customHeight="1">
      <c r="A98" s="4"/>
      <c r="B98" s="4"/>
      <c r="C98" s="4"/>
      <c r="D98" s="4"/>
      <c r="E98" s="4"/>
      <c r="F98" s="4"/>
      <c r="G98" s="4"/>
      <c r="H98" s="114">
        <f>'📋 Proyectos'!$E$3</f>
        <v>35</v>
      </c>
      <c r="I98" s="114" t="str">
        <f t="shared" si="2"/>
        <v/>
      </c>
      <c r="J98" s="4"/>
    </row>
    <row r="99" ht="15.0" customHeight="1">
      <c r="A99" s="4"/>
      <c r="B99" s="4"/>
      <c r="C99" s="4"/>
      <c r="D99" s="4"/>
      <c r="E99" s="4"/>
      <c r="F99" s="4"/>
      <c r="G99" s="4"/>
      <c r="H99" s="116">
        <f>'📋 Proyectos'!$E$3</f>
        <v>35</v>
      </c>
      <c r="I99" s="116" t="str">
        <f t="shared" si="2"/>
        <v/>
      </c>
      <c r="J99" s="4"/>
    </row>
    <row r="100" ht="15.0" customHeight="1">
      <c r="A100" s="4"/>
      <c r="B100" s="4"/>
      <c r="C100" s="4"/>
      <c r="D100" s="4"/>
      <c r="E100" s="4"/>
      <c r="F100" s="4"/>
      <c r="G100" s="4"/>
      <c r="H100" s="114">
        <f>'📋 Proyectos'!$E$3</f>
        <v>35</v>
      </c>
      <c r="I100" s="114" t="str">
        <f t="shared" si="2"/>
        <v/>
      </c>
      <c r="J100" s="4"/>
    </row>
    <row r="101" ht="15.0" customHeight="1">
      <c r="A101" s="4"/>
      <c r="B101" s="4"/>
      <c r="C101" s="4"/>
      <c r="D101" s="4"/>
      <c r="E101" s="4"/>
      <c r="F101" s="4"/>
      <c r="G101" s="4"/>
      <c r="H101" s="116">
        <f>'📋 Proyectos'!$E$3</f>
        <v>35</v>
      </c>
      <c r="I101" s="116" t="str">
        <f t="shared" si="2"/>
        <v/>
      </c>
      <c r="J101" s="4"/>
    </row>
    <row r="102" ht="15.0" customHeight="1">
      <c r="A102" s="4"/>
      <c r="B102" s="4"/>
      <c r="C102" s="4"/>
      <c r="D102" s="4"/>
      <c r="E102" s="4"/>
      <c r="F102" s="4"/>
      <c r="G102" s="4"/>
      <c r="H102" s="114">
        <f>'📋 Proyectos'!$E$3</f>
        <v>35</v>
      </c>
      <c r="I102" s="114" t="str">
        <f t="shared" si="2"/>
        <v/>
      </c>
      <c r="J102" s="4"/>
    </row>
    <row r="103" ht="15.0" customHeight="1">
      <c r="A103" s="4"/>
      <c r="B103" s="4"/>
      <c r="C103" s="4"/>
      <c r="D103" s="4"/>
      <c r="E103" s="4"/>
      <c r="F103" s="4"/>
      <c r="G103" s="4"/>
      <c r="H103" s="116">
        <f>'📋 Proyectos'!$E$3</f>
        <v>35</v>
      </c>
      <c r="I103" s="116" t="str">
        <f t="shared" si="2"/>
        <v/>
      </c>
      <c r="J103" s="4"/>
    </row>
    <row r="104" ht="15.0" customHeight="1">
      <c r="A104" s="4"/>
      <c r="B104" s="4"/>
      <c r="C104" s="4"/>
      <c r="D104" s="4"/>
      <c r="E104" s="4"/>
      <c r="F104" s="4"/>
      <c r="G104" s="4"/>
      <c r="H104" s="114">
        <f>'📋 Proyectos'!$E$3</f>
        <v>35</v>
      </c>
      <c r="I104" s="114" t="str">
        <f t="shared" si="2"/>
        <v/>
      </c>
      <c r="J104" s="4"/>
    </row>
    <row r="105" ht="15.0" customHeight="1">
      <c r="A105" s="4"/>
      <c r="B105" s="4"/>
      <c r="C105" s="4"/>
      <c r="D105" s="4"/>
      <c r="E105" s="4"/>
      <c r="F105" s="4"/>
      <c r="G105" s="4"/>
      <c r="H105" s="116">
        <f>'📋 Proyectos'!$E$3</f>
        <v>35</v>
      </c>
      <c r="I105" s="116" t="str">
        <f t="shared" si="2"/>
        <v/>
      </c>
      <c r="J105" s="4"/>
    </row>
    <row r="106" ht="15.0" customHeight="1">
      <c r="A106" s="4"/>
      <c r="B106" s="4"/>
      <c r="C106" s="4"/>
      <c r="D106" s="4"/>
      <c r="E106" s="4"/>
      <c r="F106" s="4"/>
      <c r="G106" s="4"/>
      <c r="H106" s="114">
        <f>'📋 Proyectos'!$E$3</f>
        <v>35</v>
      </c>
      <c r="I106" s="114" t="str">
        <f t="shared" si="2"/>
        <v/>
      </c>
      <c r="J106" s="4"/>
    </row>
    <row r="107" ht="15.0" customHeight="1">
      <c r="A107" s="4"/>
      <c r="B107" s="4"/>
      <c r="C107" s="4"/>
      <c r="D107" s="4"/>
      <c r="E107" s="4"/>
      <c r="F107" s="4"/>
      <c r="G107" s="4"/>
      <c r="H107" s="116">
        <f>'📋 Proyectos'!$E$3</f>
        <v>35</v>
      </c>
      <c r="I107" s="116" t="str">
        <f t="shared" si="2"/>
        <v/>
      </c>
      <c r="J107" s="4"/>
    </row>
    <row r="108" ht="15.0" customHeight="1">
      <c r="A108" s="4"/>
      <c r="B108" s="4"/>
      <c r="C108" s="4"/>
      <c r="D108" s="4"/>
      <c r="E108" s="4"/>
      <c r="F108" s="4"/>
      <c r="G108" s="4"/>
      <c r="H108" s="114">
        <f>'📋 Proyectos'!$E$3</f>
        <v>35</v>
      </c>
      <c r="I108" s="114" t="str">
        <f t="shared" si="2"/>
        <v/>
      </c>
      <c r="J108" s="4"/>
    </row>
    <row r="109" ht="15.0" customHeight="1">
      <c r="A109" s="4"/>
      <c r="B109" s="4"/>
      <c r="C109" s="4"/>
      <c r="D109" s="4"/>
      <c r="E109" s="4"/>
      <c r="F109" s="4"/>
      <c r="G109" s="4"/>
      <c r="H109" s="116">
        <f>'📋 Proyectos'!$E$3</f>
        <v>35</v>
      </c>
      <c r="I109" s="116" t="str">
        <f t="shared" si="2"/>
        <v/>
      </c>
      <c r="J109" s="4"/>
    </row>
    <row r="110" ht="15.0" customHeight="1">
      <c r="A110" s="4"/>
      <c r="B110" s="4"/>
      <c r="C110" s="4"/>
      <c r="D110" s="4"/>
      <c r="E110" s="4"/>
      <c r="F110" s="4"/>
      <c r="G110" s="4"/>
      <c r="H110" s="114">
        <f>'📋 Proyectos'!$E$3</f>
        <v>35</v>
      </c>
      <c r="I110" s="114" t="str">
        <f t="shared" si="2"/>
        <v/>
      </c>
      <c r="J110" s="4"/>
    </row>
    <row r="111" ht="15.0" customHeight="1">
      <c r="A111" s="4"/>
      <c r="B111" s="4"/>
      <c r="C111" s="4"/>
      <c r="D111" s="4"/>
      <c r="E111" s="4"/>
      <c r="F111" s="4"/>
      <c r="G111" s="4"/>
      <c r="H111" s="116">
        <f>'📋 Proyectos'!$E$3</f>
        <v>35</v>
      </c>
      <c r="I111" s="116" t="str">
        <f t="shared" si="2"/>
        <v/>
      </c>
      <c r="J111" s="4"/>
    </row>
    <row r="112" ht="15.0" customHeight="1">
      <c r="A112" s="4"/>
      <c r="B112" s="4"/>
      <c r="C112" s="4"/>
      <c r="D112" s="4"/>
      <c r="E112" s="4"/>
      <c r="F112" s="4"/>
      <c r="G112" s="4"/>
      <c r="H112" s="114">
        <f>'📋 Proyectos'!$E$3</f>
        <v>35</v>
      </c>
      <c r="I112" s="114" t="str">
        <f t="shared" si="2"/>
        <v/>
      </c>
      <c r="J112" s="4"/>
    </row>
    <row r="113" ht="15.0" customHeight="1">
      <c r="A113" s="4"/>
      <c r="B113" s="4"/>
      <c r="C113" s="4"/>
      <c r="D113" s="4"/>
      <c r="E113" s="4"/>
      <c r="F113" s="4"/>
      <c r="G113" s="4"/>
      <c r="H113" s="116">
        <f>'📋 Proyectos'!$E$3</f>
        <v>35</v>
      </c>
      <c r="I113" s="116" t="str">
        <f t="shared" si="2"/>
        <v/>
      </c>
      <c r="J113" s="4"/>
    </row>
    <row r="114" ht="15.0" customHeight="1">
      <c r="A114" s="4"/>
      <c r="B114" s="4"/>
      <c r="C114" s="4"/>
      <c r="D114" s="4"/>
      <c r="E114" s="4"/>
      <c r="F114" s="4"/>
      <c r="G114" s="4"/>
      <c r="H114" s="114">
        <f>'📋 Proyectos'!$E$3</f>
        <v>35</v>
      </c>
      <c r="I114" s="114" t="str">
        <f t="shared" si="2"/>
        <v/>
      </c>
      <c r="J114" s="4"/>
    </row>
    <row r="115" ht="15.0" customHeight="1">
      <c r="A115" s="4"/>
      <c r="B115" s="4"/>
      <c r="C115" s="4"/>
      <c r="D115" s="4"/>
      <c r="E115" s="4"/>
      <c r="F115" s="4"/>
      <c r="G115" s="4"/>
      <c r="H115" s="116">
        <f>'📋 Proyectos'!$E$3</f>
        <v>35</v>
      </c>
      <c r="I115" s="116" t="str">
        <f t="shared" si="2"/>
        <v/>
      </c>
      <c r="J115" s="4"/>
    </row>
    <row r="116" ht="15.0" customHeight="1">
      <c r="A116" s="4"/>
      <c r="B116" s="4"/>
      <c r="C116" s="4"/>
      <c r="D116" s="4"/>
      <c r="E116" s="4"/>
      <c r="F116" s="4"/>
      <c r="G116" s="4"/>
      <c r="H116" s="114">
        <f>'📋 Proyectos'!$E$3</f>
        <v>35</v>
      </c>
      <c r="I116" s="114" t="str">
        <f t="shared" si="2"/>
        <v/>
      </c>
      <c r="J116" s="4"/>
    </row>
    <row r="117" ht="15.0" customHeight="1">
      <c r="A117" s="4"/>
      <c r="B117" s="4"/>
      <c r="C117" s="4"/>
      <c r="D117" s="4"/>
      <c r="E117" s="4"/>
      <c r="F117" s="4"/>
      <c r="G117" s="4"/>
      <c r="H117" s="116">
        <f>'📋 Proyectos'!$E$3</f>
        <v>35</v>
      </c>
      <c r="I117" s="116" t="str">
        <f t="shared" si="2"/>
        <v/>
      </c>
      <c r="J117" s="4"/>
    </row>
    <row r="118" ht="15.0" customHeight="1">
      <c r="A118" s="4"/>
      <c r="B118" s="4"/>
      <c r="C118" s="4"/>
      <c r="D118" s="4"/>
      <c r="E118" s="4"/>
      <c r="F118" s="4"/>
      <c r="G118" s="4"/>
      <c r="H118" s="114">
        <f>'📋 Proyectos'!$E$3</f>
        <v>35</v>
      </c>
      <c r="I118" s="114" t="str">
        <f t="shared" si="2"/>
        <v/>
      </c>
      <c r="J118" s="4"/>
    </row>
    <row r="119" ht="15.0" customHeight="1">
      <c r="A119" s="4"/>
      <c r="B119" s="4"/>
      <c r="C119" s="4"/>
      <c r="D119" s="4"/>
      <c r="E119" s="4"/>
      <c r="F119" s="4"/>
      <c r="G119" s="4"/>
      <c r="H119" s="116">
        <f>'📋 Proyectos'!$E$3</f>
        <v>35</v>
      </c>
      <c r="I119" s="116" t="str">
        <f t="shared" si="2"/>
        <v/>
      </c>
      <c r="J119" s="4"/>
    </row>
    <row r="120" ht="15.0" customHeight="1">
      <c r="A120" s="4"/>
      <c r="B120" s="4"/>
      <c r="C120" s="4"/>
      <c r="D120" s="4"/>
      <c r="E120" s="4"/>
      <c r="F120" s="4"/>
      <c r="G120" s="4"/>
      <c r="H120" s="114">
        <f>'📋 Proyectos'!$E$3</f>
        <v>35</v>
      </c>
      <c r="I120" s="114" t="str">
        <f t="shared" si="2"/>
        <v/>
      </c>
      <c r="J120" s="4"/>
    </row>
    <row r="121" ht="15.0" customHeight="1">
      <c r="A121" s="4"/>
      <c r="B121" s="4"/>
      <c r="C121" s="4"/>
      <c r="D121" s="4"/>
      <c r="E121" s="4"/>
      <c r="F121" s="4"/>
      <c r="G121" s="4"/>
      <c r="H121" s="116">
        <f>'📋 Proyectos'!$E$3</f>
        <v>35</v>
      </c>
      <c r="I121" s="116" t="str">
        <f t="shared" si="2"/>
        <v/>
      </c>
      <c r="J121" s="4"/>
    </row>
    <row r="122" ht="15.0" customHeight="1">
      <c r="A122" s="4"/>
      <c r="B122" s="4"/>
      <c r="C122" s="4"/>
      <c r="D122" s="4"/>
      <c r="E122" s="4"/>
      <c r="F122" s="4"/>
      <c r="G122" s="4"/>
      <c r="H122" s="114">
        <f>'📋 Proyectos'!$E$3</f>
        <v>35</v>
      </c>
      <c r="I122" s="114" t="str">
        <f t="shared" si="2"/>
        <v/>
      </c>
      <c r="J122" s="4"/>
    </row>
    <row r="123" ht="15.0" customHeight="1">
      <c r="A123" s="4"/>
      <c r="B123" s="4"/>
      <c r="C123" s="4"/>
      <c r="D123" s="4"/>
      <c r="E123" s="4"/>
      <c r="F123" s="4"/>
      <c r="G123" s="4"/>
      <c r="H123" s="116">
        <f>'📋 Proyectos'!$E$3</f>
        <v>35</v>
      </c>
      <c r="I123" s="116" t="str">
        <f t="shared" si="2"/>
        <v/>
      </c>
      <c r="J123" s="4"/>
    </row>
    <row r="124" ht="15.0" customHeight="1">
      <c r="A124" s="4"/>
      <c r="B124" s="4"/>
      <c r="C124" s="4"/>
      <c r="D124" s="4"/>
      <c r="E124" s="4"/>
      <c r="F124" s="4"/>
      <c r="G124" s="4"/>
      <c r="H124" s="114">
        <f>'📋 Proyectos'!$E$3</f>
        <v>35</v>
      </c>
      <c r="I124" s="114" t="str">
        <f t="shared" si="2"/>
        <v/>
      </c>
      <c r="J124" s="4"/>
    </row>
    <row r="125" ht="15.0" customHeight="1">
      <c r="A125" s="4"/>
      <c r="B125" s="4"/>
      <c r="C125" s="4"/>
      <c r="D125" s="4"/>
      <c r="E125" s="4"/>
      <c r="F125" s="4"/>
      <c r="G125" s="4"/>
      <c r="H125" s="116">
        <f>'📋 Proyectos'!$E$3</f>
        <v>35</v>
      </c>
      <c r="I125" s="116" t="str">
        <f t="shared" si="2"/>
        <v/>
      </c>
      <c r="J125" s="4"/>
    </row>
    <row r="126" ht="15.0" customHeight="1">
      <c r="A126" s="4"/>
      <c r="B126" s="4"/>
      <c r="C126" s="4"/>
      <c r="D126" s="4"/>
      <c r="E126" s="4"/>
      <c r="F126" s="4"/>
      <c r="G126" s="4"/>
      <c r="H126" s="114">
        <f>'📋 Proyectos'!$E$3</f>
        <v>35</v>
      </c>
      <c r="I126" s="114" t="str">
        <f t="shared" si="2"/>
        <v/>
      </c>
      <c r="J126" s="4"/>
    </row>
    <row r="127" ht="15.0" customHeight="1">
      <c r="A127" s="4"/>
      <c r="B127" s="4"/>
      <c r="C127" s="4"/>
      <c r="D127" s="4"/>
      <c r="E127" s="4"/>
      <c r="F127" s="4"/>
      <c r="G127" s="4"/>
      <c r="H127" s="116">
        <f>'📋 Proyectos'!$E$3</f>
        <v>35</v>
      </c>
      <c r="I127" s="116" t="str">
        <f t="shared" si="2"/>
        <v/>
      </c>
      <c r="J127" s="4"/>
    </row>
    <row r="128" ht="15.0" customHeight="1">
      <c r="A128" s="4"/>
      <c r="B128" s="4"/>
      <c r="C128" s="4"/>
      <c r="D128" s="4"/>
      <c r="E128" s="4"/>
      <c r="F128" s="4"/>
      <c r="G128" s="4"/>
      <c r="H128" s="114">
        <f>'📋 Proyectos'!$E$3</f>
        <v>35</v>
      </c>
      <c r="I128" s="114" t="str">
        <f t="shared" si="2"/>
        <v/>
      </c>
      <c r="J128" s="4"/>
    </row>
    <row r="129" ht="15.0" customHeight="1">
      <c r="A129" s="4"/>
      <c r="B129" s="4"/>
      <c r="C129" s="4"/>
      <c r="D129" s="4"/>
      <c r="E129" s="4"/>
      <c r="F129" s="4"/>
      <c r="G129" s="4"/>
      <c r="H129" s="116">
        <f>'📋 Proyectos'!$E$3</f>
        <v>35</v>
      </c>
      <c r="I129" s="116" t="str">
        <f t="shared" si="2"/>
        <v/>
      </c>
      <c r="J129" s="4"/>
    </row>
    <row r="130" ht="15.0" customHeight="1">
      <c r="A130" s="4"/>
      <c r="B130" s="4"/>
      <c r="C130" s="4"/>
      <c r="D130" s="4"/>
      <c r="E130" s="4"/>
      <c r="F130" s="4"/>
      <c r="G130" s="4"/>
      <c r="H130" s="114">
        <f>'📋 Proyectos'!$E$3</f>
        <v>35</v>
      </c>
      <c r="I130" s="114" t="str">
        <f t="shared" si="2"/>
        <v/>
      </c>
      <c r="J130" s="4"/>
    </row>
    <row r="131" ht="15.0" customHeight="1">
      <c r="A131" s="4"/>
      <c r="B131" s="4"/>
      <c r="C131" s="4"/>
      <c r="D131" s="4"/>
      <c r="E131" s="4"/>
      <c r="F131" s="4"/>
      <c r="G131" s="4"/>
      <c r="H131" s="116">
        <f>'📋 Proyectos'!$E$3</f>
        <v>35</v>
      </c>
      <c r="I131" s="116" t="str">
        <f t="shared" si="2"/>
        <v/>
      </c>
      <c r="J131" s="4"/>
    </row>
    <row r="132" ht="15.0" customHeight="1">
      <c r="A132" s="4"/>
      <c r="B132" s="4"/>
      <c r="C132" s="4"/>
      <c r="D132" s="4"/>
      <c r="E132" s="4"/>
      <c r="F132" s="4"/>
      <c r="G132" s="4"/>
      <c r="H132" s="114">
        <f>'📋 Proyectos'!$E$3</f>
        <v>35</v>
      </c>
      <c r="I132" s="114" t="str">
        <f t="shared" si="2"/>
        <v/>
      </c>
      <c r="J132" s="4"/>
    </row>
    <row r="133" ht="15.0" customHeight="1">
      <c r="A133" s="4"/>
      <c r="B133" s="4"/>
      <c r="C133" s="4"/>
      <c r="D133" s="4"/>
      <c r="E133" s="4"/>
      <c r="F133" s="4"/>
      <c r="G133" s="4"/>
      <c r="H133" s="116">
        <f>'📋 Proyectos'!$E$3</f>
        <v>35</v>
      </c>
      <c r="I133" s="116" t="str">
        <f t="shared" si="2"/>
        <v/>
      </c>
      <c r="J133" s="4"/>
    </row>
    <row r="134" ht="15.0" customHeight="1">
      <c r="A134" s="4"/>
      <c r="B134" s="4"/>
      <c r="C134" s="4"/>
      <c r="D134" s="4"/>
      <c r="E134" s="4"/>
      <c r="F134" s="4"/>
      <c r="G134" s="4"/>
      <c r="H134" s="114">
        <f>'📋 Proyectos'!$E$3</f>
        <v>35</v>
      </c>
      <c r="I134" s="114" t="str">
        <f t="shared" si="2"/>
        <v/>
      </c>
      <c r="J134" s="4"/>
    </row>
    <row r="135" ht="15.0" customHeight="1">
      <c r="A135" s="4"/>
      <c r="B135" s="4"/>
      <c r="C135" s="4"/>
      <c r="D135" s="4"/>
      <c r="E135" s="4"/>
      <c r="F135" s="4"/>
      <c r="G135" s="4"/>
      <c r="H135" s="116">
        <f>'📋 Proyectos'!$E$3</f>
        <v>35</v>
      </c>
      <c r="I135" s="116" t="str">
        <f t="shared" si="2"/>
        <v/>
      </c>
      <c r="J135" s="4"/>
    </row>
    <row r="136" ht="15.0" customHeight="1">
      <c r="A136" s="4"/>
      <c r="B136" s="4"/>
      <c r="C136" s="4"/>
      <c r="D136" s="4"/>
      <c r="E136" s="4"/>
      <c r="F136" s="4"/>
      <c r="G136" s="4"/>
      <c r="H136" s="114">
        <f>'📋 Proyectos'!$E$3</f>
        <v>35</v>
      </c>
      <c r="I136" s="114" t="str">
        <f t="shared" si="2"/>
        <v/>
      </c>
      <c r="J136" s="4"/>
    </row>
    <row r="137" ht="15.0" customHeight="1">
      <c r="A137" s="4"/>
      <c r="B137" s="4"/>
      <c r="C137" s="4"/>
      <c r="D137" s="4"/>
      <c r="E137" s="4"/>
      <c r="F137" s="4"/>
      <c r="G137" s="4"/>
      <c r="H137" s="116">
        <f>'📋 Proyectos'!$E$3</f>
        <v>35</v>
      </c>
      <c r="I137" s="116" t="str">
        <f t="shared" si="2"/>
        <v/>
      </c>
      <c r="J137" s="4"/>
    </row>
    <row r="138" ht="15.0" customHeight="1">
      <c r="A138" s="4"/>
      <c r="B138" s="4"/>
      <c r="C138" s="4"/>
      <c r="D138" s="4"/>
      <c r="E138" s="4"/>
      <c r="F138" s="4"/>
      <c r="G138" s="4"/>
      <c r="H138" s="114">
        <f>'📋 Proyectos'!$E$3</f>
        <v>35</v>
      </c>
      <c r="I138" s="114" t="str">
        <f t="shared" si="2"/>
        <v/>
      </c>
      <c r="J138" s="4"/>
    </row>
    <row r="139" ht="15.0" customHeight="1">
      <c r="A139" s="4"/>
      <c r="B139" s="4"/>
      <c r="C139" s="4"/>
      <c r="D139" s="4"/>
      <c r="E139" s="4"/>
      <c r="F139" s="4"/>
      <c r="G139" s="4"/>
      <c r="H139" s="116">
        <f>'📋 Proyectos'!$E$3</f>
        <v>35</v>
      </c>
      <c r="I139" s="116" t="str">
        <f t="shared" si="2"/>
        <v/>
      </c>
      <c r="J139" s="4"/>
    </row>
    <row r="140" ht="15.0" customHeight="1">
      <c r="A140" s="4"/>
      <c r="B140" s="4"/>
      <c r="C140" s="4"/>
      <c r="D140" s="4"/>
      <c r="E140" s="4"/>
      <c r="F140" s="4"/>
      <c r="G140" s="4"/>
      <c r="H140" s="114">
        <f>'📋 Proyectos'!$E$3</f>
        <v>35</v>
      </c>
      <c r="I140" s="114" t="str">
        <f t="shared" si="2"/>
        <v/>
      </c>
      <c r="J140" s="4"/>
    </row>
    <row r="141" ht="15.0" customHeight="1">
      <c r="A141" s="4"/>
      <c r="B141" s="4"/>
      <c r="C141" s="4"/>
      <c r="D141" s="4"/>
      <c r="E141" s="4"/>
      <c r="F141" s="4"/>
      <c r="G141" s="4"/>
      <c r="H141" s="116">
        <f>'📋 Proyectos'!$E$3</f>
        <v>35</v>
      </c>
      <c r="I141" s="116" t="str">
        <f t="shared" si="2"/>
        <v/>
      </c>
      <c r="J141" s="4"/>
    </row>
    <row r="142" ht="15.0" customHeight="1">
      <c r="A142" s="4"/>
      <c r="B142" s="4"/>
      <c r="C142" s="4"/>
      <c r="D142" s="4"/>
      <c r="E142" s="4"/>
      <c r="F142" s="4"/>
      <c r="G142" s="4"/>
      <c r="H142" s="114">
        <f>'📋 Proyectos'!$E$3</f>
        <v>35</v>
      </c>
      <c r="I142" s="114" t="str">
        <f t="shared" si="2"/>
        <v/>
      </c>
      <c r="J142" s="4"/>
    </row>
    <row r="143" ht="15.0" customHeight="1">
      <c r="A143" s="4"/>
      <c r="B143" s="4"/>
      <c r="C143" s="4"/>
      <c r="D143" s="4"/>
      <c r="E143" s="4"/>
      <c r="F143" s="4"/>
      <c r="G143" s="4"/>
      <c r="H143" s="116">
        <f>'📋 Proyectos'!$E$3</f>
        <v>35</v>
      </c>
      <c r="I143" s="116" t="str">
        <f t="shared" si="2"/>
        <v/>
      </c>
      <c r="J143" s="4"/>
    </row>
    <row r="144" ht="15.0" customHeight="1">
      <c r="A144" s="4"/>
      <c r="B144" s="4"/>
      <c r="C144" s="4"/>
      <c r="D144" s="4"/>
      <c r="E144" s="4"/>
      <c r="F144" s="4"/>
      <c r="G144" s="4"/>
      <c r="H144" s="114">
        <f>'📋 Proyectos'!$E$3</f>
        <v>35</v>
      </c>
      <c r="I144" s="114" t="str">
        <f t="shared" si="2"/>
        <v/>
      </c>
      <c r="J144" s="4"/>
    </row>
    <row r="145" ht="15.0" customHeight="1">
      <c r="A145" s="4"/>
      <c r="B145" s="4"/>
      <c r="C145" s="4"/>
      <c r="D145" s="4"/>
      <c r="E145" s="4"/>
      <c r="F145" s="4"/>
      <c r="G145" s="4"/>
      <c r="H145" s="116">
        <f>'📋 Proyectos'!$E$3</f>
        <v>35</v>
      </c>
      <c r="I145" s="116" t="str">
        <f t="shared" si="2"/>
        <v/>
      </c>
      <c r="J145" s="4"/>
    </row>
    <row r="146" ht="15.0" customHeight="1">
      <c r="A146" s="4"/>
      <c r="B146" s="4"/>
      <c r="C146" s="4"/>
      <c r="D146" s="4"/>
      <c r="E146" s="4"/>
      <c r="F146" s="4"/>
      <c r="G146" s="4"/>
      <c r="H146" s="114">
        <f>'📋 Proyectos'!$E$3</f>
        <v>35</v>
      </c>
      <c r="I146" s="114" t="str">
        <f t="shared" si="2"/>
        <v/>
      </c>
      <c r="J146" s="4"/>
    </row>
    <row r="147" ht="15.0" customHeight="1">
      <c r="A147" s="4"/>
      <c r="B147" s="4"/>
      <c r="C147" s="4"/>
      <c r="D147" s="4"/>
      <c r="E147" s="4"/>
      <c r="F147" s="4"/>
      <c r="G147" s="4"/>
      <c r="H147" s="116">
        <f>'📋 Proyectos'!$E$3</f>
        <v>35</v>
      </c>
      <c r="I147" s="116" t="str">
        <f t="shared" si="2"/>
        <v/>
      </c>
      <c r="J147" s="4"/>
    </row>
    <row r="148" ht="15.0" customHeight="1">
      <c r="A148" s="4"/>
      <c r="B148" s="4"/>
      <c r="C148" s="4"/>
      <c r="D148" s="4"/>
      <c r="E148" s="4"/>
      <c r="F148" s="4"/>
      <c r="G148" s="4"/>
      <c r="H148" s="114">
        <f>'📋 Proyectos'!$E$3</f>
        <v>35</v>
      </c>
      <c r="I148" s="114" t="str">
        <f t="shared" si="2"/>
        <v/>
      </c>
      <c r="J148" s="4"/>
    </row>
    <row r="149" ht="15.0" customHeight="1">
      <c r="A149" s="4"/>
      <c r="B149" s="4"/>
      <c r="C149" s="4"/>
      <c r="D149" s="4"/>
      <c r="E149" s="4"/>
      <c r="F149" s="4"/>
      <c r="G149" s="4"/>
      <c r="H149" s="116">
        <f>'📋 Proyectos'!$E$3</f>
        <v>35</v>
      </c>
      <c r="I149" s="116" t="str">
        <f t="shared" si="2"/>
        <v/>
      </c>
      <c r="J149" s="4"/>
    </row>
    <row r="150" ht="15.0" customHeight="1">
      <c r="A150" s="4"/>
      <c r="B150" s="4"/>
      <c r="C150" s="4"/>
      <c r="D150" s="4"/>
      <c r="E150" s="4"/>
      <c r="F150" s="4"/>
      <c r="G150" s="4"/>
      <c r="H150" s="114">
        <f>'📋 Proyectos'!$E$3</f>
        <v>35</v>
      </c>
      <c r="I150" s="114" t="str">
        <f t="shared" si="2"/>
        <v/>
      </c>
      <c r="J150" s="4"/>
    </row>
    <row r="151" ht="15.0" customHeight="1">
      <c r="A151" s="4"/>
      <c r="B151" s="4"/>
      <c r="C151" s="4"/>
      <c r="D151" s="4"/>
      <c r="E151" s="4"/>
      <c r="F151" s="4"/>
      <c r="G151" s="4"/>
      <c r="H151" s="116">
        <f>'📋 Proyectos'!$E$3</f>
        <v>35</v>
      </c>
      <c r="I151" s="116" t="str">
        <f t="shared" si="2"/>
        <v/>
      </c>
      <c r="J151" s="4"/>
    </row>
    <row r="152" ht="15.0" customHeight="1">
      <c r="A152" s="4"/>
      <c r="B152" s="4"/>
      <c r="C152" s="4"/>
      <c r="D152" s="4"/>
      <c r="E152" s="4"/>
      <c r="F152" s="4"/>
      <c r="G152" s="4"/>
      <c r="H152" s="114">
        <f>'📋 Proyectos'!$E$3</f>
        <v>35</v>
      </c>
      <c r="I152" s="114" t="str">
        <f t="shared" si="2"/>
        <v/>
      </c>
      <c r="J152" s="4"/>
    </row>
    <row r="153" ht="15.0" customHeight="1">
      <c r="A153" s="4"/>
      <c r="B153" s="4"/>
      <c r="C153" s="4"/>
      <c r="D153" s="4"/>
      <c r="E153" s="4"/>
      <c r="F153" s="4"/>
      <c r="G153" s="4"/>
      <c r="H153" s="116">
        <f>'📋 Proyectos'!$E$3</f>
        <v>35</v>
      </c>
      <c r="I153" s="116" t="str">
        <f t="shared" si="2"/>
        <v/>
      </c>
      <c r="J153" s="4"/>
    </row>
    <row r="154" ht="15.0" customHeight="1">
      <c r="A154" s="4"/>
      <c r="B154" s="4"/>
      <c r="C154" s="4"/>
      <c r="D154" s="4"/>
      <c r="E154" s="4"/>
      <c r="F154" s="4"/>
      <c r="G154" s="4"/>
      <c r="H154" s="114">
        <f>'📋 Proyectos'!$E$3</f>
        <v>35</v>
      </c>
      <c r="I154" s="114" t="str">
        <f t="shared" si="2"/>
        <v/>
      </c>
      <c r="J154" s="4"/>
    </row>
    <row r="155" ht="15.0" customHeight="1">
      <c r="A155" s="4"/>
      <c r="B155" s="4"/>
      <c r="C155" s="4"/>
      <c r="D155" s="4"/>
      <c r="E155" s="4"/>
      <c r="F155" s="4"/>
      <c r="G155" s="4"/>
      <c r="H155" s="116">
        <f>'📋 Proyectos'!$E$3</f>
        <v>35</v>
      </c>
      <c r="I155" s="116" t="str">
        <f t="shared" si="2"/>
        <v/>
      </c>
      <c r="J155" s="4"/>
    </row>
    <row r="156" ht="15.0" customHeight="1">
      <c r="A156" s="4"/>
      <c r="B156" s="4"/>
      <c r="C156" s="4"/>
      <c r="D156" s="4"/>
      <c r="E156" s="4"/>
      <c r="F156" s="4"/>
      <c r="G156" s="4"/>
      <c r="H156" s="114">
        <f>'📋 Proyectos'!$E$3</f>
        <v>35</v>
      </c>
      <c r="I156" s="114" t="str">
        <f t="shared" si="2"/>
        <v/>
      </c>
      <c r="J156" s="4"/>
    </row>
    <row r="157" ht="15.0" customHeight="1">
      <c r="A157" s="4"/>
      <c r="B157" s="4"/>
      <c r="C157" s="4"/>
      <c r="D157" s="4"/>
      <c r="E157" s="4"/>
      <c r="F157" s="4"/>
      <c r="G157" s="4"/>
      <c r="H157" s="116">
        <f>'📋 Proyectos'!$E$3</f>
        <v>35</v>
      </c>
      <c r="I157" s="116" t="str">
        <f t="shared" si="2"/>
        <v/>
      </c>
      <c r="J157" s="4"/>
    </row>
    <row r="158" ht="15.0" customHeight="1">
      <c r="A158" s="4"/>
      <c r="B158" s="4"/>
      <c r="C158" s="4"/>
      <c r="D158" s="4"/>
      <c r="E158" s="4"/>
      <c r="F158" s="4"/>
      <c r="G158" s="4"/>
      <c r="H158" s="114">
        <f>'📋 Proyectos'!$E$3</f>
        <v>35</v>
      </c>
      <c r="I158" s="114" t="str">
        <f t="shared" si="2"/>
        <v/>
      </c>
      <c r="J158" s="4"/>
    </row>
    <row r="159" ht="15.0" customHeight="1">
      <c r="A159" s="4"/>
      <c r="B159" s="4"/>
      <c r="C159" s="4"/>
      <c r="D159" s="4"/>
      <c r="E159" s="4"/>
      <c r="F159" s="4"/>
      <c r="G159" s="4"/>
      <c r="H159" s="116">
        <f>'📋 Proyectos'!$E$3</f>
        <v>35</v>
      </c>
      <c r="I159" s="116" t="str">
        <f t="shared" si="2"/>
        <v/>
      </c>
      <c r="J159" s="4"/>
    </row>
    <row r="160" ht="15.0" customHeight="1">
      <c r="A160" s="4"/>
      <c r="B160" s="4"/>
      <c r="C160" s="4"/>
      <c r="D160" s="4"/>
      <c r="E160" s="4"/>
      <c r="F160" s="4"/>
      <c r="G160" s="4"/>
      <c r="H160" s="114">
        <f>'📋 Proyectos'!$E$3</f>
        <v>35</v>
      </c>
      <c r="I160" s="114" t="str">
        <f t="shared" si="2"/>
        <v/>
      </c>
      <c r="J160" s="4"/>
    </row>
    <row r="161" ht="15.0" customHeight="1">
      <c r="A161" s="4"/>
      <c r="B161" s="4"/>
      <c r="C161" s="4"/>
      <c r="D161" s="4"/>
      <c r="E161" s="4"/>
      <c r="F161" s="4"/>
      <c r="G161" s="4"/>
      <c r="H161" s="116">
        <f>'📋 Proyectos'!$E$3</f>
        <v>35</v>
      </c>
      <c r="I161" s="116" t="str">
        <f t="shared" si="2"/>
        <v/>
      </c>
      <c r="J161" s="4"/>
    </row>
    <row r="162" ht="15.0" customHeight="1">
      <c r="A162" s="4"/>
      <c r="B162" s="4"/>
      <c r="C162" s="4"/>
      <c r="D162" s="4"/>
      <c r="E162" s="4"/>
      <c r="F162" s="4"/>
      <c r="G162" s="4"/>
      <c r="H162" s="114">
        <f>'📋 Proyectos'!$E$3</f>
        <v>35</v>
      </c>
      <c r="I162" s="114" t="str">
        <f t="shared" si="2"/>
        <v/>
      </c>
      <c r="J162" s="4"/>
    </row>
    <row r="163" ht="15.0" customHeight="1">
      <c r="A163" s="4"/>
      <c r="B163" s="4"/>
      <c r="C163" s="4"/>
      <c r="D163" s="4"/>
      <c r="E163" s="4"/>
      <c r="F163" s="4"/>
      <c r="G163" s="4"/>
      <c r="H163" s="116">
        <f>'📋 Proyectos'!$E$3</f>
        <v>35</v>
      </c>
      <c r="I163" s="116" t="str">
        <f t="shared" si="2"/>
        <v/>
      </c>
      <c r="J163" s="4"/>
    </row>
    <row r="164" ht="15.0" customHeight="1">
      <c r="A164" s="4"/>
      <c r="B164" s="4"/>
      <c r="C164" s="4"/>
      <c r="D164" s="4"/>
      <c r="E164" s="4"/>
      <c r="F164" s="4"/>
      <c r="G164" s="4"/>
      <c r="H164" s="114">
        <f>'📋 Proyectos'!$E$3</f>
        <v>35</v>
      </c>
      <c r="I164" s="114" t="str">
        <f t="shared" si="2"/>
        <v/>
      </c>
      <c r="J164" s="4"/>
    </row>
    <row r="165" ht="15.0" customHeight="1">
      <c r="A165" s="4"/>
      <c r="B165" s="4"/>
      <c r="C165" s="4"/>
      <c r="D165" s="4"/>
      <c r="E165" s="4"/>
      <c r="F165" s="4"/>
      <c r="G165" s="4"/>
      <c r="H165" s="116">
        <f>'📋 Proyectos'!$E$3</f>
        <v>35</v>
      </c>
      <c r="I165" s="116" t="str">
        <f t="shared" si="2"/>
        <v/>
      </c>
      <c r="J165" s="4"/>
    </row>
    <row r="166" ht="15.0" customHeight="1">
      <c r="A166" s="4"/>
      <c r="B166" s="4"/>
      <c r="C166" s="4"/>
      <c r="D166" s="4"/>
      <c r="E166" s="4"/>
      <c r="F166" s="4"/>
      <c r="G166" s="4"/>
      <c r="H166" s="114">
        <f>'📋 Proyectos'!$E$3</f>
        <v>35</v>
      </c>
      <c r="I166" s="114" t="str">
        <f t="shared" si="2"/>
        <v/>
      </c>
      <c r="J166" s="4"/>
    </row>
    <row r="167" ht="15.0" customHeight="1">
      <c r="A167" s="4"/>
      <c r="B167" s="4"/>
      <c r="C167" s="4"/>
      <c r="D167" s="4"/>
      <c r="E167" s="4"/>
      <c r="F167" s="4"/>
      <c r="G167" s="4"/>
      <c r="H167" s="116">
        <f>'📋 Proyectos'!$E$3</f>
        <v>35</v>
      </c>
      <c r="I167" s="116" t="str">
        <f t="shared" si="2"/>
        <v/>
      </c>
      <c r="J167" s="4"/>
    </row>
    <row r="168" ht="15.0" customHeight="1">
      <c r="A168" s="4"/>
      <c r="B168" s="4"/>
      <c r="C168" s="4"/>
      <c r="D168" s="4"/>
      <c r="E168" s="4"/>
      <c r="F168" s="4"/>
      <c r="G168" s="4"/>
      <c r="H168" s="114">
        <f>'📋 Proyectos'!$E$3</f>
        <v>35</v>
      </c>
      <c r="I168" s="114" t="str">
        <f t="shared" si="2"/>
        <v/>
      </c>
      <c r="J168" s="4"/>
    </row>
    <row r="169" ht="15.0" customHeight="1">
      <c r="A169" s="4"/>
      <c r="B169" s="4"/>
      <c r="C169" s="4"/>
      <c r="D169" s="4"/>
      <c r="E169" s="4"/>
      <c r="F169" s="4"/>
      <c r="G169" s="4"/>
      <c r="H169" s="116">
        <f>'📋 Proyectos'!$E$3</f>
        <v>35</v>
      </c>
      <c r="I169" s="116" t="str">
        <f t="shared" si="2"/>
        <v/>
      </c>
      <c r="J169" s="4"/>
    </row>
    <row r="170" ht="15.0" customHeight="1">
      <c r="A170" s="4"/>
      <c r="B170" s="4"/>
      <c r="C170" s="4"/>
      <c r="D170" s="4"/>
      <c r="E170" s="4"/>
      <c r="F170" s="4"/>
      <c r="G170" s="4"/>
      <c r="H170" s="114">
        <f>'📋 Proyectos'!$E$3</f>
        <v>35</v>
      </c>
      <c r="I170" s="114" t="str">
        <f t="shared" si="2"/>
        <v/>
      </c>
      <c r="J170" s="4"/>
    </row>
    <row r="171" ht="15.0" customHeight="1">
      <c r="A171" s="4"/>
      <c r="B171" s="4"/>
      <c r="C171" s="4"/>
      <c r="D171" s="4"/>
      <c r="E171" s="4"/>
      <c r="F171" s="4"/>
      <c r="G171" s="4"/>
      <c r="H171" s="116">
        <f>'📋 Proyectos'!$E$3</f>
        <v>35</v>
      </c>
      <c r="I171" s="116" t="str">
        <f t="shared" si="2"/>
        <v/>
      </c>
      <c r="J171" s="4"/>
    </row>
    <row r="172" ht="15.0" customHeight="1">
      <c r="A172" s="4"/>
      <c r="B172" s="4"/>
      <c r="C172" s="4"/>
      <c r="D172" s="4"/>
      <c r="E172" s="4"/>
      <c r="F172" s="4"/>
      <c r="G172" s="4"/>
      <c r="H172" s="114">
        <f>'📋 Proyectos'!$E$3</f>
        <v>35</v>
      </c>
      <c r="I172" s="114" t="str">
        <f t="shared" si="2"/>
        <v/>
      </c>
      <c r="J172" s="4"/>
    </row>
    <row r="173" ht="15.0" customHeight="1">
      <c r="A173" s="4"/>
      <c r="B173" s="4"/>
      <c r="C173" s="4"/>
      <c r="D173" s="4"/>
      <c r="E173" s="4"/>
      <c r="F173" s="4"/>
      <c r="G173" s="4"/>
      <c r="H173" s="116">
        <f>'📋 Proyectos'!$E$3</f>
        <v>35</v>
      </c>
      <c r="I173" s="116" t="str">
        <f t="shared" si="2"/>
        <v/>
      </c>
      <c r="J173" s="4"/>
    </row>
    <row r="174" ht="15.0" customHeight="1">
      <c r="A174" s="4"/>
      <c r="B174" s="4"/>
      <c r="C174" s="4"/>
      <c r="D174" s="4"/>
      <c r="E174" s="4"/>
      <c r="F174" s="4"/>
      <c r="G174" s="4"/>
      <c r="H174" s="114">
        <f>'📋 Proyectos'!$E$3</f>
        <v>35</v>
      </c>
      <c r="I174" s="114" t="str">
        <f t="shared" si="2"/>
        <v/>
      </c>
      <c r="J174" s="4"/>
    </row>
    <row r="175" ht="15.0" customHeight="1">
      <c r="A175" s="4"/>
      <c r="B175" s="4"/>
      <c r="C175" s="4"/>
      <c r="D175" s="4"/>
      <c r="E175" s="4"/>
      <c r="F175" s="4"/>
      <c r="G175" s="4"/>
      <c r="H175" s="116">
        <f>'📋 Proyectos'!$E$3</f>
        <v>35</v>
      </c>
      <c r="I175" s="116" t="str">
        <f t="shared" si="2"/>
        <v/>
      </c>
      <c r="J175" s="4"/>
    </row>
    <row r="176" ht="15.0" customHeight="1">
      <c r="A176" s="4"/>
      <c r="B176" s="4"/>
      <c r="C176" s="4"/>
      <c r="D176" s="4"/>
      <c r="E176" s="4"/>
      <c r="F176" s="4"/>
      <c r="G176" s="4"/>
      <c r="H176" s="114">
        <f>'📋 Proyectos'!$E$3</f>
        <v>35</v>
      </c>
      <c r="I176" s="114" t="str">
        <f t="shared" si="2"/>
        <v/>
      </c>
      <c r="J176" s="4"/>
    </row>
    <row r="177" ht="15.0" customHeight="1">
      <c r="A177" s="4"/>
      <c r="B177" s="4"/>
      <c r="C177" s="4"/>
      <c r="D177" s="4"/>
      <c r="E177" s="4"/>
      <c r="F177" s="4"/>
      <c r="G177" s="4"/>
      <c r="H177" s="116">
        <f>'📋 Proyectos'!$E$3</f>
        <v>35</v>
      </c>
      <c r="I177" s="116" t="str">
        <f t="shared" si="2"/>
        <v/>
      </c>
      <c r="J177" s="4"/>
    </row>
    <row r="178" ht="15.0" customHeight="1">
      <c r="A178" s="4"/>
      <c r="B178" s="4"/>
      <c r="C178" s="4"/>
      <c r="D178" s="4"/>
      <c r="E178" s="4"/>
      <c r="F178" s="4"/>
      <c r="G178" s="4"/>
      <c r="H178" s="114">
        <f>'📋 Proyectos'!$E$3</f>
        <v>35</v>
      </c>
      <c r="I178" s="114" t="str">
        <f t="shared" si="2"/>
        <v/>
      </c>
      <c r="J178" s="4"/>
    </row>
    <row r="179" ht="15.0" customHeight="1">
      <c r="A179" s="4"/>
      <c r="B179" s="4"/>
      <c r="C179" s="4"/>
      <c r="D179" s="4"/>
      <c r="E179" s="4"/>
      <c r="F179" s="4"/>
      <c r="G179" s="4"/>
      <c r="H179" s="116">
        <f>'📋 Proyectos'!$E$3</f>
        <v>35</v>
      </c>
      <c r="I179" s="116" t="str">
        <f t="shared" si="2"/>
        <v/>
      </c>
      <c r="J179" s="4"/>
    </row>
    <row r="180" ht="15.0" customHeight="1">
      <c r="A180" s="4"/>
      <c r="B180" s="4"/>
      <c r="C180" s="4"/>
      <c r="D180" s="4"/>
      <c r="E180" s="4"/>
      <c r="F180" s="4"/>
      <c r="G180" s="4"/>
      <c r="H180" s="114">
        <f>'📋 Proyectos'!$E$3</f>
        <v>35</v>
      </c>
      <c r="I180" s="114" t="str">
        <f t="shared" si="2"/>
        <v/>
      </c>
      <c r="J180" s="4"/>
    </row>
    <row r="181" ht="15.0" customHeight="1">
      <c r="A181" s="4"/>
      <c r="B181" s="4"/>
      <c r="C181" s="4"/>
      <c r="D181" s="4"/>
      <c r="E181" s="4"/>
      <c r="F181" s="4"/>
      <c r="G181" s="4"/>
      <c r="H181" s="116">
        <f>'📋 Proyectos'!$E$3</f>
        <v>35</v>
      </c>
      <c r="I181" s="116" t="str">
        <f t="shared" si="2"/>
        <v/>
      </c>
      <c r="J181" s="4"/>
    </row>
    <row r="182" ht="15.0" customHeight="1">
      <c r="A182" s="4"/>
      <c r="B182" s="4"/>
      <c r="C182" s="4"/>
      <c r="D182" s="4"/>
      <c r="E182" s="4"/>
      <c r="F182" s="4"/>
      <c r="G182" s="4"/>
      <c r="H182" s="114">
        <f>'📋 Proyectos'!$E$3</f>
        <v>35</v>
      </c>
      <c r="I182" s="114" t="str">
        <f t="shared" si="2"/>
        <v/>
      </c>
      <c r="J182" s="4"/>
    </row>
    <row r="183" ht="15.0" customHeight="1">
      <c r="A183" s="4"/>
      <c r="B183" s="4"/>
      <c r="C183" s="4"/>
      <c r="D183" s="4"/>
      <c r="E183" s="4"/>
      <c r="F183" s="4"/>
      <c r="G183" s="4"/>
      <c r="H183" s="116">
        <f>'📋 Proyectos'!$E$3</f>
        <v>35</v>
      </c>
      <c r="I183" s="116" t="str">
        <f t="shared" si="2"/>
        <v/>
      </c>
      <c r="J183" s="4"/>
    </row>
    <row r="184" ht="15.0" customHeight="1">
      <c r="A184" s="4"/>
      <c r="B184" s="4"/>
      <c r="C184" s="4"/>
      <c r="D184" s="4"/>
      <c r="E184" s="4"/>
      <c r="F184" s="4"/>
      <c r="G184" s="4"/>
      <c r="H184" s="114">
        <f>'📋 Proyectos'!$E$3</f>
        <v>35</v>
      </c>
      <c r="I184" s="114" t="str">
        <f t="shared" si="2"/>
        <v/>
      </c>
      <c r="J184" s="4"/>
    </row>
    <row r="185" ht="15.0" customHeight="1">
      <c r="A185" s="4"/>
      <c r="B185" s="4"/>
      <c r="C185" s="4"/>
      <c r="D185" s="4"/>
      <c r="E185" s="4"/>
      <c r="F185" s="4"/>
      <c r="G185" s="4"/>
      <c r="H185" s="116">
        <f>'📋 Proyectos'!$E$3</f>
        <v>35</v>
      </c>
      <c r="I185" s="116" t="str">
        <f t="shared" si="2"/>
        <v/>
      </c>
      <c r="J185" s="4"/>
    </row>
    <row r="186" ht="15.0" customHeight="1">
      <c r="A186" s="4"/>
      <c r="B186" s="4"/>
      <c r="C186" s="4"/>
      <c r="D186" s="4"/>
      <c r="E186" s="4"/>
      <c r="F186" s="4"/>
      <c r="G186" s="4"/>
      <c r="H186" s="114">
        <f>'📋 Proyectos'!$E$3</f>
        <v>35</v>
      </c>
      <c r="I186" s="114" t="str">
        <f t="shared" si="2"/>
        <v/>
      </c>
      <c r="J186" s="4"/>
    </row>
    <row r="187" ht="15.0" customHeight="1">
      <c r="A187" s="4"/>
      <c r="B187" s="4"/>
      <c r="C187" s="4"/>
      <c r="D187" s="4"/>
      <c r="E187" s="4"/>
      <c r="F187" s="4"/>
      <c r="G187" s="4"/>
      <c r="H187" s="116">
        <f>'📋 Proyectos'!$E$3</f>
        <v>35</v>
      </c>
      <c r="I187" s="116" t="str">
        <f t="shared" si="2"/>
        <v/>
      </c>
      <c r="J187" s="4"/>
    </row>
    <row r="188" ht="15.0" customHeight="1">
      <c r="A188" s="4"/>
      <c r="B188" s="4"/>
      <c r="C188" s="4"/>
      <c r="D188" s="4"/>
      <c r="E188" s="4"/>
      <c r="F188" s="4"/>
      <c r="G188" s="4"/>
      <c r="H188" s="114">
        <f>'📋 Proyectos'!$E$3</f>
        <v>35</v>
      </c>
      <c r="I188" s="114" t="str">
        <f t="shared" si="2"/>
        <v/>
      </c>
      <c r="J188" s="4"/>
    </row>
    <row r="189" ht="15.0" customHeight="1">
      <c r="A189" s="4"/>
      <c r="B189" s="4"/>
      <c r="C189" s="4"/>
      <c r="D189" s="4"/>
      <c r="E189" s="4"/>
      <c r="F189" s="4"/>
      <c r="G189" s="4"/>
      <c r="H189" s="116">
        <f>'📋 Proyectos'!$E$3</f>
        <v>35</v>
      </c>
      <c r="I189" s="116" t="str">
        <f t="shared" si="2"/>
        <v/>
      </c>
      <c r="J189" s="4"/>
    </row>
    <row r="190" ht="15.0" customHeight="1">
      <c r="A190" s="4"/>
      <c r="B190" s="4"/>
      <c r="C190" s="4"/>
      <c r="D190" s="4"/>
      <c r="E190" s="4"/>
      <c r="F190" s="4"/>
      <c r="G190" s="4"/>
      <c r="H190" s="114">
        <f>'📋 Proyectos'!$E$3</f>
        <v>35</v>
      </c>
      <c r="I190" s="114" t="str">
        <f t="shared" si="2"/>
        <v/>
      </c>
      <c r="J190" s="4"/>
    </row>
    <row r="191" ht="15.0" customHeight="1">
      <c r="A191" s="4"/>
      <c r="B191" s="4"/>
      <c r="C191" s="4"/>
      <c r="D191" s="4"/>
      <c r="E191" s="4"/>
      <c r="F191" s="4"/>
      <c r="G191" s="4"/>
      <c r="H191" s="116">
        <f>'📋 Proyectos'!$E$3</f>
        <v>35</v>
      </c>
      <c r="I191" s="116" t="str">
        <f t="shared" si="2"/>
        <v/>
      </c>
      <c r="J191" s="4"/>
    </row>
    <row r="192" ht="15.0" customHeight="1">
      <c r="A192" s="4"/>
      <c r="B192" s="4"/>
      <c r="C192" s="4"/>
      <c r="D192" s="4"/>
      <c r="E192" s="4"/>
      <c r="F192" s="4"/>
      <c r="G192" s="4"/>
      <c r="H192" s="114">
        <f>'📋 Proyectos'!$E$3</f>
        <v>35</v>
      </c>
      <c r="I192" s="114" t="str">
        <f t="shared" si="2"/>
        <v/>
      </c>
      <c r="J192" s="4"/>
    </row>
    <row r="193" ht="15.0" customHeight="1">
      <c r="A193" s="4"/>
      <c r="B193" s="4"/>
      <c r="C193" s="4"/>
      <c r="D193" s="4"/>
      <c r="E193" s="4"/>
      <c r="F193" s="4"/>
      <c r="G193" s="4"/>
      <c r="H193" s="116">
        <f>'📋 Proyectos'!$E$3</f>
        <v>35</v>
      </c>
      <c r="I193" s="116" t="str">
        <f t="shared" si="2"/>
        <v/>
      </c>
      <c r="J193" s="4"/>
    </row>
    <row r="194" ht="15.0" customHeight="1">
      <c r="A194" s="4"/>
      <c r="B194" s="4"/>
      <c r="C194" s="4"/>
      <c r="D194" s="4"/>
      <c r="E194" s="4"/>
      <c r="F194" s="4"/>
      <c r="G194" s="4"/>
      <c r="H194" s="114">
        <f>'📋 Proyectos'!$E$3</f>
        <v>35</v>
      </c>
      <c r="I194" s="114" t="str">
        <f t="shared" si="2"/>
        <v/>
      </c>
      <c r="J194" s="4"/>
    </row>
    <row r="195" ht="15.0" customHeight="1">
      <c r="A195" s="4"/>
      <c r="B195" s="4"/>
      <c r="C195" s="4"/>
      <c r="D195" s="4"/>
      <c r="E195" s="4"/>
      <c r="F195" s="4"/>
      <c r="G195" s="4"/>
      <c r="H195" s="116">
        <f>'📋 Proyectos'!$E$3</f>
        <v>35</v>
      </c>
      <c r="I195" s="116" t="str">
        <f t="shared" si="2"/>
        <v/>
      </c>
      <c r="J195" s="4"/>
    </row>
    <row r="196" ht="15.0" customHeight="1">
      <c r="A196" s="4"/>
      <c r="B196" s="4"/>
      <c r="C196" s="4"/>
      <c r="D196" s="4"/>
      <c r="E196" s="4"/>
      <c r="F196" s="4"/>
      <c r="G196" s="4"/>
      <c r="H196" s="114">
        <f>'📋 Proyectos'!$E$3</f>
        <v>35</v>
      </c>
      <c r="I196" s="114" t="str">
        <f t="shared" si="2"/>
        <v/>
      </c>
      <c r="J196" s="4"/>
    </row>
    <row r="197" ht="15.0" customHeight="1">
      <c r="A197" s="4"/>
      <c r="B197" s="4"/>
      <c r="C197" s="4"/>
      <c r="D197" s="4"/>
      <c r="E197" s="4"/>
      <c r="F197" s="4"/>
      <c r="G197" s="4"/>
      <c r="H197" s="116">
        <f>'📋 Proyectos'!$E$3</f>
        <v>35</v>
      </c>
      <c r="I197" s="116" t="str">
        <f t="shared" si="2"/>
        <v/>
      </c>
      <c r="J197" s="4"/>
    </row>
    <row r="198" ht="15.0" customHeight="1">
      <c r="A198" s="4"/>
      <c r="B198" s="4"/>
      <c r="C198" s="4"/>
      <c r="D198" s="4"/>
      <c r="E198" s="4"/>
      <c r="F198" s="4"/>
      <c r="G198" s="4"/>
      <c r="H198" s="114">
        <f>'📋 Proyectos'!$E$3</f>
        <v>35</v>
      </c>
      <c r="I198" s="114" t="str">
        <f t="shared" si="2"/>
        <v/>
      </c>
      <c r="J198" s="4"/>
    </row>
    <row r="199" ht="15.0" customHeight="1">
      <c r="A199" s="4"/>
      <c r="B199" s="4"/>
      <c r="C199" s="4"/>
      <c r="D199" s="4"/>
      <c r="E199" s="4"/>
      <c r="F199" s="4"/>
      <c r="G199" s="4"/>
      <c r="H199" s="116">
        <f>'📋 Proyectos'!$E$3</f>
        <v>35</v>
      </c>
      <c r="I199" s="116" t="str">
        <f t="shared" si="2"/>
        <v/>
      </c>
      <c r="J199" s="4"/>
    </row>
    <row r="200" ht="15.0" customHeight="1">
      <c r="A200" s="4"/>
      <c r="B200" s="4"/>
      <c r="C200" s="4"/>
      <c r="D200" s="4"/>
      <c r="E200" s="4"/>
      <c r="F200" s="4"/>
      <c r="G200" s="4"/>
      <c r="H200" s="114">
        <f>'📋 Proyectos'!$E$3</f>
        <v>35</v>
      </c>
      <c r="I200" s="114" t="str">
        <f t="shared" si="2"/>
        <v/>
      </c>
      <c r="J200" s="4"/>
    </row>
    <row r="201" ht="15.0" customHeight="1">
      <c r="A201" s="4"/>
      <c r="B201" s="4"/>
      <c r="C201" s="4"/>
      <c r="D201" s="4"/>
      <c r="E201" s="4"/>
      <c r="F201" s="4"/>
      <c r="G201" s="4"/>
      <c r="H201" s="116">
        <f>'📋 Proyectos'!$E$3</f>
        <v>35</v>
      </c>
      <c r="I201" s="116" t="str">
        <f t="shared" si="2"/>
        <v/>
      </c>
      <c r="J201" s="4"/>
    </row>
    <row r="202" ht="15.0" customHeight="1">
      <c r="A202" s="4"/>
      <c r="B202" s="4"/>
      <c r="C202" s="4"/>
      <c r="D202" s="4"/>
      <c r="E202" s="4"/>
      <c r="F202" s="4"/>
      <c r="G202" s="4"/>
      <c r="H202" s="114">
        <f>'📋 Proyectos'!$E$3</f>
        <v>35</v>
      </c>
      <c r="I202" s="114" t="str">
        <f t="shared" si="2"/>
        <v/>
      </c>
      <c r="J202" s="4"/>
    </row>
    <row r="203" ht="15.0" customHeight="1">
      <c r="A203" s="4"/>
      <c r="B203" s="4"/>
      <c r="C203" s="4"/>
      <c r="D203" s="4"/>
      <c r="E203" s="4"/>
      <c r="F203" s="4"/>
      <c r="G203" s="4"/>
      <c r="H203" s="116">
        <f>'📋 Proyectos'!$E$3</f>
        <v>35</v>
      </c>
      <c r="I203" s="116" t="str">
        <f t="shared" si="2"/>
        <v/>
      </c>
      <c r="J203" s="4"/>
    </row>
    <row r="204" ht="15.0" customHeight="1">
      <c r="A204" s="4"/>
      <c r="B204" s="4"/>
      <c r="C204" s="4"/>
      <c r="D204" s="4"/>
      <c r="E204" s="4"/>
      <c r="F204" s="4"/>
      <c r="G204" s="4"/>
      <c r="H204" s="114">
        <f>'📋 Proyectos'!$E$3</f>
        <v>35</v>
      </c>
      <c r="I204" s="114" t="str">
        <f t="shared" si="2"/>
        <v/>
      </c>
      <c r="J204" s="4"/>
    </row>
    <row r="205" ht="15.0" customHeight="1">
      <c r="A205" s="4"/>
      <c r="B205" s="4"/>
      <c r="C205" s="4"/>
      <c r="D205" s="4"/>
      <c r="E205" s="4"/>
      <c r="F205" s="4"/>
      <c r="G205" s="4"/>
      <c r="H205" s="116">
        <f>'📋 Proyectos'!$E$3</f>
        <v>35</v>
      </c>
      <c r="I205" s="116" t="str">
        <f t="shared" si="2"/>
        <v/>
      </c>
      <c r="J205" s="4"/>
    </row>
    <row r="206" ht="15.0" customHeight="1">
      <c r="A206" s="4"/>
      <c r="B206" s="4"/>
      <c r="C206" s="4"/>
      <c r="D206" s="4"/>
      <c r="E206" s="4"/>
      <c r="F206" s="4"/>
      <c r="G206" s="4"/>
      <c r="H206" s="114">
        <f>'📋 Proyectos'!$E$3</f>
        <v>35</v>
      </c>
      <c r="I206" s="114" t="str">
        <f t="shared" si="2"/>
        <v/>
      </c>
      <c r="J206" s="4"/>
    </row>
    <row r="207" ht="15.0" customHeight="1">
      <c r="A207" s="4"/>
      <c r="B207" s="4"/>
      <c r="C207" s="4"/>
      <c r="D207" s="4"/>
      <c r="E207" s="4"/>
      <c r="F207" s="4"/>
      <c r="G207" s="4"/>
      <c r="H207" s="116">
        <f>'📋 Proyectos'!$E$3</f>
        <v>35</v>
      </c>
      <c r="I207" s="116" t="str">
        <f t="shared" si="2"/>
        <v/>
      </c>
      <c r="J207" s="4"/>
    </row>
    <row r="208" ht="15.0" customHeight="1">
      <c r="A208" s="4"/>
      <c r="B208" s="4"/>
      <c r="C208" s="4"/>
      <c r="D208" s="4"/>
      <c r="E208" s="4"/>
      <c r="F208" s="4"/>
      <c r="G208" s="4"/>
      <c r="H208" s="114">
        <f>'📋 Proyectos'!$E$3</f>
        <v>35</v>
      </c>
      <c r="I208" s="114" t="str">
        <f t="shared" si="2"/>
        <v/>
      </c>
      <c r="J208" s="4"/>
    </row>
    <row r="209" ht="15.0" customHeight="1">
      <c r="A209" s="4"/>
      <c r="B209" s="4"/>
      <c r="C209" s="4"/>
      <c r="D209" s="4"/>
      <c r="E209" s="4"/>
      <c r="F209" s="4"/>
      <c r="G209" s="4"/>
      <c r="H209" s="116">
        <f>'📋 Proyectos'!$E$3</f>
        <v>35</v>
      </c>
      <c r="I209" s="116" t="str">
        <f t="shared" si="2"/>
        <v/>
      </c>
      <c r="J209" s="4"/>
    </row>
    <row r="210" ht="15.0" customHeight="1">
      <c r="A210" s="4"/>
      <c r="B210" s="4"/>
      <c r="C210" s="4"/>
      <c r="D210" s="4"/>
      <c r="E210" s="4"/>
      <c r="F210" s="4"/>
      <c r="G210" s="4"/>
      <c r="H210" s="114">
        <f>'📋 Proyectos'!$E$3</f>
        <v>35</v>
      </c>
      <c r="I210" s="114" t="str">
        <f t="shared" si="2"/>
        <v/>
      </c>
      <c r="J210" s="4"/>
    </row>
    <row r="211" ht="15.0" customHeight="1">
      <c r="A211" s="4"/>
      <c r="B211" s="4"/>
      <c r="C211" s="4"/>
      <c r="D211" s="4"/>
      <c r="E211" s="4"/>
      <c r="F211" s="4"/>
      <c r="G211" s="4"/>
      <c r="H211" s="116">
        <f>'📋 Proyectos'!$E$3</f>
        <v>35</v>
      </c>
      <c r="I211" s="116" t="str">
        <f t="shared" si="2"/>
        <v/>
      </c>
      <c r="J211" s="4"/>
    </row>
    <row r="212" ht="15.0" customHeight="1">
      <c r="A212" s="4"/>
      <c r="B212" s="4"/>
      <c r="C212" s="4"/>
      <c r="D212" s="4"/>
      <c r="E212" s="4"/>
      <c r="F212" s="4"/>
      <c r="G212" s="4"/>
      <c r="H212" s="114">
        <f>'📋 Proyectos'!$E$3</f>
        <v>35</v>
      </c>
      <c r="I212" s="114" t="str">
        <f t="shared" si="2"/>
        <v/>
      </c>
      <c r="J212" s="4"/>
    </row>
    <row r="213" ht="15.0" customHeight="1">
      <c r="A213" s="4"/>
      <c r="B213" s="4"/>
      <c r="C213" s="4"/>
      <c r="D213" s="4"/>
      <c r="E213" s="4"/>
      <c r="F213" s="4"/>
      <c r="G213" s="4"/>
      <c r="H213" s="116">
        <f>'📋 Proyectos'!$E$3</f>
        <v>35</v>
      </c>
      <c r="I213" s="116" t="str">
        <f t="shared" si="2"/>
        <v/>
      </c>
      <c r="J213" s="4"/>
    </row>
    <row r="214" ht="15.0" customHeight="1">
      <c r="A214" s="4"/>
      <c r="B214" s="4"/>
      <c r="C214" s="4"/>
      <c r="D214" s="4"/>
      <c r="E214" s="4"/>
      <c r="F214" s="4"/>
      <c r="G214" s="4"/>
      <c r="H214" s="114">
        <f>'📋 Proyectos'!$E$3</f>
        <v>35</v>
      </c>
      <c r="I214" s="114" t="str">
        <f t="shared" si="2"/>
        <v/>
      </c>
      <c r="J214" s="4"/>
    </row>
    <row r="215" ht="15.0" customHeight="1">
      <c r="A215" s="4"/>
      <c r="B215" s="4"/>
      <c r="C215" s="4"/>
      <c r="D215" s="4"/>
      <c r="E215" s="4"/>
      <c r="F215" s="4"/>
      <c r="G215" s="4"/>
      <c r="H215" s="116">
        <f>'📋 Proyectos'!$E$3</f>
        <v>35</v>
      </c>
      <c r="I215" s="116" t="str">
        <f t="shared" si="2"/>
        <v/>
      </c>
      <c r="J215" s="4"/>
    </row>
    <row r="216" ht="15.0" customHeight="1">
      <c r="A216" s="4"/>
      <c r="B216" s="4"/>
      <c r="C216" s="4"/>
      <c r="D216" s="4"/>
      <c r="E216" s="4"/>
      <c r="F216" s="4"/>
      <c r="G216" s="4"/>
      <c r="H216" s="114">
        <f>'📋 Proyectos'!$E$3</f>
        <v>35</v>
      </c>
      <c r="I216" s="114" t="str">
        <f t="shared" si="2"/>
        <v/>
      </c>
      <c r="J216" s="4"/>
    </row>
    <row r="217" ht="15.0" customHeight="1">
      <c r="A217" s="4"/>
      <c r="B217" s="4"/>
      <c r="C217" s="4"/>
      <c r="D217" s="4"/>
      <c r="E217" s="4"/>
      <c r="F217" s="4"/>
      <c r="G217" s="4"/>
      <c r="H217" s="116">
        <f>'📋 Proyectos'!$E$3</f>
        <v>35</v>
      </c>
      <c r="I217" s="116" t="str">
        <f t="shared" si="2"/>
        <v/>
      </c>
      <c r="J217" s="4"/>
    </row>
    <row r="218" ht="15.0" customHeight="1">
      <c r="A218" s="4"/>
      <c r="B218" s="4"/>
      <c r="C218" s="4"/>
      <c r="D218" s="4"/>
      <c r="E218" s="4"/>
      <c r="F218" s="4"/>
      <c r="G218" s="4"/>
      <c r="H218" s="114">
        <f>'📋 Proyectos'!$E$3</f>
        <v>35</v>
      </c>
      <c r="I218" s="114" t="str">
        <f t="shared" si="2"/>
        <v/>
      </c>
      <c r="J218" s="4"/>
    </row>
    <row r="219" ht="15.0" customHeight="1">
      <c r="A219" s="4"/>
      <c r="B219" s="4"/>
      <c r="C219" s="4"/>
      <c r="D219" s="4"/>
      <c r="E219" s="4"/>
      <c r="F219" s="4"/>
      <c r="G219" s="4"/>
      <c r="H219" s="116">
        <f>'📋 Proyectos'!$E$3</f>
        <v>35</v>
      </c>
      <c r="I219" s="116" t="str">
        <f t="shared" si="2"/>
        <v/>
      </c>
      <c r="J219" s="4"/>
    </row>
    <row r="220" ht="15.0" customHeight="1">
      <c r="A220" s="4"/>
      <c r="B220" s="4"/>
      <c r="C220" s="4"/>
      <c r="D220" s="4"/>
      <c r="E220" s="4"/>
      <c r="F220" s="4"/>
      <c r="G220" s="4"/>
      <c r="H220" s="114">
        <f>'📋 Proyectos'!$E$3</f>
        <v>35</v>
      </c>
      <c r="I220" s="114" t="str">
        <f t="shared" si="2"/>
        <v/>
      </c>
      <c r="J220" s="4"/>
    </row>
    <row r="221" ht="15.0" customHeight="1">
      <c r="A221" s="4"/>
      <c r="B221" s="4"/>
      <c r="C221" s="4"/>
      <c r="D221" s="4"/>
      <c r="E221" s="4"/>
      <c r="F221" s="4"/>
      <c r="G221" s="4"/>
      <c r="H221" s="116">
        <f>'📋 Proyectos'!$E$3</f>
        <v>35</v>
      </c>
      <c r="I221" s="116" t="str">
        <f t="shared" si="2"/>
        <v/>
      </c>
      <c r="J221" s="4"/>
    </row>
    <row r="222" ht="15.0" customHeight="1">
      <c r="A222" s="4"/>
      <c r="B222" s="4"/>
      <c r="C222" s="4"/>
      <c r="D222" s="4"/>
      <c r="E222" s="4"/>
      <c r="F222" s="4"/>
      <c r="G222" s="4"/>
      <c r="H222" s="114">
        <f>'📋 Proyectos'!$E$3</f>
        <v>35</v>
      </c>
      <c r="I222" s="114" t="str">
        <f t="shared" si="2"/>
        <v/>
      </c>
      <c r="J222" s="4"/>
    </row>
    <row r="223" ht="15.0" customHeight="1">
      <c r="A223" s="4"/>
      <c r="B223" s="4"/>
      <c r="C223" s="4"/>
      <c r="D223" s="4"/>
      <c r="E223" s="4"/>
      <c r="F223" s="4"/>
      <c r="G223" s="4"/>
      <c r="H223" s="116">
        <f>'📋 Proyectos'!$E$3</f>
        <v>35</v>
      </c>
      <c r="I223" s="116" t="str">
        <f t="shared" si="2"/>
        <v/>
      </c>
      <c r="J223" s="4"/>
    </row>
    <row r="224" ht="15.0" customHeight="1">
      <c r="A224" s="4"/>
      <c r="B224" s="4"/>
      <c r="C224" s="4"/>
      <c r="D224" s="4"/>
      <c r="E224" s="4"/>
      <c r="F224" s="4"/>
      <c r="G224" s="4"/>
      <c r="H224" s="114">
        <f>'📋 Proyectos'!$E$3</f>
        <v>35</v>
      </c>
      <c r="I224" s="114" t="str">
        <f t="shared" si="2"/>
        <v/>
      </c>
      <c r="J224" s="4"/>
    </row>
    <row r="225" ht="15.0" customHeight="1">
      <c r="A225" s="4"/>
      <c r="B225" s="4"/>
      <c r="C225" s="4"/>
      <c r="D225" s="4"/>
      <c r="E225" s="4"/>
      <c r="F225" s="4"/>
      <c r="G225" s="4"/>
      <c r="H225" s="116">
        <f>'📋 Proyectos'!$E$3</f>
        <v>35</v>
      </c>
      <c r="I225" s="116" t="str">
        <f t="shared" si="2"/>
        <v/>
      </c>
      <c r="J225" s="4"/>
    </row>
    <row r="226" ht="15.0" customHeight="1">
      <c r="A226" s="4"/>
      <c r="B226" s="4"/>
      <c r="C226" s="4"/>
      <c r="D226" s="4"/>
      <c r="E226" s="4"/>
      <c r="F226" s="4"/>
      <c r="G226" s="4"/>
      <c r="H226" s="114">
        <f>'📋 Proyectos'!$E$3</f>
        <v>35</v>
      </c>
      <c r="I226" s="114" t="str">
        <f t="shared" si="2"/>
        <v/>
      </c>
      <c r="J226" s="4"/>
    </row>
    <row r="227" ht="15.0" customHeight="1">
      <c r="A227" s="4"/>
      <c r="B227" s="4"/>
      <c r="C227" s="4"/>
      <c r="D227" s="4"/>
      <c r="E227" s="4"/>
      <c r="F227" s="4"/>
      <c r="G227" s="4"/>
      <c r="H227" s="116">
        <f>'📋 Proyectos'!$E$3</f>
        <v>35</v>
      </c>
      <c r="I227" s="116" t="str">
        <f t="shared" si="2"/>
        <v/>
      </c>
      <c r="J227" s="4"/>
    </row>
    <row r="228" ht="15.0" customHeight="1">
      <c r="A228" s="4"/>
      <c r="B228" s="4"/>
      <c r="C228" s="4"/>
      <c r="D228" s="4"/>
      <c r="E228" s="4"/>
      <c r="F228" s="4"/>
      <c r="G228" s="4"/>
      <c r="H228" s="114">
        <f>'📋 Proyectos'!$E$3</f>
        <v>35</v>
      </c>
      <c r="I228" s="114" t="str">
        <f t="shared" si="2"/>
        <v/>
      </c>
      <c r="J228" s="4"/>
    </row>
    <row r="229" ht="15.0" customHeight="1">
      <c r="A229" s="4"/>
      <c r="B229" s="4"/>
      <c r="C229" s="4"/>
      <c r="D229" s="4"/>
      <c r="E229" s="4"/>
      <c r="F229" s="4"/>
      <c r="G229" s="4"/>
      <c r="H229" s="116">
        <f>'📋 Proyectos'!$E$3</f>
        <v>35</v>
      </c>
      <c r="I229" s="116" t="str">
        <f t="shared" si="2"/>
        <v/>
      </c>
      <c r="J229" s="4"/>
    </row>
    <row r="230" ht="15.0" customHeight="1">
      <c r="A230" s="4"/>
      <c r="B230" s="4"/>
      <c r="C230" s="4"/>
      <c r="D230" s="4"/>
      <c r="E230" s="4"/>
      <c r="F230" s="4"/>
      <c r="G230" s="4"/>
      <c r="H230" s="114">
        <f>'📋 Proyectos'!$E$3</f>
        <v>35</v>
      </c>
      <c r="I230" s="114" t="str">
        <f t="shared" si="2"/>
        <v/>
      </c>
      <c r="J230" s="4"/>
    </row>
    <row r="231" ht="15.0" customHeight="1">
      <c r="A231" s="4"/>
      <c r="B231" s="4"/>
      <c r="C231" s="4"/>
      <c r="D231" s="4"/>
      <c r="E231" s="4"/>
      <c r="F231" s="4"/>
      <c r="G231" s="4"/>
      <c r="H231" s="116">
        <f>'📋 Proyectos'!$E$3</f>
        <v>35</v>
      </c>
      <c r="I231" s="116" t="str">
        <f t="shared" si="2"/>
        <v/>
      </c>
      <c r="J231" s="4"/>
    </row>
    <row r="232" ht="15.0" customHeight="1">
      <c r="A232" s="4"/>
      <c r="B232" s="4"/>
      <c r="C232" s="4"/>
      <c r="D232" s="4"/>
      <c r="E232" s="4"/>
      <c r="F232" s="4"/>
      <c r="G232" s="4"/>
      <c r="H232" s="114">
        <f>'📋 Proyectos'!$E$3</f>
        <v>35</v>
      </c>
      <c r="I232" s="114" t="str">
        <f t="shared" si="2"/>
        <v/>
      </c>
      <c r="J232" s="4"/>
    </row>
    <row r="233" ht="15.0" customHeight="1">
      <c r="A233" s="4"/>
      <c r="B233" s="4"/>
      <c r="C233" s="4"/>
      <c r="D233" s="4"/>
      <c r="E233" s="4"/>
      <c r="F233" s="4"/>
      <c r="G233" s="4"/>
      <c r="H233" s="116">
        <f>'📋 Proyectos'!$E$3</f>
        <v>35</v>
      </c>
      <c r="I233" s="116" t="str">
        <f t="shared" si="2"/>
        <v/>
      </c>
      <c r="J233" s="4"/>
    </row>
    <row r="234" ht="15.0" customHeight="1">
      <c r="A234" s="4"/>
      <c r="B234" s="4"/>
      <c r="C234" s="4"/>
      <c r="D234" s="4"/>
      <c r="E234" s="4"/>
      <c r="F234" s="4"/>
      <c r="G234" s="4"/>
      <c r="H234" s="114">
        <f>'📋 Proyectos'!$E$3</f>
        <v>35</v>
      </c>
      <c r="I234" s="114" t="str">
        <f t="shared" si="2"/>
        <v/>
      </c>
      <c r="J234" s="4"/>
    </row>
    <row r="235" ht="15.0" customHeight="1">
      <c r="A235" s="4"/>
      <c r="B235" s="4"/>
      <c r="C235" s="4"/>
      <c r="D235" s="4"/>
      <c r="E235" s="4"/>
      <c r="F235" s="4"/>
      <c r="G235" s="4"/>
      <c r="H235" s="116">
        <f>'📋 Proyectos'!$E$3</f>
        <v>35</v>
      </c>
      <c r="I235" s="116" t="str">
        <f t="shared" si="2"/>
        <v/>
      </c>
      <c r="J235" s="4"/>
    </row>
    <row r="236" ht="15.0" customHeight="1">
      <c r="A236" s="4"/>
      <c r="B236" s="4"/>
      <c r="C236" s="4"/>
      <c r="D236" s="4"/>
      <c r="E236" s="4"/>
      <c r="F236" s="4"/>
      <c r="G236" s="4"/>
      <c r="H236" s="114">
        <f>'📋 Proyectos'!$E$3</f>
        <v>35</v>
      </c>
      <c r="I236" s="114" t="str">
        <f t="shared" si="2"/>
        <v/>
      </c>
      <c r="J236" s="4"/>
    </row>
    <row r="237" ht="15.0" customHeight="1">
      <c r="A237" s="4"/>
      <c r="B237" s="4"/>
      <c r="C237" s="4"/>
      <c r="D237" s="4"/>
      <c r="E237" s="4"/>
      <c r="F237" s="4"/>
      <c r="G237" s="4"/>
      <c r="H237" s="116">
        <f>'📋 Proyectos'!$E$3</f>
        <v>35</v>
      </c>
      <c r="I237" s="116" t="str">
        <f t="shared" si="2"/>
        <v/>
      </c>
      <c r="J237" s="4"/>
    </row>
    <row r="238" ht="15.0" customHeight="1">
      <c r="A238" s="4"/>
      <c r="B238" s="4"/>
      <c r="C238" s="4"/>
      <c r="D238" s="4"/>
      <c r="E238" s="4"/>
      <c r="F238" s="4"/>
      <c r="G238" s="4"/>
      <c r="H238" s="114">
        <f>'📋 Proyectos'!$E$3</f>
        <v>35</v>
      </c>
      <c r="I238" s="114" t="str">
        <f t="shared" si="2"/>
        <v/>
      </c>
      <c r="J238" s="4"/>
    </row>
    <row r="239" ht="15.0" customHeight="1">
      <c r="A239" s="4"/>
      <c r="B239" s="4"/>
      <c r="C239" s="4"/>
      <c r="D239" s="4"/>
      <c r="E239" s="4"/>
      <c r="F239" s="4"/>
      <c r="G239" s="4"/>
      <c r="H239" s="116">
        <f>'📋 Proyectos'!$E$3</f>
        <v>35</v>
      </c>
      <c r="I239" s="116" t="str">
        <f t="shared" si="2"/>
        <v/>
      </c>
      <c r="J239" s="4"/>
    </row>
    <row r="240" ht="15.0" customHeight="1">
      <c r="A240" s="4"/>
      <c r="B240" s="4"/>
      <c r="C240" s="4"/>
      <c r="D240" s="4"/>
      <c r="E240" s="4"/>
      <c r="F240" s="4"/>
      <c r="G240" s="4"/>
      <c r="H240" s="114">
        <f>'📋 Proyectos'!$E$3</f>
        <v>35</v>
      </c>
      <c r="I240" s="114" t="str">
        <f t="shared" si="2"/>
        <v/>
      </c>
      <c r="J240" s="4"/>
    </row>
    <row r="241" ht="15.0" customHeight="1">
      <c r="A241" s="4"/>
      <c r="B241" s="4"/>
      <c r="C241" s="4"/>
      <c r="D241" s="4"/>
      <c r="E241" s="4"/>
      <c r="F241" s="4"/>
      <c r="G241" s="4"/>
      <c r="H241" s="116">
        <f>'📋 Proyectos'!$E$3</f>
        <v>35</v>
      </c>
      <c r="I241" s="116" t="str">
        <f t="shared" si="2"/>
        <v/>
      </c>
      <c r="J241" s="4"/>
    </row>
    <row r="242" ht="15.0" customHeight="1">
      <c r="A242" s="4"/>
      <c r="B242" s="4"/>
      <c r="C242" s="4"/>
      <c r="D242" s="4"/>
      <c r="E242" s="4"/>
      <c r="F242" s="4"/>
      <c r="G242" s="4"/>
      <c r="H242" s="114">
        <f>'📋 Proyectos'!$E$3</f>
        <v>35</v>
      </c>
      <c r="I242" s="114" t="str">
        <f t="shared" si="2"/>
        <v/>
      </c>
      <c r="J242" s="4"/>
    </row>
    <row r="243" ht="15.0" customHeight="1">
      <c r="A243" s="4"/>
      <c r="B243" s="4"/>
      <c r="C243" s="4"/>
      <c r="D243" s="4"/>
      <c r="E243" s="4"/>
      <c r="F243" s="4"/>
      <c r="G243" s="4"/>
      <c r="H243" s="116">
        <f>'📋 Proyectos'!$E$3</f>
        <v>35</v>
      </c>
      <c r="I243" s="116" t="str">
        <f t="shared" si="2"/>
        <v/>
      </c>
      <c r="J243" s="4"/>
    </row>
    <row r="244" ht="15.0" customHeight="1">
      <c r="A244" s="4"/>
      <c r="B244" s="4"/>
      <c r="C244" s="4"/>
      <c r="D244" s="4"/>
      <c r="E244" s="4"/>
      <c r="F244" s="4"/>
      <c r="G244" s="4"/>
      <c r="H244" s="114">
        <f>'📋 Proyectos'!$E$3</f>
        <v>35</v>
      </c>
      <c r="I244" s="114" t="str">
        <f t="shared" si="2"/>
        <v/>
      </c>
      <c r="J244" s="4"/>
    </row>
    <row r="245" ht="15.0" customHeight="1">
      <c r="A245" s="4"/>
      <c r="B245" s="4"/>
      <c r="C245" s="4"/>
      <c r="D245" s="4"/>
      <c r="E245" s="4"/>
      <c r="F245" s="4"/>
      <c r="G245" s="4"/>
      <c r="H245" s="116">
        <f>'📋 Proyectos'!$E$3</f>
        <v>35</v>
      </c>
      <c r="I245" s="116" t="str">
        <f t="shared" si="2"/>
        <v/>
      </c>
      <c r="J245" s="4"/>
    </row>
    <row r="246" ht="15.0" customHeight="1">
      <c r="A246" s="4"/>
      <c r="B246" s="4"/>
      <c r="C246" s="4"/>
      <c r="D246" s="4"/>
      <c r="E246" s="4"/>
      <c r="F246" s="4"/>
      <c r="G246" s="4"/>
      <c r="H246" s="114">
        <f>'📋 Proyectos'!$E$3</f>
        <v>35</v>
      </c>
      <c r="I246" s="114" t="str">
        <f t="shared" si="2"/>
        <v/>
      </c>
      <c r="J246" s="4"/>
    </row>
    <row r="247" ht="15.0" customHeight="1">
      <c r="A247" s="4"/>
      <c r="B247" s="4"/>
      <c r="C247" s="4"/>
      <c r="D247" s="4"/>
      <c r="E247" s="4"/>
      <c r="F247" s="4"/>
      <c r="G247" s="4"/>
      <c r="H247" s="116">
        <f>'📋 Proyectos'!$E$3</f>
        <v>35</v>
      </c>
      <c r="I247" s="116" t="str">
        <f t="shared" si="2"/>
        <v/>
      </c>
      <c r="J247" s="4"/>
    </row>
    <row r="248" ht="15.0" customHeight="1">
      <c r="A248" s="4"/>
      <c r="B248" s="4"/>
      <c r="C248" s="4"/>
      <c r="D248" s="4"/>
      <c r="E248" s="4"/>
      <c r="F248" s="4"/>
      <c r="G248" s="4"/>
      <c r="H248" s="114">
        <f>'📋 Proyectos'!$E$3</f>
        <v>35</v>
      </c>
      <c r="I248" s="114" t="str">
        <f t="shared" si="2"/>
        <v/>
      </c>
      <c r="J248" s="4"/>
    </row>
    <row r="249" ht="15.0" customHeight="1">
      <c r="A249" s="4"/>
      <c r="B249" s="4"/>
      <c r="C249" s="4"/>
      <c r="D249" s="4"/>
      <c r="E249" s="4"/>
      <c r="F249" s="4"/>
      <c r="G249" s="4"/>
      <c r="H249" s="116">
        <f>'📋 Proyectos'!$E$3</f>
        <v>35</v>
      </c>
      <c r="I249" s="116" t="str">
        <f t="shared" si="2"/>
        <v/>
      </c>
      <c r="J249" s="4"/>
    </row>
    <row r="250" ht="15.0" customHeight="1">
      <c r="A250" s="4"/>
      <c r="B250" s="4"/>
      <c r="C250" s="4"/>
      <c r="D250" s="4"/>
      <c r="E250" s="4"/>
      <c r="F250" s="4"/>
      <c r="G250" s="4"/>
      <c r="H250" s="114">
        <f>'📋 Proyectos'!$E$3</f>
        <v>35</v>
      </c>
      <c r="I250" s="114" t="str">
        <f t="shared" si="2"/>
        <v/>
      </c>
      <c r="J250" s="4"/>
    </row>
    <row r="251" ht="15.0" customHeight="1">
      <c r="A251" s="4"/>
      <c r="B251" s="4"/>
      <c r="C251" s="4"/>
      <c r="D251" s="4"/>
      <c r="E251" s="4"/>
      <c r="F251" s="4"/>
      <c r="G251" s="4"/>
      <c r="H251" s="116">
        <f>'📋 Proyectos'!$E$3</f>
        <v>35</v>
      </c>
      <c r="I251" s="116" t="str">
        <f t="shared" si="2"/>
        <v/>
      </c>
      <c r="J251" s="4"/>
    </row>
    <row r="252" ht="15.0" customHeight="1">
      <c r="A252" s="4"/>
      <c r="B252" s="4"/>
      <c r="C252" s="4"/>
      <c r="D252" s="4"/>
      <c r="E252" s="4"/>
      <c r="F252" s="4"/>
      <c r="G252" s="4"/>
      <c r="H252" s="114">
        <f>'📋 Proyectos'!$E$3</f>
        <v>35</v>
      </c>
      <c r="I252" s="114" t="str">
        <f t="shared" si="2"/>
        <v/>
      </c>
      <c r="J252" s="4"/>
    </row>
    <row r="253" ht="15.0" customHeight="1">
      <c r="A253" s="4"/>
      <c r="B253" s="4"/>
      <c r="C253" s="4"/>
      <c r="D253" s="4"/>
      <c r="E253" s="4"/>
      <c r="F253" s="4"/>
      <c r="G253" s="4"/>
      <c r="H253" s="116">
        <f>'📋 Proyectos'!$E$3</f>
        <v>35</v>
      </c>
      <c r="I253" s="116" t="str">
        <f t="shared" si="2"/>
        <v/>
      </c>
      <c r="J253" s="4"/>
    </row>
    <row r="254" ht="15.0" customHeight="1">
      <c r="A254" s="4"/>
      <c r="B254" s="4"/>
      <c r="C254" s="4"/>
      <c r="D254" s="4"/>
      <c r="E254" s="4"/>
      <c r="F254" s="4"/>
      <c r="G254" s="4"/>
      <c r="H254" s="114">
        <f>'📋 Proyectos'!$E$3</f>
        <v>35</v>
      </c>
      <c r="I254" s="114" t="str">
        <f t="shared" si="2"/>
        <v/>
      </c>
      <c r="J254" s="4"/>
    </row>
    <row r="255" ht="15.0" customHeight="1">
      <c r="A255" s="4"/>
      <c r="B255" s="4"/>
      <c r="C255" s="4"/>
      <c r="D255" s="4"/>
      <c r="E255" s="4"/>
      <c r="F255" s="4"/>
      <c r="G255" s="4"/>
      <c r="H255" s="116">
        <f>'📋 Proyectos'!$E$3</f>
        <v>35</v>
      </c>
      <c r="I255" s="116" t="str">
        <f t="shared" si="2"/>
        <v/>
      </c>
      <c r="J255" s="4"/>
    </row>
    <row r="256" ht="15.0" customHeight="1">
      <c r="A256" s="4"/>
      <c r="B256" s="4"/>
      <c r="C256" s="4"/>
      <c r="D256" s="4"/>
      <c r="E256" s="4"/>
      <c r="F256" s="4"/>
      <c r="G256" s="4"/>
      <c r="H256" s="114">
        <f>'📋 Proyectos'!$E$3</f>
        <v>35</v>
      </c>
      <c r="I256" s="114" t="str">
        <f t="shared" si="2"/>
        <v/>
      </c>
      <c r="J256" s="4"/>
    </row>
    <row r="257" ht="15.0" customHeight="1">
      <c r="A257" s="4"/>
      <c r="B257" s="4"/>
      <c r="C257" s="4"/>
      <c r="D257" s="4"/>
      <c r="E257" s="4"/>
      <c r="F257" s="4"/>
      <c r="G257" s="4"/>
      <c r="H257" s="116">
        <f>'📋 Proyectos'!$E$3</f>
        <v>35</v>
      </c>
      <c r="I257" s="116" t="str">
        <f t="shared" si="2"/>
        <v/>
      </c>
      <c r="J257" s="4"/>
    </row>
    <row r="258" ht="15.0" customHeight="1">
      <c r="A258" s="4"/>
      <c r="B258" s="4"/>
      <c r="C258" s="4"/>
      <c r="D258" s="4"/>
      <c r="E258" s="4"/>
      <c r="F258" s="4"/>
      <c r="G258" s="4"/>
      <c r="H258" s="114">
        <f>'📋 Proyectos'!$E$3</f>
        <v>35</v>
      </c>
      <c r="I258" s="114" t="str">
        <f t="shared" si="2"/>
        <v/>
      </c>
      <c r="J258" s="4"/>
    </row>
    <row r="259" ht="15.0" customHeight="1">
      <c r="A259" s="4"/>
      <c r="B259" s="4"/>
      <c r="C259" s="4"/>
      <c r="D259" s="4"/>
      <c r="E259" s="4"/>
      <c r="F259" s="4"/>
      <c r="G259" s="4"/>
      <c r="H259" s="116">
        <f>'📋 Proyectos'!$E$3</f>
        <v>35</v>
      </c>
      <c r="I259" s="116" t="str">
        <f t="shared" si="2"/>
        <v/>
      </c>
      <c r="J259" s="4"/>
    </row>
    <row r="260" ht="15.0" customHeight="1">
      <c r="A260" s="4"/>
      <c r="B260" s="4"/>
      <c r="C260" s="4"/>
      <c r="D260" s="4"/>
      <c r="E260" s="4"/>
      <c r="F260" s="4"/>
      <c r="G260" s="4"/>
      <c r="H260" s="114">
        <f>'📋 Proyectos'!$E$3</f>
        <v>35</v>
      </c>
      <c r="I260" s="114" t="str">
        <f t="shared" si="2"/>
        <v/>
      </c>
      <c r="J260" s="4"/>
    </row>
    <row r="261" ht="15.0" customHeight="1">
      <c r="A261" s="4"/>
      <c r="B261" s="4"/>
      <c r="C261" s="4"/>
      <c r="D261" s="4"/>
      <c r="E261" s="4"/>
      <c r="F261" s="4"/>
      <c r="G261" s="4"/>
      <c r="H261" s="116">
        <f>'📋 Proyectos'!$E$3</f>
        <v>35</v>
      </c>
      <c r="I261" s="116" t="str">
        <f t="shared" si="2"/>
        <v/>
      </c>
      <c r="J261" s="4"/>
    </row>
    <row r="262" ht="15.0" customHeight="1">
      <c r="A262" s="4"/>
      <c r="B262" s="4"/>
      <c r="C262" s="4"/>
      <c r="D262" s="4"/>
      <c r="E262" s="4"/>
      <c r="F262" s="4"/>
      <c r="G262" s="4"/>
      <c r="H262" s="114">
        <f>'📋 Proyectos'!$E$3</f>
        <v>35</v>
      </c>
      <c r="I262" s="114" t="str">
        <f t="shared" si="2"/>
        <v/>
      </c>
      <c r="J262" s="4"/>
    </row>
    <row r="263" ht="15.0" customHeight="1">
      <c r="A263" s="4"/>
      <c r="B263" s="4"/>
      <c r="C263" s="4"/>
      <c r="D263" s="4"/>
      <c r="E263" s="4"/>
      <c r="F263" s="4"/>
      <c r="G263" s="4"/>
      <c r="H263" s="116">
        <f>'📋 Proyectos'!$E$3</f>
        <v>35</v>
      </c>
      <c r="I263" s="116" t="str">
        <f t="shared" si="2"/>
        <v/>
      </c>
      <c r="J263" s="4"/>
    </row>
    <row r="264" ht="15.0" customHeight="1">
      <c r="A264" s="4"/>
      <c r="B264" s="4"/>
      <c r="C264" s="4"/>
      <c r="D264" s="4"/>
      <c r="E264" s="4"/>
      <c r="F264" s="4"/>
      <c r="G264" s="4"/>
      <c r="H264" s="114">
        <f>'📋 Proyectos'!$E$3</f>
        <v>35</v>
      </c>
      <c r="I264" s="114" t="str">
        <f t="shared" si="2"/>
        <v/>
      </c>
      <c r="J264" s="4"/>
    </row>
    <row r="265" ht="15.0" customHeight="1">
      <c r="A265" s="4"/>
      <c r="B265" s="4"/>
      <c r="C265" s="4"/>
      <c r="D265" s="4"/>
      <c r="E265" s="4"/>
      <c r="F265" s="4"/>
      <c r="G265" s="4"/>
      <c r="H265" s="116">
        <f>'📋 Proyectos'!$E$3</f>
        <v>35</v>
      </c>
      <c r="I265" s="116" t="str">
        <f t="shared" si="2"/>
        <v/>
      </c>
      <c r="J265" s="4"/>
    </row>
    <row r="266" ht="15.0" customHeight="1">
      <c r="A266" s="4"/>
      <c r="B266" s="4"/>
      <c r="C266" s="4"/>
      <c r="D266" s="4"/>
      <c r="E266" s="4"/>
      <c r="F266" s="4"/>
      <c r="G266" s="4"/>
      <c r="H266" s="114">
        <f>'📋 Proyectos'!$E$3</f>
        <v>35</v>
      </c>
      <c r="I266" s="114" t="str">
        <f t="shared" si="2"/>
        <v/>
      </c>
      <c r="J266" s="4"/>
    </row>
    <row r="267" ht="15.0" customHeight="1">
      <c r="A267" s="4"/>
      <c r="B267" s="4"/>
      <c r="C267" s="4"/>
      <c r="D267" s="4"/>
      <c r="E267" s="4"/>
      <c r="F267" s="4"/>
      <c r="G267" s="4"/>
      <c r="H267" s="116">
        <f>'📋 Proyectos'!$E$3</f>
        <v>35</v>
      </c>
      <c r="I267" s="116" t="str">
        <f t="shared" si="2"/>
        <v/>
      </c>
      <c r="J267" s="4"/>
    </row>
    <row r="268" ht="15.0" customHeight="1">
      <c r="A268" s="4"/>
      <c r="B268" s="4"/>
      <c r="C268" s="4"/>
      <c r="D268" s="4"/>
      <c r="E268" s="4"/>
      <c r="F268" s="4"/>
      <c r="G268" s="4"/>
      <c r="H268" s="114">
        <f>'📋 Proyectos'!$E$3</f>
        <v>35</v>
      </c>
      <c r="I268" s="114" t="str">
        <f t="shared" si="2"/>
        <v/>
      </c>
      <c r="J268" s="4"/>
    </row>
    <row r="269" ht="15.0" customHeight="1">
      <c r="A269" s="4"/>
      <c r="B269" s="4"/>
      <c r="C269" s="4"/>
      <c r="D269" s="4"/>
      <c r="E269" s="4"/>
      <c r="F269" s="4"/>
      <c r="G269" s="4"/>
      <c r="H269" s="116">
        <f>'📋 Proyectos'!$E$3</f>
        <v>35</v>
      </c>
      <c r="I269" s="116" t="str">
        <f t="shared" si="2"/>
        <v/>
      </c>
      <c r="J269" s="4"/>
    </row>
    <row r="270" ht="15.0" customHeight="1">
      <c r="A270" s="4"/>
      <c r="B270" s="4"/>
      <c r="C270" s="4"/>
      <c r="D270" s="4"/>
      <c r="E270" s="4"/>
      <c r="F270" s="4"/>
      <c r="G270" s="4"/>
      <c r="H270" s="114">
        <f>'📋 Proyectos'!$E$3</f>
        <v>35</v>
      </c>
      <c r="I270" s="114" t="str">
        <f t="shared" si="2"/>
        <v/>
      </c>
      <c r="J270" s="4"/>
    </row>
    <row r="271" ht="15.0" customHeight="1">
      <c r="A271" s="4"/>
      <c r="B271" s="4"/>
      <c r="C271" s="4"/>
      <c r="D271" s="4"/>
      <c r="E271" s="4"/>
      <c r="F271" s="4"/>
      <c r="G271" s="4"/>
      <c r="H271" s="116">
        <f>'📋 Proyectos'!$E$3</f>
        <v>35</v>
      </c>
      <c r="I271" s="116" t="str">
        <f t="shared" si="2"/>
        <v/>
      </c>
      <c r="J271" s="4"/>
    </row>
    <row r="272" ht="15.0" customHeight="1">
      <c r="A272" s="4"/>
      <c r="B272" s="4"/>
      <c r="C272" s="4"/>
      <c r="D272" s="4"/>
      <c r="E272" s="4"/>
      <c r="F272" s="4"/>
      <c r="G272" s="4"/>
      <c r="H272" s="114">
        <f>'📋 Proyectos'!$E$3</f>
        <v>35</v>
      </c>
      <c r="I272" s="114" t="str">
        <f t="shared" si="2"/>
        <v/>
      </c>
      <c r="J272" s="4"/>
    </row>
    <row r="273" ht="15.0" customHeight="1">
      <c r="A273" s="4"/>
      <c r="B273" s="4"/>
      <c r="C273" s="4"/>
      <c r="D273" s="4"/>
      <c r="E273" s="4"/>
      <c r="F273" s="4"/>
      <c r="G273" s="4"/>
      <c r="H273" s="116">
        <f>'📋 Proyectos'!$E$3</f>
        <v>35</v>
      </c>
      <c r="I273" s="116" t="str">
        <f t="shared" si="2"/>
        <v/>
      </c>
      <c r="J273" s="4"/>
    </row>
    <row r="274" ht="15.0" customHeight="1">
      <c r="A274" s="4"/>
      <c r="B274" s="4"/>
      <c r="C274" s="4"/>
      <c r="D274" s="4"/>
      <c r="E274" s="4"/>
      <c r="F274" s="4"/>
      <c r="G274" s="4"/>
      <c r="H274" s="114">
        <f>'📋 Proyectos'!$E$3</f>
        <v>35</v>
      </c>
      <c r="I274" s="114" t="str">
        <f t="shared" si="2"/>
        <v/>
      </c>
      <c r="J274" s="4"/>
    </row>
    <row r="275" ht="15.0" customHeight="1">
      <c r="A275" s="4"/>
      <c r="B275" s="4"/>
      <c r="C275" s="4"/>
      <c r="D275" s="4"/>
      <c r="E275" s="4"/>
      <c r="F275" s="4"/>
      <c r="G275" s="4"/>
      <c r="H275" s="116">
        <f>'📋 Proyectos'!$E$3</f>
        <v>35</v>
      </c>
      <c r="I275" s="116" t="str">
        <f t="shared" si="2"/>
        <v/>
      </c>
      <c r="J275" s="4"/>
    </row>
    <row r="276" ht="15.0" customHeight="1">
      <c r="A276" s="4"/>
      <c r="B276" s="4"/>
      <c r="C276" s="4"/>
      <c r="D276" s="4"/>
      <c r="E276" s="4"/>
      <c r="F276" s="4"/>
      <c r="G276" s="4"/>
      <c r="H276" s="114">
        <f>'📋 Proyectos'!$E$3</f>
        <v>35</v>
      </c>
      <c r="I276" s="114" t="str">
        <f t="shared" si="2"/>
        <v/>
      </c>
      <c r="J276" s="4"/>
    </row>
    <row r="277" ht="15.0" customHeight="1">
      <c r="A277" s="4"/>
      <c r="B277" s="4"/>
      <c r="C277" s="4"/>
      <c r="D277" s="4"/>
      <c r="E277" s="4"/>
      <c r="F277" s="4"/>
      <c r="G277" s="4"/>
      <c r="H277" s="116">
        <f>'📋 Proyectos'!$E$3</f>
        <v>35</v>
      </c>
      <c r="I277" s="116" t="str">
        <f t="shared" si="2"/>
        <v/>
      </c>
      <c r="J277" s="4"/>
    </row>
    <row r="278" ht="15.0" customHeight="1">
      <c r="A278" s="4"/>
      <c r="B278" s="4"/>
      <c r="C278" s="4"/>
      <c r="D278" s="4"/>
      <c r="E278" s="4"/>
      <c r="F278" s="4"/>
      <c r="G278" s="4"/>
      <c r="H278" s="114">
        <f>'📋 Proyectos'!$E$3</f>
        <v>35</v>
      </c>
      <c r="I278" s="114" t="str">
        <f t="shared" si="2"/>
        <v/>
      </c>
      <c r="J278" s="4"/>
    </row>
    <row r="279" ht="15.0" customHeight="1">
      <c r="A279" s="4"/>
      <c r="B279" s="4"/>
      <c r="C279" s="4"/>
      <c r="D279" s="4"/>
      <c r="E279" s="4"/>
      <c r="F279" s="4"/>
      <c r="G279" s="4"/>
      <c r="H279" s="116">
        <f>'📋 Proyectos'!$E$3</f>
        <v>35</v>
      </c>
      <c r="I279" s="116" t="str">
        <f t="shared" si="2"/>
        <v/>
      </c>
      <c r="J279" s="4"/>
    </row>
    <row r="280" ht="15.0" customHeight="1">
      <c r="A280" s="4"/>
      <c r="B280" s="4"/>
      <c r="C280" s="4"/>
      <c r="D280" s="4"/>
      <c r="E280" s="4"/>
      <c r="F280" s="4"/>
      <c r="G280" s="4"/>
      <c r="H280" s="114">
        <f>'📋 Proyectos'!$E$3</f>
        <v>35</v>
      </c>
      <c r="I280" s="114" t="str">
        <f t="shared" si="2"/>
        <v/>
      </c>
      <c r="J280" s="4"/>
    </row>
    <row r="281" ht="15.0" customHeight="1">
      <c r="A281" s="4"/>
      <c r="B281" s="4"/>
      <c r="C281" s="4"/>
      <c r="D281" s="4"/>
      <c r="E281" s="4"/>
      <c r="F281" s="4"/>
      <c r="G281" s="4"/>
      <c r="H281" s="116">
        <f>'📋 Proyectos'!$E$3</f>
        <v>35</v>
      </c>
      <c r="I281" s="116" t="str">
        <f t="shared" si="2"/>
        <v/>
      </c>
      <c r="J281" s="4"/>
    </row>
    <row r="282" ht="15.0" customHeight="1">
      <c r="A282" s="4"/>
      <c r="B282" s="4"/>
      <c r="C282" s="4"/>
      <c r="D282" s="4"/>
      <c r="E282" s="4"/>
      <c r="F282" s="4"/>
      <c r="G282" s="4"/>
      <c r="H282" s="114">
        <f>'📋 Proyectos'!$E$3</f>
        <v>35</v>
      </c>
      <c r="I282" s="114" t="str">
        <f t="shared" si="2"/>
        <v/>
      </c>
      <c r="J282" s="4"/>
    </row>
    <row r="283" ht="15.0" customHeight="1">
      <c r="A283" s="4"/>
      <c r="B283" s="4"/>
      <c r="C283" s="4"/>
      <c r="D283" s="4"/>
      <c r="E283" s="4"/>
      <c r="F283" s="4"/>
      <c r="G283" s="4"/>
      <c r="H283" s="116">
        <f>'📋 Proyectos'!$E$3</f>
        <v>35</v>
      </c>
      <c r="I283" s="116" t="str">
        <f t="shared" si="2"/>
        <v/>
      </c>
      <c r="J283" s="4"/>
    </row>
    <row r="284" ht="15.0" customHeight="1">
      <c r="A284" s="4"/>
      <c r="B284" s="4"/>
      <c r="C284" s="4"/>
      <c r="D284" s="4"/>
      <c r="E284" s="4"/>
      <c r="F284" s="4"/>
      <c r="G284" s="4"/>
      <c r="H284" s="114">
        <f>'📋 Proyectos'!$E$3</f>
        <v>35</v>
      </c>
      <c r="I284" s="114" t="str">
        <f t="shared" si="2"/>
        <v/>
      </c>
      <c r="J284" s="4"/>
    </row>
    <row r="285" ht="15.0" customHeight="1">
      <c r="A285" s="4"/>
      <c r="B285" s="4"/>
      <c r="C285" s="4"/>
      <c r="D285" s="4"/>
      <c r="E285" s="4"/>
      <c r="F285" s="4"/>
      <c r="G285" s="4"/>
      <c r="H285" s="116">
        <f>'📋 Proyectos'!$E$3</f>
        <v>35</v>
      </c>
      <c r="I285" s="116" t="str">
        <f t="shared" si="2"/>
        <v/>
      </c>
      <c r="J285" s="4"/>
    </row>
    <row r="286" ht="15.0" customHeight="1">
      <c r="A286" s="4"/>
      <c r="B286" s="4"/>
      <c r="C286" s="4"/>
      <c r="D286" s="4"/>
      <c r="E286" s="4"/>
      <c r="F286" s="4"/>
      <c r="G286" s="4"/>
      <c r="H286" s="114">
        <f>'📋 Proyectos'!$E$3</f>
        <v>35</v>
      </c>
      <c r="I286" s="114" t="str">
        <f t="shared" si="2"/>
        <v/>
      </c>
      <c r="J286" s="4"/>
    </row>
    <row r="287" ht="15.0" customHeight="1">
      <c r="A287" s="4"/>
      <c r="B287" s="4"/>
      <c r="C287" s="4"/>
      <c r="D287" s="4"/>
      <c r="E287" s="4"/>
      <c r="F287" s="4"/>
      <c r="G287" s="4"/>
      <c r="H287" s="116">
        <f>'📋 Proyectos'!$E$3</f>
        <v>35</v>
      </c>
      <c r="I287" s="116" t="str">
        <f t="shared" si="2"/>
        <v/>
      </c>
      <c r="J287" s="4"/>
    </row>
    <row r="288" ht="15.0" customHeight="1">
      <c r="A288" s="4"/>
      <c r="B288" s="4"/>
      <c r="C288" s="4"/>
      <c r="D288" s="4"/>
      <c r="E288" s="4"/>
      <c r="F288" s="4"/>
      <c r="G288" s="4"/>
      <c r="H288" s="114">
        <f>'📋 Proyectos'!$E$3</f>
        <v>35</v>
      </c>
      <c r="I288" s="114" t="str">
        <f t="shared" si="2"/>
        <v/>
      </c>
      <c r="J288" s="4"/>
    </row>
    <row r="289" ht="15.0" customHeight="1">
      <c r="A289" s="4"/>
      <c r="B289" s="4"/>
      <c r="C289" s="4"/>
      <c r="D289" s="4"/>
      <c r="E289" s="4"/>
      <c r="F289" s="4"/>
      <c r="G289" s="4"/>
      <c r="H289" s="116">
        <f>'📋 Proyectos'!$E$3</f>
        <v>35</v>
      </c>
      <c r="I289" s="116" t="str">
        <f t="shared" si="2"/>
        <v/>
      </c>
      <c r="J289" s="4"/>
    </row>
    <row r="290" ht="15.0" customHeight="1">
      <c r="A290" s="4"/>
      <c r="B290" s="4"/>
      <c r="C290" s="4"/>
      <c r="D290" s="4"/>
      <c r="E290" s="4"/>
      <c r="F290" s="4"/>
      <c r="G290" s="4"/>
      <c r="H290" s="114">
        <f>'📋 Proyectos'!$E$3</f>
        <v>35</v>
      </c>
      <c r="I290" s="114" t="str">
        <f t="shared" si="2"/>
        <v/>
      </c>
      <c r="J290" s="4"/>
    </row>
    <row r="291" ht="15.0" customHeight="1">
      <c r="A291" s="4"/>
      <c r="B291" s="4"/>
      <c r="C291" s="4"/>
      <c r="D291" s="4"/>
      <c r="E291" s="4"/>
      <c r="F291" s="4"/>
      <c r="G291" s="4"/>
      <c r="H291" s="116">
        <f>'📋 Proyectos'!$E$3</f>
        <v>35</v>
      </c>
      <c r="I291" s="116" t="str">
        <f t="shared" si="2"/>
        <v/>
      </c>
      <c r="J291" s="4"/>
    </row>
    <row r="292" ht="15.0" customHeight="1">
      <c r="A292" s="4"/>
      <c r="B292" s="4"/>
      <c r="C292" s="4"/>
      <c r="D292" s="4"/>
      <c r="E292" s="4"/>
      <c r="F292" s="4"/>
      <c r="G292" s="4"/>
      <c r="H292" s="114">
        <f>'📋 Proyectos'!$E$3</f>
        <v>35</v>
      </c>
      <c r="I292" s="114" t="str">
        <f t="shared" si="2"/>
        <v/>
      </c>
      <c r="J292" s="4"/>
    </row>
    <row r="293" ht="15.0" customHeight="1">
      <c r="A293" s="4"/>
      <c r="B293" s="4"/>
      <c r="C293" s="4"/>
      <c r="D293" s="4"/>
      <c r="E293" s="4"/>
      <c r="F293" s="4"/>
      <c r="G293" s="4"/>
      <c r="H293" s="116">
        <f>'📋 Proyectos'!$E$3</f>
        <v>35</v>
      </c>
      <c r="I293" s="116" t="str">
        <f t="shared" si="2"/>
        <v/>
      </c>
      <c r="J293" s="4"/>
    </row>
    <row r="294" ht="15.0" customHeight="1">
      <c r="A294" s="4"/>
      <c r="B294" s="4"/>
      <c r="C294" s="4"/>
      <c r="D294" s="4"/>
      <c r="E294" s="4"/>
      <c r="F294" s="4"/>
      <c r="G294" s="4"/>
      <c r="H294" s="114">
        <f>'📋 Proyectos'!$E$3</f>
        <v>35</v>
      </c>
      <c r="I294" s="114" t="str">
        <f t="shared" si="2"/>
        <v/>
      </c>
      <c r="J294" s="4"/>
    </row>
    <row r="295" ht="15.0" customHeight="1">
      <c r="A295" s="4"/>
      <c r="B295" s="4"/>
      <c r="C295" s="4"/>
      <c r="D295" s="4"/>
      <c r="E295" s="4"/>
      <c r="F295" s="4"/>
      <c r="G295" s="4"/>
      <c r="H295" s="116">
        <f>'📋 Proyectos'!$E$3</f>
        <v>35</v>
      </c>
      <c r="I295" s="116" t="str">
        <f t="shared" si="2"/>
        <v/>
      </c>
      <c r="J295" s="4"/>
    </row>
    <row r="296" ht="15.0" customHeight="1">
      <c r="A296" s="4"/>
      <c r="B296" s="4"/>
      <c r="C296" s="4"/>
      <c r="D296" s="4"/>
      <c r="E296" s="4"/>
      <c r="F296" s="4"/>
      <c r="G296" s="4"/>
      <c r="H296" s="114">
        <f>'📋 Proyectos'!$E$3</f>
        <v>35</v>
      </c>
      <c r="I296" s="114" t="str">
        <f t="shared" si="2"/>
        <v/>
      </c>
      <c r="J296" s="4"/>
    </row>
    <row r="297" ht="15.0" customHeight="1">
      <c r="A297" s="4"/>
      <c r="B297" s="4"/>
      <c r="C297" s="4"/>
      <c r="D297" s="4"/>
      <c r="E297" s="4"/>
      <c r="F297" s="4"/>
      <c r="G297" s="4"/>
      <c r="H297" s="116">
        <f>'📋 Proyectos'!$E$3</f>
        <v>35</v>
      </c>
      <c r="I297" s="116" t="str">
        <f t="shared" si="2"/>
        <v/>
      </c>
      <c r="J297" s="4"/>
    </row>
    <row r="298" ht="15.0" customHeight="1">
      <c r="A298" s="4"/>
      <c r="B298" s="4"/>
      <c r="C298" s="4"/>
      <c r="D298" s="4"/>
      <c r="E298" s="4"/>
      <c r="F298" s="4"/>
      <c r="G298" s="4"/>
      <c r="H298" s="114">
        <f>'📋 Proyectos'!$E$3</f>
        <v>35</v>
      </c>
      <c r="I298" s="114" t="str">
        <f t="shared" si="2"/>
        <v/>
      </c>
      <c r="J298" s="4"/>
    </row>
    <row r="299" ht="15.0" customHeight="1">
      <c r="A299" s="4"/>
      <c r="B299" s="4"/>
      <c r="C299" s="4"/>
      <c r="D299" s="4"/>
      <c r="E299" s="4"/>
      <c r="F299" s="4"/>
      <c r="G299" s="4"/>
      <c r="H299" s="116">
        <f>'📋 Proyectos'!$E$3</f>
        <v>35</v>
      </c>
      <c r="I299" s="116" t="str">
        <f t="shared" si="2"/>
        <v/>
      </c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2">
    <mergeCell ref="A1:J1"/>
    <mergeCell ref="A2:J2"/>
  </mergeCells>
  <dataValidations>
    <dataValidation type="list" allowBlank="1" sqref="D4:D500">
      <formula1>"Luis García,María Sánchez,Pedro Ruiz,Ana López,Javier Martín,Elena Torres"</formula1>
    </dataValidation>
    <dataValidation type="list" allowBlank="1" sqref="C4:C500">
      <formula1>"Equipo Alpha,Equipo Beta,Equipo Gamma,Equipo Delta"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16.0"/>
    <col customWidth="1" min="4" max="4" width="20.0"/>
    <col customWidth="1" min="5" max="5" width="12.0"/>
    <col customWidth="1" min="6" max="6" width="18.0"/>
    <col customWidth="1" min="7" max="7" width="42.0"/>
    <col customWidth="1" min="8" max="8" width="10.0"/>
    <col customWidth="1" min="9" max="10" width="16.0"/>
    <col customWidth="1" min="11" max="11" width="13.0"/>
    <col customWidth="1" min="12" max="12" width="12.0"/>
    <col customWidth="1" min="13" max="26" width="8.71"/>
  </cols>
  <sheetData>
    <row r="1" ht="36.0" customHeight="1">
      <c r="A1" s="117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76" t="s">
        <v>318</v>
      </c>
    </row>
    <row r="3" ht="27.75" customHeight="1">
      <c r="A3" s="68" t="s">
        <v>319</v>
      </c>
      <c r="B3" s="68" t="s">
        <v>266</v>
      </c>
      <c r="C3" s="68" t="s">
        <v>267</v>
      </c>
      <c r="D3" s="68" t="s">
        <v>320</v>
      </c>
      <c r="E3" s="68" t="s">
        <v>321</v>
      </c>
      <c r="F3" s="68" t="s">
        <v>322</v>
      </c>
      <c r="G3" s="68" t="s">
        <v>11</v>
      </c>
      <c r="H3" s="68" t="s">
        <v>323</v>
      </c>
      <c r="I3" s="68" t="s">
        <v>324</v>
      </c>
      <c r="J3" s="68" t="s">
        <v>325</v>
      </c>
      <c r="K3" s="68" t="s">
        <v>15</v>
      </c>
      <c r="L3" s="68" t="s">
        <v>326</v>
      </c>
    </row>
    <row r="4" ht="19.5" customHeight="1">
      <c r="A4" s="90" t="s">
        <v>327</v>
      </c>
      <c r="B4" s="90" t="s">
        <v>230</v>
      </c>
      <c r="C4" s="90" t="s">
        <v>234</v>
      </c>
      <c r="D4" s="90" t="s">
        <v>299</v>
      </c>
      <c r="E4" s="118">
        <v>45696.0</v>
      </c>
      <c r="F4" s="90" t="s">
        <v>328</v>
      </c>
      <c r="G4" s="91" t="s">
        <v>329</v>
      </c>
      <c r="H4" s="96">
        <v>3.0</v>
      </c>
      <c r="I4" s="114">
        <v>0.0</v>
      </c>
      <c r="J4" s="114">
        <f>H4*'📋 Proyectos'!$E$3+I4</f>
        <v>105</v>
      </c>
      <c r="K4" s="92" t="s">
        <v>330</v>
      </c>
      <c r="L4" s="118">
        <v>45696.0</v>
      </c>
    </row>
    <row r="5" ht="19.5" customHeight="1">
      <c r="A5" s="100" t="s">
        <v>331</v>
      </c>
      <c r="B5" s="100" t="s">
        <v>247</v>
      </c>
      <c r="C5" s="100" t="s">
        <v>250</v>
      </c>
      <c r="D5" s="100" t="s">
        <v>287</v>
      </c>
      <c r="E5" s="119">
        <v>45671.0</v>
      </c>
      <c r="F5" s="100" t="s">
        <v>332</v>
      </c>
      <c r="G5" s="101" t="s">
        <v>333</v>
      </c>
      <c r="H5" s="105">
        <v>4.0</v>
      </c>
      <c r="I5" s="116">
        <v>45.0</v>
      </c>
      <c r="J5" s="116">
        <f>H5*'📋 Proyectos'!$E$3+I5</f>
        <v>185</v>
      </c>
      <c r="K5" s="92" t="s">
        <v>330</v>
      </c>
      <c r="L5" s="119">
        <v>45671.0</v>
      </c>
    </row>
    <row r="6" ht="19.5" customHeight="1">
      <c r="A6" s="90" t="s">
        <v>334</v>
      </c>
      <c r="B6" s="90" t="s">
        <v>254</v>
      </c>
      <c r="C6" s="90" t="s">
        <v>241</v>
      </c>
      <c r="D6" s="90" t="s">
        <v>304</v>
      </c>
      <c r="E6" s="118">
        <v>45700.0</v>
      </c>
      <c r="F6" s="90" t="s">
        <v>335</v>
      </c>
      <c r="G6" s="91" t="s">
        <v>336</v>
      </c>
      <c r="H6" s="96">
        <v>5.0</v>
      </c>
      <c r="I6" s="114">
        <v>0.0</v>
      </c>
      <c r="J6" s="114">
        <f>H6*'📋 Proyectos'!$E$3+I6</f>
        <v>175</v>
      </c>
      <c r="K6" s="92" t="s">
        <v>330</v>
      </c>
      <c r="L6" s="118">
        <v>45702.0</v>
      </c>
    </row>
    <row r="7" ht="19.5" customHeight="1">
      <c r="A7" s="100" t="s">
        <v>337</v>
      </c>
      <c r="B7" s="100" t="s">
        <v>224</v>
      </c>
      <c r="C7" s="100" t="s">
        <v>228</v>
      </c>
      <c r="D7" s="100" t="s">
        <v>272</v>
      </c>
      <c r="E7" s="119">
        <v>45690.0</v>
      </c>
      <c r="F7" s="100" t="s">
        <v>338</v>
      </c>
      <c r="G7" s="101" t="s">
        <v>339</v>
      </c>
      <c r="H7" s="105">
        <v>2.0</v>
      </c>
      <c r="I7" s="116">
        <v>0.0</v>
      </c>
      <c r="J7" s="116">
        <f>H7*'📋 Proyectos'!$E$3+I7</f>
        <v>70</v>
      </c>
      <c r="K7" s="92" t="s">
        <v>330</v>
      </c>
      <c r="L7" s="119">
        <v>45691.0</v>
      </c>
    </row>
    <row r="8" ht="19.5" customHeight="1">
      <c r="A8" s="90" t="s">
        <v>340</v>
      </c>
      <c r="B8" s="90" t="s">
        <v>230</v>
      </c>
      <c r="C8" s="90" t="s">
        <v>234</v>
      </c>
      <c r="D8" s="90" t="s">
        <v>299</v>
      </c>
      <c r="E8" s="118">
        <v>45703.0</v>
      </c>
      <c r="F8" s="90" t="s">
        <v>341</v>
      </c>
      <c r="G8" s="91" t="s">
        <v>342</v>
      </c>
      <c r="H8" s="96">
        <v>3.0</v>
      </c>
      <c r="I8" s="114">
        <v>180.0</v>
      </c>
      <c r="J8" s="114">
        <f>H8*'📋 Proyectos'!$E$3+I8</f>
        <v>285</v>
      </c>
      <c r="K8" s="92" t="s">
        <v>330</v>
      </c>
      <c r="L8" s="118">
        <v>45704.0</v>
      </c>
    </row>
    <row r="9" ht="19.5" customHeight="1">
      <c r="A9" s="100" t="s">
        <v>343</v>
      </c>
      <c r="B9" s="100" t="s">
        <v>238</v>
      </c>
      <c r="C9" s="100" t="s">
        <v>241</v>
      </c>
      <c r="D9" s="100" t="s">
        <v>304</v>
      </c>
      <c r="E9" s="119">
        <v>45706.0</v>
      </c>
      <c r="F9" s="100" t="s">
        <v>332</v>
      </c>
      <c r="G9" s="101" t="s">
        <v>344</v>
      </c>
      <c r="H9" s="105">
        <v>4.0</v>
      </c>
      <c r="I9" s="116">
        <v>0.0</v>
      </c>
      <c r="J9" s="116">
        <f>H9*'📋 Proyectos'!$E$3+I9</f>
        <v>140</v>
      </c>
      <c r="K9" s="120" t="s">
        <v>345</v>
      </c>
      <c r="L9" s="119"/>
    </row>
    <row r="10" ht="19.5" customHeight="1">
      <c r="A10" s="90" t="s">
        <v>346</v>
      </c>
      <c r="B10" s="90" t="s">
        <v>243</v>
      </c>
      <c r="C10" s="90" t="s">
        <v>234</v>
      </c>
      <c r="D10" s="90" t="s">
        <v>299</v>
      </c>
      <c r="E10" s="118">
        <v>45708.0</v>
      </c>
      <c r="F10" s="90" t="s">
        <v>328</v>
      </c>
      <c r="G10" s="91" t="s">
        <v>347</v>
      </c>
      <c r="H10" s="96">
        <v>2.0</v>
      </c>
      <c r="I10" s="114">
        <v>0.0</v>
      </c>
      <c r="J10" s="114">
        <f>H10*'📋 Proyectos'!$E$3+I10</f>
        <v>70</v>
      </c>
      <c r="K10" s="110" t="s">
        <v>348</v>
      </c>
      <c r="L10" s="118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2">
    <mergeCell ref="A1:L1"/>
    <mergeCell ref="A2:L2"/>
  </mergeCells>
  <dataValidations>
    <dataValidation type="list" allowBlank="1" sqref="K4:K500">
      <formula1>"Abierta,Cerrada,En Revisión"</formula1>
    </dataValidation>
    <dataValidation type="list" allowBlank="1" sqref="C4:C500">
      <formula1>"Equipo Alpha,Equipo Beta,Equipo Gamma,Equipo Delta"</formula1>
    </dataValidation>
    <dataValidation type="list" allowBlank="1" sqref="F4:F500">
      <formula1>"Revisita,Avería Equipo,Reclamación Cliente,Ajuste Técnico,Fallo Material"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4" width="14.0"/>
    <col customWidth="1" min="5" max="6" width="12.0"/>
    <col customWidth="1" min="7" max="9" width="14.0"/>
    <col customWidth="1" min="10" max="11" width="12.0"/>
    <col customWidth="1" min="12" max="14" width="14.0"/>
    <col customWidth="1" min="15" max="16" width="12.0"/>
    <col customWidth="1" min="17" max="19" width="14.0"/>
    <col customWidth="1" min="20" max="21" width="12.0"/>
    <col customWidth="1" min="22" max="26" width="8.71"/>
  </cols>
  <sheetData>
    <row r="1" ht="36.0" customHeight="1">
      <c r="A1" s="121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</row>
    <row r="2" ht="18.0" customHeight="1">
      <c r="A2" s="76" t="s">
        <v>350</v>
      </c>
      <c r="S2" s="4"/>
      <c r="T2" s="4"/>
      <c r="U2" s="4"/>
    </row>
    <row r="3" ht="30.0" customHeight="1">
      <c r="A3" s="4"/>
      <c r="B3" s="122" t="s">
        <v>351</v>
      </c>
      <c r="C3" s="2"/>
      <c r="D3" s="2"/>
      <c r="E3" s="2"/>
      <c r="F3" s="3"/>
      <c r="G3" s="123" t="s">
        <v>352</v>
      </c>
      <c r="H3" s="2"/>
      <c r="I3" s="2"/>
      <c r="J3" s="2"/>
      <c r="K3" s="3"/>
      <c r="L3" s="124" t="s">
        <v>353</v>
      </c>
      <c r="M3" s="2"/>
      <c r="N3" s="2"/>
      <c r="O3" s="2"/>
      <c r="P3" s="3"/>
      <c r="Q3" s="125" t="s">
        <v>354</v>
      </c>
      <c r="R3" s="2"/>
      <c r="S3" s="2"/>
      <c r="T3" s="2"/>
      <c r="U3" s="3"/>
      <c r="V3" s="126">
        <f>IFERROR(AVERAGEIFS('📋 Proyectos'!$X:$X,'📋 Proyectos'!$E:$E,"Equipo Alpha",'📋 Proyectos'!$F:$F,"Completado"),0)</f>
        <v>0</v>
      </c>
    </row>
    <row r="4" ht="21.75" customHeight="1">
      <c r="A4" s="4"/>
      <c r="B4" s="32" t="s">
        <v>355</v>
      </c>
      <c r="C4" s="25"/>
      <c r="D4" s="26"/>
      <c r="E4" s="127">
        <f>COUNTIF('📋 Proyectos'!$E:$E,"Equipo Alpha")</f>
        <v>3</v>
      </c>
      <c r="F4" s="26"/>
      <c r="G4" s="32" t="s">
        <v>355</v>
      </c>
      <c r="H4" s="25"/>
      <c r="I4" s="26"/>
      <c r="J4" s="127">
        <f>COUNTIF('📋 Proyectos'!$E:$E,"Equipo Beta")</f>
        <v>3</v>
      </c>
      <c r="K4" s="26"/>
      <c r="L4" s="32" t="s">
        <v>355</v>
      </c>
      <c r="M4" s="25"/>
      <c r="N4" s="26"/>
      <c r="O4" s="127">
        <f>COUNTIF('📋 Proyectos'!$E:$E,"Equipo Gamma")</f>
        <v>2</v>
      </c>
      <c r="P4" s="26"/>
      <c r="Q4" s="32" t="s">
        <v>355</v>
      </c>
      <c r="R4" s="25"/>
      <c r="S4" s="26"/>
      <c r="T4" s="127">
        <f>COUNTIF('📋 Proyectos'!$E:$E,"Equipo Delta")</f>
        <v>2</v>
      </c>
      <c r="U4" s="26"/>
      <c r="V4" s="126">
        <f>IFERROR(AVERAGEIFS('📋 Proyectos'!$X:$X,'📋 Proyectos'!$E:$E,"Equipo Beta",'📋 Proyectos'!$F:$F,"Completado"),0)</f>
        <v>0</v>
      </c>
    </row>
    <row r="5" ht="21.75" customHeight="1">
      <c r="A5" s="4"/>
      <c r="B5" s="28" t="s">
        <v>356</v>
      </c>
      <c r="C5" s="25"/>
      <c r="D5" s="26"/>
      <c r="E5" s="128">
        <f>COUNTIFS('📋 Proyectos'!$E:$E,"Equipo Alpha",'📋 Proyectos'!$F:$F,"Completado")</f>
        <v>3</v>
      </c>
      <c r="F5" s="26"/>
      <c r="G5" s="28" t="s">
        <v>356</v>
      </c>
      <c r="H5" s="25"/>
      <c r="I5" s="26"/>
      <c r="J5" s="128">
        <f>COUNTIFS('📋 Proyectos'!$E:$E,"Equipo Beta",'📋 Proyectos'!$F:$F,"Completado")</f>
        <v>1</v>
      </c>
      <c r="K5" s="26"/>
      <c r="L5" s="28" t="s">
        <v>356</v>
      </c>
      <c r="M5" s="25"/>
      <c r="N5" s="26"/>
      <c r="O5" s="128">
        <f>COUNTIFS('📋 Proyectos'!$E:$E,"Equipo Gamma",'📋 Proyectos'!$F:$F,"Completado")</f>
        <v>1</v>
      </c>
      <c r="P5" s="26"/>
      <c r="Q5" s="28" t="s">
        <v>356</v>
      </c>
      <c r="R5" s="25"/>
      <c r="S5" s="26"/>
      <c r="T5" s="128">
        <f>COUNTIFS('📋 Proyectos'!$E:$E,"Equipo Delta",'📋 Proyectos'!$F:$F,"Completado")</f>
        <v>1</v>
      </c>
      <c r="U5" s="26"/>
      <c r="V5" s="126">
        <f>IFERROR(AVERAGEIFS('📋 Proyectos'!$X:$X,'📋 Proyectos'!$E:$E,"Equipo Gamma",'📋 Proyectos'!$F:$F,"Completado"),0)</f>
        <v>0</v>
      </c>
    </row>
    <row r="6" ht="21.75" customHeight="1">
      <c r="A6" s="4"/>
      <c r="B6" s="32" t="s">
        <v>357</v>
      </c>
      <c r="C6" s="25"/>
      <c r="D6" s="26"/>
      <c r="E6" s="127">
        <f>COUNTIFS('📋 Proyectos'!$E:$E,"Equipo Alpha",'📋 Proyectos'!$F:$F,"En Ejecución")</f>
        <v>0</v>
      </c>
      <c r="F6" s="26"/>
      <c r="G6" s="32" t="s">
        <v>357</v>
      </c>
      <c r="H6" s="25"/>
      <c r="I6" s="26"/>
      <c r="J6" s="127">
        <f>COUNTIFS('📋 Proyectos'!$E:$E,"Equipo Beta",'📋 Proyectos'!$F:$F,"En Ejecución")</f>
        <v>1</v>
      </c>
      <c r="K6" s="26"/>
      <c r="L6" s="32" t="s">
        <v>357</v>
      </c>
      <c r="M6" s="25"/>
      <c r="N6" s="26"/>
      <c r="O6" s="127">
        <f>COUNTIFS('📋 Proyectos'!$E:$E,"Equipo Gamma",'📋 Proyectos'!$F:$F,"En Ejecución")</f>
        <v>1</v>
      </c>
      <c r="P6" s="26"/>
      <c r="Q6" s="32" t="s">
        <v>357</v>
      </c>
      <c r="R6" s="25"/>
      <c r="S6" s="26"/>
      <c r="T6" s="127">
        <f>COUNTIFS('📋 Proyectos'!$E:$E,"Equipo Delta",'📋 Proyectos'!$F:$F,"En Ejecución")</f>
        <v>0</v>
      </c>
      <c r="U6" s="26"/>
      <c r="V6" s="126">
        <f>IFERROR(AVERAGEIFS('📋 Proyectos'!$X:$X,'📋 Proyectos'!$E:$E,"Equipo Delta",'📋 Proyectos'!$F:$F,"Completado"),0)</f>
        <v>0</v>
      </c>
    </row>
    <row r="7" ht="21.75" customHeight="1">
      <c r="A7" s="4"/>
      <c r="B7" s="28" t="s">
        <v>358</v>
      </c>
      <c r="C7" s="25"/>
      <c r="D7" s="26"/>
      <c r="E7" s="129">
        <f>IFERROR(AVERAGEIFS('📋 Proyectos'!$K:$K,'📋 Proyectos'!$E:$E,"Equipo Alpha",'📋 Proyectos'!$F:$F,"Completado"),0)</f>
        <v>13</v>
      </c>
      <c r="F7" s="26"/>
      <c r="G7" s="28" t="s">
        <v>358</v>
      </c>
      <c r="H7" s="25"/>
      <c r="I7" s="26"/>
      <c r="J7" s="129">
        <f>IFERROR(AVERAGEIFS('📋 Proyectos'!$K:$K,'📋 Proyectos'!$E:$E,"Equipo Beta",'📋 Proyectos'!$F:$F,"Completado"),0)</f>
        <v>24</v>
      </c>
      <c r="K7" s="26"/>
      <c r="L7" s="28" t="s">
        <v>358</v>
      </c>
      <c r="M7" s="25"/>
      <c r="N7" s="26"/>
      <c r="O7" s="129">
        <f>IFERROR(AVERAGEIFS('📋 Proyectos'!$K:$K,'📋 Proyectos'!$E:$E,"Equipo Gamma",'📋 Proyectos'!$F:$F,"Completado"),0)</f>
        <v>11</v>
      </c>
      <c r="P7" s="26"/>
      <c r="Q7" s="28" t="s">
        <v>358</v>
      </c>
      <c r="R7" s="25"/>
      <c r="S7" s="26"/>
      <c r="T7" s="129">
        <f>IFERROR(AVERAGEIFS('📋 Proyectos'!$K:$K,'📋 Proyectos'!$E:$E,"Equipo Delta",'📋 Proyectos'!$F:$F,"Completado"),0)</f>
        <v>9</v>
      </c>
      <c r="U7" s="26"/>
    </row>
    <row r="8" ht="21.75" customHeight="1">
      <c r="A8" s="4"/>
      <c r="B8" s="32" t="s">
        <v>359</v>
      </c>
      <c r="C8" s="25"/>
      <c r="D8" s="26"/>
      <c r="E8" s="130">
        <f>IFERROR(AVERAGEIFS('📋 Proyectos'!$L:$L,'📋 Proyectos'!$E:$E,"Equipo Alpha",'📋 Proyectos'!$F:$F,"Completado"),0)</f>
        <v>-1</v>
      </c>
      <c r="F8" s="26"/>
      <c r="G8" s="32" t="s">
        <v>359</v>
      </c>
      <c r="H8" s="25"/>
      <c r="I8" s="26"/>
      <c r="J8" s="130">
        <f>IFERROR(AVERAGEIFS('📋 Proyectos'!$L:$L,'📋 Proyectos'!$E:$E,"Equipo Beta",'📋 Proyectos'!$F:$F,"Completado"),0)</f>
        <v>3</v>
      </c>
      <c r="K8" s="26"/>
      <c r="L8" s="32" t="s">
        <v>359</v>
      </c>
      <c r="M8" s="25"/>
      <c r="N8" s="26"/>
      <c r="O8" s="130">
        <f>IFERROR(AVERAGEIFS('📋 Proyectos'!$L:$L,'📋 Proyectos'!$E:$E,"Equipo Gamma",'📋 Proyectos'!$F:$F,"Completado"),0)</f>
        <v>2</v>
      </c>
      <c r="P8" s="26"/>
      <c r="Q8" s="32" t="s">
        <v>359</v>
      </c>
      <c r="R8" s="25"/>
      <c r="S8" s="26"/>
      <c r="T8" s="130">
        <f>IFERROR(AVERAGEIFS('📋 Proyectos'!$L:$L,'📋 Proyectos'!$E:$E,"Equipo Delta",'📋 Proyectos'!$F:$F,"Completado"),0)</f>
        <v>2</v>
      </c>
      <c r="U8" s="26"/>
    </row>
    <row r="9" ht="21.75" customHeight="1">
      <c r="A9" s="4"/>
      <c r="B9" s="28" t="s">
        <v>360</v>
      </c>
      <c r="C9" s="25"/>
      <c r="D9" s="26"/>
      <c r="E9" s="128">
        <f>IFERROR(SUMIF('⏱️ Horas MO'!$C:$C,"Equipo Alpha",'⏱️ Horas MO'!$G:$G),0)</f>
        <v>100</v>
      </c>
      <c r="F9" s="26"/>
      <c r="G9" s="28" t="s">
        <v>360</v>
      </c>
      <c r="H9" s="25"/>
      <c r="I9" s="26"/>
      <c r="J9" s="128">
        <f>IFERROR(SUMIF('⏱️ Horas MO'!$C:$C,"Equipo Beta",'⏱️ Horas MO'!$G:$G),0)</f>
        <v>24</v>
      </c>
      <c r="K9" s="26"/>
      <c r="L9" s="28" t="s">
        <v>360</v>
      </c>
      <c r="M9" s="25"/>
      <c r="N9" s="26"/>
      <c r="O9" s="128">
        <f>IFERROR(SUMIF('⏱️ Horas MO'!$C:$C,"Equipo Gamma",'⏱️ Horas MO'!$G:$G),0)</f>
        <v>32</v>
      </c>
      <c r="P9" s="26"/>
      <c r="Q9" s="28" t="s">
        <v>360</v>
      </c>
      <c r="R9" s="25"/>
      <c r="S9" s="26"/>
      <c r="T9" s="128">
        <f>IFERROR(SUMIF('⏱️ Horas MO'!$C:$C,"Equipo Delta",'⏱️ Horas MO'!$G:$G),0)</f>
        <v>30</v>
      </c>
      <c r="U9" s="26"/>
    </row>
    <row r="10" ht="21.75" customHeight="1">
      <c r="A10" s="4"/>
      <c r="B10" s="32" t="s">
        <v>361</v>
      </c>
      <c r="C10" s="25"/>
      <c r="D10" s="26"/>
      <c r="E10" s="131">
        <f>IFERROR(SUMIF('⏱️ Horas MO'!$C:$C,"Equipo Alpha",'⏱️ Horas MO'!$I:$I),0)</f>
        <v>3500</v>
      </c>
      <c r="F10" s="26"/>
      <c r="G10" s="32" t="s">
        <v>361</v>
      </c>
      <c r="H10" s="25"/>
      <c r="I10" s="26"/>
      <c r="J10" s="131">
        <f>IFERROR(SUMIF('⏱️ Horas MO'!$C:$C,"Equipo Beta",'⏱️ Horas MO'!$I:$I),0)</f>
        <v>840</v>
      </c>
      <c r="K10" s="26"/>
      <c r="L10" s="32" t="s">
        <v>361</v>
      </c>
      <c r="M10" s="25"/>
      <c r="N10" s="26"/>
      <c r="O10" s="131">
        <f>IFERROR(SUMIF('⏱️ Horas MO'!$C:$C,"Equipo Gamma",'⏱️ Horas MO'!$I:$I),0)</f>
        <v>1120</v>
      </c>
      <c r="P10" s="26"/>
      <c r="Q10" s="32" t="s">
        <v>361</v>
      </c>
      <c r="R10" s="25"/>
      <c r="S10" s="26"/>
      <c r="T10" s="131">
        <f>IFERROR(SUMIF('⏱️ Horas MO'!$C:$C,"Equipo Delta",'⏱️ Horas MO'!$I:$I),0)</f>
        <v>1050</v>
      </c>
      <c r="U10" s="26"/>
    </row>
    <row r="11" ht="21.75" customHeight="1">
      <c r="A11" s="4"/>
      <c r="B11" s="28" t="s">
        <v>362</v>
      </c>
      <c r="C11" s="25"/>
      <c r="D11" s="26"/>
      <c r="E11" s="132">
        <f>IFERROR(SUMIFS('📋 Proyectos'!$O:$O,'📋 Proyectos'!$E:$E,"Equipo Alpha",'📋 Proyectos'!$F:$F,"Completado"),0)</f>
        <v>3</v>
      </c>
      <c r="F11" s="26"/>
      <c r="G11" s="28" t="s">
        <v>362</v>
      </c>
      <c r="H11" s="25"/>
      <c r="I11" s="26"/>
      <c r="J11" s="132">
        <f>IFERROR(SUMIFS('📋 Proyectos'!$O:$O,'📋 Proyectos'!$E:$E,"Equipo Beta",'📋 Proyectos'!$F:$F,"Completado"),0)</f>
        <v>-3</v>
      </c>
      <c r="K11" s="26"/>
      <c r="L11" s="28" t="s">
        <v>362</v>
      </c>
      <c r="M11" s="25"/>
      <c r="N11" s="26"/>
      <c r="O11" s="132">
        <f>IFERROR(SUMIFS('📋 Proyectos'!$O:$O,'📋 Proyectos'!$E:$E,"Equipo Gamma",'📋 Proyectos'!$F:$F,"Completado"),0)</f>
        <v>-2</v>
      </c>
      <c r="P11" s="26"/>
      <c r="Q11" s="28" t="s">
        <v>362</v>
      </c>
      <c r="R11" s="25"/>
      <c r="S11" s="26"/>
      <c r="T11" s="132">
        <f>IFERROR(SUMIFS('📋 Proyectos'!$O:$O,'📋 Proyectos'!$E:$E,"Equipo Delta",'📋 Proyectos'!$F:$F,"Completado"),0)</f>
        <v>-2</v>
      </c>
      <c r="U11" s="26"/>
    </row>
    <row r="12" ht="21.75" customHeight="1">
      <c r="A12" s="4"/>
      <c r="B12" s="32" t="s">
        <v>363</v>
      </c>
      <c r="C12" s="25"/>
      <c r="D12" s="26"/>
      <c r="E12" s="127">
        <f>COUNTIF('⚠️ Incidencias'!$C:$C,"Equipo Alpha")</f>
        <v>1</v>
      </c>
      <c r="F12" s="26"/>
      <c r="G12" s="32" t="s">
        <v>363</v>
      </c>
      <c r="H12" s="25"/>
      <c r="I12" s="26"/>
      <c r="J12" s="127">
        <f>COUNTIF('⚠️ Incidencias'!$C:$C,"Equipo Beta")</f>
        <v>3</v>
      </c>
      <c r="K12" s="26"/>
      <c r="L12" s="32" t="s">
        <v>363</v>
      </c>
      <c r="M12" s="25"/>
      <c r="N12" s="26"/>
      <c r="O12" s="127">
        <f>COUNTIF('⚠️ Incidencias'!$C:$C,"Equipo Gamma")</f>
        <v>2</v>
      </c>
      <c r="P12" s="26"/>
      <c r="Q12" s="32" t="s">
        <v>363</v>
      </c>
      <c r="R12" s="25"/>
      <c r="S12" s="26"/>
      <c r="T12" s="127">
        <f>COUNTIF('⚠️ Incidencias'!$C:$C,"Equipo Delta")</f>
        <v>1</v>
      </c>
      <c r="U12" s="26"/>
    </row>
    <row r="13" ht="21.75" customHeight="1">
      <c r="A13" s="4"/>
      <c r="B13" s="28" t="s">
        <v>364</v>
      </c>
      <c r="C13" s="25"/>
      <c r="D13" s="26"/>
      <c r="E13" s="133">
        <f>IFERROR(COUNTIF('⚠️ Incidencias'!$C:$C,"Equipo Alpha")/COUNTIFS('📋 Proyectos'!$E:$E,"Equipo Alpha",'📋 Proyectos'!$F:$F,"Completado"),0)</f>
        <v>0.3333333333</v>
      </c>
      <c r="F13" s="26"/>
      <c r="G13" s="28" t="s">
        <v>364</v>
      </c>
      <c r="H13" s="25"/>
      <c r="I13" s="26"/>
      <c r="J13" s="133">
        <f>IFERROR(COUNTIF('⚠️ Incidencias'!$C:$C,"Equipo Beta")/COUNTIFS('📋 Proyectos'!$E:$E,"Equipo Beta",'📋 Proyectos'!$F:$F,"Completado"),0)</f>
        <v>3</v>
      </c>
      <c r="K13" s="26"/>
      <c r="L13" s="28" t="s">
        <v>364</v>
      </c>
      <c r="M13" s="25"/>
      <c r="N13" s="26"/>
      <c r="O13" s="133">
        <f>IFERROR(COUNTIF('⚠️ Incidencias'!$C:$C,"Equipo Gamma")/COUNTIFS('📋 Proyectos'!$E:$E,"Equipo Gamma",'📋 Proyectos'!$F:$F,"Completado"),0)</f>
        <v>2</v>
      </c>
      <c r="P13" s="26"/>
      <c r="Q13" s="28" t="s">
        <v>364</v>
      </c>
      <c r="R13" s="25"/>
      <c r="S13" s="26"/>
      <c r="T13" s="133">
        <f>IFERROR(COUNTIF('⚠️ Incidencias'!$C:$C,"Equipo Delta")/COUNTIFS('📋 Proyectos'!$E:$E,"Equipo Delta",'📋 Proyectos'!$F:$F,"Completado"),0)</f>
        <v>1</v>
      </c>
      <c r="U13" s="26"/>
    </row>
    <row r="14" ht="21.75" customHeight="1">
      <c r="A14" s="4"/>
      <c r="B14" s="32" t="s">
        <v>365</v>
      </c>
      <c r="C14" s="25"/>
      <c r="D14" s="26"/>
      <c r="E14" s="131">
        <f>IFERROR(SUMIFS('📋 Proyectos'!$W:$W,'📋 Proyectos'!$E:$E,"Equipo Alpha",'📋 Proyectos'!$F:$F,"Completado"),0)</f>
        <v>0</v>
      </c>
      <c r="F14" s="26"/>
      <c r="G14" s="32" t="s">
        <v>365</v>
      </c>
      <c r="H14" s="25"/>
      <c r="I14" s="26"/>
      <c r="J14" s="131">
        <f>IFERROR(SUMIFS('📋 Proyectos'!$W:$W,'📋 Proyectos'!$E:$E,"Equipo Beta",'📋 Proyectos'!$F:$F,"Completado"),0)</f>
        <v>0</v>
      </c>
      <c r="K14" s="26"/>
      <c r="L14" s="32" t="s">
        <v>365</v>
      </c>
      <c r="M14" s="25"/>
      <c r="N14" s="26"/>
      <c r="O14" s="131">
        <f>IFERROR(SUMIFS('📋 Proyectos'!$W:$W,'📋 Proyectos'!$E:$E,"Equipo Gamma",'📋 Proyectos'!$F:$F,"Completado"),0)</f>
        <v>0</v>
      </c>
      <c r="P14" s="26"/>
      <c r="Q14" s="32" t="s">
        <v>365</v>
      </c>
      <c r="R14" s="25"/>
      <c r="S14" s="26"/>
      <c r="T14" s="131">
        <f>IFERROR(SUMIFS('📋 Proyectos'!$W:$W,'📋 Proyectos'!$E:$E,"Equipo Delta",'📋 Proyectos'!$F:$F,"Completado"),0)</f>
        <v>0</v>
      </c>
      <c r="U14" s="26"/>
    </row>
    <row r="15" ht="21.75" customHeight="1">
      <c r="A15" s="4"/>
      <c r="B15" s="28" t="s">
        <v>366</v>
      </c>
      <c r="C15" s="25"/>
      <c r="D15" s="26"/>
      <c r="E15" s="134">
        <f>IFERROR(AVERAGEIFS('📋 Proyectos'!$X:$X,'📋 Proyectos'!$E:$E,"Equipo Alpha",'📋 Proyectos'!$F:$F,"Completado"),0)</f>
        <v>0</v>
      </c>
      <c r="F15" s="26"/>
      <c r="G15" s="28" t="s">
        <v>366</v>
      </c>
      <c r="H15" s="25"/>
      <c r="I15" s="26"/>
      <c r="J15" s="135">
        <f>IFERROR(AVERAGEIFS('📋 Proyectos'!$X:$X,'📋 Proyectos'!$E:$E,"Equipo Beta",'📋 Proyectos'!$F:$F,"Completado"),0)</f>
        <v>0</v>
      </c>
      <c r="K15" s="26"/>
      <c r="L15" s="28" t="s">
        <v>366</v>
      </c>
      <c r="M15" s="25"/>
      <c r="N15" s="26"/>
      <c r="O15" s="136">
        <f>IFERROR(AVERAGEIFS('📋 Proyectos'!$X:$X,'📋 Proyectos'!$E:$E,"Equipo Gamma",'📋 Proyectos'!$F:$F,"Completado"),0)</f>
        <v>0</v>
      </c>
      <c r="P15" s="26"/>
      <c r="Q15" s="28" t="s">
        <v>366</v>
      </c>
      <c r="R15" s="25"/>
      <c r="S15" s="26"/>
      <c r="T15" s="137">
        <f>IFERROR(AVERAGEIFS('📋 Proyectos'!$X:$X,'📋 Proyectos'!$E:$E,"Equipo Delta",'📋 Proyectos'!$F:$F,"Completado"),0)</f>
        <v>0</v>
      </c>
      <c r="U15" s="26"/>
    </row>
    <row r="16" ht="21.75" customHeight="1">
      <c r="A16" s="4"/>
      <c r="B16" s="32" t="s">
        <v>367</v>
      </c>
      <c r="C16" s="25"/>
      <c r="D16" s="26"/>
      <c r="E16" s="138">
        <f>IFERROR(RANK(E15,$V$3:$V$6),"-")</f>
        <v>1</v>
      </c>
      <c r="F16" s="26"/>
      <c r="G16" s="32" t="s">
        <v>367</v>
      </c>
      <c r="H16" s="25"/>
      <c r="I16" s="26"/>
      <c r="J16" s="139">
        <f>IFERROR(RANK(J15,$V$3:$V$6),"-")</f>
        <v>1</v>
      </c>
      <c r="K16" s="26"/>
      <c r="L16" s="32" t="s">
        <v>367</v>
      </c>
      <c r="M16" s="25"/>
      <c r="N16" s="26"/>
      <c r="O16" s="140">
        <f>IFERROR(RANK(O15,$V$3:$V$6),"-")</f>
        <v>1</v>
      </c>
      <c r="P16" s="26"/>
      <c r="Q16" s="32" t="s">
        <v>367</v>
      </c>
      <c r="R16" s="25"/>
      <c r="S16" s="26"/>
      <c r="T16" s="141">
        <f>IFERROR(RANK(T15,$V$3:$V$6),"-")</f>
        <v>1</v>
      </c>
      <c r="U16" s="26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27.75" customHeight="1">
      <c r="A19" s="4"/>
      <c r="B19" s="35" t="s">
        <v>368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4"/>
      <c r="T19" s="4"/>
      <c r="U19" s="4"/>
    </row>
    <row r="20" ht="15.0" customHeight="1">
      <c r="A20" s="4"/>
      <c r="B20" s="142" t="s">
        <v>369</v>
      </c>
      <c r="C20" s="25"/>
      <c r="D20" s="26"/>
      <c r="E20" s="142" t="s">
        <v>228</v>
      </c>
      <c r="F20" s="25"/>
      <c r="G20" s="26"/>
      <c r="H20" s="142" t="s">
        <v>234</v>
      </c>
      <c r="I20" s="25"/>
      <c r="J20" s="26"/>
      <c r="K20" s="142" t="s">
        <v>241</v>
      </c>
      <c r="L20" s="25"/>
      <c r="M20" s="26"/>
      <c r="N20" s="142" t="s">
        <v>250</v>
      </c>
      <c r="O20" s="25"/>
      <c r="P20" s="26"/>
      <c r="Q20" s="143" t="s">
        <v>370</v>
      </c>
      <c r="R20" s="26"/>
      <c r="S20" s="4"/>
      <c r="T20" s="4"/>
      <c r="U20" s="4"/>
    </row>
    <row r="21" ht="19.5" customHeight="1">
      <c r="A21" s="4"/>
      <c r="B21" s="144" t="s">
        <v>371</v>
      </c>
      <c r="C21" s="25"/>
      <c r="D21" s="26"/>
      <c r="E21" s="145">
        <f>COUNTIFS('📋 Proyectos'!$E:$E,"Equipo Alpha",'📋 Proyectos'!$F:$F,"Completado")</f>
        <v>3</v>
      </c>
      <c r="F21" s="25"/>
      <c r="G21" s="26"/>
      <c r="H21" s="145">
        <f>COUNTIFS('📋 Proyectos'!$E:$E,"Equipo Beta",'📋 Proyectos'!$F:$F,"Completado")</f>
        <v>1</v>
      </c>
      <c r="I21" s="25"/>
      <c r="J21" s="26"/>
      <c r="K21" s="145">
        <f>COUNTIFS('📋 Proyectos'!$E:$E,"Equipo Gamma",'📋 Proyectos'!$F:$F,"Completado")</f>
        <v>1</v>
      </c>
      <c r="L21" s="25"/>
      <c r="M21" s="26"/>
      <c r="N21" s="145">
        <f>COUNTIFS('📋 Proyectos'!$E:$E,"Equipo Delta",'📋 Proyectos'!$F:$F,"Completado")</f>
        <v>1</v>
      </c>
      <c r="O21" s="25"/>
      <c r="P21" s="26"/>
      <c r="Q21" s="146" t="str">
        <f>IF(MAX(E21,H21,K21,N21)=E21,"Alpha",IF(MAX(E21,H21,K21,N21)=H21,"Beta",IF(MAX(E21,H21,K21,N21)=K21,"Gamma","Delta")))</f>
        <v>Alpha</v>
      </c>
      <c r="R21" s="26"/>
      <c r="S21" s="4"/>
      <c r="T21" s="4"/>
      <c r="U21" s="4"/>
    </row>
    <row r="22" ht="19.5" customHeight="1">
      <c r="A22" s="4"/>
      <c r="B22" s="147" t="s">
        <v>372</v>
      </c>
      <c r="C22" s="25"/>
      <c r="D22" s="26"/>
      <c r="E22" s="148">
        <f>IFERROR(AVERAGEIFS('📋 Proyectos'!$L:$L,'📋 Proyectos'!$E:$E,"Equipo Alpha",'📋 Proyectos'!$F:$F,"Completado"),0)</f>
        <v>-1</v>
      </c>
      <c r="F22" s="25"/>
      <c r="G22" s="26"/>
      <c r="H22" s="148">
        <f>IFERROR(AVERAGEIFS('📋 Proyectos'!$L:$L,'📋 Proyectos'!$E:$E,"Equipo Beta",'📋 Proyectos'!$F:$F,"Completado"),0)</f>
        <v>3</v>
      </c>
      <c r="I22" s="25"/>
      <c r="J22" s="26"/>
      <c r="K22" s="148">
        <f>IFERROR(AVERAGEIFS('📋 Proyectos'!$L:$L,'📋 Proyectos'!$E:$E,"Equipo Gamma",'📋 Proyectos'!$F:$F,"Completado"),0)</f>
        <v>2</v>
      </c>
      <c r="L22" s="25"/>
      <c r="M22" s="26"/>
      <c r="N22" s="148">
        <f>IFERROR(AVERAGEIFS('📋 Proyectos'!$L:$L,'📋 Proyectos'!$E:$E,"Equipo Delta",'📋 Proyectos'!$F:$F,"Completado"),0)</f>
        <v>2</v>
      </c>
      <c r="O22" s="25"/>
      <c r="P22" s="26"/>
      <c r="Q22" s="149" t="str">
        <f>IF(MIN(E22,H22,K22,N22)=E22,"Alpha",IF(MIN(E22,H22,K22,N22)=H22,"Beta",IF(MIN(E22,H22,K22,N22)=K22,"Gamma","Delta")))</f>
        <v>Alpha</v>
      </c>
      <c r="R22" s="26"/>
      <c r="S22" s="4"/>
      <c r="T22" s="4"/>
      <c r="U22" s="4"/>
    </row>
    <row r="23" ht="19.5" customHeight="1">
      <c r="A23" s="4"/>
      <c r="B23" s="150" t="s">
        <v>373</v>
      </c>
      <c r="C23" s="25"/>
      <c r="D23" s="26"/>
      <c r="E23" s="151">
        <f>IFERROR(AVERAGEIFS('📋 Proyectos'!$X:$X,'📋 Proyectos'!$E:$E,"Equipo Alpha",'📋 Proyectos'!$F:$F,"Completado"),0)</f>
        <v>0</v>
      </c>
      <c r="F23" s="25"/>
      <c r="G23" s="26"/>
      <c r="H23" s="151">
        <f>IFERROR(AVERAGEIFS('📋 Proyectos'!$X:$X,'📋 Proyectos'!$E:$E,"Equipo Beta",'📋 Proyectos'!$F:$F,"Completado"),0)</f>
        <v>0</v>
      </c>
      <c r="I23" s="25"/>
      <c r="J23" s="26"/>
      <c r="K23" s="151">
        <f>IFERROR(AVERAGEIFS('📋 Proyectos'!$X:$X,'📋 Proyectos'!$E:$E,"Equipo Gamma",'📋 Proyectos'!$F:$F,"Completado"),0)</f>
        <v>0</v>
      </c>
      <c r="L23" s="25"/>
      <c r="M23" s="26"/>
      <c r="N23" s="151">
        <f>IFERROR(AVERAGEIFS('📋 Proyectos'!$X:$X,'📋 Proyectos'!$E:$E,"Equipo Delta",'📋 Proyectos'!$F:$F,"Completado"),0)</f>
        <v>0</v>
      </c>
      <c r="O23" s="25"/>
      <c r="P23" s="26"/>
      <c r="Q23" s="152" t="str">
        <f>IF(MAX(E23,H23,K23,N23)=E23,"Alpha",IF(MAX(E23,H23,K23,N23)=H23,"Beta",IF(MAX(E23,H23,K23,N23)=K23,"Gamma","Delta")))</f>
        <v>Alpha</v>
      </c>
      <c r="R23" s="26"/>
      <c r="S23" s="4"/>
      <c r="T23" s="4"/>
      <c r="U23" s="4"/>
    </row>
    <row r="24" ht="19.5" customHeight="1">
      <c r="A24" s="4"/>
      <c r="B24" s="153" t="s">
        <v>374</v>
      </c>
      <c r="C24" s="25"/>
      <c r="D24" s="26"/>
      <c r="E24" s="154">
        <f>COUNTIF('⚠️ Incidencias'!$C:$C,"Equipo Alpha")</f>
        <v>1</v>
      </c>
      <c r="F24" s="25"/>
      <c r="G24" s="26"/>
      <c r="H24" s="154">
        <f>COUNTIF('⚠️ Incidencias'!$C:$C,"Equipo Beta")</f>
        <v>3</v>
      </c>
      <c r="I24" s="25"/>
      <c r="J24" s="26"/>
      <c r="K24" s="154">
        <f>COUNTIF('⚠️ Incidencias'!$C:$C,"Equipo Gamma")</f>
        <v>2</v>
      </c>
      <c r="L24" s="25"/>
      <c r="M24" s="26"/>
      <c r="N24" s="154">
        <f>COUNTIF('⚠️ Incidencias'!$C:$C,"Equipo Delta")</f>
        <v>1</v>
      </c>
      <c r="O24" s="25"/>
      <c r="P24" s="26"/>
      <c r="Q24" s="146" t="str">
        <f t="shared" ref="Q24:Q25" si="1">IF(MIN(E24,H24,K24,N24)=E24,"Alpha",IF(MIN(E24,H24,K24,N24)=H24,"Beta",IF(MIN(E24,H24,K24,N24)=K24,"Gamma","Delta")))</f>
        <v>Alpha</v>
      </c>
      <c r="R24" s="26"/>
      <c r="S24" s="4"/>
      <c r="T24" s="4"/>
      <c r="U24" s="4"/>
    </row>
    <row r="25" ht="19.5" customHeight="1">
      <c r="A25" s="4"/>
      <c r="B25" s="155" t="s">
        <v>375</v>
      </c>
      <c r="C25" s="25"/>
      <c r="D25" s="26"/>
      <c r="E25" s="156">
        <f>IFERROR(COUNTIF('⚠️ Incidencias'!$C:$C,"Equipo Alpha")/COUNTIFS('📋 Proyectos'!$E:$E,"Equipo Alpha",'📋 Proyectos'!$F:$F,"Completado"),0)</f>
        <v>0.3333333333</v>
      </c>
      <c r="F25" s="25"/>
      <c r="G25" s="26"/>
      <c r="H25" s="156">
        <f>IFERROR(COUNTIF('⚠️ Incidencias'!$C:$C,"Equipo Beta")/COUNTIFS('📋 Proyectos'!$E:$E,"Equipo Beta",'📋 Proyectos'!$F:$F,"Completado"),0)</f>
        <v>3</v>
      </c>
      <c r="I25" s="25"/>
      <c r="J25" s="26"/>
      <c r="K25" s="156">
        <f>IFERROR(COUNTIF('⚠️ Incidencias'!$C:$C,"Equipo Gamma")/COUNTIFS('📋 Proyectos'!$E:$E,"Equipo Gamma",'📋 Proyectos'!$F:$F,"Completado"),0)</f>
        <v>2</v>
      </c>
      <c r="L25" s="25"/>
      <c r="M25" s="26"/>
      <c r="N25" s="156">
        <f>IFERROR(COUNTIF('⚠️ Incidencias'!$C:$C,"Equipo Delta")/COUNTIFS('📋 Proyectos'!$E:$E,"Equipo Delta",'📋 Proyectos'!$F:$F,"Completado"),0)</f>
        <v>1</v>
      </c>
      <c r="O25" s="25"/>
      <c r="P25" s="26"/>
      <c r="Q25" s="157" t="str">
        <f t="shared" si="1"/>
        <v>Alpha</v>
      </c>
      <c r="R25" s="26"/>
      <c r="S25" s="4"/>
      <c r="T25" s="4"/>
      <c r="U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</sheetData>
  <mergeCells count="147">
    <mergeCell ref="Q7:S7"/>
    <mergeCell ref="T7:U7"/>
    <mergeCell ref="E8:F8"/>
    <mergeCell ref="G8:I8"/>
    <mergeCell ref="J8:K8"/>
    <mergeCell ref="L8:N8"/>
    <mergeCell ref="O8:P8"/>
    <mergeCell ref="Q8:S8"/>
    <mergeCell ref="T8:U8"/>
    <mergeCell ref="B6:D6"/>
    <mergeCell ref="B7:D7"/>
    <mergeCell ref="E7:F7"/>
    <mergeCell ref="G7:I7"/>
    <mergeCell ref="J7:K7"/>
    <mergeCell ref="L7:N7"/>
    <mergeCell ref="O7:P7"/>
    <mergeCell ref="B8:D8"/>
    <mergeCell ref="B9:D9"/>
    <mergeCell ref="E9:F9"/>
    <mergeCell ref="G9:I9"/>
    <mergeCell ref="J9:K9"/>
    <mergeCell ref="L9:N9"/>
    <mergeCell ref="O9:P9"/>
    <mergeCell ref="J4:K4"/>
    <mergeCell ref="L4:N4"/>
    <mergeCell ref="L5:N5"/>
    <mergeCell ref="O5:P5"/>
    <mergeCell ref="O4:P4"/>
    <mergeCell ref="Q4:S4"/>
    <mergeCell ref="Q5:S5"/>
    <mergeCell ref="T5:U5"/>
    <mergeCell ref="A1:R1"/>
    <mergeCell ref="A2:R2"/>
    <mergeCell ref="B3:F3"/>
    <mergeCell ref="G3:K3"/>
    <mergeCell ref="L3:P3"/>
    <mergeCell ref="Q3:U3"/>
    <mergeCell ref="B4:D4"/>
    <mergeCell ref="T4:U4"/>
    <mergeCell ref="E6:F6"/>
    <mergeCell ref="G6:I6"/>
    <mergeCell ref="L6:N6"/>
    <mergeCell ref="O6:P6"/>
    <mergeCell ref="Q6:S6"/>
    <mergeCell ref="T6:U6"/>
    <mergeCell ref="E4:F4"/>
    <mergeCell ref="G4:I4"/>
    <mergeCell ref="B5:D5"/>
    <mergeCell ref="E5:F5"/>
    <mergeCell ref="G5:I5"/>
    <mergeCell ref="J5:K5"/>
    <mergeCell ref="J6:K6"/>
    <mergeCell ref="Q9:S9"/>
    <mergeCell ref="T9:U9"/>
    <mergeCell ref="Q11:S11"/>
    <mergeCell ref="T11:U11"/>
    <mergeCell ref="E14:F14"/>
    <mergeCell ref="G14:I14"/>
    <mergeCell ref="J14:K14"/>
    <mergeCell ref="L14:N14"/>
    <mergeCell ref="O14:P14"/>
    <mergeCell ref="Q14:S14"/>
    <mergeCell ref="T14:U14"/>
    <mergeCell ref="B14:D14"/>
    <mergeCell ref="B15:D15"/>
    <mergeCell ref="E15:F15"/>
    <mergeCell ref="G15:I15"/>
    <mergeCell ref="J15:K15"/>
    <mergeCell ref="L15:N15"/>
    <mergeCell ref="O15:P15"/>
    <mergeCell ref="B16:D16"/>
    <mergeCell ref="E16:F16"/>
    <mergeCell ref="G16:I16"/>
    <mergeCell ref="J16:K16"/>
    <mergeCell ref="O16:P16"/>
    <mergeCell ref="Q16:S16"/>
    <mergeCell ref="T16:U16"/>
    <mergeCell ref="L16:N16"/>
    <mergeCell ref="B19:R19"/>
    <mergeCell ref="E20:G20"/>
    <mergeCell ref="H20:J20"/>
    <mergeCell ref="K20:M20"/>
    <mergeCell ref="N20:P20"/>
    <mergeCell ref="Q20:R20"/>
    <mergeCell ref="E23:G23"/>
    <mergeCell ref="H23:J23"/>
    <mergeCell ref="B24:D24"/>
    <mergeCell ref="E24:G24"/>
    <mergeCell ref="H24:J24"/>
    <mergeCell ref="B25:D25"/>
    <mergeCell ref="E25:G25"/>
    <mergeCell ref="H25:J25"/>
    <mergeCell ref="K23:M23"/>
    <mergeCell ref="N23:P23"/>
    <mergeCell ref="K24:M24"/>
    <mergeCell ref="N24:P24"/>
    <mergeCell ref="Q24:R24"/>
    <mergeCell ref="K25:M25"/>
    <mergeCell ref="N25:P25"/>
    <mergeCell ref="Q25:R25"/>
    <mergeCell ref="B22:D22"/>
    <mergeCell ref="E22:G22"/>
    <mergeCell ref="H22:J22"/>
    <mergeCell ref="K22:M22"/>
    <mergeCell ref="N22:P22"/>
    <mergeCell ref="Q22:R22"/>
    <mergeCell ref="B23:D23"/>
    <mergeCell ref="Q23:R23"/>
    <mergeCell ref="E10:F10"/>
    <mergeCell ref="G10:I10"/>
    <mergeCell ref="J10:K10"/>
    <mergeCell ref="L10:N10"/>
    <mergeCell ref="O10:P10"/>
    <mergeCell ref="Q10:S10"/>
    <mergeCell ref="T10:U10"/>
    <mergeCell ref="B10:D10"/>
    <mergeCell ref="B11:D11"/>
    <mergeCell ref="E11:F11"/>
    <mergeCell ref="G11:I11"/>
    <mergeCell ref="J11:K11"/>
    <mergeCell ref="L11:N11"/>
    <mergeCell ref="O11:P11"/>
    <mergeCell ref="E12:F12"/>
    <mergeCell ref="G12:I12"/>
    <mergeCell ref="J12:K12"/>
    <mergeCell ref="L12:N12"/>
    <mergeCell ref="O12:P12"/>
    <mergeCell ref="Q12:S12"/>
    <mergeCell ref="T12:U12"/>
    <mergeCell ref="Q13:S13"/>
    <mergeCell ref="T13:U13"/>
    <mergeCell ref="B12:D12"/>
    <mergeCell ref="B13:D13"/>
    <mergeCell ref="E13:F13"/>
    <mergeCell ref="G13:I13"/>
    <mergeCell ref="J13:K13"/>
    <mergeCell ref="L13:N13"/>
    <mergeCell ref="O13:P13"/>
    <mergeCell ref="Q15:S15"/>
    <mergeCell ref="T15:U15"/>
    <mergeCell ref="B20:D20"/>
    <mergeCell ref="B21:D21"/>
    <mergeCell ref="E21:G21"/>
    <mergeCell ref="H21:J21"/>
    <mergeCell ref="K21:M21"/>
    <mergeCell ref="N21:P21"/>
    <mergeCell ref="Q21:R21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4" width="22.0"/>
    <col customWidth="1" min="5" max="5" width="16.0"/>
    <col customWidth="1" min="6" max="7" width="17.0"/>
    <col customWidth="1" min="8" max="10" width="15.0"/>
    <col customWidth="1" min="11" max="11" width="11.0"/>
    <col customWidth="1" min="12" max="12" width="12.0"/>
    <col customWidth="1" min="13" max="26" width="8.71"/>
  </cols>
  <sheetData>
    <row r="1" ht="36.0" customHeight="1">
      <c r="A1" s="55" t="s">
        <v>376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76" t="s">
        <v>377</v>
      </c>
    </row>
    <row r="3" ht="27.75" customHeight="1">
      <c r="A3" s="158" t="s">
        <v>378</v>
      </c>
      <c r="B3" s="158" t="s">
        <v>266</v>
      </c>
      <c r="C3" s="158" t="s">
        <v>200</v>
      </c>
      <c r="D3" s="158" t="s">
        <v>322</v>
      </c>
      <c r="E3" s="158" t="s">
        <v>267</v>
      </c>
      <c r="F3" s="158" t="s">
        <v>82</v>
      </c>
      <c r="G3" s="158" t="s">
        <v>379</v>
      </c>
      <c r="H3" s="158" t="s">
        <v>380</v>
      </c>
      <c r="I3" s="158" t="s">
        <v>381</v>
      </c>
      <c r="J3" s="158" t="s">
        <v>382</v>
      </c>
      <c r="K3" s="158" t="s">
        <v>221</v>
      </c>
      <c r="L3" s="158" t="s">
        <v>383</v>
      </c>
    </row>
    <row r="4" ht="19.5" customHeight="1">
      <c r="A4" s="90">
        <v>1.0</v>
      </c>
      <c r="B4" s="90" t="str">
        <f>'📋 Proyectos'!A6</f>
        <v>PRY-001</v>
      </c>
      <c r="C4" s="91" t="str">
        <f>'📋 Proyectos'!B6</f>
        <v>Familia Rodríguez</v>
      </c>
      <c r="D4" s="91" t="str">
        <f>'📋 Proyectos'!D6</f>
        <v>Solar Residencial</v>
      </c>
      <c r="E4" s="91" t="str">
        <f>'📋 Proyectos'!E6</f>
        <v>Equipo Alpha</v>
      </c>
      <c r="F4" s="94" t="str">
        <f>'📋 Proyectos'!U6</f>
        <v/>
      </c>
      <c r="G4" s="94">
        <f>'📋 Proyectos'!N6</f>
        <v>0</v>
      </c>
      <c r="H4" s="94">
        <f>'📋 Proyectos'!T6</f>
        <v>1330</v>
      </c>
      <c r="I4" s="94" t="str">
        <f>'📋 Proyectos'!V6</f>
        <v/>
      </c>
      <c r="J4" s="97" t="str">
        <f>'📋 Proyectos'!W6</f>
        <v/>
      </c>
      <c r="K4" s="98" t="str">
        <f>'📋 Proyectos'!X6</f>
        <v/>
      </c>
      <c r="L4" s="90" t="str">
        <f>'📋 Proyectos'!Z6</f>
        <v>⚪</v>
      </c>
    </row>
    <row r="5" ht="19.5" customHeight="1">
      <c r="A5" s="100">
        <v>2.0</v>
      </c>
      <c r="B5" s="100" t="str">
        <f>'📋 Proyectos'!A7</f>
        <v>PRY-002</v>
      </c>
      <c r="C5" s="101" t="str">
        <f>'📋 Proyectos'!B7</f>
        <v>Comunidad Sta. Ana</v>
      </c>
      <c r="D5" s="101" t="str">
        <f>'📋 Proyectos'!D7</f>
        <v>Solar Industrial</v>
      </c>
      <c r="E5" s="101" t="str">
        <f>'📋 Proyectos'!E7</f>
        <v>Equipo Beta</v>
      </c>
      <c r="F5" s="103" t="str">
        <f>'📋 Proyectos'!U7</f>
        <v/>
      </c>
      <c r="G5" s="103">
        <f>'📋 Proyectos'!N7</f>
        <v>0</v>
      </c>
      <c r="H5" s="103">
        <f>'📋 Proyectos'!T7</f>
        <v>560</v>
      </c>
      <c r="I5" s="103" t="str">
        <f>'📋 Proyectos'!V7</f>
        <v/>
      </c>
      <c r="J5" s="106" t="str">
        <f>'📋 Proyectos'!W7</f>
        <v/>
      </c>
      <c r="K5" s="107" t="str">
        <f>'📋 Proyectos'!X7</f>
        <v/>
      </c>
      <c r="L5" s="100" t="str">
        <f>'📋 Proyectos'!Z7</f>
        <v>⚪</v>
      </c>
    </row>
    <row r="6" ht="19.5" customHeight="1">
      <c r="A6" s="90">
        <v>3.0</v>
      </c>
      <c r="B6" s="90" t="str">
        <f>'📋 Proyectos'!A8</f>
        <v>PRY-003</v>
      </c>
      <c r="C6" s="91" t="str">
        <f>'📋 Proyectos'!B8</f>
        <v>José M. Herrera</v>
      </c>
      <c r="D6" s="91" t="str">
        <f>'📋 Proyectos'!D8</f>
        <v>Aerotermia</v>
      </c>
      <c r="E6" s="91" t="str">
        <f>'📋 Proyectos'!E8</f>
        <v>Equipo Alpha</v>
      </c>
      <c r="F6" s="94" t="str">
        <f>'📋 Proyectos'!U8</f>
        <v/>
      </c>
      <c r="G6" s="94">
        <f>'📋 Proyectos'!N8</f>
        <v>0</v>
      </c>
      <c r="H6" s="94">
        <f>'📋 Proyectos'!T8</f>
        <v>770</v>
      </c>
      <c r="I6" s="94" t="str">
        <f>'📋 Proyectos'!V8</f>
        <v/>
      </c>
      <c r="J6" s="97" t="str">
        <f>'📋 Proyectos'!W8</f>
        <v/>
      </c>
      <c r="K6" s="98" t="str">
        <f>'📋 Proyectos'!X8</f>
        <v/>
      </c>
      <c r="L6" s="90" t="str">
        <f>'📋 Proyectos'!Z8</f>
        <v>⚪</v>
      </c>
    </row>
    <row r="7" ht="19.5" customHeight="1">
      <c r="A7" s="100">
        <v>4.0</v>
      </c>
      <c r="B7" s="100" t="str">
        <f>'📋 Proyectos'!A9</f>
        <v>PRY-004</v>
      </c>
      <c r="C7" s="101" t="str">
        <f>'📋 Proyectos'!B9</f>
        <v>Nave Industrial López</v>
      </c>
      <c r="D7" s="101" t="str">
        <f>'📋 Proyectos'!D9</f>
        <v>Solar Industrial</v>
      </c>
      <c r="E7" s="101" t="str">
        <f>'📋 Proyectos'!E9</f>
        <v>Equipo Gamma</v>
      </c>
      <c r="F7" s="103" t="str">
        <f>'📋 Proyectos'!U9</f>
        <v/>
      </c>
      <c r="G7" s="103">
        <f>'📋 Proyectos'!N9</f>
        <v>0</v>
      </c>
      <c r="H7" s="103">
        <f>'📋 Proyectos'!T9</f>
        <v>560</v>
      </c>
      <c r="I7" s="103" t="str">
        <f>'📋 Proyectos'!V9</f>
        <v/>
      </c>
      <c r="J7" s="106" t="str">
        <f>'📋 Proyectos'!W9</f>
        <v/>
      </c>
      <c r="K7" s="107" t="str">
        <f>'📋 Proyectos'!X9</f>
        <v/>
      </c>
      <c r="L7" s="100" t="str">
        <f>'📋 Proyectos'!Z9</f>
        <v>⚪</v>
      </c>
    </row>
    <row r="8" ht="19.5" customHeight="1">
      <c r="A8" s="90">
        <v>5.0</v>
      </c>
      <c r="B8" s="90" t="str">
        <f>'📋 Proyectos'!A10</f>
        <v>PRY-005</v>
      </c>
      <c r="C8" s="91" t="str">
        <f>'📋 Proyectos'!B10</f>
        <v>Hotel Mediterráneo</v>
      </c>
      <c r="D8" s="91" t="str">
        <f>'📋 Proyectos'!D10</f>
        <v>Mixto Solar+Aero</v>
      </c>
      <c r="E8" s="91" t="str">
        <f>'📋 Proyectos'!E10</f>
        <v>Equipo Beta</v>
      </c>
      <c r="F8" s="94" t="str">
        <f>'📋 Proyectos'!U10</f>
        <v/>
      </c>
      <c r="G8" s="94">
        <f>'📋 Proyectos'!N10</f>
        <v>0</v>
      </c>
      <c r="H8" s="94">
        <f>'📋 Proyectos'!T10</f>
        <v>280</v>
      </c>
      <c r="I8" s="94" t="str">
        <f>'📋 Proyectos'!V10</f>
        <v/>
      </c>
      <c r="J8" s="97" t="str">
        <f>'📋 Proyectos'!W10</f>
        <v/>
      </c>
      <c r="K8" s="98" t="str">
        <f>'📋 Proyectos'!X10</f>
        <v/>
      </c>
      <c r="L8" s="90" t="str">
        <f>'📋 Proyectos'!Z10</f>
        <v>⚪</v>
      </c>
    </row>
    <row r="9" ht="19.5" customHeight="1">
      <c r="A9" s="100">
        <v>6.0</v>
      </c>
      <c r="B9" s="100" t="str">
        <f>'📋 Proyectos'!A11</f>
        <v>PRY-006</v>
      </c>
      <c r="C9" s="101" t="str">
        <f>'📋 Proyectos'!B11</f>
        <v>Clínica Dental Pérez</v>
      </c>
      <c r="D9" s="101" t="str">
        <f>'📋 Proyectos'!D11</f>
        <v>Calefacción</v>
      </c>
      <c r="E9" s="101" t="str">
        <f>'📋 Proyectos'!E11</f>
        <v>Equipo Delta</v>
      </c>
      <c r="F9" s="103" t="str">
        <f>'📋 Proyectos'!U11</f>
        <v/>
      </c>
      <c r="G9" s="103">
        <f>'📋 Proyectos'!N11</f>
        <v>0</v>
      </c>
      <c r="H9" s="103">
        <f>'📋 Proyectos'!T11</f>
        <v>1050</v>
      </c>
      <c r="I9" s="103" t="str">
        <f>'📋 Proyectos'!V11</f>
        <v/>
      </c>
      <c r="J9" s="106" t="str">
        <f>'📋 Proyectos'!W11</f>
        <v/>
      </c>
      <c r="K9" s="107" t="str">
        <f>'📋 Proyectos'!X11</f>
        <v/>
      </c>
      <c r="L9" s="100" t="str">
        <f>'📋 Proyectos'!Z11</f>
        <v>⚪</v>
      </c>
    </row>
    <row r="10" ht="19.5" customHeight="1">
      <c r="A10" s="90">
        <v>7.0</v>
      </c>
      <c r="B10" s="90" t="str">
        <f>'📋 Proyectos'!A12</f>
        <v>PRY-007</v>
      </c>
      <c r="C10" s="91" t="str">
        <f>'📋 Proyectos'!B12</f>
        <v>Polideportivo Municipal</v>
      </c>
      <c r="D10" s="91" t="str">
        <f>'📋 Proyectos'!D12</f>
        <v>Solar Industrial</v>
      </c>
      <c r="E10" s="91" t="str">
        <f>'📋 Proyectos'!E12</f>
        <v>Equipo Alpha</v>
      </c>
      <c r="F10" s="94" t="str">
        <f>'📋 Proyectos'!U12</f>
        <v/>
      </c>
      <c r="G10" s="94">
        <f>'📋 Proyectos'!N12</f>
        <v>0</v>
      </c>
      <c r="H10" s="94">
        <f>'📋 Proyectos'!T12</f>
        <v>1400</v>
      </c>
      <c r="I10" s="94" t="str">
        <f>'📋 Proyectos'!V12</f>
        <v/>
      </c>
      <c r="J10" s="97" t="str">
        <f>'📋 Proyectos'!W12</f>
        <v/>
      </c>
      <c r="K10" s="98" t="str">
        <f>'📋 Proyectos'!X12</f>
        <v/>
      </c>
      <c r="L10" s="90" t="str">
        <f>'📋 Proyectos'!Z12</f>
        <v>⚪</v>
      </c>
    </row>
    <row r="11" ht="19.5" customHeight="1">
      <c r="A11" s="100">
        <v>8.0</v>
      </c>
      <c r="B11" s="100" t="str">
        <f>'📋 Proyectos'!A13</f>
        <v>PRY-008</v>
      </c>
      <c r="C11" s="101" t="str">
        <f>'📋 Proyectos'!B13</f>
        <v>Residencia 3ª Edad</v>
      </c>
      <c r="D11" s="101" t="str">
        <f>'📋 Proyectos'!D13</f>
        <v>Aerotermia</v>
      </c>
      <c r="E11" s="101" t="str">
        <f>'📋 Proyectos'!E13</f>
        <v>Equipo Gamma</v>
      </c>
      <c r="F11" s="103" t="str">
        <f>'📋 Proyectos'!U13</f>
        <v/>
      </c>
      <c r="G11" s="103">
        <f>'📋 Proyectos'!N13</f>
        <v>0</v>
      </c>
      <c r="H11" s="103">
        <f>'📋 Proyectos'!T13</f>
        <v>560</v>
      </c>
      <c r="I11" s="103" t="str">
        <f>'📋 Proyectos'!V13</f>
        <v/>
      </c>
      <c r="J11" s="106" t="str">
        <f>'📋 Proyectos'!W13</f>
        <v/>
      </c>
      <c r="K11" s="107" t="str">
        <f>'📋 Proyectos'!X13</f>
        <v/>
      </c>
      <c r="L11" s="100" t="str">
        <f>'📋 Proyectos'!Z13</f>
        <v>⚪</v>
      </c>
    </row>
    <row r="12" ht="19.5" customHeight="1">
      <c r="A12" s="90">
        <v>9.0</v>
      </c>
      <c r="B12" s="90" t="str">
        <f>'📋 Proyectos'!A14</f>
        <v>PRY-009</v>
      </c>
      <c r="C12" s="91" t="str">
        <f>'📋 Proyectos'!B14</f>
        <v>Chalet García-Vega</v>
      </c>
      <c r="D12" s="91" t="str">
        <f>'📋 Proyectos'!D14</f>
        <v>Solar Residencial</v>
      </c>
      <c r="E12" s="91" t="str">
        <f>'📋 Proyectos'!E14</f>
        <v>Equipo Delta</v>
      </c>
      <c r="F12" s="94" t="str">
        <f>'📋 Proyectos'!U14</f>
        <v/>
      </c>
      <c r="G12" s="94">
        <f>'📋 Proyectos'!N14</f>
        <v>0</v>
      </c>
      <c r="H12" s="94" t="str">
        <f>'📋 Proyectos'!T14</f>
        <v/>
      </c>
      <c r="I12" s="94" t="str">
        <f>'📋 Proyectos'!V14</f>
        <v/>
      </c>
      <c r="J12" s="97" t="str">
        <f>'📋 Proyectos'!W14</f>
        <v/>
      </c>
      <c r="K12" s="98" t="str">
        <f>'📋 Proyectos'!X14</f>
        <v/>
      </c>
      <c r="L12" s="90" t="str">
        <f>'📋 Proyectos'!Z14</f>
        <v>⚪</v>
      </c>
    </row>
    <row r="13" ht="19.5" customHeight="1">
      <c r="A13" s="100">
        <v>10.0</v>
      </c>
      <c r="B13" s="100" t="str">
        <f>'📋 Proyectos'!A15</f>
        <v>PRY-010</v>
      </c>
      <c r="C13" s="101" t="str">
        <f>'📋 Proyectos'!B15</f>
        <v>Fábrica Textil Norte</v>
      </c>
      <c r="D13" s="101" t="str">
        <f>'📋 Proyectos'!D15</f>
        <v>Solar Industrial</v>
      </c>
      <c r="E13" s="101" t="str">
        <f>'📋 Proyectos'!E15</f>
        <v>Equipo Beta</v>
      </c>
      <c r="F13" s="103" t="str">
        <f>'📋 Proyectos'!U15</f>
        <v/>
      </c>
      <c r="G13" s="103">
        <f>'📋 Proyectos'!N15</f>
        <v>0</v>
      </c>
      <c r="H13" s="103" t="str">
        <f>'📋 Proyectos'!T15</f>
        <v/>
      </c>
      <c r="I13" s="103" t="str">
        <f>'📋 Proyectos'!V15</f>
        <v/>
      </c>
      <c r="J13" s="106" t="str">
        <f>'📋 Proyectos'!W15</f>
        <v/>
      </c>
      <c r="K13" s="107" t="str">
        <f>'📋 Proyectos'!X15</f>
        <v/>
      </c>
      <c r="L13" s="100" t="str">
        <f>'📋 Proyectos'!Z15</f>
        <v>⚪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ht="27.75" customHeight="1">
      <c r="A16" s="35" t="s">
        <v>384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 ht="32.25" customHeight="1">
      <c r="A17" s="159" t="s">
        <v>385</v>
      </c>
      <c r="B17" s="159" t="s">
        <v>386</v>
      </c>
      <c r="C17" s="159" t="s">
        <v>387</v>
      </c>
      <c r="D17" s="159" t="s">
        <v>388</v>
      </c>
      <c r="E17" s="159" t="s">
        <v>389</v>
      </c>
      <c r="F17" s="159" t="s">
        <v>390</v>
      </c>
      <c r="G17" s="159" t="s">
        <v>391</v>
      </c>
      <c r="H17" s="4"/>
      <c r="I17" s="4"/>
      <c r="J17" s="4"/>
      <c r="K17" s="4"/>
      <c r="L17" s="4"/>
    </row>
    <row r="18" ht="19.5" customHeight="1">
      <c r="A18" s="91" t="s">
        <v>227</v>
      </c>
      <c r="B18" s="90">
        <f>COUNTIFS('📋 Proyectos'!$D:$D,"Solar Residencial",'📋 Proyectos'!$F:$F,"Completado")</f>
        <v>1</v>
      </c>
      <c r="C18" s="94">
        <f>IFERROR(SUMIFS('📋 Proyectos'!$U:$U,'📋 Proyectos'!$D:$D,"Solar Residencial",'📋 Proyectos'!$F:$F,"Completado"),0)</f>
        <v>0</v>
      </c>
      <c r="D18" s="94">
        <f>IFERROR(SUMIFS('📋 Proyectos'!$N:$N,'📋 Proyectos'!$D:$D,"Solar Residencial",'📋 Proyectos'!$F:$F,"Completado"),0)</f>
        <v>0</v>
      </c>
      <c r="E18" s="94">
        <f>IFERROR(SUMIFS('📋 Proyectos'!$T:$T,'📋 Proyectos'!$D:$D,"Solar Residencial",'📋 Proyectos'!$F:$F,"Completado"),0)</f>
        <v>1330</v>
      </c>
      <c r="F18" s="97">
        <f>IFERROR(SUMIFS('📋 Proyectos'!$W:$W,'📋 Proyectos'!$D:$D,"Solar Residencial",'📋 Proyectos'!$F:$F,"Completado"),0)</f>
        <v>0</v>
      </c>
      <c r="G18" s="98">
        <f>IFERROR(AVERAGEIFS('📋 Proyectos'!$X:$X,'📋 Proyectos'!$D:$D,"Solar Residencial",'📋 Proyectos'!$F:$F,"Completado"),0)</f>
        <v>0</v>
      </c>
      <c r="H18" s="4"/>
      <c r="I18" s="4"/>
      <c r="J18" s="4"/>
      <c r="K18" s="4"/>
      <c r="L18" s="4"/>
    </row>
    <row r="19" ht="19.5" customHeight="1">
      <c r="A19" s="101" t="s">
        <v>233</v>
      </c>
      <c r="B19" s="100">
        <f>COUNTIFS('📋 Proyectos'!$D:$D,"Solar Industrial",'📋 Proyectos'!$F:$F,"Completado")</f>
        <v>2</v>
      </c>
      <c r="C19" s="103">
        <f>IFERROR(SUMIFS('📋 Proyectos'!$U:$U,'📋 Proyectos'!$D:$D,"Solar Industrial",'📋 Proyectos'!$F:$F,"Completado"),0)</f>
        <v>0</v>
      </c>
      <c r="D19" s="103">
        <f>IFERROR(SUMIFS('📋 Proyectos'!$N:$N,'📋 Proyectos'!$D:$D,"Solar Industrial",'📋 Proyectos'!$F:$F,"Completado"),0)</f>
        <v>0</v>
      </c>
      <c r="E19" s="103">
        <f>IFERROR(SUMIFS('📋 Proyectos'!$T:$T,'📋 Proyectos'!$D:$D,"Solar Industrial",'📋 Proyectos'!$F:$F,"Completado"),0)</f>
        <v>1960</v>
      </c>
      <c r="F19" s="106">
        <f>IFERROR(SUMIFS('📋 Proyectos'!$W:$W,'📋 Proyectos'!$D:$D,"Solar Industrial",'📋 Proyectos'!$F:$F,"Completado"),0)</f>
        <v>0</v>
      </c>
      <c r="G19" s="107">
        <f>IFERROR(AVERAGEIFS('📋 Proyectos'!$X:$X,'📋 Proyectos'!$D:$D,"Solar Industrial",'📋 Proyectos'!$F:$F,"Completado"),0)</f>
        <v>0</v>
      </c>
      <c r="H19" s="4"/>
      <c r="I19" s="4"/>
      <c r="J19" s="4"/>
      <c r="K19" s="4"/>
      <c r="L19" s="4"/>
    </row>
    <row r="20" ht="19.5" customHeight="1">
      <c r="A20" s="91" t="s">
        <v>145</v>
      </c>
      <c r="B20" s="90">
        <f>COUNTIFS('📋 Proyectos'!$D:$D,"Aerotermia",'📋 Proyectos'!$F:$F,"Completado")</f>
        <v>2</v>
      </c>
      <c r="C20" s="94">
        <f>IFERROR(SUMIFS('📋 Proyectos'!$U:$U,'📋 Proyectos'!$D:$D,"Aerotermia",'📋 Proyectos'!$F:$F,"Completado"),0)</f>
        <v>0</v>
      </c>
      <c r="D20" s="94">
        <f>IFERROR(SUMIFS('📋 Proyectos'!$N:$N,'📋 Proyectos'!$D:$D,"Aerotermia",'📋 Proyectos'!$F:$F,"Completado"),0)</f>
        <v>0</v>
      </c>
      <c r="E20" s="94">
        <f>IFERROR(SUMIFS('📋 Proyectos'!$T:$T,'📋 Proyectos'!$D:$D,"Aerotermia",'📋 Proyectos'!$F:$F,"Completado"),0)</f>
        <v>1330</v>
      </c>
      <c r="F20" s="97">
        <f>IFERROR(SUMIFS('📋 Proyectos'!$W:$W,'📋 Proyectos'!$D:$D,"Aerotermia",'📋 Proyectos'!$F:$F,"Completado"),0)</f>
        <v>0</v>
      </c>
      <c r="G20" s="98">
        <f>IFERROR(AVERAGEIFS('📋 Proyectos'!$X:$X,'📋 Proyectos'!$D:$D,"Aerotermia",'📋 Proyectos'!$F:$F,"Completado"),0)</f>
        <v>0</v>
      </c>
      <c r="H20" s="4"/>
      <c r="I20" s="4"/>
      <c r="J20" s="4"/>
      <c r="K20" s="4"/>
      <c r="L20" s="4"/>
    </row>
    <row r="21" ht="19.5" customHeight="1">
      <c r="A21" s="101" t="s">
        <v>152</v>
      </c>
      <c r="B21" s="100">
        <f>COUNTIFS('📋 Proyectos'!$D:$D,"Calefacción",'📋 Proyectos'!$F:$F,"Completado")</f>
        <v>1</v>
      </c>
      <c r="C21" s="103">
        <f>IFERROR(SUMIFS('📋 Proyectos'!$U:$U,'📋 Proyectos'!$D:$D,"Calefacción",'📋 Proyectos'!$F:$F,"Completado"),0)</f>
        <v>0</v>
      </c>
      <c r="D21" s="103">
        <f>IFERROR(SUMIFS('📋 Proyectos'!$N:$N,'📋 Proyectos'!$D:$D,"Calefacción",'📋 Proyectos'!$F:$F,"Completado"),0)</f>
        <v>0</v>
      </c>
      <c r="E21" s="103">
        <f>IFERROR(SUMIFS('📋 Proyectos'!$T:$T,'📋 Proyectos'!$D:$D,"Calefacción",'📋 Proyectos'!$F:$F,"Completado"),0)</f>
        <v>1050</v>
      </c>
      <c r="F21" s="106">
        <f>IFERROR(SUMIFS('📋 Proyectos'!$W:$W,'📋 Proyectos'!$D:$D,"Calefacción",'📋 Proyectos'!$F:$F,"Completado"),0)</f>
        <v>0</v>
      </c>
      <c r="G21" s="107">
        <f>IFERROR(AVERAGEIFS('📋 Proyectos'!$X:$X,'📋 Proyectos'!$D:$D,"Calefacción",'📋 Proyectos'!$F:$F,"Completado"),0)</f>
        <v>0</v>
      </c>
      <c r="H21" s="4"/>
      <c r="I21" s="4"/>
      <c r="J21" s="4"/>
      <c r="K21" s="4"/>
      <c r="L21" s="4"/>
    </row>
    <row r="22" ht="19.5" customHeight="1">
      <c r="A22" s="91" t="s">
        <v>246</v>
      </c>
      <c r="B22" s="90">
        <f>COUNTIFS('📋 Proyectos'!$D:$D,"Mixto Solar+Aero",'📋 Proyectos'!$F:$F,"Completado")</f>
        <v>0</v>
      </c>
      <c r="C22" s="94">
        <f>IFERROR(SUMIFS('📋 Proyectos'!$U:$U,'📋 Proyectos'!$D:$D,"Mixto Solar+Aero",'📋 Proyectos'!$F:$F,"Completado"),0)</f>
        <v>0</v>
      </c>
      <c r="D22" s="94">
        <f>IFERROR(SUMIFS('📋 Proyectos'!$N:$N,'📋 Proyectos'!$D:$D,"Mixto Solar+Aero",'📋 Proyectos'!$F:$F,"Completado"),0)</f>
        <v>0</v>
      </c>
      <c r="E22" s="94">
        <f>IFERROR(SUMIFS('📋 Proyectos'!$T:$T,'📋 Proyectos'!$D:$D,"Mixto Solar+Aero",'📋 Proyectos'!$F:$F,"Completado"),0)</f>
        <v>0</v>
      </c>
      <c r="F22" s="97">
        <f>IFERROR(SUMIFS('📋 Proyectos'!$W:$W,'📋 Proyectos'!$D:$D,"Mixto Solar+Aero",'📋 Proyectos'!$F:$F,"Completado"),0)</f>
        <v>0</v>
      </c>
      <c r="G22" s="98">
        <f>IFERROR(AVERAGEIFS('📋 Proyectos'!$X:$X,'📋 Proyectos'!$D:$D,"Mixto Solar+Aero",'📋 Proyectos'!$F:$F,"Completado"),0)</f>
        <v>0</v>
      </c>
      <c r="H22" s="4"/>
      <c r="I22" s="4"/>
      <c r="J22" s="4"/>
      <c r="K22" s="4"/>
      <c r="L22" s="4"/>
    </row>
    <row r="23" ht="21.75" customHeight="1">
      <c r="A23" s="24" t="s">
        <v>392</v>
      </c>
      <c r="B23" s="26"/>
      <c r="C23" s="160">
        <f t="shared" ref="C23:G23" si="1">SUM(C18:C22)</f>
        <v>0</v>
      </c>
      <c r="D23" s="160">
        <f t="shared" si="1"/>
        <v>0</v>
      </c>
      <c r="E23" s="160">
        <f t="shared" si="1"/>
        <v>5670</v>
      </c>
      <c r="F23" s="160">
        <f t="shared" si="1"/>
        <v>0</v>
      </c>
      <c r="G23" s="161">
        <f t="shared" si="1"/>
        <v>0</v>
      </c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4">
    <mergeCell ref="A1:L1"/>
    <mergeCell ref="A2:L2"/>
    <mergeCell ref="A16:L16"/>
    <mergeCell ref="A23:B23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0.0"/>
    <col customWidth="1" min="2" max="2" width="10.0"/>
    <col customWidth="1" min="3" max="3" width="32.0"/>
    <col customWidth="1" min="4" max="4" width="5.0"/>
    <col customWidth="1" min="5" max="5" width="8.0"/>
    <col customWidth="1" min="6" max="7" width="13.0"/>
    <col customWidth="1" min="8" max="8" width="12.0"/>
    <col customWidth="1" min="9" max="9" width="14.0"/>
    <col customWidth="1" min="10" max="10" width="9.0"/>
    <col customWidth="1" min="11" max="11" width="12.0"/>
    <col customWidth="1" min="12" max="14" width="8.0"/>
    <col customWidth="1" min="15" max="15" width="22.0"/>
    <col customWidth="1" min="16" max="26" width="8.71"/>
  </cols>
  <sheetData>
    <row r="1" ht="36.0" customHeight="1">
      <c r="A1" s="162" t="s">
        <v>393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8.0" customHeight="1">
      <c r="A2" s="76" t="s">
        <v>394</v>
      </c>
    </row>
    <row r="3" ht="19.5" customHeight="1">
      <c r="A3" s="163" t="s">
        <v>395</v>
      </c>
      <c r="B3" s="3"/>
      <c r="C3" s="164">
        <v>35.0</v>
      </c>
      <c r="D3" s="163" t="s">
        <v>396</v>
      </c>
      <c r="E3" s="3"/>
      <c r="F3" s="165">
        <v>0.2</v>
      </c>
      <c r="G3" s="163" t="s">
        <v>397</v>
      </c>
      <c r="H3" s="3"/>
      <c r="I3" s="165">
        <v>0.05</v>
      </c>
      <c r="J3" s="163" t="s">
        <v>398</v>
      </c>
      <c r="K3" s="3"/>
      <c r="L3" s="165">
        <v>0.08</v>
      </c>
      <c r="M3" s="4"/>
      <c r="N3" s="4"/>
      <c r="O3" s="4"/>
    </row>
    <row r="4" ht="21.75" customHeight="1">
      <c r="A4" s="80" t="s">
        <v>399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</row>
    <row r="5" ht="30.0" customHeight="1">
      <c r="A5" s="166" t="s">
        <v>322</v>
      </c>
      <c r="B5" s="166" t="s">
        <v>10</v>
      </c>
      <c r="C5" s="166" t="s">
        <v>11</v>
      </c>
      <c r="D5" s="166" t="s">
        <v>122</v>
      </c>
      <c r="E5" s="166" t="s">
        <v>400</v>
      </c>
      <c r="F5" s="166" t="s">
        <v>401</v>
      </c>
      <c r="G5" s="166" t="s">
        <v>402</v>
      </c>
      <c r="H5" s="166" t="s">
        <v>403</v>
      </c>
      <c r="I5" s="166" t="s">
        <v>404</v>
      </c>
      <c r="J5" s="167" t="s">
        <v>405</v>
      </c>
      <c r="K5" s="167" t="s">
        <v>380</v>
      </c>
      <c r="L5" s="167" t="s">
        <v>406</v>
      </c>
      <c r="M5" s="167" t="s">
        <v>407</v>
      </c>
      <c r="N5" s="167" t="s">
        <v>408</v>
      </c>
      <c r="O5" s="167" t="s">
        <v>409</v>
      </c>
    </row>
    <row r="6" ht="18.0" customHeight="1">
      <c r="A6" s="168" t="s">
        <v>227</v>
      </c>
      <c r="B6" s="169" t="s">
        <v>49</v>
      </c>
      <c r="C6" s="168" t="s">
        <v>410</v>
      </c>
      <c r="D6" s="169" t="s">
        <v>122</v>
      </c>
      <c r="E6" s="169">
        <v>12.0</v>
      </c>
      <c r="F6" s="170">
        <v>180.0</v>
      </c>
      <c r="G6" s="171">
        <f t="shared" ref="G6:G22" si="1">E6*F6</f>
        <v>2160</v>
      </c>
      <c r="H6" s="170">
        <f t="shared" ref="H6:H22" si="2">G6*$I$3</f>
        <v>108</v>
      </c>
      <c r="I6" s="171">
        <f t="shared" ref="I6:I22" si="3">G6+H6</f>
        <v>2268</v>
      </c>
      <c r="J6" s="169">
        <v>16.0</v>
      </c>
      <c r="K6" s="170">
        <f t="shared" ref="K6:K22" si="4">J6*$C$3</f>
        <v>560</v>
      </c>
      <c r="L6" s="169">
        <v>10.0</v>
      </c>
      <c r="M6" s="169">
        <v>16.0</v>
      </c>
      <c r="N6" s="169" t="s">
        <v>411</v>
      </c>
      <c r="O6" s="168" t="s">
        <v>412</v>
      </c>
    </row>
    <row r="7" ht="18.0" customHeight="1">
      <c r="A7" s="168" t="s">
        <v>227</v>
      </c>
      <c r="B7" s="169" t="s">
        <v>56</v>
      </c>
      <c r="C7" s="168" t="s">
        <v>129</v>
      </c>
      <c r="D7" s="169" t="s">
        <v>122</v>
      </c>
      <c r="E7" s="169">
        <v>1.0</v>
      </c>
      <c r="F7" s="170">
        <v>850.0</v>
      </c>
      <c r="G7" s="171">
        <f t="shared" si="1"/>
        <v>850</v>
      </c>
      <c r="H7" s="170">
        <f t="shared" si="2"/>
        <v>42.5</v>
      </c>
      <c r="I7" s="171">
        <f t="shared" si="3"/>
        <v>892.5</v>
      </c>
      <c r="J7" s="169">
        <v>4.0</v>
      </c>
      <c r="K7" s="170">
        <f t="shared" si="4"/>
        <v>140</v>
      </c>
      <c r="L7" s="169">
        <v>1.0</v>
      </c>
      <c r="M7" s="169">
        <v>2.0</v>
      </c>
      <c r="N7" s="169" t="s">
        <v>411</v>
      </c>
      <c r="O7" s="168" t="s">
        <v>413</v>
      </c>
    </row>
    <row r="8" ht="18.0" customHeight="1">
      <c r="A8" s="168" t="s">
        <v>227</v>
      </c>
      <c r="B8" s="169" t="s">
        <v>93</v>
      </c>
      <c r="C8" s="168" t="s">
        <v>414</v>
      </c>
      <c r="D8" s="169" t="s">
        <v>169</v>
      </c>
      <c r="E8" s="169">
        <v>3.0</v>
      </c>
      <c r="F8" s="170">
        <v>120.0</v>
      </c>
      <c r="G8" s="171">
        <f t="shared" si="1"/>
        <v>360</v>
      </c>
      <c r="H8" s="170">
        <f t="shared" si="2"/>
        <v>18</v>
      </c>
      <c r="I8" s="171">
        <f t="shared" si="3"/>
        <v>378</v>
      </c>
      <c r="J8" s="169">
        <v>6.0</v>
      </c>
      <c r="K8" s="170">
        <f t="shared" si="4"/>
        <v>210</v>
      </c>
      <c r="L8" s="169">
        <v>2.0</v>
      </c>
      <c r="M8" s="169">
        <v>5.0</v>
      </c>
      <c r="N8" s="169" t="s">
        <v>415</v>
      </c>
      <c r="O8" s="168" t="s">
        <v>416</v>
      </c>
    </row>
    <row r="9" ht="18.0" customHeight="1">
      <c r="A9" s="168" t="s">
        <v>227</v>
      </c>
      <c r="B9" s="169" t="s">
        <v>70</v>
      </c>
      <c r="C9" s="168" t="s">
        <v>417</v>
      </c>
      <c r="D9" s="169" t="s">
        <v>162</v>
      </c>
      <c r="E9" s="169">
        <v>80.0</v>
      </c>
      <c r="F9" s="170">
        <v>0.85</v>
      </c>
      <c r="G9" s="171">
        <f t="shared" si="1"/>
        <v>68</v>
      </c>
      <c r="H9" s="170">
        <f t="shared" si="2"/>
        <v>3.4</v>
      </c>
      <c r="I9" s="171">
        <f t="shared" si="3"/>
        <v>71.4</v>
      </c>
      <c r="J9" s="169">
        <v>0.0</v>
      </c>
      <c r="K9" s="170">
        <f t="shared" si="4"/>
        <v>0</v>
      </c>
      <c r="L9" s="169">
        <v>60.0</v>
      </c>
      <c r="M9" s="169">
        <v>120.0</v>
      </c>
      <c r="N9" s="169" t="s">
        <v>415</v>
      </c>
      <c r="O9" s="168" t="s">
        <v>418</v>
      </c>
    </row>
    <row r="10" ht="18.0" customHeight="1">
      <c r="A10" s="168" t="s">
        <v>227</v>
      </c>
      <c r="B10" s="169" t="s">
        <v>173</v>
      </c>
      <c r="C10" s="168" t="s">
        <v>419</v>
      </c>
      <c r="D10" s="169" t="s">
        <v>122</v>
      </c>
      <c r="E10" s="169">
        <v>1.0</v>
      </c>
      <c r="F10" s="170">
        <v>45.0</v>
      </c>
      <c r="G10" s="171">
        <f t="shared" si="1"/>
        <v>45</v>
      </c>
      <c r="H10" s="170">
        <f t="shared" si="2"/>
        <v>2.25</v>
      </c>
      <c r="I10" s="171">
        <f t="shared" si="3"/>
        <v>47.25</v>
      </c>
      <c r="J10" s="169">
        <v>1.0</v>
      </c>
      <c r="K10" s="170">
        <f t="shared" si="4"/>
        <v>35</v>
      </c>
      <c r="L10" s="169">
        <v>1.0</v>
      </c>
      <c r="M10" s="169">
        <v>2.0</v>
      </c>
      <c r="N10" s="169" t="s">
        <v>411</v>
      </c>
      <c r="O10" s="168"/>
    </row>
    <row r="11" ht="18.0" customHeight="1">
      <c r="A11" s="168" t="s">
        <v>227</v>
      </c>
      <c r="B11" s="169" t="s">
        <v>178</v>
      </c>
      <c r="C11" s="168" t="s">
        <v>420</v>
      </c>
      <c r="D11" s="169" t="s">
        <v>122</v>
      </c>
      <c r="E11" s="169">
        <v>1.0</v>
      </c>
      <c r="F11" s="170">
        <v>120.0</v>
      </c>
      <c r="G11" s="171">
        <f t="shared" si="1"/>
        <v>120</v>
      </c>
      <c r="H11" s="170">
        <f t="shared" si="2"/>
        <v>6</v>
      </c>
      <c r="I11" s="171">
        <f t="shared" si="3"/>
        <v>126</v>
      </c>
      <c r="J11" s="169">
        <v>2.0</v>
      </c>
      <c r="K11" s="170">
        <f t="shared" si="4"/>
        <v>70</v>
      </c>
      <c r="L11" s="169">
        <v>1.0</v>
      </c>
      <c r="M11" s="169">
        <v>1.0</v>
      </c>
      <c r="N11" s="169" t="s">
        <v>411</v>
      </c>
      <c r="O11" s="168" t="s">
        <v>421</v>
      </c>
    </row>
    <row r="12" ht="18.0" customHeight="1">
      <c r="A12" s="172" t="s">
        <v>233</v>
      </c>
      <c r="B12" s="173" t="s">
        <v>125</v>
      </c>
      <c r="C12" s="172" t="s">
        <v>126</v>
      </c>
      <c r="D12" s="173" t="s">
        <v>122</v>
      </c>
      <c r="E12" s="173">
        <v>60.0</v>
      </c>
      <c r="F12" s="174">
        <v>250.0</v>
      </c>
      <c r="G12" s="175">
        <f t="shared" si="1"/>
        <v>15000</v>
      </c>
      <c r="H12" s="174">
        <f t="shared" si="2"/>
        <v>750</v>
      </c>
      <c r="I12" s="175">
        <f t="shared" si="3"/>
        <v>15750</v>
      </c>
      <c r="J12" s="173">
        <v>80.0</v>
      </c>
      <c r="K12" s="174">
        <f t="shared" si="4"/>
        <v>2800</v>
      </c>
      <c r="L12" s="173">
        <v>50.0</v>
      </c>
      <c r="M12" s="173">
        <v>100.0</v>
      </c>
      <c r="N12" s="173" t="s">
        <v>411</v>
      </c>
      <c r="O12" s="172" t="s">
        <v>422</v>
      </c>
    </row>
    <row r="13" ht="18.0" customHeight="1">
      <c r="A13" s="172" t="s">
        <v>233</v>
      </c>
      <c r="B13" s="173" t="s">
        <v>134</v>
      </c>
      <c r="C13" s="172" t="s">
        <v>135</v>
      </c>
      <c r="D13" s="173" t="s">
        <v>122</v>
      </c>
      <c r="E13" s="173">
        <v>3.0</v>
      </c>
      <c r="F13" s="174">
        <v>1800.0</v>
      </c>
      <c r="G13" s="175">
        <f t="shared" si="1"/>
        <v>5400</v>
      </c>
      <c r="H13" s="174">
        <f t="shared" si="2"/>
        <v>270</v>
      </c>
      <c r="I13" s="175">
        <f t="shared" si="3"/>
        <v>5670</v>
      </c>
      <c r="J13" s="173">
        <v>12.0</v>
      </c>
      <c r="K13" s="174">
        <f t="shared" si="4"/>
        <v>420</v>
      </c>
      <c r="L13" s="173">
        <v>2.0</v>
      </c>
      <c r="M13" s="173">
        <v>6.0</v>
      </c>
      <c r="N13" s="173" t="s">
        <v>411</v>
      </c>
      <c r="O13" s="172" t="s">
        <v>423</v>
      </c>
    </row>
    <row r="14" ht="18.0" customHeight="1">
      <c r="A14" s="172" t="s">
        <v>233</v>
      </c>
      <c r="B14" s="173" t="s">
        <v>171</v>
      </c>
      <c r="C14" s="172" t="s">
        <v>424</v>
      </c>
      <c r="D14" s="173" t="s">
        <v>169</v>
      </c>
      <c r="E14" s="173">
        <v>15.0</v>
      </c>
      <c r="F14" s="174">
        <v>145.0</v>
      </c>
      <c r="G14" s="175">
        <f t="shared" si="1"/>
        <v>2175</v>
      </c>
      <c r="H14" s="174">
        <f t="shared" si="2"/>
        <v>108.75</v>
      </c>
      <c r="I14" s="175">
        <f t="shared" si="3"/>
        <v>2283.75</v>
      </c>
      <c r="J14" s="173">
        <v>20.0</v>
      </c>
      <c r="K14" s="174">
        <f t="shared" si="4"/>
        <v>700</v>
      </c>
      <c r="L14" s="173">
        <v>10.0</v>
      </c>
      <c r="M14" s="173">
        <v>25.0</v>
      </c>
      <c r="N14" s="173" t="s">
        <v>415</v>
      </c>
      <c r="O14" s="172"/>
    </row>
    <row r="15" ht="18.0" customHeight="1">
      <c r="A15" s="172" t="s">
        <v>233</v>
      </c>
      <c r="B15" s="173" t="s">
        <v>164</v>
      </c>
      <c r="C15" s="172" t="s">
        <v>425</v>
      </c>
      <c r="D15" s="173" t="s">
        <v>162</v>
      </c>
      <c r="E15" s="173">
        <v>400.0</v>
      </c>
      <c r="F15" s="174">
        <v>1.2</v>
      </c>
      <c r="G15" s="175">
        <f t="shared" si="1"/>
        <v>480</v>
      </c>
      <c r="H15" s="174">
        <f t="shared" si="2"/>
        <v>24</v>
      </c>
      <c r="I15" s="175">
        <f t="shared" si="3"/>
        <v>504</v>
      </c>
      <c r="J15" s="173">
        <v>0.0</v>
      </c>
      <c r="K15" s="174">
        <f t="shared" si="4"/>
        <v>0</v>
      </c>
      <c r="L15" s="173">
        <v>300.0</v>
      </c>
      <c r="M15" s="173">
        <v>600.0</v>
      </c>
      <c r="N15" s="173" t="s">
        <v>415</v>
      </c>
      <c r="O15" s="172"/>
    </row>
    <row r="16" ht="18.0" customHeight="1">
      <c r="A16" s="172" t="s">
        <v>233</v>
      </c>
      <c r="B16" s="173" t="s">
        <v>142</v>
      </c>
      <c r="C16" s="172" t="s">
        <v>143</v>
      </c>
      <c r="D16" s="173" t="s">
        <v>122</v>
      </c>
      <c r="E16" s="173">
        <v>2.0</v>
      </c>
      <c r="F16" s="174">
        <v>4100.0</v>
      </c>
      <c r="G16" s="175">
        <f t="shared" si="1"/>
        <v>8200</v>
      </c>
      <c r="H16" s="174">
        <f t="shared" si="2"/>
        <v>410</v>
      </c>
      <c r="I16" s="175">
        <f t="shared" si="3"/>
        <v>8610</v>
      </c>
      <c r="J16" s="173">
        <v>4.0</v>
      </c>
      <c r="K16" s="174">
        <f t="shared" si="4"/>
        <v>140</v>
      </c>
      <c r="L16" s="173">
        <v>0.0</v>
      </c>
      <c r="M16" s="173">
        <v>4.0</v>
      </c>
      <c r="N16" s="173" t="s">
        <v>415</v>
      </c>
      <c r="O16" s="172" t="s">
        <v>426</v>
      </c>
    </row>
    <row r="17" ht="18.0" customHeight="1">
      <c r="A17" s="176" t="s">
        <v>145</v>
      </c>
      <c r="B17" s="177" t="s">
        <v>64</v>
      </c>
      <c r="C17" s="176" t="s">
        <v>144</v>
      </c>
      <c r="D17" s="177" t="s">
        <v>122</v>
      </c>
      <c r="E17" s="177">
        <v>1.0</v>
      </c>
      <c r="F17" s="178">
        <v>1900.0</v>
      </c>
      <c r="G17" s="179">
        <f t="shared" si="1"/>
        <v>1900</v>
      </c>
      <c r="H17" s="178">
        <f t="shared" si="2"/>
        <v>95</v>
      </c>
      <c r="I17" s="179">
        <f t="shared" si="3"/>
        <v>1995</v>
      </c>
      <c r="J17" s="177">
        <v>8.0</v>
      </c>
      <c r="K17" s="178">
        <f t="shared" si="4"/>
        <v>280</v>
      </c>
      <c r="L17" s="177">
        <v>1.0</v>
      </c>
      <c r="M17" s="177">
        <v>1.0</v>
      </c>
      <c r="N17" s="177" t="s">
        <v>411</v>
      </c>
      <c r="O17" s="176" t="s">
        <v>427</v>
      </c>
    </row>
    <row r="18" ht="18.0" customHeight="1">
      <c r="A18" s="176" t="s">
        <v>145</v>
      </c>
      <c r="B18" s="177" t="s">
        <v>186</v>
      </c>
      <c r="C18" s="176" t="s">
        <v>428</v>
      </c>
      <c r="D18" s="177" t="s">
        <v>162</v>
      </c>
      <c r="E18" s="177">
        <v>25.0</v>
      </c>
      <c r="F18" s="178">
        <v>8.5</v>
      </c>
      <c r="G18" s="179">
        <f t="shared" si="1"/>
        <v>212.5</v>
      </c>
      <c r="H18" s="178">
        <f t="shared" si="2"/>
        <v>10.625</v>
      </c>
      <c r="I18" s="179">
        <f t="shared" si="3"/>
        <v>223.125</v>
      </c>
      <c r="J18" s="177">
        <v>4.0</v>
      </c>
      <c r="K18" s="178">
        <f t="shared" si="4"/>
        <v>140</v>
      </c>
      <c r="L18" s="177">
        <v>15.0</v>
      </c>
      <c r="M18" s="177">
        <v>40.0</v>
      </c>
      <c r="N18" s="177" t="s">
        <v>415</v>
      </c>
      <c r="O18" s="176"/>
    </row>
    <row r="19" ht="18.0" customHeight="1">
      <c r="A19" s="176" t="s">
        <v>145</v>
      </c>
      <c r="B19" s="177" t="s">
        <v>181</v>
      </c>
      <c r="C19" s="176" t="s">
        <v>429</v>
      </c>
      <c r="D19" s="177" t="s">
        <v>162</v>
      </c>
      <c r="E19" s="177">
        <v>20.0</v>
      </c>
      <c r="F19" s="178">
        <v>0.55</v>
      </c>
      <c r="G19" s="179">
        <f t="shared" si="1"/>
        <v>11</v>
      </c>
      <c r="H19" s="178">
        <f t="shared" si="2"/>
        <v>0.55</v>
      </c>
      <c r="I19" s="179">
        <f t="shared" si="3"/>
        <v>11.55</v>
      </c>
      <c r="J19" s="177">
        <v>0.0</v>
      </c>
      <c r="K19" s="178">
        <f t="shared" si="4"/>
        <v>0</v>
      </c>
      <c r="L19" s="177">
        <v>15.0</v>
      </c>
      <c r="M19" s="177">
        <v>30.0</v>
      </c>
      <c r="N19" s="177" t="s">
        <v>415</v>
      </c>
      <c r="O19" s="176"/>
    </row>
    <row r="20" ht="18.0" customHeight="1">
      <c r="A20" s="180" t="s">
        <v>152</v>
      </c>
      <c r="B20" s="181" t="s">
        <v>100</v>
      </c>
      <c r="C20" s="180" t="s">
        <v>430</v>
      </c>
      <c r="D20" s="181" t="s">
        <v>122</v>
      </c>
      <c r="E20" s="181">
        <v>1.0</v>
      </c>
      <c r="F20" s="182">
        <v>750.0</v>
      </c>
      <c r="G20" s="183">
        <f t="shared" si="1"/>
        <v>750</v>
      </c>
      <c r="H20" s="182">
        <f t="shared" si="2"/>
        <v>37.5</v>
      </c>
      <c r="I20" s="183">
        <f t="shared" si="3"/>
        <v>787.5</v>
      </c>
      <c r="J20" s="181">
        <v>8.0</v>
      </c>
      <c r="K20" s="182">
        <f t="shared" si="4"/>
        <v>280</v>
      </c>
      <c r="L20" s="181">
        <v>1.0</v>
      </c>
      <c r="M20" s="181">
        <v>1.0</v>
      </c>
      <c r="N20" s="181" t="s">
        <v>411</v>
      </c>
      <c r="O20" s="180"/>
    </row>
    <row r="21" ht="18.0" customHeight="1">
      <c r="A21" s="180" t="s">
        <v>152</v>
      </c>
      <c r="B21" s="181" t="s">
        <v>155</v>
      </c>
      <c r="C21" s="180" t="s">
        <v>431</v>
      </c>
      <c r="D21" s="181" t="s">
        <v>122</v>
      </c>
      <c r="E21" s="181">
        <v>8.0</v>
      </c>
      <c r="F21" s="182">
        <v>85.0</v>
      </c>
      <c r="G21" s="183">
        <f t="shared" si="1"/>
        <v>680</v>
      </c>
      <c r="H21" s="182">
        <f t="shared" si="2"/>
        <v>34</v>
      </c>
      <c r="I21" s="183">
        <f t="shared" si="3"/>
        <v>714</v>
      </c>
      <c r="J21" s="181">
        <v>2.0</v>
      </c>
      <c r="K21" s="182">
        <f t="shared" si="4"/>
        <v>70</v>
      </c>
      <c r="L21" s="181">
        <v>6.0</v>
      </c>
      <c r="M21" s="181">
        <v>12.0</v>
      </c>
      <c r="N21" s="181" t="s">
        <v>415</v>
      </c>
      <c r="O21" s="180" t="s">
        <v>432</v>
      </c>
    </row>
    <row r="22" ht="18.0" customHeight="1">
      <c r="A22" s="180" t="s">
        <v>152</v>
      </c>
      <c r="B22" s="181" t="s">
        <v>181</v>
      </c>
      <c r="C22" s="180" t="s">
        <v>429</v>
      </c>
      <c r="D22" s="181" t="s">
        <v>162</v>
      </c>
      <c r="E22" s="181">
        <v>30.0</v>
      </c>
      <c r="F22" s="182">
        <v>0.55</v>
      </c>
      <c r="G22" s="183">
        <f t="shared" si="1"/>
        <v>16.5</v>
      </c>
      <c r="H22" s="182">
        <f t="shared" si="2"/>
        <v>0.825</v>
      </c>
      <c r="I22" s="183">
        <f t="shared" si="3"/>
        <v>17.325</v>
      </c>
      <c r="J22" s="181">
        <v>0.0</v>
      </c>
      <c r="K22" s="182">
        <f t="shared" si="4"/>
        <v>0</v>
      </c>
      <c r="L22" s="181">
        <v>20.0</v>
      </c>
      <c r="M22" s="181">
        <v>50.0</v>
      </c>
      <c r="N22" s="181" t="s">
        <v>415</v>
      </c>
      <c r="O22" s="180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21.75" customHeight="1">
      <c r="A24" s="184" t="s">
        <v>433</v>
      </c>
      <c r="B24" s="25"/>
      <c r="C24" s="25"/>
      <c r="D24" s="25"/>
      <c r="E24" s="26"/>
      <c r="F24" s="4"/>
      <c r="G24" s="185">
        <f>SUM(G6:G11)</f>
        <v>3603</v>
      </c>
      <c r="H24" s="4"/>
      <c r="I24" s="185">
        <f t="shared" ref="I24:K24" si="5">SUM(I6:I11)</f>
        <v>3783.15</v>
      </c>
      <c r="J24" s="186">
        <f t="shared" si="5"/>
        <v>29</v>
      </c>
      <c r="K24" s="185">
        <f t="shared" si="5"/>
        <v>1015</v>
      </c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21.75" customHeight="1">
      <c r="A26" s="184" t="s">
        <v>434</v>
      </c>
      <c r="B26" s="25"/>
      <c r="C26" s="25"/>
      <c r="D26" s="25"/>
      <c r="E26" s="26"/>
      <c r="F26" s="4"/>
      <c r="G26" s="185">
        <f>SUM(G12:G16)</f>
        <v>31255</v>
      </c>
      <c r="H26" s="4"/>
      <c r="I26" s="185">
        <f t="shared" ref="I26:K26" si="6">SUM(I12:I16)</f>
        <v>32817.75</v>
      </c>
      <c r="J26" s="186">
        <f t="shared" si="6"/>
        <v>116</v>
      </c>
      <c r="K26" s="185">
        <f t="shared" si="6"/>
        <v>4060</v>
      </c>
      <c r="L26" s="4"/>
      <c r="M26" s="4"/>
      <c r="N26" s="4"/>
      <c r="O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ht="21.75" customHeight="1">
      <c r="A28" s="184" t="s">
        <v>435</v>
      </c>
      <c r="B28" s="25"/>
      <c r="C28" s="25"/>
      <c r="D28" s="25"/>
      <c r="E28" s="26"/>
      <c r="F28" s="4"/>
      <c r="G28" s="185">
        <f>SUM(G17:G19)</f>
        <v>2123.5</v>
      </c>
      <c r="H28" s="4"/>
      <c r="I28" s="185">
        <f t="shared" ref="I28:K28" si="7">SUM(I17:I19)</f>
        <v>2229.675</v>
      </c>
      <c r="J28" s="186">
        <f t="shared" si="7"/>
        <v>12</v>
      </c>
      <c r="K28" s="185">
        <f t="shared" si="7"/>
        <v>420</v>
      </c>
      <c r="L28" s="4"/>
      <c r="M28" s="4"/>
      <c r="N28" s="4"/>
      <c r="O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ht="21.75" customHeight="1">
      <c r="A30" s="184" t="s">
        <v>436</v>
      </c>
      <c r="B30" s="25"/>
      <c r="C30" s="25"/>
      <c r="D30" s="25"/>
      <c r="E30" s="26"/>
      <c r="F30" s="4"/>
      <c r="G30" s="185">
        <f>SUM(G20:G22)</f>
        <v>1446.5</v>
      </c>
      <c r="H30" s="4"/>
      <c r="I30" s="185">
        <f t="shared" ref="I30:K30" si="8">SUM(I20:I22)</f>
        <v>1518.825</v>
      </c>
      <c r="J30" s="186">
        <f t="shared" si="8"/>
        <v>10</v>
      </c>
      <c r="K30" s="185">
        <f t="shared" si="8"/>
        <v>350</v>
      </c>
      <c r="L30" s="4"/>
      <c r="M30" s="4"/>
      <c r="N30" s="4"/>
      <c r="O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</sheetData>
  <mergeCells count="11">
    <mergeCell ref="A24:E24"/>
    <mergeCell ref="A26:E26"/>
    <mergeCell ref="A28:E28"/>
    <mergeCell ref="A30:E30"/>
    <mergeCell ref="A1:O1"/>
    <mergeCell ref="A2:O2"/>
    <mergeCell ref="A3:B3"/>
    <mergeCell ref="D3:E3"/>
    <mergeCell ref="G3:H3"/>
    <mergeCell ref="J3:K3"/>
    <mergeCell ref="A4:O4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20.0"/>
    <col customWidth="1" min="4" max="4" width="16.0"/>
    <col customWidth="1" min="5" max="5" width="12.0"/>
    <col customWidth="1" min="6" max="7" width="14.0"/>
    <col customWidth="1" min="8" max="8" width="12.0"/>
    <col customWidth="1" min="9" max="9" width="10.0"/>
    <col customWidth="1" min="10" max="11" width="14.0"/>
    <col customWidth="1" min="12" max="12" width="10.0"/>
    <col customWidth="1" min="13" max="14" width="14.0"/>
    <col customWidth="1" min="15" max="15" width="16.0"/>
    <col customWidth="1" min="16" max="16" width="26.0"/>
    <col customWidth="1" min="17" max="26" width="8.71"/>
  </cols>
  <sheetData>
    <row r="1" ht="36.0" customHeight="1">
      <c r="A1" s="187" t="s">
        <v>437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8.0" customHeight="1">
      <c r="A2" s="76" t="s">
        <v>438</v>
      </c>
    </row>
    <row r="3" ht="36.0" customHeight="1">
      <c r="A3" s="167" t="s">
        <v>266</v>
      </c>
      <c r="B3" s="167" t="s">
        <v>200</v>
      </c>
      <c r="C3" s="167" t="s">
        <v>439</v>
      </c>
      <c r="D3" s="167" t="s">
        <v>267</v>
      </c>
      <c r="E3" s="167" t="s">
        <v>440</v>
      </c>
      <c r="F3" s="167" t="s">
        <v>441</v>
      </c>
      <c r="G3" s="167" t="s">
        <v>442</v>
      </c>
      <c r="H3" s="167" t="s">
        <v>443</v>
      </c>
      <c r="I3" s="167" t="s">
        <v>444</v>
      </c>
      <c r="J3" s="167" t="s">
        <v>445</v>
      </c>
      <c r="K3" s="167" t="s">
        <v>446</v>
      </c>
      <c r="L3" s="167" t="s">
        <v>447</v>
      </c>
      <c r="M3" s="167" t="s">
        <v>448</v>
      </c>
      <c r="N3" s="167" t="s">
        <v>15</v>
      </c>
      <c r="O3" s="167" t="s">
        <v>449</v>
      </c>
      <c r="P3" s="167" t="s">
        <v>450</v>
      </c>
    </row>
    <row r="4" ht="19.5" customHeight="1">
      <c r="A4" s="90" t="s">
        <v>224</v>
      </c>
      <c r="B4" s="91" t="s">
        <v>225</v>
      </c>
      <c r="C4" s="91" t="s">
        <v>227</v>
      </c>
      <c r="D4" s="90" t="s">
        <v>228</v>
      </c>
      <c r="E4" s="118">
        <v>45678.0</v>
      </c>
      <c r="F4" s="118">
        <v>49330.0</v>
      </c>
      <c r="G4" s="118">
        <v>46408.0</v>
      </c>
      <c r="H4" s="188">
        <f t="shared" ref="H4:H12" si="1">IF(G4="","",G4-TODAY())</f>
        <v>322</v>
      </c>
      <c r="I4" s="90" t="s">
        <v>411</v>
      </c>
      <c r="J4" s="94">
        <v>180.0</v>
      </c>
      <c r="K4" s="118">
        <v>45859.0</v>
      </c>
      <c r="L4" s="96">
        <v>0.0</v>
      </c>
      <c r="M4" s="94"/>
      <c r="N4" s="90" t="str">
        <f t="shared" ref="N4:N12" si="2">IF(H4="","",IF(H4&lt;0,"🔴 VENCIDA",IF(H4&lt;=30,"🟠 URGENTE &lt;30d",IF(H4&lt;=90,"🟡 PRÓXIMA &lt;90d","🟢 OK"))))</f>
        <v>🟢 OK</v>
      </c>
      <c r="O4" s="90" t="str">
        <f t="shared" ref="O4:O12" si="3">IF(H4="","",IF(H4&lt;=90,"⚡ ALERTA ACTIVA","✓ Sin alerta"))</f>
        <v>✓ Sin alerta</v>
      </c>
      <c r="P4" s="91" t="s">
        <v>451</v>
      </c>
    </row>
    <row r="5" ht="19.5" customHeight="1">
      <c r="A5" s="100" t="s">
        <v>230</v>
      </c>
      <c r="B5" s="101" t="s">
        <v>231</v>
      </c>
      <c r="C5" s="101" t="s">
        <v>233</v>
      </c>
      <c r="D5" s="100" t="s">
        <v>234</v>
      </c>
      <c r="E5" s="119">
        <v>45696.0</v>
      </c>
      <c r="F5" s="119">
        <v>49348.0</v>
      </c>
      <c r="G5" s="119">
        <v>46426.0</v>
      </c>
      <c r="H5" s="189">
        <f t="shared" si="1"/>
        <v>340</v>
      </c>
      <c r="I5" s="100" t="s">
        <v>411</v>
      </c>
      <c r="J5" s="103">
        <v>1200.0</v>
      </c>
      <c r="K5" s="119">
        <v>45877.0</v>
      </c>
      <c r="L5" s="105">
        <v>0.0</v>
      </c>
      <c r="M5" s="103"/>
      <c r="N5" s="100" t="str">
        <f t="shared" si="2"/>
        <v>🟢 OK</v>
      </c>
      <c r="O5" s="100" t="str">
        <f t="shared" si="3"/>
        <v>✓ Sin alerta</v>
      </c>
      <c r="P5" s="101" t="s">
        <v>452</v>
      </c>
    </row>
    <row r="6" ht="19.5" customHeight="1">
      <c r="A6" s="90" t="s">
        <v>235</v>
      </c>
      <c r="B6" s="91" t="s">
        <v>236</v>
      </c>
      <c r="C6" s="91" t="s">
        <v>145</v>
      </c>
      <c r="D6" s="90" t="s">
        <v>228</v>
      </c>
      <c r="E6" s="118">
        <v>45683.0</v>
      </c>
      <c r="F6" s="118">
        <v>47509.0</v>
      </c>
      <c r="G6" s="118">
        <v>46413.0</v>
      </c>
      <c r="H6" s="188">
        <f t="shared" si="1"/>
        <v>327</v>
      </c>
      <c r="I6" s="90" t="s">
        <v>411</v>
      </c>
      <c r="J6" s="94">
        <v>220.0</v>
      </c>
      <c r="K6" s="118">
        <v>45864.0</v>
      </c>
      <c r="L6" s="96">
        <v>0.0</v>
      </c>
      <c r="M6" s="94"/>
      <c r="N6" s="90" t="str">
        <f t="shared" si="2"/>
        <v>🟢 OK</v>
      </c>
      <c r="O6" s="90" t="str">
        <f t="shared" si="3"/>
        <v>✓ Sin alerta</v>
      </c>
      <c r="P6" s="91"/>
    </row>
    <row r="7" ht="19.5" customHeight="1">
      <c r="A7" s="100" t="s">
        <v>247</v>
      </c>
      <c r="B7" s="101" t="s">
        <v>248</v>
      </c>
      <c r="C7" s="101" t="s">
        <v>152</v>
      </c>
      <c r="D7" s="100" t="s">
        <v>250</v>
      </c>
      <c r="E7" s="119">
        <v>45671.0</v>
      </c>
      <c r="F7" s="119">
        <v>47497.0</v>
      </c>
      <c r="G7" s="119">
        <v>46036.0</v>
      </c>
      <c r="H7" s="189">
        <f t="shared" si="1"/>
        <v>-50</v>
      </c>
      <c r="I7" s="100" t="s">
        <v>411</v>
      </c>
      <c r="J7" s="103">
        <v>150.0</v>
      </c>
      <c r="K7" s="119">
        <v>45852.0</v>
      </c>
      <c r="L7" s="105">
        <v>0.0</v>
      </c>
      <c r="M7" s="103"/>
      <c r="N7" s="100" t="str">
        <f t="shared" si="2"/>
        <v>🔴 VENCIDA</v>
      </c>
      <c r="O7" s="100" t="str">
        <f t="shared" si="3"/>
        <v>⚡ ALERTA ACTIVA</v>
      </c>
      <c r="P7" s="101" t="s">
        <v>453</v>
      </c>
    </row>
    <row r="8" ht="19.5" customHeight="1">
      <c r="A8" s="90" t="s">
        <v>251</v>
      </c>
      <c r="B8" s="91" t="s">
        <v>454</v>
      </c>
      <c r="C8" s="91" t="s">
        <v>233</v>
      </c>
      <c r="D8" s="90" t="s">
        <v>228</v>
      </c>
      <c r="E8" s="118">
        <v>45705.0</v>
      </c>
      <c r="F8" s="118">
        <v>49357.0</v>
      </c>
      <c r="G8" s="118">
        <v>46435.0</v>
      </c>
      <c r="H8" s="188">
        <f t="shared" si="1"/>
        <v>349</v>
      </c>
      <c r="I8" s="90" t="s">
        <v>411</v>
      </c>
      <c r="J8" s="94">
        <v>850.0</v>
      </c>
      <c r="K8" s="118">
        <v>45886.0</v>
      </c>
      <c r="L8" s="96">
        <v>0.0</v>
      </c>
      <c r="M8" s="94"/>
      <c r="N8" s="90" t="str">
        <f t="shared" si="2"/>
        <v>🟢 OK</v>
      </c>
      <c r="O8" s="90" t="str">
        <f t="shared" si="3"/>
        <v>✓ Sin alerta</v>
      </c>
      <c r="P8" s="91" t="s">
        <v>455</v>
      </c>
    </row>
    <row r="9" ht="19.5" customHeight="1">
      <c r="A9" s="100" t="s">
        <v>254</v>
      </c>
      <c r="B9" s="101" t="s">
        <v>255</v>
      </c>
      <c r="C9" s="101" t="s">
        <v>145</v>
      </c>
      <c r="D9" s="100" t="s">
        <v>241</v>
      </c>
      <c r="E9" s="119">
        <v>45700.0</v>
      </c>
      <c r="F9" s="119">
        <v>47526.0</v>
      </c>
      <c r="G9" s="119">
        <v>46430.0</v>
      </c>
      <c r="H9" s="189">
        <f t="shared" si="1"/>
        <v>344</v>
      </c>
      <c r="I9" s="100" t="s">
        <v>411</v>
      </c>
      <c r="J9" s="103">
        <v>380.0</v>
      </c>
      <c r="K9" s="119">
        <v>45881.0</v>
      </c>
      <c r="L9" s="105">
        <v>0.0</v>
      </c>
      <c r="M9" s="103"/>
      <c r="N9" s="100" t="str">
        <f t="shared" si="2"/>
        <v>🟢 OK</v>
      </c>
      <c r="O9" s="100" t="str">
        <f t="shared" si="3"/>
        <v>✓ Sin alerta</v>
      </c>
      <c r="P9" s="101"/>
    </row>
    <row r="10" ht="15.0" customHeight="1">
      <c r="A10" s="4"/>
      <c r="B10" s="4"/>
      <c r="C10" s="4"/>
      <c r="D10" s="4"/>
      <c r="E10" s="4"/>
      <c r="F10" s="4"/>
      <c r="G10" s="4"/>
      <c r="H10" s="96" t="str">
        <f t="shared" si="1"/>
        <v/>
      </c>
      <c r="I10" s="4"/>
      <c r="J10" s="4"/>
      <c r="K10" s="4"/>
      <c r="L10" s="4"/>
      <c r="M10" s="4"/>
      <c r="N10" s="90" t="str">
        <f t="shared" si="2"/>
        <v/>
      </c>
      <c r="O10" s="90" t="str">
        <f t="shared" si="3"/>
        <v/>
      </c>
      <c r="P10" s="4"/>
    </row>
    <row r="11" ht="15.0" customHeight="1">
      <c r="A11" s="4"/>
      <c r="B11" s="4"/>
      <c r="C11" s="4"/>
      <c r="D11" s="4"/>
      <c r="E11" s="4"/>
      <c r="F11" s="4"/>
      <c r="G11" s="4"/>
      <c r="H11" s="105" t="str">
        <f t="shared" si="1"/>
        <v/>
      </c>
      <c r="I11" s="4"/>
      <c r="J11" s="4"/>
      <c r="K11" s="4"/>
      <c r="L11" s="4"/>
      <c r="M11" s="4"/>
      <c r="N11" s="100" t="str">
        <f t="shared" si="2"/>
        <v/>
      </c>
      <c r="O11" s="100" t="str">
        <f t="shared" si="3"/>
        <v/>
      </c>
      <c r="P11" s="4"/>
    </row>
    <row r="12" ht="15.0" customHeight="1">
      <c r="A12" s="4"/>
      <c r="B12" s="4"/>
      <c r="C12" s="4"/>
      <c r="D12" s="4"/>
      <c r="E12" s="4"/>
      <c r="F12" s="4"/>
      <c r="G12" s="4"/>
      <c r="H12" s="96" t="str">
        <f t="shared" si="1"/>
        <v/>
      </c>
      <c r="I12" s="4"/>
      <c r="J12" s="4"/>
      <c r="K12" s="4"/>
      <c r="L12" s="4"/>
      <c r="M12" s="4"/>
      <c r="N12" s="90" t="str">
        <f t="shared" si="2"/>
        <v/>
      </c>
      <c r="O12" s="90" t="str">
        <f t="shared" si="3"/>
        <v/>
      </c>
      <c r="P12" s="4"/>
    </row>
    <row r="13" ht="21.75" customHeight="1">
      <c r="A13" s="80" t="s">
        <v>456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/>
    </row>
    <row r="14" ht="21.75" customHeight="1">
      <c r="A14" s="190" t="s">
        <v>457</v>
      </c>
      <c r="B14" s="25"/>
      <c r="C14" s="25"/>
      <c r="D14" s="26"/>
      <c r="E14" s="191" t="s">
        <v>458</v>
      </c>
      <c r="F14" s="25"/>
      <c r="G14" s="25"/>
      <c r="H14" s="192"/>
      <c r="I14" s="193" t="s">
        <v>459</v>
      </c>
      <c r="J14" s="25"/>
      <c r="K14" s="25"/>
      <c r="L14" s="26"/>
      <c r="M14" s="194" t="s">
        <v>460</v>
      </c>
      <c r="N14" s="25"/>
      <c r="O14" s="25"/>
      <c r="P14" s="26"/>
    </row>
    <row r="15" ht="39.75" customHeight="1">
      <c r="A15" s="195">
        <f>COUNTIF(I4:I200,"SÍ")</f>
        <v>6</v>
      </c>
      <c r="B15" s="25"/>
      <c r="C15" s="25"/>
      <c r="D15" s="26"/>
      <c r="E15" s="196">
        <f>SUMIF(I4:I200,"SÍ",J4:J200)</f>
        <v>2980</v>
      </c>
      <c r="F15" s="25"/>
      <c r="G15" s="25"/>
      <c r="H15" s="192"/>
      <c r="I15" s="197">
        <f>COUNTIF(H4:H200,"&lt;30")-COUNTIF(H4:H200,"&lt;0")</f>
        <v>0</v>
      </c>
      <c r="J15" s="25"/>
      <c r="K15" s="25"/>
      <c r="L15" s="26"/>
      <c r="M15" s="198">
        <f>COUNTIF(H4:H200,"&lt;0")</f>
        <v>1</v>
      </c>
      <c r="N15" s="25"/>
      <c r="O15" s="25"/>
      <c r="P15" s="26"/>
    </row>
    <row r="16" ht="15.0" customHeight="1">
      <c r="A16" s="4"/>
      <c r="B16" s="4"/>
      <c r="C16" s="4"/>
      <c r="D16" s="4"/>
      <c r="E16" s="4"/>
      <c r="F16" s="4"/>
      <c r="G16" s="4"/>
      <c r="H16" s="96" t="str">
        <f t="shared" ref="H16:H199" si="4">IF(G16="","",G16-TODAY())</f>
        <v/>
      </c>
      <c r="I16" s="4"/>
      <c r="J16" s="4"/>
      <c r="K16" s="4"/>
      <c r="L16" s="4"/>
      <c r="M16" s="4"/>
      <c r="N16" s="90" t="str">
        <f t="shared" ref="N16:N199" si="5">IF(H16="","",IF(H16&lt;0,"🔴 VENCIDA",IF(H16&lt;=30,"🟠 URGENTE &lt;30d",IF(H16&lt;=90,"🟡 PRÓXIMA &lt;90d","🟢 OK"))))</f>
        <v/>
      </c>
      <c r="O16" s="90" t="str">
        <f t="shared" ref="O16:O199" si="6">IF(H16="","",IF(H16&lt;=90,"⚡ ALERTA ACTIVA","✓ Sin alerta"))</f>
        <v/>
      </c>
      <c r="P16" s="4"/>
    </row>
    <row r="17" ht="15.0" customHeight="1">
      <c r="A17" s="4"/>
      <c r="B17" s="4"/>
      <c r="C17" s="4"/>
      <c r="D17" s="4"/>
      <c r="E17" s="4"/>
      <c r="F17" s="4"/>
      <c r="G17" s="4"/>
      <c r="H17" s="105" t="str">
        <f t="shared" si="4"/>
        <v/>
      </c>
      <c r="I17" s="4"/>
      <c r="J17" s="4"/>
      <c r="K17" s="4"/>
      <c r="L17" s="4"/>
      <c r="M17" s="4"/>
      <c r="N17" s="100" t="str">
        <f t="shared" si="5"/>
        <v/>
      </c>
      <c r="O17" s="100" t="str">
        <f t="shared" si="6"/>
        <v/>
      </c>
      <c r="P17" s="4"/>
    </row>
    <row r="18" ht="15.0" customHeight="1">
      <c r="A18" s="4"/>
      <c r="B18" s="4"/>
      <c r="C18" s="4"/>
      <c r="D18" s="4"/>
      <c r="E18" s="4"/>
      <c r="F18" s="4"/>
      <c r="G18" s="4"/>
      <c r="H18" s="96" t="str">
        <f t="shared" si="4"/>
        <v/>
      </c>
      <c r="I18" s="4"/>
      <c r="J18" s="4"/>
      <c r="K18" s="4"/>
      <c r="L18" s="4"/>
      <c r="M18" s="4"/>
      <c r="N18" s="90" t="str">
        <f t="shared" si="5"/>
        <v/>
      </c>
      <c r="O18" s="90" t="str">
        <f t="shared" si="6"/>
        <v/>
      </c>
      <c r="P18" s="4"/>
    </row>
    <row r="19" ht="15.0" customHeight="1">
      <c r="A19" s="4"/>
      <c r="B19" s="4"/>
      <c r="C19" s="4"/>
      <c r="D19" s="4"/>
      <c r="E19" s="4"/>
      <c r="F19" s="4"/>
      <c r="G19" s="4"/>
      <c r="H19" s="105" t="str">
        <f t="shared" si="4"/>
        <v/>
      </c>
      <c r="I19" s="4"/>
      <c r="J19" s="4"/>
      <c r="K19" s="4"/>
      <c r="L19" s="4"/>
      <c r="M19" s="4"/>
      <c r="N19" s="100" t="str">
        <f t="shared" si="5"/>
        <v/>
      </c>
      <c r="O19" s="100" t="str">
        <f t="shared" si="6"/>
        <v/>
      </c>
      <c r="P19" s="4"/>
    </row>
    <row r="20" ht="15.0" customHeight="1">
      <c r="A20" s="4"/>
      <c r="B20" s="4"/>
      <c r="C20" s="4"/>
      <c r="D20" s="4"/>
      <c r="E20" s="4"/>
      <c r="F20" s="4"/>
      <c r="G20" s="4"/>
      <c r="H20" s="96" t="str">
        <f t="shared" si="4"/>
        <v/>
      </c>
      <c r="I20" s="4"/>
      <c r="J20" s="4"/>
      <c r="K20" s="4"/>
      <c r="L20" s="4"/>
      <c r="M20" s="4"/>
      <c r="N20" s="90" t="str">
        <f t="shared" si="5"/>
        <v/>
      </c>
      <c r="O20" s="90" t="str">
        <f t="shared" si="6"/>
        <v/>
      </c>
      <c r="P20" s="4"/>
    </row>
    <row r="21" ht="15.0" customHeight="1">
      <c r="A21" s="4"/>
      <c r="B21" s="4"/>
      <c r="C21" s="4"/>
      <c r="D21" s="4"/>
      <c r="E21" s="4"/>
      <c r="F21" s="4"/>
      <c r="G21" s="4"/>
      <c r="H21" s="105" t="str">
        <f t="shared" si="4"/>
        <v/>
      </c>
      <c r="I21" s="4"/>
      <c r="J21" s="4"/>
      <c r="K21" s="4"/>
      <c r="L21" s="4"/>
      <c r="M21" s="4"/>
      <c r="N21" s="100" t="str">
        <f t="shared" si="5"/>
        <v/>
      </c>
      <c r="O21" s="100" t="str">
        <f t="shared" si="6"/>
        <v/>
      </c>
      <c r="P21" s="4"/>
    </row>
    <row r="22" ht="15.0" customHeight="1">
      <c r="A22" s="4"/>
      <c r="B22" s="4"/>
      <c r="C22" s="4"/>
      <c r="D22" s="4"/>
      <c r="E22" s="4"/>
      <c r="F22" s="4"/>
      <c r="G22" s="4"/>
      <c r="H22" s="96" t="str">
        <f t="shared" si="4"/>
        <v/>
      </c>
      <c r="I22" s="4"/>
      <c r="J22" s="4"/>
      <c r="K22" s="4"/>
      <c r="L22" s="4"/>
      <c r="M22" s="4"/>
      <c r="N22" s="90" t="str">
        <f t="shared" si="5"/>
        <v/>
      </c>
      <c r="O22" s="90" t="str">
        <f t="shared" si="6"/>
        <v/>
      </c>
      <c r="P22" s="4"/>
    </row>
    <row r="23" ht="15.0" customHeight="1">
      <c r="A23" s="4"/>
      <c r="B23" s="4"/>
      <c r="C23" s="4"/>
      <c r="D23" s="4"/>
      <c r="E23" s="4"/>
      <c r="F23" s="4"/>
      <c r="G23" s="4"/>
      <c r="H23" s="105" t="str">
        <f t="shared" si="4"/>
        <v/>
      </c>
      <c r="I23" s="4"/>
      <c r="J23" s="4"/>
      <c r="K23" s="4"/>
      <c r="L23" s="4"/>
      <c r="M23" s="4"/>
      <c r="N23" s="100" t="str">
        <f t="shared" si="5"/>
        <v/>
      </c>
      <c r="O23" s="100" t="str">
        <f t="shared" si="6"/>
        <v/>
      </c>
      <c r="P23" s="4"/>
    </row>
    <row r="24" ht="15.0" customHeight="1">
      <c r="A24" s="4"/>
      <c r="B24" s="4"/>
      <c r="C24" s="4"/>
      <c r="D24" s="4"/>
      <c r="E24" s="4"/>
      <c r="F24" s="4"/>
      <c r="G24" s="4"/>
      <c r="H24" s="96" t="str">
        <f t="shared" si="4"/>
        <v/>
      </c>
      <c r="I24" s="4"/>
      <c r="J24" s="4"/>
      <c r="K24" s="4"/>
      <c r="L24" s="4"/>
      <c r="M24" s="4"/>
      <c r="N24" s="90" t="str">
        <f t="shared" si="5"/>
        <v/>
      </c>
      <c r="O24" s="90" t="str">
        <f t="shared" si="6"/>
        <v/>
      </c>
      <c r="P24" s="4"/>
    </row>
    <row r="25" ht="15.0" customHeight="1">
      <c r="A25" s="4"/>
      <c r="B25" s="4"/>
      <c r="C25" s="4"/>
      <c r="D25" s="4"/>
      <c r="E25" s="4"/>
      <c r="F25" s="4"/>
      <c r="G25" s="4"/>
      <c r="H25" s="105" t="str">
        <f t="shared" si="4"/>
        <v/>
      </c>
      <c r="I25" s="4"/>
      <c r="J25" s="4"/>
      <c r="K25" s="4"/>
      <c r="L25" s="4"/>
      <c r="M25" s="4"/>
      <c r="N25" s="100" t="str">
        <f t="shared" si="5"/>
        <v/>
      </c>
      <c r="O25" s="100" t="str">
        <f t="shared" si="6"/>
        <v/>
      </c>
      <c r="P25" s="4"/>
    </row>
    <row r="26" ht="15.0" customHeight="1">
      <c r="A26" s="4"/>
      <c r="B26" s="4"/>
      <c r="C26" s="4"/>
      <c r="D26" s="4"/>
      <c r="E26" s="4"/>
      <c r="F26" s="4"/>
      <c r="G26" s="4"/>
      <c r="H26" s="96" t="str">
        <f t="shared" si="4"/>
        <v/>
      </c>
      <c r="I26" s="4"/>
      <c r="J26" s="4"/>
      <c r="K26" s="4"/>
      <c r="L26" s="4"/>
      <c r="M26" s="4"/>
      <c r="N26" s="90" t="str">
        <f t="shared" si="5"/>
        <v/>
      </c>
      <c r="O26" s="90" t="str">
        <f t="shared" si="6"/>
        <v/>
      </c>
      <c r="P26" s="4"/>
    </row>
    <row r="27" ht="15.0" customHeight="1">
      <c r="A27" s="4"/>
      <c r="B27" s="4"/>
      <c r="C27" s="4"/>
      <c r="D27" s="4"/>
      <c r="E27" s="4"/>
      <c r="F27" s="4"/>
      <c r="G27" s="4"/>
      <c r="H27" s="105" t="str">
        <f t="shared" si="4"/>
        <v/>
      </c>
      <c r="I27" s="4"/>
      <c r="J27" s="4"/>
      <c r="K27" s="4"/>
      <c r="L27" s="4"/>
      <c r="M27" s="4"/>
      <c r="N27" s="100" t="str">
        <f t="shared" si="5"/>
        <v/>
      </c>
      <c r="O27" s="100" t="str">
        <f t="shared" si="6"/>
        <v/>
      </c>
      <c r="P27" s="4"/>
    </row>
    <row r="28" ht="15.0" customHeight="1">
      <c r="A28" s="4"/>
      <c r="B28" s="4"/>
      <c r="C28" s="4"/>
      <c r="D28" s="4"/>
      <c r="E28" s="4"/>
      <c r="F28" s="4"/>
      <c r="G28" s="4"/>
      <c r="H28" s="96" t="str">
        <f t="shared" si="4"/>
        <v/>
      </c>
      <c r="I28" s="4"/>
      <c r="J28" s="4"/>
      <c r="K28" s="4"/>
      <c r="L28" s="4"/>
      <c r="M28" s="4"/>
      <c r="N28" s="90" t="str">
        <f t="shared" si="5"/>
        <v/>
      </c>
      <c r="O28" s="90" t="str">
        <f t="shared" si="6"/>
        <v/>
      </c>
      <c r="P28" s="4"/>
    </row>
    <row r="29" ht="15.0" customHeight="1">
      <c r="A29" s="4"/>
      <c r="B29" s="4"/>
      <c r="C29" s="4"/>
      <c r="D29" s="4"/>
      <c r="E29" s="4"/>
      <c r="F29" s="4"/>
      <c r="G29" s="4"/>
      <c r="H29" s="105" t="str">
        <f t="shared" si="4"/>
        <v/>
      </c>
      <c r="I29" s="4"/>
      <c r="J29" s="4"/>
      <c r="K29" s="4"/>
      <c r="L29" s="4"/>
      <c r="M29" s="4"/>
      <c r="N29" s="100" t="str">
        <f t="shared" si="5"/>
        <v/>
      </c>
      <c r="O29" s="100" t="str">
        <f t="shared" si="6"/>
        <v/>
      </c>
      <c r="P29" s="4"/>
    </row>
    <row r="30" ht="15.0" customHeight="1">
      <c r="A30" s="4"/>
      <c r="B30" s="4"/>
      <c r="C30" s="4"/>
      <c r="D30" s="4"/>
      <c r="E30" s="4"/>
      <c r="F30" s="4"/>
      <c r="G30" s="4"/>
      <c r="H30" s="96" t="str">
        <f t="shared" si="4"/>
        <v/>
      </c>
      <c r="I30" s="4"/>
      <c r="J30" s="4"/>
      <c r="K30" s="4"/>
      <c r="L30" s="4"/>
      <c r="M30" s="4"/>
      <c r="N30" s="90" t="str">
        <f t="shared" si="5"/>
        <v/>
      </c>
      <c r="O30" s="90" t="str">
        <f t="shared" si="6"/>
        <v/>
      </c>
      <c r="P30" s="4"/>
    </row>
    <row r="31" ht="15.0" customHeight="1">
      <c r="A31" s="4"/>
      <c r="B31" s="4"/>
      <c r="C31" s="4"/>
      <c r="D31" s="4"/>
      <c r="E31" s="4"/>
      <c r="F31" s="4"/>
      <c r="G31" s="4"/>
      <c r="H31" s="105" t="str">
        <f t="shared" si="4"/>
        <v/>
      </c>
      <c r="I31" s="4"/>
      <c r="J31" s="4"/>
      <c r="K31" s="4"/>
      <c r="L31" s="4"/>
      <c r="M31" s="4"/>
      <c r="N31" s="100" t="str">
        <f t="shared" si="5"/>
        <v/>
      </c>
      <c r="O31" s="100" t="str">
        <f t="shared" si="6"/>
        <v/>
      </c>
      <c r="P31" s="4"/>
    </row>
    <row r="32" ht="15.0" customHeight="1">
      <c r="A32" s="4"/>
      <c r="B32" s="4"/>
      <c r="C32" s="4"/>
      <c r="D32" s="4"/>
      <c r="E32" s="4"/>
      <c r="F32" s="4"/>
      <c r="G32" s="4"/>
      <c r="H32" s="96" t="str">
        <f t="shared" si="4"/>
        <v/>
      </c>
      <c r="I32" s="4"/>
      <c r="J32" s="4"/>
      <c r="K32" s="4"/>
      <c r="L32" s="4"/>
      <c r="M32" s="4"/>
      <c r="N32" s="90" t="str">
        <f t="shared" si="5"/>
        <v/>
      </c>
      <c r="O32" s="90" t="str">
        <f t="shared" si="6"/>
        <v/>
      </c>
      <c r="P32" s="4"/>
    </row>
    <row r="33" ht="15.0" customHeight="1">
      <c r="A33" s="4"/>
      <c r="B33" s="4"/>
      <c r="C33" s="4"/>
      <c r="D33" s="4"/>
      <c r="E33" s="4"/>
      <c r="F33" s="4"/>
      <c r="G33" s="4"/>
      <c r="H33" s="105" t="str">
        <f t="shared" si="4"/>
        <v/>
      </c>
      <c r="I33" s="4"/>
      <c r="J33" s="4"/>
      <c r="K33" s="4"/>
      <c r="L33" s="4"/>
      <c r="M33" s="4"/>
      <c r="N33" s="100" t="str">
        <f t="shared" si="5"/>
        <v/>
      </c>
      <c r="O33" s="100" t="str">
        <f t="shared" si="6"/>
        <v/>
      </c>
      <c r="P33" s="4"/>
    </row>
    <row r="34" ht="15.0" customHeight="1">
      <c r="A34" s="4"/>
      <c r="B34" s="4"/>
      <c r="C34" s="4"/>
      <c r="D34" s="4"/>
      <c r="E34" s="4"/>
      <c r="F34" s="4"/>
      <c r="G34" s="4"/>
      <c r="H34" s="96" t="str">
        <f t="shared" si="4"/>
        <v/>
      </c>
      <c r="I34" s="4"/>
      <c r="J34" s="4"/>
      <c r="K34" s="4"/>
      <c r="L34" s="4"/>
      <c r="M34" s="4"/>
      <c r="N34" s="90" t="str">
        <f t="shared" si="5"/>
        <v/>
      </c>
      <c r="O34" s="90" t="str">
        <f t="shared" si="6"/>
        <v/>
      </c>
      <c r="P34" s="4"/>
    </row>
    <row r="35" ht="15.0" customHeight="1">
      <c r="A35" s="4"/>
      <c r="B35" s="4"/>
      <c r="C35" s="4"/>
      <c r="D35" s="4"/>
      <c r="E35" s="4"/>
      <c r="F35" s="4"/>
      <c r="G35" s="4"/>
      <c r="H35" s="105" t="str">
        <f t="shared" si="4"/>
        <v/>
      </c>
      <c r="I35" s="4"/>
      <c r="J35" s="4"/>
      <c r="K35" s="4"/>
      <c r="L35" s="4"/>
      <c r="M35" s="4"/>
      <c r="N35" s="100" t="str">
        <f t="shared" si="5"/>
        <v/>
      </c>
      <c r="O35" s="100" t="str">
        <f t="shared" si="6"/>
        <v/>
      </c>
      <c r="P35" s="4"/>
    </row>
    <row r="36" ht="15.0" customHeight="1">
      <c r="A36" s="4"/>
      <c r="B36" s="4"/>
      <c r="C36" s="4"/>
      <c r="D36" s="4"/>
      <c r="E36" s="4"/>
      <c r="F36" s="4"/>
      <c r="G36" s="4"/>
      <c r="H36" s="96" t="str">
        <f t="shared" si="4"/>
        <v/>
      </c>
      <c r="I36" s="4"/>
      <c r="J36" s="4"/>
      <c r="K36" s="4"/>
      <c r="L36" s="4"/>
      <c r="M36" s="4"/>
      <c r="N36" s="90" t="str">
        <f t="shared" si="5"/>
        <v/>
      </c>
      <c r="O36" s="90" t="str">
        <f t="shared" si="6"/>
        <v/>
      </c>
      <c r="P36" s="4"/>
    </row>
    <row r="37" ht="15.0" customHeight="1">
      <c r="A37" s="4"/>
      <c r="B37" s="4"/>
      <c r="C37" s="4"/>
      <c r="D37" s="4"/>
      <c r="E37" s="4"/>
      <c r="F37" s="4"/>
      <c r="G37" s="4"/>
      <c r="H37" s="105" t="str">
        <f t="shared" si="4"/>
        <v/>
      </c>
      <c r="I37" s="4"/>
      <c r="J37" s="4"/>
      <c r="K37" s="4"/>
      <c r="L37" s="4"/>
      <c r="M37" s="4"/>
      <c r="N37" s="100" t="str">
        <f t="shared" si="5"/>
        <v/>
      </c>
      <c r="O37" s="100" t="str">
        <f t="shared" si="6"/>
        <v/>
      </c>
      <c r="P37" s="4"/>
    </row>
    <row r="38" ht="15.0" customHeight="1">
      <c r="A38" s="4"/>
      <c r="B38" s="4"/>
      <c r="C38" s="4"/>
      <c r="D38" s="4"/>
      <c r="E38" s="4"/>
      <c r="F38" s="4"/>
      <c r="G38" s="4"/>
      <c r="H38" s="96" t="str">
        <f t="shared" si="4"/>
        <v/>
      </c>
      <c r="I38" s="4"/>
      <c r="J38" s="4"/>
      <c r="K38" s="4"/>
      <c r="L38" s="4"/>
      <c r="M38" s="4"/>
      <c r="N38" s="90" t="str">
        <f t="shared" si="5"/>
        <v/>
      </c>
      <c r="O38" s="90" t="str">
        <f t="shared" si="6"/>
        <v/>
      </c>
      <c r="P38" s="4"/>
    </row>
    <row r="39" ht="15.0" customHeight="1">
      <c r="A39" s="4"/>
      <c r="B39" s="4"/>
      <c r="C39" s="4"/>
      <c r="D39" s="4"/>
      <c r="E39" s="4"/>
      <c r="F39" s="4"/>
      <c r="G39" s="4"/>
      <c r="H39" s="105" t="str">
        <f t="shared" si="4"/>
        <v/>
      </c>
      <c r="I39" s="4"/>
      <c r="J39" s="4"/>
      <c r="K39" s="4"/>
      <c r="L39" s="4"/>
      <c r="M39" s="4"/>
      <c r="N39" s="100" t="str">
        <f t="shared" si="5"/>
        <v/>
      </c>
      <c r="O39" s="100" t="str">
        <f t="shared" si="6"/>
        <v/>
      </c>
      <c r="P39" s="4"/>
    </row>
    <row r="40" ht="15.0" customHeight="1">
      <c r="A40" s="4"/>
      <c r="B40" s="4"/>
      <c r="C40" s="4"/>
      <c r="D40" s="4"/>
      <c r="E40" s="4"/>
      <c r="F40" s="4"/>
      <c r="G40" s="4"/>
      <c r="H40" s="96" t="str">
        <f t="shared" si="4"/>
        <v/>
      </c>
      <c r="I40" s="4"/>
      <c r="J40" s="4"/>
      <c r="K40" s="4"/>
      <c r="L40" s="4"/>
      <c r="M40" s="4"/>
      <c r="N40" s="90" t="str">
        <f t="shared" si="5"/>
        <v/>
      </c>
      <c r="O40" s="90" t="str">
        <f t="shared" si="6"/>
        <v/>
      </c>
      <c r="P40" s="4"/>
    </row>
    <row r="41" ht="15.0" customHeight="1">
      <c r="A41" s="4"/>
      <c r="B41" s="4"/>
      <c r="C41" s="4"/>
      <c r="D41" s="4"/>
      <c r="E41" s="4"/>
      <c r="F41" s="4"/>
      <c r="G41" s="4"/>
      <c r="H41" s="105" t="str">
        <f t="shared" si="4"/>
        <v/>
      </c>
      <c r="I41" s="4"/>
      <c r="J41" s="4"/>
      <c r="K41" s="4"/>
      <c r="L41" s="4"/>
      <c r="M41" s="4"/>
      <c r="N41" s="100" t="str">
        <f t="shared" si="5"/>
        <v/>
      </c>
      <c r="O41" s="100" t="str">
        <f t="shared" si="6"/>
        <v/>
      </c>
      <c r="P41" s="4"/>
    </row>
    <row r="42" ht="15.0" customHeight="1">
      <c r="A42" s="4"/>
      <c r="B42" s="4"/>
      <c r="C42" s="4"/>
      <c r="D42" s="4"/>
      <c r="E42" s="4"/>
      <c r="F42" s="4"/>
      <c r="G42" s="4"/>
      <c r="H42" s="96" t="str">
        <f t="shared" si="4"/>
        <v/>
      </c>
      <c r="I42" s="4"/>
      <c r="J42" s="4"/>
      <c r="K42" s="4"/>
      <c r="L42" s="4"/>
      <c r="M42" s="4"/>
      <c r="N42" s="90" t="str">
        <f t="shared" si="5"/>
        <v/>
      </c>
      <c r="O42" s="90" t="str">
        <f t="shared" si="6"/>
        <v/>
      </c>
      <c r="P42" s="4"/>
    </row>
    <row r="43" ht="15.0" customHeight="1">
      <c r="A43" s="4"/>
      <c r="B43" s="4"/>
      <c r="C43" s="4"/>
      <c r="D43" s="4"/>
      <c r="E43" s="4"/>
      <c r="F43" s="4"/>
      <c r="G43" s="4"/>
      <c r="H43" s="105" t="str">
        <f t="shared" si="4"/>
        <v/>
      </c>
      <c r="I43" s="4"/>
      <c r="J43" s="4"/>
      <c r="K43" s="4"/>
      <c r="L43" s="4"/>
      <c r="M43" s="4"/>
      <c r="N43" s="100" t="str">
        <f t="shared" si="5"/>
        <v/>
      </c>
      <c r="O43" s="100" t="str">
        <f t="shared" si="6"/>
        <v/>
      </c>
      <c r="P43" s="4"/>
    </row>
    <row r="44" ht="15.0" customHeight="1">
      <c r="A44" s="4"/>
      <c r="B44" s="4"/>
      <c r="C44" s="4"/>
      <c r="D44" s="4"/>
      <c r="E44" s="4"/>
      <c r="F44" s="4"/>
      <c r="G44" s="4"/>
      <c r="H44" s="96" t="str">
        <f t="shared" si="4"/>
        <v/>
      </c>
      <c r="I44" s="4"/>
      <c r="J44" s="4"/>
      <c r="K44" s="4"/>
      <c r="L44" s="4"/>
      <c r="M44" s="4"/>
      <c r="N44" s="90" t="str">
        <f t="shared" si="5"/>
        <v/>
      </c>
      <c r="O44" s="90" t="str">
        <f t="shared" si="6"/>
        <v/>
      </c>
      <c r="P44" s="4"/>
    </row>
    <row r="45" ht="15.0" customHeight="1">
      <c r="A45" s="4"/>
      <c r="B45" s="4"/>
      <c r="C45" s="4"/>
      <c r="D45" s="4"/>
      <c r="E45" s="4"/>
      <c r="F45" s="4"/>
      <c r="G45" s="4"/>
      <c r="H45" s="105" t="str">
        <f t="shared" si="4"/>
        <v/>
      </c>
      <c r="I45" s="4"/>
      <c r="J45" s="4"/>
      <c r="K45" s="4"/>
      <c r="L45" s="4"/>
      <c r="M45" s="4"/>
      <c r="N45" s="100" t="str">
        <f t="shared" si="5"/>
        <v/>
      </c>
      <c r="O45" s="100" t="str">
        <f t="shared" si="6"/>
        <v/>
      </c>
      <c r="P45" s="4"/>
    </row>
    <row r="46" ht="15.0" customHeight="1">
      <c r="A46" s="4"/>
      <c r="B46" s="4"/>
      <c r="C46" s="4"/>
      <c r="D46" s="4"/>
      <c r="E46" s="4"/>
      <c r="F46" s="4"/>
      <c r="G46" s="4"/>
      <c r="H46" s="96" t="str">
        <f t="shared" si="4"/>
        <v/>
      </c>
      <c r="I46" s="4"/>
      <c r="J46" s="4"/>
      <c r="K46" s="4"/>
      <c r="L46" s="4"/>
      <c r="M46" s="4"/>
      <c r="N46" s="90" t="str">
        <f t="shared" si="5"/>
        <v/>
      </c>
      <c r="O46" s="90" t="str">
        <f t="shared" si="6"/>
        <v/>
      </c>
      <c r="P46" s="4"/>
    </row>
    <row r="47" ht="15.0" customHeight="1">
      <c r="A47" s="4"/>
      <c r="B47" s="4"/>
      <c r="C47" s="4"/>
      <c r="D47" s="4"/>
      <c r="E47" s="4"/>
      <c r="F47" s="4"/>
      <c r="G47" s="4"/>
      <c r="H47" s="105" t="str">
        <f t="shared" si="4"/>
        <v/>
      </c>
      <c r="I47" s="4"/>
      <c r="J47" s="4"/>
      <c r="K47" s="4"/>
      <c r="L47" s="4"/>
      <c r="M47" s="4"/>
      <c r="N47" s="100" t="str">
        <f t="shared" si="5"/>
        <v/>
      </c>
      <c r="O47" s="100" t="str">
        <f t="shared" si="6"/>
        <v/>
      </c>
      <c r="P47" s="4"/>
    </row>
    <row r="48" ht="15.0" customHeight="1">
      <c r="A48" s="4"/>
      <c r="B48" s="4"/>
      <c r="C48" s="4"/>
      <c r="D48" s="4"/>
      <c r="E48" s="4"/>
      <c r="F48" s="4"/>
      <c r="G48" s="4"/>
      <c r="H48" s="96" t="str">
        <f t="shared" si="4"/>
        <v/>
      </c>
      <c r="I48" s="4"/>
      <c r="J48" s="4"/>
      <c r="K48" s="4"/>
      <c r="L48" s="4"/>
      <c r="M48" s="4"/>
      <c r="N48" s="90" t="str">
        <f t="shared" si="5"/>
        <v/>
      </c>
      <c r="O48" s="90" t="str">
        <f t="shared" si="6"/>
        <v/>
      </c>
      <c r="P48" s="4"/>
    </row>
    <row r="49" ht="15.0" customHeight="1">
      <c r="A49" s="4"/>
      <c r="B49" s="4"/>
      <c r="C49" s="4"/>
      <c r="D49" s="4"/>
      <c r="E49" s="4"/>
      <c r="F49" s="4"/>
      <c r="G49" s="4"/>
      <c r="H49" s="105" t="str">
        <f t="shared" si="4"/>
        <v/>
      </c>
      <c r="I49" s="4"/>
      <c r="J49" s="4"/>
      <c r="K49" s="4"/>
      <c r="L49" s="4"/>
      <c r="M49" s="4"/>
      <c r="N49" s="100" t="str">
        <f t="shared" si="5"/>
        <v/>
      </c>
      <c r="O49" s="100" t="str">
        <f t="shared" si="6"/>
        <v/>
      </c>
      <c r="P49" s="4"/>
    </row>
    <row r="50" ht="15.0" customHeight="1">
      <c r="A50" s="4"/>
      <c r="B50" s="4"/>
      <c r="C50" s="4"/>
      <c r="D50" s="4"/>
      <c r="E50" s="4"/>
      <c r="F50" s="4"/>
      <c r="G50" s="4"/>
      <c r="H50" s="96" t="str">
        <f t="shared" si="4"/>
        <v/>
      </c>
      <c r="I50" s="4"/>
      <c r="J50" s="4"/>
      <c r="K50" s="4"/>
      <c r="L50" s="4"/>
      <c r="M50" s="4"/>
      <c r="N50" s="90" t="str">
        <f t="shared" si="5"/>
        <v/>
      </c>
      <c r="O50" s="90" t="str">
        <f t="shared" si="6"/>
        <v/>
      </c>
      <c r="P50" s="4"/>
    </row>
    <row r="51" ht="15.0" customHeight="1">
      <c r="A51" s="4"/>
      <c r="B51" s="4"/>
      <c r="C51" s="4"/>
      <c r="D51" s="4"/>
      <c r="E51" s="4"/>
      <c r="F51" s="4"/>
      <c r="G51" s="4"/>
      <c r="H51" s="105" t="str">
        <f t="shared" si="4"/>
        <v/>
      </c>
      <c r="I51" s="4"/>
      <c r="J51" s="4"/>
      <c r="K51" s="4"/>
      <c r="L51" s="4"/>
      <c r="M51" s="4"/>
      <c r="N51" s="100" t="str">
        <f t="shared" si="5"/>
        <v/>
      </c>
      <c r="O51" s="100" t="str">
        <f t="shared" si="6"/>
        <v/>
      </c>
      <c r="P51" s="4"/>
    </row>
    <row r="52" ht="15.0" customHeight="1">
      <c r="A52" s="4"/>
      <c r="B52" s="4"/>
      <c r="C52" s="4"/>
      <c r="D52" s="4"/>
      <c r="E52" s="4"/>
      <c r="F52" s="4"/>
      <c r="G52" s="4"/>
      <c r="H52" s="96" t="str">
        <f t="shared" si="4"/>
        <v/>
      </c>
      <c r="I52" s="4"/>
      <c r="J52" s="4"/>
      <c r="K52" s="4"/>
      <c r="L52" s="4"/>
      <c r="M52" s="4"/>
      <c r="N52" s="90" t="str">
        <f t="shared" si="5"/>
        <v/>
      </c>
      <c r="O52" s="90" t="str">
        <f t="shared" si="6"/>
        <v/>
      </c>
      <c r="P52" s="4"/>
    </row>
    <row r="53" ht="15.0" customHeight="1">
      <c r="A53" s="4"/>
      <c r="B53" s="4"/>
      <c r="C53" s="4"/>
      <c r="D53" s="4"/>
      <c r="E53" s="4"/>
      <c r="F53" s="4"/>
      <c r="G53" s="4"/>
      <c r="H53" s="105" t="str">
        <f t="shared" si="4"/>
        <v/>
      </c>
      <c r="I53" s="4"/>
      <c r="J53" s="4"/>
      <c r="K53" s="4"/>
      <c r="L53" s="4"/>
      <c r="M53" s="4"/>
      <c r="N53" s="100" t="str">
        <f t="shared" si="5"/>
        <v/>
      </c>
      <c r="O53" s="100" t="str">
        <f t="shared" si="6"/>
        <v/>
      </c>
      <c r="P53" s="4"/>
    </row>
    <row r="54" ht="15.0" customHeight="1">
      <c r="A54" s="4"/>
      <c r="B54" s="4"/>
      <c r="C54" s="4"/>
      <c r="D54" s="4"/>
      <c r="E54" s="4"/>
      <c r="F54" s="4"/>
      <c r="G54" s="4"/>
      <c r="H54" s="96" t="str">
        <f t="shared" si="4"/>
        <v/>
      </c>
      <c r="I54" s="4"/>
      <c r="J54" s="4"/>
      <c r="K54" s="4"/>
      <c r="L54" s="4"/>
      <c r="M54" s="4"/>
      <c r="N54" s="90" t="str">
        <f t="shared" si="5"/>
        <v/>
      </c>
      <c r="O54" s="90" t="str">
        <f t="shared" si="6"/>
        <v/>
      </c>
      <c r="P54" s="4"/>
    </row>
    <row r="55" ht="15.0" customHeight="1">
      <c r="A55" s="4"/>
      <c r="B55" s="4"/>
      <c r="C55" s="4"/>
      <c r="D55" s="4"/>
      <c r="E55" s="4"/>
      <c r="F55" s="4"/>
      <c r="G55" s="4"/>
      <c r="H55" s="105" t="str">
        <f t="shared" si="4"/>
        <v/>
      </c>
      <c r="I55" s="4"/>
      <c r="J55" s="4"/>
      <c r="K55" s="4"/>
      <c r="L55" s="4"/>
      <c r="M55" s="4"/>
      <c r="N55" s="100" t="str">
        <f t="shared" si="5"/>
        <v/>
      </c>
      <c r="O55" s="100" t="str">
        <f t="shared" si="6"/>
        <v/>
      </c>
      <c r="P55" s="4"/>
    </row>
    <row r="56" ht="15.0" customHeight="1">
      <c r="A56" s="4"/>
      <c r="B56" s="4"/>
      <c r="C56" s="4"/>
      <c r="D56" s="4"/>
      <c r="E56" s="4"/>
      <c r="F56" s="4"/>
      <c r="G56" s="4"/>
      <c r="H56" s="96" t="str">
        <f t="shared" si="4"/>
        <v/>
      </c>
      <c r="I56" s="4"/>
      <c r="J56" s="4"/>
      <c r="K56" s="4"/>
      <c r="L56" s="4"/>
      <c r="M56" s="4"/>
      <c r="N56" s="90" t="str">
        <f t="shared" si="5"/>
        <v/>
      </c>
      <c r="O56" s="90" t="str">
        <f t="shared" si="6"/>
        <v/>
      </c>
      <c r="P56" s="4"/>
    </row>
    <row r="57" ht="15.0" customHeight="1">
      <c r="A57" s="4"/>
      <c r="B57" s="4"/>
      <c r="C57" s="4"/>
      <c r="D57" s="4"/>
      <c r="E57" s="4"/>
      <c r="F57" s="4"/>
      <c r="G57" s="4"/>
      <c r="H57" s="105" t="str">
        <f t="shared" si="4"/>
        <v/>
      </c>
      <c r="I57" s="4"/>
      <c r="J57" s="4"/>
      <c r="K57" s="4"/>
      <c r="L57" s="4"/>
      <c r="M57" s="4"/>
      <c r="N57" s="100" t="str">
        <f t="shared" si="5"/>
        <v/>
      </c>
      <c r="O57" s="100" t="str">
        <f t="shared" si="6"/>
        <v/>
      </c>
      <c r="P57" s="4"/>
    </row>
    <row r="58" ht="15.0" customHeight="1">
      <c r="A58" s="4"/>
      <c r="B58" s="4"/>
      <c r="C58" s="4"/>
      <c r="D58" s="4"/>
      <c r="E58" s="4"/>
      <c r="F58" s="4"/>
      <c r="G58" s="4"/>
      <c r="H58" s="96" t="str">
        <f t="shared" si="4"/>
        <v/>
      </c>
      <c r="I58" s="4"/>
      <c r="J58" s="4"/>
      <c r="K58" s="4"/>
      <c r="L58" s="4"/>
      <c r="M58" s="4"/>
      <c r="N58" s="90" t="str">
        <f t="shared" si="5"/>
        <v/>
      </c>
      <c r="O58" s="90" t="str">
        <f t="shared" si="6"/>
        <v/>
      </c>
      <c r="P58" s="4"/>
    </row>
    <row r="59" ht="15.0" customHeight="1">
      <c r="A59" s="4"/>
      <c r="B59" s="4"/>
      <c r="C59" s="4"/>
      <c r="D59" s="4"/>
      <c r="E59" s="4"/>
      <c r="F59" s="4"/>
      <c r="G59" s="4"/>
      <c r="H59" s="105" t="str">
        <f t="shared" si="4"/>
        <v/>
      </c>
      <c r="I59" s="4"/>
      <c r="J59" s="4"/>
      <c r="K59" s="4"/>
      <c r="L59" s="4"/>
      <c r="M59" s="4"/>
      <c r="N59" s="100" t="str">
        <f t="shared" si="5"/>
        <v/>
      </c>
      <c r="O59" s="100" t="str">
        <f t="shared" si="6"/>
        <v/>
      </c>
      <c r="P59" s="4"/>
    </row>
    <row r="60" ht="15.0" customHeight="1">
      <c r="A60" s="4"/>
      <c r="B60" s="4"/>
      <c r="C60" s="4"/>
      <c r="D60" s="4"/>
      <c r="E60" s="4"/>
      <c r="F60" s="4"/>
      <c r="G60" s="4"/>
      <c r="H60" s="96" t="str">
        <f t="shared" si="4"/>
        <v/>
      </c>
      <c r="I60" s="4"/>
      <c r="J60" s="4"/>
      <c r="K60" s="4"/>
      <c r="L60" s="4"/>
      <c r="M60" s="4"/>
      <c r="N60" s="90" t="str">
        <f t="shared" si="5"/>
        <v/>
      </c>
      <c r="O60" s="90" t="str">
        <f t="shared" si="6"/>
        <v/>
      </c>
      <c r="P60" s="4"/>
    </row>
    <row r="61" ht="15.0" customHeight="1">
      <c r="A61" s="4"/>
      <c r="B61" s="4"/>
      <c r="C61" s="4"/>
      <c r="D61" s="4"/>
      <c r="E61" s="4"/>
      <c r="F61" s="4"/>
      <c r="G61" s="4"/>
      <c r="H61" s="105" t="str">
        <f t="shared" si="4"/>
        <v/>
      </c>
      <c r="I61" s="4"/>
      <c r="J61" s="4"/>
      <c r="K61" s="4"/>
      <c r="L61" s="4"/>
      <c r="M61" s="4"/>
      <c r="N61" s="100" t="str">
        <f t="shared" si="5"/>
        <v/>
      </c>
      <c r="O61" s="100" t="str">
        <f t="shared" si="6"/>
        <v/>
      </c>
      <c r="P61" s="4"/>
    </row>
    <row r="62" ht="15.0" customHeight="1">
      <c r="A62" s="4"/>
      <c r="B62" s="4"/>
      <c r="C62" s="4"/>
      <c r="D62" s="4"/>
      <c r="E62" s="4"/>
      <c r="F62" s="4"/>
      <c r="G62" s="4"/>
      <c r="H62" s="96" t="str">
        <f t="shared" si="4"/>
        <v/>
      </c>
      <c r="I62" s="4"/>
      <c r="J62" s="4"/>
      <c r="K62" s="4"/>
      <c r="L62" s="4"/>
      <c r="M62" s="4"/>
      <c r="N62" s="90" t="str">
        <f t="shared" si="5"/>
        <v/>
      </c>
      <c r="O62" s="90" t="str">
        <f t="shared" si="6"/>
        <v/>
      </c>
      <c r="P62" s="4"/>
    </row>
    <row r="63" ht="15.0" customHeight="1">
      <c r="A63" s="4"/>
      <c r="B63" s="4"/>
      <c r="C63" s="4"/>
      <c r="D63" s="4"/>
      <c r="E63" s="4"/>
      <c r="F63" s="4"/>
      <c r="G63" s="4"/>
      <c r="H63" s="105" t="str">
        <f t="shared" si="4"/>
        <v/>
      </c>
      <c r="I63" s="4"/>
      <c r="J63" s="4"/>
      <c r="K63" s="4"/>
      <c r="L63" s="4"/>
      <c r="M63" s="4"/>
      <c r="N63" s="100" t="str">
        <f t="shared" si="5"/>
        <v/>
      </c>
      <c r="O63" s="100" t="str">
        <f t="shared" si="6"/>
        <v/>
      </c>
      <c r="P63" s="4"/>
    </row>
    <row r="64" ht="15.0" customHeight="1">
      <c r="A64" s="4"/>
      <c r="B64" s="4"/>
      <c r="C64" s="4"/>
      <c r="D64" s="4"/>
      <c r="E64" s="4"/>
      <c r="F64" s="4"/>
      <c r="G64" s="4"/>
      <c r="H64" s="96" t="str">
        <f t="shared" si="4"/>
        <v/>
      </c>
      <c r="I64" s="4"/>
      <c r="J64" s="4"/>
      <c r="K64" s="4"/>
      <c r="L64" s="4"/>
      <c r="M64" s="4"/>
      <c r="N64" s="90" t="str">
        <f t="shared" si="5"/>
        <v/>
      </c>
      <c r="O64" s="90" t="str">
        <f t="shared" si="6"/>
        <v/>
      </c>
      <c r="P64" s="4"/>
    </row>
    <row r="65" ht="15.0" customHeight="1">
      <c r="A65" s="4"/>
      <c r="B65" s="4"/>
      <c r="C65" s="4"/>
      <c r="D65" s="4"/>
      <c r="E65" s="4"/>
      <c r="F65" s="4"/>
      <c r="G65" s="4"/>
      <c r="H65" s="105" t="str">
        <f t="shared" si="4"/>
        <v/>
      </c>
      <c r="I65" s="4"/>
      <c r="J65" s="4"/>
      <c r="K65" s="4"/>
      <c r="L65" s="4"/>
      <c r="M65" s="4"/>
      <c r="N65" s="100" t="str">
        <f t="shared" si="5"/>
        <v/>
      </c>
      <c r="O65" s="100" t="str">
        <f t="shared" si="6"/>
        <v/>
      </c>
      <c r="P65" s="4"/>
    </row>
    <row r="66" ht="15.0" customHeight="1">
      <c r="A66" s="4"/>
      <c r="B66" s="4"/>
      <c r="C66" s="4"/>
      <c r="D66" s="4"/>
      <c r="E66" s="4"/>
      <c r="F66" s="4"/>
      <c r="G66" s="4"/>
      <c r="H66" s="96" t="str">
        <f t="shared" si="4"/>
        <v/>
      </c>
      <c r="I66" s="4"/>
      <c r="J66" s="4"/>
      <c r="K66" s="4"/>
      <c r="L66" s="4"/>
      <c r="M66" s="4"/>
      <c r="N66" s="90" t="str">
        <f t="shared" si="5"/>
        <v/>
      </c>
      <c r="O66" s="90" t="str">
        <f t="shared" si="6"/>
        <v/>
      </c>
      <c r="P66" s="4"/>
    </row>
    <row r="67" ht="15.0" customHeight="1">
      <c r="A67" s="4"/>
      <c r="B67" s="4"/>
      <c r="C67" s="4"/>
      <c r="D67" s="4"/>
      <c r="E67" s="4"/>
      <c r="F67" s="4"/>
      <c r="G67" s="4"/>
      <c r="H67" s="105" t="str">
        <f t="shared" si="4"/>
        <v/>
      </c>
      <c r="I67" s="4"/>
      <c r="J67" s="4"/>
      <c r="K67" s="4"/>
      <c r="L67" s="4"/>
      <c r="M67" s="4"/>
      <c r="N67" s="100" t="str">
        <f t="shared" si="5"/>
        <v/>
      </c>
      <c r="O67" s="100" t="str">
        <f t="shared" si="6"/>
        <v/>
      </c>
      <c r="P67" s="4"/>
    </row>
    <row r="68" ht="15.0" customHeight="1">
      <c r="A68" s="4"/>
      <c r="B68" s="4"/>
      <c r="C68" s="4"/>
      <c r="D68" s="4"/>
      <c r="E68" s="4"/>
      <c r="F68" s="4"/>
      <c r="G68" s="4"/>
      <c r="H68" s="96" t="str">
        <f t="shared" si="4"/>
        <v/>
      </c>
      <c r="I68" s="4"/>
      <c r="J68" s="4"/>
      <c r="K68" s="4"/>
      <c r="L68" s="4"/>
      <c r="M68" s="4"/>
      <c r="N68" s="90" t="str">
        <f t="shared" si="5"/>
        <v/>
      </c>
      <c r="O68" s="90" t="str">
        <f t="shared" si="6"/>
        <v/>
      </c>
      <c r="P68" s="4"/>
    </row>
    <row r="69" ht="15.0" customHeight="1">
      <c r="A69" s="4"/>
      <c r="B69" s="4"/>
      <c r="C69" s="4"/>
      <c r="D69" s="4"/>
      <c r="E69" s="4"/>
      <c r="F69" s="4"/>
      <c r="G69" s="4"/>
      <c r="H69" s="105" t="str">
        <f t="shared" si="4"/>
        <v/>
      </c>
      <c r="I69" s="4"/>
      <c r="J69" s="4"/>
      <c r="K69" s="4"/>
      <c r="L69" s="4"/>
      <c r="M69" s="4"/>
      <c r="N69" s="100" t="str">
        <f t="shared" si="5"/>
        <v/>
      </c>
      <c r="O69" s="100" t="str">
        <f t="shared" si="6"/>
        <v/>
      </c>
      <c r="P69" s="4"/>
    </row>
    <row r="70" ht="15.0" customHeight="1">
      <c r="A70" s="4"/>
      <c r="B70" s="4"/>
      <c r="C70" s="4"/>
      <c r="D70" s="4"/>
      <c r="E70" s="4"/>
      <c r="F70" s="4"/>
      <c r="G70" s="4"/>
      <c r="H70" s="96" t="str">
        <f t="shared" si="4"/>
        <v/>
      </c>
      <c r="I70" s="4"/>
      <c r="J70" s="4"/>
      <c r="K70" s="4"/>
      <c r="L70" s="4"/>
      <c r="M70" s="4"/>
      <c r="N70" s="90" t="str">
        <f t="shared" si="5"/>
        <v/>
      </c>
      <c r="O70" s="90" t="str">
        <f t="shared" si="6"/>
        <v/>
      </c>
      <c r="P70" s="4"/>
    </row>
    <row r="71" ht="15.0" customHeight="1">
      <c r="A71" s="4"/>
      <c r="B71" s="4"/>
      <c r="C71" s="4"/>
      <c r="D71" s="4"/>
      <c r="E71" s="4"/>
      <c r="F71" s="4"/>
      <c r="G71" s="4"/>
      <c r="H71" s="105" t="str">
        <f t="shared" si="4"/>
        <v/>
      </c>
      <c r="I71" s="4"/>
      <c r="J71" s="4"/>
      <c r="K71" s="4"/>
      <c r="L71" s="4"/>
      <c r="M71" s="4"/>
      <c r="N71" s="100" t="str">
        <f t="shared" si="5"/>
        <v/>
      </c>
      <c r="O71" s="100" t="str">
        <f t="shared" si="6"/>
        <v/>
      </c>
      <c r="P71" s="4"/>
    </row>
    <row r="72" ht="15.0" customHeight="1">
      <c r="A72" s="4"/>
      <c r="B72" s="4"/>
      <c r="C72" s="4"/>
      <c r="D72" s="4"/>
      <c r="E72" s="4"/>
      <c r="F72" s="4"/>
      <c r="G72" s="4"/>
      <c r="H72" s="96" t="str">
        <f t="shared" si="4"/>
        <v/>
      </c>
      <c r="I72" s="4"/>
      <c r="J72" s="4"/>
      <c r="K72" s="4"/>
      <c r="L72" s="4"/>
      <c r="M72" s="4"/>
      <c r="N72" s="90" t="str">
        <f t="shared" si="5"/>
        <v/>
      </c>
      <c r="O72" s="90" t="str">
        <f t="shared" si="6"/>
        <v/>
      </c>
      <c r="P72" s="4"/>
    </row>
    <row r="73" ht="15.0" customHeight="1">
      <c r="A73" s="4"/>
      <c r="B73" s="4"/>
      <c r="C73" s="4"/>
      <c r="D73" s="4"/>
      <c r="E73" s="4"/>
      <c r="F73" s="4"/>
      <c r="G73" s="4"/>
      <c r="H73" s="105" t="str">
        <f t="shared" si="4"/>
        <v/>
      </c>
      <c r="I73" s="4"/>
      <c r="J73" s="4"/>
      <c r="K73" s="4"/>
      <c r="L73" s="4"/>
      <c r="M73" s="4"/>
      <c r="N73" s="100" t="str">
        <f t="shared" si="5"/>
        <v/>
      </c>
      <c r="O73" s="100" t="str">
        <f t="shared" si="6"/>
        <v/>
      </c>
      <c r="P73" s="4"/>
    </row>
    <row r="74" ht="15.0" customHeight="1">
      <c r="A74" s="4"/>
      <c r="B74" s="4"/>
      <c r="C74" s="4"/>
      <c r="D74" s="4"/>
      <c r="E74" s="4"/>
      <c r="F74" s="4"/>
      <c r="G74" s="4"/>
      <c r="H74" s="96" t="str">
        <f t="shared" si="4"/>
        <v/>
      </c>
      <c r="I74" s="4"/>
      <c r="J74" s="4"/>
      <c r="K74" s="4"/>
      <c r="L74" s="4"/>
      <c r="M74" s="4"/>
      <c r="N74" s="90" t="str">
        <f t="shared" si="5"/>
        <v/>
      </c>
      <c r="O74" s="90" t="str">
        <f t="shared" si="6"/>
        <v/>
      </c>
      <c r="P74" s="4"/>
    </row>
    <row r="75" ht="15.0" customHeight="1">
      <c r="A75" s="4"/>
      <c r="B75" s="4"/>
      <c r="C75" s="4"/>
      <c r="D75" s="4"/>
      <c r="E75" s="4"/>
      <c r="F75" s="4"/>
      <c r="G75" s="4"/>
      <c r="H75" s="105" t="str">
        <f t="shared" si="4"/>
        <v/>
      </c>
      <c r="I75" s="4"/>
      <c r="J75" s="4"/>
      <c r="K75" s="4"/>
      <c r="L75" s="4"/>
      <c r="M75" s="4"/>
      <c r="N75" s="100" t="str">
        <f t="shared" si="5"/>
        <v/>
      </c>
      <c r="O75" s="100" t="str">
        <f t="shared" si="6"/>
        <v/>
      </c>
      <c r="P75" s="4"/>
    </row>
    <row r="76" ht="15.0" customHeight="1">
      <c r="A76" s="4"/>
      <c r="B76" s="4"/>
      <c r="C76" s="4"/>
      <c r="D76" s="4"/>
      <c r="E76" s="4"/>
      <c r="F76" s="4"/>
      <c r="G76" s="4"/>
      <c r="H76" s="96" t="str">
        <f t="shared" si="4"/>
        <v/>
      </c>
      <c r="I76" s="4"/>
      <c r="J76" s="4"/>
      <c r="K76" s="4"/>
      <c r="L76" s="4"/>
      <c r="M76" s="4"/>
      <c r="N76" s="90" t="str">
        <f t="shared" si="5"/>
        <v/>
      </c>
      <c r="O76" s="90" t="str">
        <f t="shared" si="6"/>
        <v/>
      </c>
      <c r="P76" s="4"/>
    </row>
    <row r="77" ht="15.0" customHeight="1">
      <c r="A77" s="4"/>
      <c r="B77" s="4"/>
      <c r="C77" s="4"/>
      <c r="D77" s="4"/>
      <c r="E77" s="4"/>
      <c r="F77" s="4"/>
      <c r="G77" s="4"/>
      <c r="H77" s="105" t="str">
        <f t="shared" si="4"/>
        <v/>
      </c>
      <c r="I77" s="4"/>
      <c r="J77" s="4"/>
      <c r="K77" s="4"/>
      <c r="L77" s="4"/>
      <c r="M77" s="4"/>
      <c r="N77" s="100" t="str">
        <f t="shared" si="5"/>
        <v/>
      </c>
      <c r="O77" s="100" t="str">
        <f t="shared" si="6"/>
        <v/>
      </c>
      <c r="P77" s="4"/>
    </row>
    <row r="78" ht="15.0" customHeight="1">
      <c r="A78" s="4"/>
      <c r="B78" s="4"/>
      <c r="C78" s="4"/>
      <c r="D78" s="4"/>
      <c r="E78" s="4"/>
      <c r="F78" s="4"/>
      <c r="G78" s="4"/>
      <c r="H78" s="96" t="str">
        <f t="shared" si="4"/>
        <v/>
      </c>
      <c r="I78" s="4"/>
      <c r="J78" s="4"/>
      <c r="K78" s="4"/>
      <c r="L78" s="4"/>
      <c r="M78" s="4"/>
      <c r="N78" s="90" t="str">
        <f t="shared" si="5"/>
        <v/>
      </c>
      <c r="O78" s="90" t="str">
        <f t="shared" si="6"/>
        <v/>
      </c>
      <c r="P78" s="4"/>
    </row>
    <row r="79" ht="15.0" customHeight="1">
      <c r="A79" s="4"/>
      <c r="B79" s="4"/>
      <c r="C79" s="4"/>
      <c r="D79" s="4"/>
      <c r="E79" s="4"/>
      <c r="F79" s="4"/>
      <c r="G79" s="4"/>
      <c r="H79" s="105" t="str">
        <f t="shared" si="4"/>
        <v/>
      </c>
      <c r="I79" s="4"/>
      <c r="J79" s="4"/>
      <c r="K79" s="4"/>
      <c r="L79" s="4"/>
      <c r="M79" s="4"/>
      <c r="N79" s="100" t="str">
        <f t="shared" si="5"/>
        <v/>
      </c>
      <c r="O79" s="100" t="str">
        <f t="shared" si="6"/>
        <v/>
      </c>
      <c r="P79" s="4"/>
    </row>
    <row r="80" ht="15.0" customHeight="1">
      <c r="A80" s="4"/>
      <c r="B80" s="4"/>
      <c r="C80" s="4"/>
      <c r="D80" s="4"/>
      <c r="E80" s="4"/>
      <c r="F80" s="4"/>
      <c r="G80" s="4"/>
      <c r="H80" s="96" t="str">
        <f t="shared" si="4"/>
        <v/>
      </c>
      <c r="I80" s="4"/>
      <c r="J80" s="4"/>
      <c r="K80" s="4"/>
      <c r="L80" s="4"/>
      <c r="M80" s="4"/>
      <c r="N80" s="90" t="str">
        <f t="shared" si="5"/>
        <v/>
      </c>
      <c r="O80" s="90" t="str">
        <f t="shared" si="6"/>
        <v/>
      </c>
      <c r="P80" s="4"/>
    </row>
    <row r="81" ht="15.0" customHeight="1">
      <c r="A81" s="4"/>
      <c r="B81" s="4"/>
      <c r="C81" s="4"/>
      <c r="D81" s="4"/>
      <c r="E81" s="4"/>
      <c r="F81" s="4"/>
      <c r="G81" s="4"/>
      <c r="H81" s="105" t="str">
        <f t="shared" si="4"/>
        <v/>
      </c>
      <c r="I81" s="4"/>
      <c r="J81" s="4"/>
      <c r="K81" s="4"/>
      <c r="L81" s="4"/>
      <c r="M81" s="4"/>
      <c r="N81" s="100" t="str">
        <f t="shared" si="5"/>
        <v/>
      </c>
      <c r="O81" s="100" t="str">
        <f t="shared" si="6"/>
        <v/>
      </c>
      <c r="P81" s="4"/>
    </row>
    <row r="82" ht="15.0" customHeight="1">
      <c r="A82" s="4"/>
      <c r="B82" s="4"/>
      <c r="C82" s="4"/>
      <c r="D82" s="4"/>
      <c r="E82" s="4"/>
      <c r="F82" s="4"/>
      <c r="G82" s="4"/>
      <c r="H82" s="96" t="str">
        <f t="shared" si="4"/>
        <v/>
      </c>
      <c r="I82" s="4"/>
      <c r="J82" s="4"/>
      <c r="K82" s="4"/>
      <c r="L82" s="4"/>
      <c r="M82" s="4"/>
      <c r="N82" s="90" t="str">
        <f t="shared" si="5"/>
        <v/>
      </c>
      <c r="O82" s="90" t="str">
        <f t="shared" si="6"/>
        <v/>
      </c>
      <c r="P82" s="4"/>
    </row>
    <row r="83" ht="15.0" customHeight="1">
      <c r="A83" s="4"/>
      <c r="B83" s="4"/>
      <c r="C83" s="4"/>
      <c r="D83" s="4"/>
      <c r="E83" s="4"/>
      <c r="F83" s="4"/>
      <c r="G83" s="4"/>
      <c r="H83" s="105" t="str">
        <f t="shared" si="4"/>
        <v/>
      </c>
      <c r="I83" s="4"/>
      <c r="J83" s="4"/>
      <c r="K83" s="4"/>
      <c r="L83" s="4"/>
      <c r="M83" s="4"/>
      <c r="N83" s="100" t="str">
        <f t="shared" si="5"/>
        <v/>
      </c>
      <c r="O83" s="100" t="str">
        <f t="shared" si="6"/>
        <v/>
      </c>
      <c r="P83" s="4"/>
    </row>
    <row r="84" ht="15.0" customHeight="1">
      <c r="A84" s="4"/>
      <c r="B84" s="4"/>
      <c r="C84" s="4"/>
      <c r="D84" s="4"/>
      <c r="E84" s="4"/>
      <c r="F84" s="4"/>
      <c r="G84" s="4"/>
      <c r="H84" s="96" t="str">
        <f t="shared" si="4"/>
        <v/>
      </c>
      <c r="I84" s="4"/>
      <c r="J84" s="4"/>
      <c r="K84" s="4"/>
      <c r="L84" s="4"/>
      <c r="M84" s="4"/>
      <c r="N84" s="90" t="str">
        <f t="shared" si="5"/>
        <v/>
      </c>
      <c r="O84" s="90" t="str">
        <f t="shared" si="6"/>
        <v/>
      </c>
      <c r="P84" s="4"/>
    </row>
    <row r="85" ht="15.0" customHeight="1">
      <c r="A85" s="4"/>
      <c r="B85" s="4"/>
      <c r="C85" s="4"/>
      <c r="D85" s="4"/>
      <c r="E85" s="4"/>
      <c r="F85" s="4"/>
      <c r="G85" s="4"/>
      <c r="H85" s="105" t="str">
        <f t="shared" si="4"/>
        <v/>
      </c>
      <c r="I85" s="4"/>
      <c r="J85" s="4"/>
      <c r="K85" s="4"/>
      <c r="L85" s="4"/>
      <c r="M85" s="4"/>
      <c r="N85" s="100" t="str">
        <f t="shared" si="5"/>
        <v/>
      </c>
      <c r="O85" s="100" t="str">
        <f t="shared" si="6"/>
        <v/>
      </c>
      <c r="P85" s="4"/>
    </row>
    <row r="86" ht="15.0" customHeight="1">
      <c r="A86" s="4"/>
      <c r="B86" s="4"/>
      <c r="C86" s="4"/>
      <c r="D86" s="4"/>
      <c r="E86" s="4"/>
      <c r="F86" s="4"/>
      <c r="G86" s="4"/>
      <c r="H86" s="96" t="str">
        <f t="shared" si="4"/>
        <v/>
      </c>
      <c r="I86" s="4"/>
      <c r="J86" s="4"/>
      <c r="K86" s="4"/>
      <c r="L86" s="4"/>
      <c r="M86" s="4"/>
      <c r="N86" s="90" t="str">
        <f t="shared" si="5"/>
        <v/>
      </c>
      <c r="O86" s="90" t="str">
        <f t="shared" si="6"/>
        <v/>
      </c>
      <c r="P86" s="4"/>
    </row>
    <row r="87" ht="15.0" customHeight="1">
      <c r="A87" s="4"/>
      <c r="B87" s="4"/>
      <c r="C87" s="4"/>
      <c r="D87" s="4"/>
      <c r="E87" s="4"/>
      <c r="F87" s="4"/>
      <c r="G87" s="4"/>
      <c r="H87" s="105" t="str">
        <f t="shared" si="4"/>
        <v/>
      </c>
      <c r="I87" s="4"/>
      <c r="J87" s="4"/>
      <c r="K87" s="4"/>
      <c r="L87" s="4"/>
      <c r="M87" s="4"/>
      <c r="N87" s="100" t="str">
        <f t="shared" si="5"/>
        <v/>
      </c>
      <c r="O87" s="100" t="str">
        <f t="shared" si="6"/>
        <v/>
      </c>
      <c r="P87" s="4"/>
    </row>
    <row r="88" ht="15.0" customHeight="1">
      <c r="A88" s="4"/>
      <c r="B88" s="4"/>
      <c r="C88" s="4"/>
      <c r="D88" s="4"/>
      <c r="E88" s="4"/>
      <c r="F88" s="4"/>
      <c r="G88" s="4"/>
      <c r="H88" s="96" t="str">
        <f t="shared" si="4"/>
        <v/>
      </c>
      <c r="I88" s="4"/>
      <c r="J88" s="4"/>
      <c r="K88" s="4"/>
      <c r="L88" s="4"/>
      <c r="M88" s="4"/>
      <c r="N88" s="90" t="str">
        <f t="shared" si="5"/>
        <v/>
      </c>
      <c r="O88" s="90" t="str">
        <f t="shared" si="6"/>
        <v/>
      </c>
      <c r="P88" s="4"/>
    </row>
    <row r="89" ht="15.0" customHeight="1">
      <c r="A89" s="4"/>
      <c r="B89" s="4"/>
      <c r="C89" s="4"/>
      <c r="D89" s="4"/>
      <c r="E89" s="4"/>
      <c r="F89" s="4"/>
      <c r="G89" s="4"/>
      <c r="H89" s="105" t="str">
        <f t="shared" si="4"/>
        <v/>
      </c>
      <c r="I89" s="4"/>
      <c r="J89" s="4"/>
      <c r="K89" s="4"/>
      <c r="L89" s="4"/>
      <c r="M89" s="4"/>
      <c r="N89" s="100" t="str">
        <f t="shared" si="5"/>
        <v/>
      </c>
      <c r="O89" s="100" t="str">
        <f t="shared" si="6"/>
        <v/>
      </c>
      <c r="P89" s="4"/>
    </row>
    <row r="90" ht="15.0" customHeight="1">
      <c r="A90" s="4"/>
      <c r="B90" s="4"/>
      <c r="C90" s="4"/>
      <c r="D90" s="4"/>
      <c r="E90" s="4"/>
      <c r="F90" s="4"/>
      <c r="G90" s="4"/>
      <c r="H90" s="96" t="str">
        <f t="shared" si="4"/>
        <v/>
      </c>
      <c r="I90" s="4"/>
      <c r="J90" s="4"/>
      <c r="K90" s="4"/>
      <c r="L90" s="4"/>
      <c r="M90" s="4"/>
      <c r="N90" s="90" t="str">
        <f t="shared" si="5"/>
        <v/>
      </c>
      <c r="O90" s="90" t="str">
        <f t="shared" si="6"/>
        <v/>
      </c>
      <c r="P90" s="4"/>
    </row>
    <row r="91" ht="15.0" customHeight="1">
      <c r="A91" s="4"/>
      <c r="B91" s="4"/>
      <c r="C91" s="4"/>
      <c r="D91" s="4"/>
      <c r="E91" s="4"/>
      <c r="F91" s="4"/>
      <c r="G91" s="4"/>
      <c r="H91" s="105" t="str">
        <f t="shared" si="4"/>
        <v/>
      </c>
      <c r="I91" s="4"/>
      <c r="J91" s="4"/>
      <c r="K91" s="4"/>
      <c r="L91" s="4"/>
      <c r="M91" s="4"/>
      <c r="N91" s="100" t="str">
        <f t="shared" si="5"/>
        <v/>
      </c>
      <c r="O91" s="100" t="str">
        <f t="shared" si="6"/>
        <v/>
      </c>
      <c r="P91" s="4"/>
    </row>
    <row r="92" ht="15.0" customHeight="1">
      <c r="A92" s="4"/>
      <c r="B92" s="4"/>
      <c r="C92" s="4"/>
      <c r="D92" s="4"/>
      <c r="E92" s="4"/>
      <c r="F92" s="4"/>
      <c r="G92" s="4"/>
      <c r="H92" s="96" t="str">
        <f t="shared" si="4"/>
        <v/>
      </c>
      <c r="I92" s="4"/>
      <c r="J92" s="4"/>
      <c r="K92" s="4"/>
      <c r="L92" s="4"/>
      <c r="M92" s="4"/>
      <c r="N92" s="90" t="str">
        <f t="shared" si="5"/>
        <v/>
      </c>
      <c r="O92" s="90" t="str">
        <f t="shared" si="6"/>
        <v/>
      </c>
      <c r="P92" s="4"/>
    </row>
    <row r="93" ht="15.0" customHeight="1">
      <c r="A93" s="4"/>
      <c r="B93" s="4"/>
      <c r="C93" s="4"/>
      <c r="D93" s="4"/>
      <c r="E93" s="4"/>
      <c r="F93" s="4"/>
      <c r="G93" s="4"/>
      <c r="H93" s="105" t="str">
        <f t="shared" si="4"/>
        <v/>
      </c>
      <c r="I93" s="4"/>
      <c r="J93" s="4"/>
      <c r="K93" s="4"/>
      <c r="L93" s="4"/>
      <c r="M93" s="4"/>
      <c r="N93" s="100" t="str">
        <f t="shared" si="5"/>
        <v/>
      </c>
      <c r="O93" s="100" t="str">
        <f t="shared" si="6"/>
        <v/>
      </c>
      <c r="P93" s="4"/>
    </row>
    <row r="94" ht="15.0" customHeight="1">
      <c r="A94" s="4"/>
      <c r="B94" s="4"/>
      <c r="C94" s="4"/>
      <c r="D94" s="4"/>
      <c r="E94" s="4"/>
      <c r="F94" s="4"/>
      <c r="G94" s="4"/>
      <c r="H94" s="96" t="str">
        <f t="shared" si="4"/>
        <v/>
      </c>
      <c r="I94" s="4"/>
      <c r="J94" s="4"/>
      <c r="K94" s="4"/>
      <c r="L94" s="4"/>
      <c r="M94" s="4"/>
      <c r="N94" s="90" t="str">
        <f t="shared" si="5"/>
        <v/>
      </c>
      <c r="O94" s="90" t="str">
        <f t="shared" si="6"/>
        <v/>
      </c>
      <c r="P94" s="4"/>
    </row>
    <row r="95" ht="15.0" customHeight="1">
      <c r="A95" s="4"/>
      <c r="B95" s="4"/>
      <c r="C95" s="4"/>
      <c r="D95" s="4"/>
      <c r="E95" s="4"/>
      <c r="F95" s="4"/>
      <c r="G95" s="4"/>
      <c r="H95" s="105" t="str">
        <f t="shared" si="4"/>
        <v/>
      </c>
      <c r="I95" s="4"/>
      <c r="J95" s="4"/>
      <c r="K95" s="4"/>
      <c r="L95" s="4"/>
      <c r="M95" s="4"/>
      <c r="N95" s="100" t="str">
        <f t="shared" si="5"/>
        <v/>
      </c>
      <c r="O95" s="100" t="str">
        <f t="shared" si="6"/>
        <v/>
      </c>
      <c r="P95" s="4"/>
    </row>
    <row r="96" ht="15.0" customHeight="1">
      <c r="A96" s="4"/>
      <c r="B96" s="4"/>
      <c r="C96" s="4"/>
      <c r="D96" s="4"/>
      <c r="E96" s="4"/>
      <c r="F96" s="4"/>
      <c r="G96" s="4"/>
      <c r="H96" s="96" t="str">
        <f t="shared" si="4"/>
        <v/>
      </c>
      <c r="I96" s="4"/>
      <c r="J96" s="4"/>
      <c r="K96" s="4"/>
      <c r="L96" s="4"/>
      <c r="M96" s="4"/>
      <c r="N96" s="90" t="str">
        <f t="shared" si="5"/>
        <v/>
      </c>
      <c r="O96" s="90" t="str">
        <f t="shared" si="6"/>
        <v/>
      </c>
      <c r="P96" s="4"/>
    </row>
    <row r="97" ht="15.0" customHeight="1">
      <c r="A97" s="4"/>
      <c r="B97" s="4"/>
      <c r="C97" s="4"/>
      <c r="D97" s="4"/>
      <c r="E97" s="4"/>
      <c r="F97" s="4"/>
      <c r="G97" s="4"/>
      <c r="H97" s="105" t="str">
        <f t="shared" si="4"/>
        <v/>
      </c>
      <c r="I97" s="4"/>
      <c r="J97" s="4"/>
      <c r="K97" s="4"/>
      <c r="L97" s="4"/>
      <c r="M97" s="4"/>
      <c r="N97" s="100" t="str">
        <f t="shared" si="5"/>
        <v/>
      </c>
      <c r="O97" s="100" t="str">
        <f t="shared" si="6"/>
        <v/>
      </c>
      <c r="P97" s="4"/>
    </row>
    <row r="98" ht="15.0" customHeight="1">
      <c r="A98" s="4"/>
      <c r="B98" s="4"/>
      <c r="C98" s="4"/>
      <c r="D98" s="4"/>
      <c r="E98" s="4"/>
      <c r="F98" s="4"/>
      <c r="G98" s="4"/>
      <c r="H98" s="96" t="str">
        <f t="shared" si="4"/>
        <v/>
      </c>
      <c r="I98" s="4"/>
      <c r="J98" s="4"/>
      <c r="K98" s="4"/>
      <c r="L98" s="4"/>
      <c r="M98" s="4"/>
      <c r="N98" s="90" t="str">
        <f t="shared" si="5"/>
        <v/>
      </c>
      <c r="O98" s="90" t="str">
        <f t="shared" si="6"/>
        <v/>
      </c>
      <c r="P98" s="4"/>
    </row>
    <row r="99" ht="15.0" customHeight="1">
      <c r="A99" s="4"/>
      <c r="B99" s="4"/>
      <c r="C99" s="4"/>
      <c r="D99" s="4"/>
      <c r="E99" s="4"/>
      <c r="F99" s="4"/>
      <c r="G99" s="4"/>
      <c r="H99" s="105" t="str">
        <f t="shared" si="4"/>
        <v/>
      </c>
      <c r="I99" s="4"/>
      <c r="J99" s="4"/>
      <c r="K99" s="4"/>
      <c r="L99" s="4"/>
      <c r="M99" s="4"/>
      <c r="N99" s="100" t="str">
        <f t="shared" si="5"/>
        <v/>
      </c>
      <c r="O99" s="100" t="str">
        <f t="shared" si="6"/>
        <v/>
      </c>
      <c r="P99" s="4"/>
    </row>
    <row r="100" ht="15.0" customHeight="1">
      <c r="A100" s="4"/>
      <c r="B100" s="4"/>
      <c r="C100" s="4"/>
      <c r="D100" s="4"/>
      <c r="E100" s="4"/>
      <c r="F100" s="4"/>
      <c r="G100" s="4"/>
      <c r="H100" s="96" t="str">
        <f t="shared" si="4"/>
        <v/>
      </c>
      <c r="I100" s="4"/>
      <c r="J100" s="4"/>
      <c r="K100" s="4"/>
      <c r="L100" s="4"/>
      <c r="M100" s="4"/>
      <c r="N100" s="90" t="str">
        <f t="shared" si="5"/>
        <v/>
      </c>
      <c r="O100" s="90" t="str">
        <f t="shared" si="6"/>
        <v/>
      </c>
      <c r="P100" s="4"/>
    </row>
    <row r="101" ht="15.0" customHeight="1">
      <c r="A101" s="4"/>
      <c r="B101" s="4"/>
      <c r="C101" s="4"/>
      <c r="D101" s="4"/>
      <c r="E101" s="4"/>
      <c r="F101" s="4"/>
      <c r="G101" s="4"/>
      <c r="H101" s="105" t="str">
        <f t="shared" si="4"/>
        <v/>
      </c>
      <c r="I101" s="4"/>
      <c r="J101" s="4"/>
      <c r="K101" s="4"/>
      <c r="L101" s="4"/>
      <c r="M101" s="4"/>
      <c r="N101" s="100" t="str">
        <f t="shared" si="5"/>
        <v/>
      </c>
      <c r="O101" s="100" t="str">
        <f t="shared" si="6"/>
        <v/>
      </c>
      <c r="P101" s="4"/>
    </row>
    <row r="102" ht="15.0" customHeight="1">
      <c r="A102" s="4"/>
      <c r="B102" s="4"/>
      <c r="C102" s="4"/>
      <c r="D102" s="4"/>
      <c r="E102" s="4"/>
      <c r="F102" s="4"/>
      <c r="G102" s="4"/>
      <c r="H102" s="96" t="str">
        <f t="shared" si="4"/>
        <v/>
      </c>
      <c r="I102" s="4"/>
      <c r="J102" s="4"/>
      <c r="K102" s="4"/>
      <c r="L102" s="4"/>
      <c r="M102" s="4"/>
      <c r="N102" s="90" t="str">
        <f t="shared" si="5"/>
        <v/>
      </c>
      <c r="O102" s="90" t="str">
        <f t="shared" si="6"/>
        <v/>
      </c>
      <c r="P102" s="4"/>
    </row>
    <row r="103" ht="15.0" customHeight="1">
      <c r="A103" s="4"/>
      <c r="B103" s="4"/>
      <c r="C103" s="4"/>
      <c r="D103" s="4"/>
      <c r="E103" s="4"/>
      <c r="F103" s="4"/>
      <c r="G103" s="4"/>
      <c r="H103" s="105" t="str">
        <f t="shared" si="4"/>
        <v/>
      </c>
      <c r="I103" s="4"/>
      <c r="J103" s="4"/>
      <c r="K103" s="4"/>
      <c r="L103" s="4"/>
      <c r="M103" s="4"/>
      <c r="N103" s="100" t="str">
        <f t="shared" si="5"/>
        <v/>
      </c>
      <c r="O103" s="100" t="str">
        <f t="shared" si="6"/>
        <v/>
      </c>
      <c r="P103" s="4"/>
    </row>
    <row r="104" ht="15.0" customHeight="1">
      <c r="A104" s="4"/>
      <c r="B104" s="4"/>
      <c r="C104" s="4"/>
      <c r="D104" s="4"/>
      <c r="E104" s="4"/>
      <c r="F104" s="4"/>
      <c r="G104" s="4"/>
      <c r="H104" s="96" t="str">
        <f t="shared" si="4"/>
        <v/>
      </c>
      <c r="I104" s="4"/>
      <c r="J104" s="4"/>
      <c r="K104" s="4"/>
      <c r="L104" s="4"/>
      <c r="M104" s="4"/>
      <c r="N104" s="90" t="str">
        <f t="shared" si="5"/>
        <v/>
      </c>
      <c r="O104" s="90" t="str">
        <f t="shared" si="6"/>
        <v/>
      </c>
      <c r="P104" s="4"/>
    </row>
    <row r="105" ht="15.0" customHeight="1">
      <c r="A105" s="4"/>
      <c r="B105" s="4"/>
      <c r="C105" s="4"/>
      <c r="D105" s="4"/>
      <c r="E105" s="4"/>
      <c r="F105" s="4"/>
      <c r="G105" s="4"/>
      <c r="H105" s="105" t="str">
        <f t="shared" si="4"/>
        <v/>
      </c>
      <c r="I105" s="4"/>
      <c r="J105" s="4"/>
      <c r="K105" s="4"/>
      <c r="L105" s="4"/>
      <c r="M105" s="4"/>
      <c r="N105" s="100" t="str">
        <f t="shared" si="5"/>
        <v/>
      </c>
      <c r="O105" s="100" t="str">
        <f t="shared" si="6"/>
        <v/>
      </c>
      <c r="P105" s="4"/>
    </row>
    <row r="106" ht="15.0" customHeight="1">
      <c r="A106" s="4"/>
      <c r="B106" s="4"/>
      <c r="C106" s="4"/>
      <c r="D106" s="4"/>
      <c r="E106" s="4"/>
      <c r="F106" s="4"/>
      <c r="G106" s="4"/>
      <c r="H106" s="96" t="str">
        <f t="shared" si="4"/>
        <v/>
      </c>
      <c r="I106" s="4"/>
      <c r="J106" s="4"/>
      <c r="K106" s="4"/>
      <c r="L106" s="4"/>
      <c r="M106" s="4"/>
      <c r="N106" s="90" t="str">
        <f t="shared" si="5"/>
        <v/>
      </c>
      <c r="O106" s="90" t="str">
        <f t="shared" si="6"/>
        <v/>
      </c>
      <c r="P106" s="4"/>
    </row>
    <row r="107" ht="15.0" customHeight="1">
      <c r="A107" s="4"/>
      <c r="B107" s="4"/>
      <c r="C107" s="4"/>
      <c r="D107" s="4"/>
      <c r="E107" s="4"/>
      <c r="F107" s="4"/>
      <c r="G107" s="4"/>
      <c r="H107" s="105" t="str">
        <f t="shared" si="4"/>
        <v/>
      </c>
      <c r="I107" s="4"/>
      <c r="J107" s="4"/>
      <c r="K107" s="4"/>
      <c r="L107" s="4"/>
      <c r="M107" s="4"/>
      <c r="N107" s="100" t="str">
        <f t="shared" si="5"/>
        <v/>
      </c>
      <c r="O107" s="100" t="str">
        <f t="shared" si="6"/>
        <v/>
      </c>
      <c r="P107" s="4"/>
    </row>
    <row r="108" ht="15.0" customHeight="1">
      <c r="A108" s="4"/>
      <c r="B108" s="4"/>
      <c r="C108" s="4"/>
      <c r="D108" s="4"/>
      <c r="E108" s="4"/>
      <c r="F108" s="4"/>
      <c r="G108" s="4"/>
      <c r="H108" s="96" t="str">
        <f t="shared" si="4"/>
        <v/>
      </c>
      <c r="I108" s="4"/>
      <c r="J108" s="4"/>
      <c r="K108" s="4"/>
      <c r="L108" s="4"/>
      <c r="M108" s="4"/>
      <c r="N108" s="90" t="str">
        <f t="shared" si="5"/>
        <v/>
      </c>
      <c r="O108" s="90" t="str">
        <f t="shared" si="6"/>
        <v/>
      </c>
      <c r="P108" s="4"/>
    </row>
    <row r="109" ht="15.0" customHeight="1">
      <c r="A109" s="4"/>
      <c r="B109" s="4"/>
      <c r="C109" s="4"/>
      <c r="D109" s="4"/>
      <c r="E109" s="4"/>
      <c r="F109" s="4"/>
      <c r="G109" s="4"/>
      <c r="H109" s="105" t="str">
        <f t="shared" si="4"/>
        <v/>
      </c>
      <c r="I109" s="4"/>
      <c r="J109" s="4"/>
      <c r="K109" s="4"/>
      <c r="L109" s="4"/>
      <c r="M109" s="4"/>
      <c r="N109" s="100" t="str">
        <f t="shared" si="5"/>
        <v/>
      </c>
      <c r="O109" s="100" t="str">
        <f t="shared" si="6"/>
        <v/>
      </c>
      <c r="P109" s="4"/>
    </row>
    <row r="110" ht="15.0" customHeight="1">
      <c r="A110" s="4"/>
      <c r="B110" s="4"/>
      <c r="C110" s="4"/>
      <c r="D110" s="4"/>
      <c r="E110" s="4"/>
      <c r="F110" s="4"/>
      <c r="G110" s="4"/>
      <c r="H110" s="96" t="str">
        <f t="shared" si="4"/>
        <v/>
      </c>
      <c r="I110" s="4"/>
      <c r="J110" s="4"/>
      <c r="K110" s="4"/>
      <c r="L110" s="4"/>
      <c r="M110" s="4"/>
      <c r="N110" s="90" t="str">
        <f t="shared" si="5"/>
        <v/>
      </c>
      <c r="O110" s="90" t="str">
        <f t="shared" si="6"/>
        <v/>
      </c>
      <c r="P110" s="4"/>
    </row>
    <row r="111" ht="15.0" customHeight="1">
      <c r="A111" s="4"/>
      <c r="B111" s="4"/>
      <c r="C111" s="4"/>
      <c r="D111" s="4"/>
      <c r="E111" s="4"/>
      <c r="F111" s="4"/>
      <c r="G111" s="4"/>
      <c r="H111" s="105" t="str">
        <f t="shared" si="4"/>
        <v/>
      </c>
      <c r="I111" s="4"/>
      <c r="J111" s="4"/>
      <c r="K111" s="4"/>
      <c r="L111" s="4"/>
      <c r="M111" s="4"/>
      <c r="N111" s="100" t="str">
        <f t="shared" si="5"/>
        <v/>
      </c>
      <c r="O111" s="100" t="str">
        <f t="shared" si="6"/>
        <v/>
      </c>
      <c r="P111" s="4"/>
    </row>
    <row r="112" ht="15.0" customHeight="1">
      <c r="A112" s="4"/>
      <c r="B112" s="4"/>
      <c r="C112" s="4"/>
      <c r="D112" s="4"/>
      <c r="E112" s="4"/>
      <c r="F112" s="4"/>
      <c r="G112" s="4"/>
      <c r="H112" s="96" t="str">
        <f t="shared" si="4"/>
        <v/>
      </c>
      <c r="I112" s="4"/>
      <c r="J112" s="4"/>
      <c r="K112" s="4"/>
      <c r="L112" s="4"/>
      <c r="M112" s="4"/>
      <c r="N112" s="90" t="str">
        <f t="shared" si="5"/>
        <v/>
      </c>
      <c r="O112" s="90" t="str">
        <f t="shared" si="6"/>
        <v/>
      </c>
      <c r="P112" s="4"/>
    </row>
    <row r="113" ht="15.0" customHeight="1">
      <c r="A113" s="4"/>
      <c r="B113" s="4"/>
      <c r="C113" s="4"/>
      <c r="D113" s="4"/>
      <c r="E113" s="4"/>
      <c r="F113" s="4"/>
      <c r="G113" s="4"/>
      <c r="H113" s="105" t="str">
        <f t="shared" si="4"/>
        <v/>
      </c>
      <c r="I113" s="4"/>
      <c r="J113" s="4"/>
      <c r="K113" s="4"/>
      <c r="L113" s="4"/>
      <c r="M113" s="4"/>
      <c r="N113" s="100" t="str">
        <f t="shared" si="5"/>
        <v/>
      </c>
      <c r="O113" s="100" t="str">
        <f t="shared" si="6"/>
        <v/>
      </c>
      <c r="P113" s="4"/>
    </row>
    <row r="114" ht="15.0" customHeight="1">
      <c r="A114" s="4"/>
      <c r="B114" s="4"/>
      <c r="C114" s="4"/>
      <c r="D114" s="4"/>
      <c r="E114" s="4"/>
      <c r="F114" s="4"/>
      <c r="G114" s="4"/>
      <c r="H114" s="96" t="str">
        <f t="shared" si="4"/>
        <v/>
      </c>
      <c r="I114" s="4"/>
      <c r="J114" s="4"/>
      <c r="K114" s="4"/>
      <c r="L114" s="4"/>
      <c r="M114" s="4"/>
      <c r="N114" s="90" t="str">
        <f t="shared" si="5"/>
        <v/>
      </c>
      <c r="O114" s="90" t="str">
        <f t="shared" si="6"/>
        <v/>
      </c>
      <c r="P114" s="4"/>
    </row>
    <row r="115" ht="15.0" customHeight="1">
      <c r="A115" s="4"/>
      <c r="B115" s="4"/>
      <c r="C115" s="4"/>
      <c r="D115" s="4"/>
      <c r="E115" s="4"/>
      <c r="F115" s="4"/>
      <c r="G115" s="4"/>
      <c r="H115" s="105" t="str">
        <f t="shared" si="4"/>
        <v/>
      </c>
      <c r="I115" s="4"/>
      <c r="J115" s="4"/>
      <c r="K115" s="4"/>
      <c r="L115" s="4"/>
      <c r="M115" s="4"/>
      <c r="N115" s="100" t="str">
        <f t="shared" si="5"/>
        <v/>
      </c>
      <c r="O115" s="100" t="str">
        <f t="shared" si="6"/>
        <v/>
      </c>
      <c r="P115" s="4"/>
    </row>
    <row r="116" ht="15.0" customHeight="1">
      <c r="A116" s="4"/>
      <c r="B116" s="4"/>
      <c r="C116" s="4"/>
      <c r="D116" s="4"/>
      <c r="E116" s="4"/>
      <c r="F116" s="4"/>
      <c r="G116" s="4"/>
      <c r="H116" s="96" t="str">
        <f t="shared" si="4"/>
        <v/>
      </c>
      <c r="I116" s="4"/>
      <c r="J116" s="4"/>
      <c r="K116" s="4"/>
      <c r="L116" s="4"/>
      <c r="M116" s="4"/>
      <c r="N116" s="90" t="str">
        <f t="shared" si="5"/>
        <v/>
      </c>
      <c r="O116" s="90" t="str">
        <f t="shared" si="6"/>
        <v/>
      </c>
      <c r="P116" s="4"/>
    </row>
    <row r="117" ht="15.0" customHeight="1">
      <c r="A117" s="4"/>
      <c r="B117" s="4"/>
      <c r="C117" s="4"/>
      <c r="D117" s="4"/>
      <c r="E117" s="4"/>
      <c r="F117" s="4"/>
      <c r="G117" s="4"/>
      <c r="H117" s="105" t="str">
        <f t="shared" si="4"/>
        <v/>
      </c>
      <c r="I117" s="4"/>
      <c r="J117" s="4"/>
      <c r="K117" s="4"/>
      <c r="L117" s="4"/>
      <c r="M117" s="4"/>
      <c r="N117" s="100" t="str">
        <f t="shared" si="5"/>
        <v/>
      </c>
      <c r="O117" s="100" t="str">
        <f t="shared" si="6"/>
        <v/>
      </c>
      <c r="P117" s="4"/>
    </row>
    <row r="118" ht="15.0" customHeight="1">
      <c r="A118" s="4"/>
      <c r="B118" s="4"/>
      <c r="C118" s="4"/>
      <c r="D118" s="4"/>
      <c r="E118" s="4"/>
      <c r="F118" s="4"/>
      <c r="G118" s="4"/>
      <c r="H118" s="96" t="str">
        <f t="shared" si="4"/>
        <v/>
      </c>
      <c r="I118" s="4"/>
      <c r="J118" s="4"/>
      <c r="K118" s="4"/>
      <c r="L118" s="4"/>
      <c r="M118" s="4"/>
      <c r="N118" s="90" t="str">
        <f t="shared" si="5"/>
        <v/>
      </c>
      <c r="O118" s="90" t="str">
        <f t="shared" si="6"/>
        <v/>
      </c>
      <c r="P118" s="4"/>
    </row>
    <row r="119" ht="15.0" customHeight="1">
      <c r="A119" s="4"/>
      <c r="B119" s="4"/>
      <c r="C119" s="4"/>
      <c r="D119" s="4"/>
      <c r="E119" s="4"/>
      <c r="F119" s="4"/>
      <c r="G119" s="4"/>
      <c r="H119" s="105" t="str">
        <f t="shared" si="4"/>
        <v/>
      </c>
      <c r="I119" s="4"/>
      <c r="J119" s="4"/>
      <c r="K119" s="4"/>
      <c r="L119" s="4"/>
      <c r="M119" s="4"/>
      <c r="N119" s="100" t="str">
        <f t="shared" si="5"/>
        <v/>
      </c>
      <c r="O119" s="100" t="str">
        <f t="shared" si="6"/>
        <v/>
      </c>
      <c r="P119" s="4"/>
    </row>
    <row r="120" ht="15.0" customHeight="1">
      <c r="A120" s="4"/>
      <c r="B120" s="4"/>
      <c r="C120" s="4"/>
      <c r="D120" s="4"/>
      <c r="E120" s="4"/>
      <c r="F120" s="4"/>
      <c r="G120" s="4"/>
      <c r="H120" s="96" t="str">
        <f t="shared" si="4"/>
        <v/>
      </c>
      <c r="I120" s="4"/>
      <c r="J120" s="4"/>
      <c r="K120" s="4"/>
      <c r="L120" s="4"/>
      <c r="M120" s="4"/>
      <c r="N120" s="90" t="str">
        <f t="shared" si="5"/>
        <v/>
      </c>
      <c r="O120" s="90" t="str">
        <f t="shared" si="6"/>
        <v/>
      </c>
      <c r="P120" s="4"/>
    </row>
    <row r="121" ht="15.0" customHeight="1">
      <c r="A121" s="4"/>
      <c r="B121" s="4"/>
      <c r="C121" s="4"/>
      <c r="D121" s="4"/>
      <c r="E121" s="4"/>
      <c r="F121" s="4"/>
      <c r="G121" s="4"/>
      <c r="H121" s="105" t="str">
        <f t="shared" si="4"/>
        <v/>
      </c>
      <c r="I121" s="4"/>
      <c r="J121" s="4"/>
      <c r="K121" s="4"/>
      <c r="L121" s="4"/>
      <c r="M121" s="4"/>
      <c r="N121" s="100" t="str">
        <f t="shared" si="5"/>
        <v/>
      </c>
      <c r="O121" s="100" t="str">
        <f t="shared" si="6"/>
        <v/>
      </c>
      <c r="P121" s="4"/>
    </row>
    <row r="122" ht="15.0" customHeight="1">
      <c r="A122" s="4"/>
      <c r="B122" s="4"/>
      <c r="C122" s="4"/>
      <c r="D122" s="4"/>
      <c r="E122" s="4"/>
      <c r="F122" s="4"/>
      <c r="G122" s="4"/>
      <c r="H122" s="96" t="str">
        <f t="shared" si="4"/>
        <v/>
      </c>
      <c r="I122" s="4"/>
      <c r="J122" s="4"/>
      <c r="K122" s="4"/>
      <c r="L122" s="4"/>
      <c r="M122" s="4"/>
      <c r="N122" s="90" t="str">
        <f t="shared" si="5"/>
        <v/>
      </c>
      <c r="O122" s="90" t="str">
        <f t="shared" si="6"/>
        <v/>
      </c>
      <c r="P122" s="4"/>
    </row>
    <row r="123" ht="15.0" customHeight="1">
      <c r="A123" s="4"/>
      <c r="B123" s="4"/>
      <c r="C123" s="4"/>
      <c r="D123" s="4"/>
      <c r="E123" s="4"/>
      <c r="F123" s="4"/>
      <c r="G123" s="4"/>
      <c r="H123" s="105" t="str">
        <f t="shared" si="4"/>
        <v/>
      </c>
      <c r="I123" s="4"/>
      <c r="J123" s="4"/>
      <c r="K123" s="4"/>
      <c r="L123" s="4"/>
      <c r="M123" s="4"/>
      <c r="N123" s="100" t="str">
        <f t="shared" si="5"/>
        <v/>
      </c>
      <c r="O123" s="100" t="str">
        <f t="shared" si="6"/>
        <v/>
      </c>
      <c r="P123" s="4"/>
    </row>
    <row r="124" ht="15.0" customHeight="1">
      <c r="A124" s="4"/>
      <c r="B124" s="4"/>
      <c r="C124" s="4"/>
      <c r="D124" s="4"/>
      <c r="E124" s="4"/>
      <c r="F124" s="4"/>
      <c r="G124" s="4"/>
      <c r="H124" s="96" t="str">
        <f t="shared" si="4"/>
        <v/>
      </c>
      <c r="I124" s="4"/>
      <c r="J124" s="4"/>
      <c r="K124" s="4"/>
      <c r="L124" s="4"/>
      <c r="M124" s="4"/>
      <c r="N124" s="90" t="str">
        <f t="shared" si="5"/>
        <v/>
      </c>
      <c r="O124" s="90" t="str">
        <f t="shared" si="6"/>
        <v/>
      </c>
      <c r="P124" s="4"/>
    </row>
    <row r="125" ht="15.0" customHeight="1">
      <c r="A125" s="4"/>
      <c r="B125" s="4"/>
      <c r="C125" s="4"/>
      <c r="D125" s="4"/>
      <c r="E125" s="4"/>
      <c r="F125" s="4"/>
      <c r="G125" s="4"/>
      <c r="H125" s="105" t="str">
        <f t="shared" si="4"/>
        <v/>
      </c>
      <c r="I125" s="4"/>
      <c r="J125" s="4"/>
      <c r="K125" s="4"/>
      <c r="L125" s="4"/>
      <c r="M125" s="4"/>
      <c r="N125" s="100" t="str">
        <f t="shared" si="5"/>
        <v/>
      </c>
      <c r="O125" s="100" t="str">
        <f t="shared" si="6"/>
        <v/>
      </c>
      <c r="P125" s="4"/>
    </row>
    <row r="126" ht="15.0" customHeight="1">
      <c r="A126" s="4"/>
      <c r="B126" s="4"/>
      <c r="C126" s="4"/>
      <c r="D126" s="4"/>
      <c r="E126" s="4"/>
      <c r="F126" s="4"/>
      <c r="G126" s="4"/>
      <c r="H126" s="96" t="str">
        <f t="shared" si="4"/>
        <v/>
      </c>
      <c r="I126" s="4"/>
      <c r="J126" s="4"/>
      <c r="K126" s="4"/>
      <c r="L126" s="4"/>
      <c r="M126" s="4"/>
      <c r="N126" s="90" t="str">
        <f t="shared" si="5"/>
        <v/>
      </c>
      <c r="O126" s="90" t="str">
        <f t="shared" si="6"/>
        <v/>
      </c>
      <c r="P126" s="4"/>
    </row>
    <row r="127" ht="15.0" customHeight="1">
      <c r="A127" s="4"/>
      <c r="B127" s="4"/>
      <c r="C127" s="4"/>
      <c r="D127" s="4"/>
      <c r="E127" s="4"/>
      <c r="F127" s="4"/>
      <c r="G127" s="4"/>
      <c r="H127" s="105" t="str">
        <f t="shared" si="4"/>
        <v/>
      </c>
      <c r="I127" s="4"/>
      <c r="J127" s="4"/>
      <c r="K127" s="4"/>
      <c r="L127" s="4"/>
      <c r="M127" s="4"/>
      <c r="N127" s="100" t="str">
        <f t="shared" si="5"/>
        <v/>
      </c>
      <c r="O127" s="100" t="str">
        <f t="shared" si="6"/>
        <v/>
      </c>
      <c r="P127" s="4"/>
    </row>
    <row r="128" ht="15.0" customHeight="1">
      <c r="A128" s="4"/>
      <c r="B128" s="4"/>
      <c r="C128" s="4"/>
      <c r="D128" s="4"/>
      <c r="E128" s="4"/>
      <c r="F128" s="4"/>
      <c r="G128" s="4"/>
      <c r="H128" s="96" t="str">
        <f t="shared" si="4"/>
        <v/>
      </c>
      <c r="I128" s="4"/>
      <c r="J128" s="4"/>
      <c r="K128" s="4"/>
      <c r="L128" s="4"/>
      <c r="M128" s="4"/>
      <c r="N128" s="90" t="str">
        <f t="shared" si="5"/>
        <v/>
      </c>
      <c r="O128" s="90" t="str">
        <f t="shared" si="6"/>
        <v/>
      </c>
      <c r="P128" s="4"/>
    </row>
    <row r="129" ht="15.0" customHeight="1">
      <c r="A129" s="4"/>
      <c r="B129" s="4"/>
      <c r="C129" s="4"/>
      <c r="D129" s="4"/>
      <c r="E129" s="4"/>
      <c r="F129" s="4"/>
      <c r="G129" s="4"/>
      <c r="H129" s="105" t="str">
        <f t="shared" si="4"/>
        <v/>
      </c>
      <c r="I129" s="4"/>
      <c r="J129" s="4"/>
      <c r="K129" s="4"/>
      <c r="L129" s="4"/>
      <c r="M129" s="4"/>
      <c r="N129" s="100" t="str">
        <f t="shared" si="5"/>
        <v/>
      </c>
      <c r="O129" s="100" t="str">
        <f t="shared" si="6"/>
        <v/>
      </c>
      <c r="P129" s="4"/>
    </row>
    <row r="130" ht="15.0" customHeight="1">
      <c r="A130" s="4"/>
      <c r="B130" s="4"/>
      <c r="C130" s="4"/>
      <c r="D130" s="4"/>
      <c r="E130" s="4"/>
      <c r="F130" s="4"/>
      <c r="G130" s="4"/>
      <c r="H130" s="96" t="str">
        <f t="shared" si="4"/>
        <v/>
      </c>
      <c r="I130" s="4"/>
      <c r="J130" s="4"/>
      <c r="K130" s="4"/>
      <c r="L130" s="4"/>
      <c r="M130" s="4"/>
      <c r="N130" s="90" t="str">
        <f t="shared" si="5"/>
        <v/>
      </c>
      <c r="O130" s="90" t="str">
        <f t="shared" si="6"/>
        <v/>
      </c>
      <c r="P130" s="4"/>
    </row>
    <row r="131" ht="15.0" customHeight="1">
      <c r="A131" s="4"/>
      <c r="B131" s="4"/>
      <c r="C131" s="4"/>
      <c r="D131" s="4"/>
      <c r="E131" s="4"/>
      <c r="F131" s="4"/>
      <c r="G131" s="4"/>
      <c r="H131" s="105" t="str">
        <f t="shared" si="4"/>
        <v/>
      </c>
      <c r="I131" s="4"/>
      <c r="J131" s="4"/>
      <c r="K131" s="4"/>
      <c r="L131" s="4"/>
      <c r="M131" s="4"/>
      <c r="N131" s="100" t="str">
        <f t="shared" si="5"/>
        <v/>
      </c>
      <c r="O131" s="100" t="str">
        <f t="shared" si="6"/>
        <v/>
      </c>
      <c r="P131" s="4"/>
    </row>
    <row r="132" ht="15.0" customHeight="1">
      <c r="A132" s="4"/>
      <c r="B132" s="4"/>
      <c r="C132" s="4"/>
      <c r="D132" s="4"/>
      <c r="E132" s="4"/>
      <c r="F132" s="4"/>
      <c r="G132" s="4"/>
      <c r="H132" s="96" t="str">
        <f t="shared" si="4"/>
        <v/>
      </c>
      <c r="I132" s="4"/>
      <c r="J132" s="4"/>
      <c r="K132" s="4"/>
      <c r="L132" s="4"/>
      <c r="M132" s="4"/>
      <c r="N132" s="90" t="str">
        <f t="shared" si="5"/>
        <v/>
      </c>
      <c r="O132" s="90" t="str">
        <f t="shared" si="6"/>
        <v/>
      </c>
      <c r="P132" s="4"/>
    </row>
    <row r="133" ht="15.0" customHeight="1">
      <c r="A133" s="4"/>
      <c r="B133" s="4"/>
      <c r="C133" s="4"/>
      <c r="D133" s="4"/>
      <c r="E133" s="4"/>
      <c r="F133" s="4"/>
      <c r="G133" s="4"/>
      <c r="H133" s="105" t="str">
        <f t="shared" si="4"/>
        <v/>
      </c>
      <c r="I133" s="4"/>
      <c r="J133" s="4"/>
      <c r="K133" s="4"/>
      <c r="L133" s="4"/>
      <c r="M133" s="4"/>
      <c r="N133" s="100" t="str">
        <f t="shared" si="5"/>
        <v/>
      </c>
      <c r="O133" s="100" t="str">
        <f t="shared" si="6"/>
        <v/>
      </c>
      <c r="P133" s="4"/>
    </row>
    <row r="134" ht="15.0" customHeight="1">
      <c r="A134" s="4"/>
      <c r="B134" s="4"/>
      <c r="C134" s="4"/>
      <c r="D134" s="4"/>
      <c r="E134" s="4"/>
      <c r="F134" s="4"/>
      <c r="G134" s="4"/>
      <c r="H134" s="96" t="str">
        <f t="shared" si="4"/>
        <v/>
      </c>
      <c r="I134" s="4"/>
      <c r="J134" s="4"/>
      <c r="K134" s="4"/>
      <c r="L134" s="4"/>
      <c r="M134" s="4"/>
      <c r="N134" s="90" t="str">
        <f t="shared" si="5"/>
        <v/>
      </c>
      <c r="O134" s="90" t="str">
        <f t="shared" si="6"/>
        <v/>
      </c>
      <c r="P134" s="4"/>
    </row>
    <row r="135" ht="15.0" customHeight="1">
      <c r="A135" s="4"/>
      <c r="B135" s="4"/>
      <c r="C135" s="4"/>
      <c r="D135" s="4"/>
      <c r="E135" s="4"/>
      <c r="F135" s="4"/>
      <c r="G135" s="4"/>
      <c r="H135" s="105" t="str">
        <f t="shared" si="4"/>
        <v/>
      </c>
      <c r="I135" s="4"/>
      <c r="J135" s="4"/>
      <c r="K135" s="4"/>
      <c r="L135" s="4"/>
      <c r="M135" s="4"/>
      <c r="N135" s="100" t="str">
        <f t="shared" si="5"/>
        <v/>
      </c>
      <c r="O135" s="100" t="str">
        <f t="shared" si="6"/>
        <v/>
      </c>
      <c r="P135" s="4"/>
    </row>
    <row r="136" ht="15.0" customHeight="1">
      <c r="A136" s="4"/>
      <c r="B136" s="4"/>
      <c r="C136" s="4"/>
      <c r="D136" s="4"/>
      <c r="E136" s="4"/>
      <c r="F136" s="4"/>
      <c r="G136" s="4"/>
      <c r="H136" s="96" t="str">
        <f t="shared" si="4"/>
        <v/>
      </c>
      <c r="I136" s="4"/>
      <c r="J136" s="4"/>
      <c r="K136" s="4"/>
      <c r="L136" s="4"/>
      <c r="M136" s="4"/>
      <c r="N136" s="90" t="str">
        <f t="shared" si="5"/>
        <v/>
      </c>
      <c r="O136" s="90" t="str">
        <f t="shared" si="6"/>
        <v/>
      </c>
      <c r="P136" s="4"/>
    </row>
    <row r="137" ht="15.0" customHeight="1">
      <c r="A137" s="4"/>
      <c r="B137" s="4"/>
      <c r="C137" s="4"/>
      <c r="D137" s="4"/>
      <c r="E137" s="4"/>
      <c r="F137" s="4"/>
      <c r="G137" s="4"/>
      <c r="H137" s="105" t="str">
        <f t="shared" si="4"/>
        <v/>
      </c>
      <c r="I137" s="4"/>
      <c r="J137" s="4"/>
      <c r="K137" s="4"/>
      <c r="L137" s="4"/>
      <c r="M137" s="4"/>
      <c r="N137" s="100" t="str">
        <f t="shared" si="5"/>
        <v/>
      </c>
      <c r="O137" s="100" t="str">
        <f t="shared" si="6"/>
        <v/>
      </c>
      <c r="P137" s="4"/>
    </row>
    <row r="138" ht="15.0" customHeight="1">
      <c r="A138" s="4"/>
      <c r="B138" s="4"/>
      <c r="C138" s="4"/>
      <c r="D138" s="4"/>
      <c r="E138" s="4"/>
      <c r="F138" s="4"/>
      <c r="G138" s="4"/>
      <c r="H138" s="96" t="str">
        <f t="shared" si="4"/>
        <v/>
      </c>
      <c r="I138" s="4"/>
      <c r="J138" s="4"/>
      <c r="K138" s="4"/>
      <c r="L138" s="4"/>
      <c r="M138" s="4"/>
      <c r="N138" s="90" t="str">
        <f t="shared" si="5"/>
        <v/>
      </c>
      <c r="O138" s="90" t="str">
        <f t="shared" si="6"/>
        <v/>
      </c>
      <c r="P138" s="4"/>
    </row>
    <row r="139" ht="15.0" customHeight="1">
      <c r="A139" s="4"/>
      <c r="B139" s="4"/>
      <c r="C139" s="4"/>
      <c r="D139" s="4"/>
      <c r="E139" s="4"/>
      <c r="F139" s="4"/>
      <c r="G139" s="4"/>
      <c r="H139" s="105" t="str">
        <f t="shared" si="4"/>
        <v/>
      </c>
      <c r="I139" s="4"/>
      <c r="J139" s="4"/>
      <c r="K139" s="4"/>
      <c r="L139" s="4"/>
      <c r="M139" s="4"/>
      <c r="N139" s="100" t="str">
        <f t="shared" si="5"/>
        <v/>
      </c>
      <c r="O139" s="100" t="str">
        <f t="shared" si="6"/>
        <v/>
      </c>
      <c r="P139" s="4"/>
    </row>
    <row r="140" ht="15.0" customHeight="1">
      <c r="A140" s="4"/>
      <c r="B140" s="4"/>
      <c r="C140" s="4"/>
      <c r="D140" s="4"/>
      <c r="E140" s="4"/>
      <c r="F140" s="4"/>
      <c r="G140" s="4"/>
      <c r="H140" s="96" t="str">
        <f t="shared" si="4"/>
        <v/>
      </c>
      <c r="I140" s="4"/>
      <c r="J140" s="4"/>
      <c r="K140" s="4"/>
      <c r="L140" s="4"/>
      <c r="M140" s="4"/>
      <c r="N140" s="90" t="str">
        <f t="shared" si="5"/>
        <v/>
      </c>
      <c r="O140" s="90" t="str">
        <f t="shared" si="6"/>
        <v/>
      </c>
      <c r="P140" s="4"/>
    </row>
    <row r="141" ht="15.0" customHeight="1">
      <c r="A141" s="4"/>
      <c r="B141" s="4"/>
      <c r="C141" s="4"/>
      <c r="D141" s="4"/>
      <c r="E141" s="4"/>
      <c r="F141" s="4"/>
      <c r="G141" s="4"/>
      <c r="H141" s="105" t="str">
        <f t="shared" si="4"/>
        <v/>
      </c>
      <c r="I141" s="4"/>
      <c r="J141" s="4"/>
      <c r="K141" s="4"/>
      <c r="L141" s="4"/>
      <c r="M141" s="4"/>
      <c r="N141" s="100" t="str">
        <f t="shared" si="5"/>
        <v/>
      </c>
      <c r="O141" s="100" t="str">
        <f t="shared" si="6"/>
        <v/>
      </c>
      <c r="P141" s="4"/>
    </row>
    <row r="142" ht="15.0" customHeight="1">
      <c r="A142" s="4"/>
      <c r="B142" s="4"/>
      <c r="C142" s="4"/>
      <c r="D142" s="4"/>
      <c r="E142" s="4"/>
      <c r="F142" s="4"/>
      <c r="G142" s="4"/>
      <c r="H142" s="96" t="str">
        <f t="shared" si="4"/>
        <v/>
      </c>
      <c r="I142" s="4"/>
      <c r="J142" s="4"/>
      <c r="K142" s="4"/>
      <c r="L142" s="4"/>
      <c r="M142" s="4"/>
      <c r="N142" s="90" t="str">
        <f t="shared" si="5"/>
        <v/>
      </c>
      <c r="O142" s="90" t="str">
        <f t="shared" si="6"/>
        <v/>
      </c>
      <c r="P142" s="4"/>
    </row>
    <row r="143" ht="15.0" customHeight="1">
      <c r="A143" s="4"/>
      <c r="B143" s="4"/>
      <c r="C143" s="4"/>
      <c r="D143" s="4"/>
      <c r="E143" s="4"/>
      <c r="F143" s="4"/>
      <c r="G143" s="4"/>
      <c r="H143" s="105" t="str">
        <f t="shared" si="4"/>
        <v/>
      </c>
      <c r="I143" s="4"/>
      <c r="J143" s="4"/>
      <c r="K143" s="4"/>
      <c r="L143" s="4"/>
      <c r="M143" s="4"/>
      <c r="N143" s="100" t="str">
        <f t="shared" si="5"/>
        <v/>
      </c>
      <c r="O143" s="100" t="str">
        <f t="shared" si="6"/>
        <v/>
      </c>
      <c r="P143" s="4"/>
    </row>
    <row r="144" ht="15.0" customHeight="1">
      <c r="A144" s="4"/>
      <c r="B144" s="4"/>
      <c r="C144" s="4"/>
      <c r="D144" s="4"/>
      <c r="E144" s="4"/>
      <c r="F144" s="4"/>
      <c r="G144" s="4"/>
      <c r="H144" s="96" t="str">
        <f t="shared" si="4"/>
        <v/>
      </c>
      <c r="I144" s="4"/>
      <c r="J144" s="4"/>
      <c r="K144" s="4"/>
      <c r="L144" s="4"/>
      <c r="M144" s="4"/>
      <c r="N144" s="90" t="str">
        <f t="shared" si="5"/>
        <v/>
      </c>
      <c r="O144" s="90" t="str">
        <f t="shared" si="6"/>
        <v/>
      </c>
      <c r="P144" s="4"/>
    </row>
    <row r="145" ht="15.0" customHeight="1">
      <c r="A145" s="4"/>
      <c r="B145" s="4"/>
      <c r="C145" s="4"/>
      <c r="D145" s="4"/>
      <c r="E145" s="4"/>
      <c r="F145" s="4"/>
      <c r="G145" s="4"/>
      <c r="H145" s="105" t="str">
        <f t="shared" si="4"/>
        <v/>
      </c>
      <c r="I145" s="4"/>
      <c r="J145" s="4"/>
      <c r="K145" s="4"/>
      <c r="L145" s="4"/>
      <c r="M145" s="4"/>
      <c r="N145" s="100" t="str">
        <f t="shared" si="5"/>
        <v/>
      </c>
      <c r="O145" s="100" t="str">
        <f t="shared" si="6"/>
        <v/>
      </c>
      <c r="P145" s="4"/>
    </row>
    <row r="146" ht="15.0" customHeight="1">
      <c r="A146" s="4"/>
      <c r="B146" s="4"/>
      <c r="C146" s="4"/>
      <c r="D146" s="4"/>
      <c r="E146" s="4"/>
      <c r="F146" s="4"/>
      <c r="G146" s="4"/>
      <c r="H146" s="96" t="str">
        <f t="shared" si="4"/>
        <v/>
      </c>
      <c r="I146" s="4"/>
      <c r="J146" s="4"/>
      <c r="K146" s="4"/>
      <c r="L146" s="4"/>
      <c r="M146" s="4"/>
      <c r="N146" s="90" t="str">
        <f t="shared" si="5"/>
        <v/>
      </c>
      <c r="O146" s="90" t="str">
        <f t="shared" si="6"/>
        <v/>
      </c>
      <c r="P146" s="4"/>
    </row>
    <row r="147" ht="15.0" customHeight="1">
      <c r="A147" s="4"/>
      <c r="B147" s="4"/>
      <c r="C147" s="4"/>
      <c r="D147" s="4"/>
      <c r="E147" s="4"/>
      <c r="F147" s="4"/>
      <c r="G147" s="4"/>
      <c r="H147" s="105" t="str">
        <f t="shared" si="4"/>
        <v/>
      </c>
      <c r="I147" s="4"/>
      <c r="J147" s="4"/>
      <c r="K147" s="4"/>
      <c r="L147" s="4"/>
      <c r="M147" s="4"/>
      <c r="N147" s="100" t="str">
        <f t="shared" si="5"/>
        <v/>
      </c>
      <c r="O147" s="100" t="str">
        <f t="shared" si="6"/>
        <v/>
      </c>
      <c r="P147" s="4"/>
    </row>
    <row r="148" ht="15.0" customHeight="1">
      <c r="A148" s="4"/>
      <c r="B148" s="4"/>
      <c r="C148" s="4"/>
      <c r="D148" s="4"/>
      <c r="E148" s="4"/>
      <c r="F148" s="4"/>
      <c r="G148" s="4"/>
      <c r="H148" s="96" t="str">
        <f t="shared" si="4"/>
        <v/>
      </c>
      <c r="I148" s="4"/>
      <c r="J148" s="4"/>
      <c r="K148" s="4"/>
      <c r="L148" s="4"/>
      <c r="M148" s="4"/>
      <c r="N148" s="90" t="str">
        <f t="shared" si="5"/>
        <v/>
      </c>
      <c r="O148" s="90" t="str">
        <f t="shared" si="6"/>
        <v/>
      </c>
      <c r="P148" s="4"/>
    </row>
    <row r="149" ht="15.0" customHeight="1">
      <c r="A149" s="4"/>
      <c r="B149" s="4"/>
      <c r="C149" s="4"/>
      <c r="D149" s="4"/>
      <c r="E149" s="4"/>
      <c r="F149" s="4"/>
      <c r="G149" s="4"/>
      <c r="H149" s="105" t="str">
        <f t="shared" si="4"/>
        <v/>
      </c>
      <c r="I149" s="4"/>
      <c r="J149" s="4"/>
      <c r="K149" s="4"/>
      <c r="L149" s="4"/>
      <c r="M149" s="4"/>
      <c r="N149" s="100" t="str">
        <f t="shared" si="5"/>
        <v/>
      </c>
      <c r="O149" s="100" t="str">
        <f t="shared" si="6"/>
        <v/>
      </c>
      <c r="P149" s="4"/>
    </row>
    <row r="150" ht="15.0" customHeight="1">
      <c r="A150" s="4"/>
      <c r="B150" s="4"/>
      <c r="C150" s="4"/>
      <c r="D150" s="4"/>
      <c r="E150" s="4"/>
      <c r="F150" s="4"/>
      <c r="G150" s="4"/>
      <c r="H150" s="96" t="str">
        <f t="shared" si="4"/>
        <v/>
      </c>
      <c r="I150" s="4"/>
      <c r="J150" s="4"/>
      <c r="K150" s="4"/>
      <c r="L150" s="4"/>
      <c r="M150" s="4"/>
      <c r="N150" s="90" t="str">
        <f t="shared" si="5"/>
        <v/>
      </c>
      <c r="O150" s="90" t="str">
        <f t="shared" si="6"/>
        <v/>
      </c>
      <c r="P150" s="4"/>
    </row>
    <row r="151" ht="15.0" customHeight="1">
      <c r="A151" s="4"/>
      <c r="B151" s="4"/>
      <c r="C151" s="4"/>
      <c r="D151" s="4"/>
      <c r="E151" s="4"/>
      <c r="F151" s="4"/>
      <c r="G151" s="4"/>
      <c r="H151" s="105" t="str">
        <f t="shared" si="4"/>
        <v/>
      </c>
      <c r="I151" s="4"/>
      <c r="J151" s="4"/>
      <c r="K151" s="4"/>
      <c r="L151" s="4"/>
      <c r="M151" s="4"/>
      <c r="N151" s="100" t="str">
        <f t="shared" si="5"/>
        <v/>
      </c>
      <c r="O151" s="100" t="str">
        <f t="shared" si="6"/>
        <v/>
      </c>
      <c r="P151" s="4"/>
    </row>
    <row r="152" ht="15.0" customHeight="1">
      <c r="A152" s="4"/>
      <c r="B152" s="4"/>
      <c r="C152" s="4"/>
      <c r="D152" s="4"/>
      <c r="E152" s="4"/>
      <c r="F152" s="4"/>
      <c r="G152" s="4"/>
      <c r="H152" s="96" t="str">
        <f t="shared" si="4"/>
        <v/>
      </c>
      <c r="I152" s="4"/>
      <c r="J152" s="4"/>
      <c r="K152" s="4"/>
      <c r="L152" s="4"/>
      <c r="M152" s="4"/>
      <c r="N152" s="90" t="str">
        <f t="shared" si="5"/>
        <v/>
      </c>
      <c r="O152" s="90" t="str">
        <f t="shared" si="6"/>
        <v/>
      </c>
      <c r="P152" s="4"/>
    </row>
    <row r="153" ht="15.0" customHeight="1">
      <c r="A153" s="4"/>
      <c r="B153" s="4"/>
      <c r="C153" s="4"/>
      <c r="D153" s="4"/>
      <c r="E153" s="4"/>
      <c r="F153" s="4"/>
      <c r="G153" s="4"/>
      <c r="H153" s="105" t="str">
        <f t="shared" si="4"/>
        <v/>
      </c>
      <c r="I153" s="4"/>
      <c r="J153" s="4"/>
      <c r="K153" s="4"/>
      <c r="L153" s="4"/>
      <c r="M153" s="4"/>
      <c r="N153" s="100" t="str">
        <f t="shared" si="5"/>
        <v/>
      </c>
      <c r="O153" s="100" t="str">
        <f t="shared" si="6"/>
        <v/>
      </c>
      <c r="P153" s="4"/>
    </row>
    <row r="154" ht="15.0" customHeight="1">
      <c r="A154" s="4"/>
      <c r="B154" s="4"/>
      <c r="C154" s="4"/>
      <c r="D154" s="4"/>
      <c r="E154" s="4"/>
      <c r="F154" s="4"/>
      <c r="G154" s="4"/>
      <c r="H154" s="96" t="str">
        <f t="shared" si="4"/>
        <v/>
      </c>
      <c r="I154" s="4"/>
      <c r="J154" s="4"/>
      <c r="K154" s="4"/>
      <c r="L154" s="4"/>
      <c r="M154" s="4"/>
      <c r="N154" s="90" t="str">
        <f t="shared" si="5"/>
        <v/>
      </c>
      <c r="O154" s="90" t="str">
        <f t="shared" si="6"/>
        <v/>
      </c>
      <c r="P154" s="4"/>
    </row>
    <row r="155" ht="15.0" customHeight="1">
      <c r="A155" s="4"/>
      <c r="B155" s="4"/>
      <c r="C155" s="4"/>
      <c r="D155" s="4"/>
      <c r="E155" s="4"/>
      <c r="F155" s="4"/>
      <c r="G155" s="4"/>
      <c r="H155" s="105" t="str">
        <f t="shared" si="4"/>
        <v/>
      </c>
      <c r="I155" s="4"/>
      <c r="J155" s="4"/>
      <c r="K155" s="4"/>
      <c r="L155" s="4"/>
      <c r="M155" s="4"/>
      <c r="N155" s="100" t="str">
        <f t="shared" si="5"/>
        <v/>
      </c>
      <c r="O155" s="100" t="str">
        <f t="shared" si="6"/>
        <v/>
      </c>
      <c r="P155" s="4"/>
    </row>
    <row r="156" ht="15.0" customHeight="1">
      <c r="A156" s="4"/>
      <c r="B156" s="4"/>
      <c r="C156" s="4"/>
      <c r="D156" s="4"/>
      <c r="E156" s="4"/>
      <c r="F156" s="4"/>
      <c r="G156" s="4"/>
      <c r="H156" s="96" t="str">
        <f t="shared" si="4"/>
        <v/>
      </c>
      <c r="I156" s="4"/>
      <c r="J156" s="4"/>
      <c r="K156" s="4"/>
      <c r="L156" s="4"/>
      <c r="M156" s="4"/>
      <c r="N156" s="90" t="str">
        <f t="shared" si="5"/>
        <v/>
      </c>
      <c r="O156" s="90" t="str">
        <f t="shared" si="6"/>
        <v/>
      </c>
      <c r="P156" s="4"/>
    </row>
    <row r="157" ht="15.0" customHeight="1">
      <c r="A157" s="4"/>
      <c r="B157" s="4"/>
      <c r="C157" s="4"/>
      <c r="D157" s="4"/>
      <c r="E157" s="4"/>
      <c r="F157" s="4"/>
      <c r="G157" s="4"/>
      <c r="H157" s="105" t="str">
        <f t="shared" si="4"/>
        <v/>
      </c>
      <c r="I157" s="4"/>
      <c r="J157" s="4"/>
      <c r="K157" s="4"/>
      <c r="L157" s="4"/>
      <c r="M157" s="4"/>
      <c r="N157" s="100" t="str">
        <f t="shared" si="5"/>
        <v/>
      </c>
      <c r="O157" s="100" t="str">
        <f t="shared" si="6"/>
        <v/>
      </c>
      <c r="P157" s="4"/>
    </row>
    <row r="158" ht="15.0" customHeight="1">
      <c r="A158" s="4"/>
      <c r="B158" s="4"/>
      <c r="C158" s="4"/>
      <c r="D158" s="4"/>
      <c r="E158" s="4"/>
      <c r="F158" s="4"/>
      <c r="G158" s="4"/>
      <c r="H158" s="96" t="str">
        <f t="shared" si="4"/>
        <v/>
      </c>
      <c r="I158" s="4"/>
      <c r="J158" s="4"/>
      <c r="K158" s="4"/>
      <c r="L158" s="4"/>
      <c r="M158" s="4"/>
      <c r="N158" s="90" t="str">
        <f t="shared" si="5"/>
        <v/>
      </c>
      <c r="O158" s="90" t="str">
        <f t="shared" si="6"/>
        <v/>
      </c>
      <c r="P158" s="4"/>
    </row>
    <row r="159" ht="15.0" customHeight="1">
      <c r="A159" s="4"/>
      <c r="B159" s="4"/>
      <c r="C159" s="4"/>
      <c r="D159" s="4"/>
      <c r="E159" s="4"/>
      <c r="F159" s="4"/>
      <c r="G159" s="4"/>
      <c r="H159" s="105" t="str">
        <f t="shared" si="4"/>
        <v/>
      </c>
      <c r="I159" s="4"/>
      <c r="J159" s="4"/>
      <c r="K159" s="4"/>
      <c r="L159" s="4"/>
      <c r="M159" s="4"/>
      <c r="N159" s="100" t="str">
        <f t="shared" si="5"/>
        <v/>
      </c>
      <c r="O159" s="100" t="str">
        <f t="shared" si="6"/>
        <v/>
      </c>
      <c r="P159" s="4"/>
    </row>
    <row r="160" ht="15.0" customHeight="1">
      <c r="A160" s="4"/>
      <c r="B160" s="4"/>
      <c r="C160" s="4"/>
      <c r="D160" s="4"/>
      <c r="E160" s="4"/>
      <c r="F160" s="4"/>
      <c r="G160" s="4"/>
      <c r="H160" s="96" t="str">
        <f t="shared" si="4"/>
        <v/>
      </c>
      <c r="I160" s="4"/>
      <c r="J160" s="4"/>
      <c r="K160" s="4"/>
      <c r="L160" s="4"/>
      <c r="M160" s="4"/>
      <c r="N160" s="90" t="str">
        <f t="shared" si="5"/>
        <v/>
      </c>
      <c r="O160" s="90" t="str">
        <f t="shared" si="6"/>
        <v/>
      </c>
      <c r="P160" s="4"/>
    </row>
    <row r="161" ht="15.0" customHeight="1">
      <c r="A161" s="4"/>
      <c r="B161" s="4"/>
      <c r="C161" s="4"/>
      <c r="D161" s="4"/>
      <c r="E161" s="4"/>
      <c r="F161" s="4"/>
      <c r="G161" s="4"/>
      <c r="H161" s="105" t="str">
        <f t="shared" si="4"/>
        <v/>
      </c>
      <c r="I161" s="4"/>
      <c r="J161" s="4"/>
      <c r="K161" s="4"/>
      <c r="L161" s="4"/>
      <c r="M161" s="4"/>
      <c r="N161" s="100" t="str">
        <f t="shared" si="5"/>
        <v/>
      </c>
      <c r="O161" s="100" t="str">
        <f t="shared" si="6"/>
        <v/>
      </c>
      <c r="P161" s="4"/>
    </row>
    <row r="162" ht="15.0" customHeight="1">
      <c r="A162" s="4"/>
      <c r="B162" s="4"/>
      <c r="C162" s="4"/>
      <c r="D162" s="4"/>
      <c r="E162" s="4"/>
      <c r="F162" s="4"/>
      <c r="G162" s="4"/>
      <c r="H162" s="96" t="str">
        <f t="shared" si="4"/>
        <v/>
      </c>
      <c r="I162" s="4"/>
      <c r="J162" s="4"/>
      <c r="K162" s="4"/>
      <c r="L162" s="4"/>
      <c r="M162" s="4"/>
      <c r="N162" s="90" t="str">
        <f t="shared" si="5"/>
        <v/>
      </c>
      <c r="O162" s="90" t="str">
        <f t="shared" si="6"/>
        <v/>
      </c>
      <c r="P162" s="4"/>
    </row>
    <row r="163" ht="15.0" customHeight="1">
      <c r="A163" s="4"/>
      <c r="B163" s="4"/>
      <c r="C163" s="4"/>
      <c r="D163" s="4"/>
      <c r="E163" s="4"/>
      <c r="F163" s="4"/>
      <c r="G163" s="4"/>
      <c r="H163" s="105" t="str">
        <f t="shared" si="4"/>
        <v/>
      </c>
      <c r="I163" s="4"/>
      <c r="J163" s="4"/>
      <c r="K163" s="4"/>
      <c r="L163" s="4"/>
      <c r="M163" s="4"/>
      <c r="N163" s="100" t="str">
        <f t="shared" si="5"/>
        <v/>
      </c>
      <c r="O163" s="100" t="str">
        <f t="shared" si="6"/>
        <v/>
      </c>
      <c r="P163" s="4"/>
    </row>
    <row r="164" ht="15.0" customHeight="1">
      <c r="A164" s="4"/>
      <c r="B164" s="4"/>
      <c r="C164" s="4"/>
      <c r="D164" s="4"/>
      <c r="E164" s="4"/>
      <c r="F164" s="4"/>
      <c r="G164" s="4"/>
      <c r="H164" s="96" t="str">
        <f t="shared" si="4"/>
        <v/>
      </c>
      <c r="I164" s="4"/>
      <c r="J164" s="4"/>
      <c r="K164" s="4"/>
      <c r="L164" s="4"/>
      <c r="M164" s="4"/>
      <c r="N164" s="90" t="str">
        <f t="shared" si="5"/>
        <v/>
      </c>
      <c r="O164" s="90" t="str">
        <f t="shared" si="6"/>
        <v/>
      </c>
      <c r="P164" s="4"/>
    </row>
    <row r="165" ht="15.0" customHeight="1">
      <c r="A165" s="4"/>
      <c r="B165" s="4"/>
      <c r="C165" s="4"/>
      <c r="D165" s="4"/>
      <c r="E165" s="4"/>
      <c r="F165" s="4"/>
      <c r="G165" s="4"/>
      <c r="H165" s="105" t="str">
        <f t="shared" si="4"/>
        <v/>
      </c>
      <c r="I165" s="4"/>
      <c r="J165" s="4"/>
      <c r="K165" s="4"/>
      <c r="L165" s="4"/>
      <c r="M165" s="4"/>
      <c r="N165" s="100" t="str">
        <f t="shared" si="5"/>
        <v/>
      </c>
      <c r="O165" s="100" t="str">
        <f t="shared" si="6"/>
        <v/>
      </c>
      <c r="P165" s="4"/>
    </row>
    <row r="166" ht="15.0" customHeight="1">
      <c r="A166" s="4"/>
      <c r="B166" s="4"/>
      <c r="C166" s="4"/>
      <c r="D166" s="4"/>
      <c r="E166" s="4"/>
      <c r="F166" s="4"/>
      <c r="G166" s="4"/>
      <c r="H166" s="96" t="str">
        <f t="shared" si="4"/>
        <v/>
      </c>
      <c r="I166" s="4"/>
      <c r="J166" s="4"/>
      <c r="K166" s="4"/>
      <c r="L166" s="4"/>
      <c r="M166" s="4"/>
      <c r="N166" s="90" t="str">
        <f t="shared" si="5"/>
        <v/>
      </c>
      <c r="O166" s="90" t="str">
        <f t="shared" si="6"/>
        <v/>
      </c>
      <c r="P166" s="4"/>
    </row>
    <row r="167" ht="15.0" customHeight="1">
      <c r="A167" s="4"/>
      <c r="B167" s="4"/>
      <c r="C167" s="4"/>
      <c r="D167" s="4"/>
      <c r="E167" s="4"/>
      <c r="F167" s="4"/>
      <c r="G167" s="4"/>
      <c r="H167" s="105" t="str">
        <f t="shared" si="4"/>
        <v/>
      </c>
      <c r="I167" s="4"/>
      <c r="J167" s="4"/>
      <c r="K167" s="4"/>
      <c r="L167" s="4"/>
      <c r="M167" s="4"/>
      <c r="N167" s="100" t="str">
        <f t="shared" si="5"/>
        <v/>
      </c>
      <c r="O167" s="100" t="str">
        <f t="shared" si="6"/>
        <v/>
      </c>
      <c r="P167" s="4"/>
    </row>
    <row r="168" ht="15.0" customHeight="1">
      <c r="A168" s="4"/>
      <c r="B168" s="4"/>
      <c r="C168" s="4"/>
      <c r="D168" s="4"/>
      <c r="E168" s="4"/>
      <c r="F168" s="4"/>
      <c r="G168" s="4"/>
      <c r="H168" s="96" t="str">
        <f t="shared" si="4"/>
        <v/>
      </c>
      <c r="I168" s="4"/>
      <c r="J168" s="4"/>
      <c r="K168" s="4"/>
      <c r="L168" s="4"/>
      <c r="M168" s="4"/>
      <c r="N168" s="90" t="str">
        <f t="shared" si="5"/>
        <v/>
      </c>
      <c r="O168" s="90" t="str">
        <f t="shared" si="6"/>
        <v/>
      </c>
      <c r="P168" s="4"/>
    </row>
    <row r="169" ht="15.0" customHeight="1">
      <c r="A169" s="4"/>
      <c r="B169" s="4"/>
      <c r="C169" s="4"/>
      <c r="D169" s="4"/>
      <c r="E169" s="4"/>
      <c r="F169" s="4"/>
      <c r="G169" s="4"/>
      <c r="H169" s="105" t="str">
        <f t="shared" si="4"/>
        <v/>
      </c>
      <c r="I169" s="4"/>
      <c r="J169" s="4"/>
      <c r="K169" s="4"/>
      <c r="L169" s="4"/>
      <c r="M169" s="4"/>
      <c r="N169" s="100" t="str">
        <f t="shared" si="5"/>
        <v/>
      </c>
      <c r="O169" s="100" t="str">
        <f t="shared" si="6"/>
        <v/>
      </c>
      <c r="P169" s="4"/>
    </row>
    <row r="170" ht="15.0" customHeight="1">
      <c r="A170" s="4"/>
      <c r="B170" s="4"/>
      <c r="C170" s="4"/>
      <c r="D170" s="4"/>
      <c r="E170" s="4"/>
      <c r="F170" s="4"/>
      <c r="G170" s="4"/>
      <c r="H170" s="96" t="str">
        <f t="shared" si="4"/>
        <v/>
      </c>
      <c r="I170" s="4"/>
      <c r="J170" s="4"/>
      <c r="K170" s="4"/>
      <c r="L170" s="4"/>
      <c r="M170" s="4"/>
      <c r="N170" s="90" t="str">
        <f t="shared" si="5"/>
        <v/>
      </c>
      <c r="O170" s="90" t="str">
        <f t="shared" si="6"/>
        <v/>
      </c>
      <c r="P170" s="4"/>
    </row>
    <row r="171" ht="15.0" customHeight="1">
      <c r="A171" s="4"/>
      <c r="B171" s="4"/>
      <c r="C171" s="4"/>
      <c r="D171" s="4"/>
      <c r="E171" s="4"/>
      <c r="F171" s="4"/>
      <c r="G171" s="4"/>
      <c r="H171" s="105" t="str">
        <f t="shared" si="4"/>
        <v/>
      </c>
      <c r="I171" s="4"/>
      <c r="J171" s="4"/>
      <c r="K171" s="4"/>
      <c r="L171" s="4"/>
      <c r="M171" s="4"/>
      <c r="N171" s="100" t="str">
        <f t="shared" si="5"/>
        <v/>
      </c>
      <c r="O171" s="100" t="str">
        <f t="shared" si="6"/>
        <v/>
      </c>
      <c r="P171" s="4"/>
    </row>
    <row r="172" ht="15.0" customHeight="1">
      <c r="A172" s="4"/>
      <c r="B172" s="4"/>
      <c r="C172" s="4"/>
      <c r="D172" s="4"/>
      <c r="E172" s="4"/>
      <c r="F172" s="4"/>
      <c r="G172" s="4"/>
      <c r="H172" s="96" t="str">
        <f t="shared" si="4"/>
        <v/>
      </c>
      <c r="I172" s="4"/>
      <c r="J172" s="4"/>
      <c r="K172" s="4"/>
      <c r="L172" s="4"/>
      <c r="M172" s="4"/>
      <c r="N172" s="90" t="str">
        <f t="shared" si="5"/>
        <v/>
      </c>
      <c r="O172" s="90" t="str">
        <f t="shared" si="6"/>
        <v/>
      </c>
      <c r="P172" s="4"/>
    </row>
    <row r="173" ht="15.0" customHeight="1">
      <c r="A173" s="4"/>
      <c r="B173" s="4"/>
      <c r="C173" s="4"/>
      <c r="D173" s="4"/>
      <c r="E173" s="4"/>
      <c r="F173" s="4"/>
      <c r="G173" s="4"/>
      <c r="H173" s="105" t="str">
        <f t="shared" si="4"/>
        <v/>
      </c>
      <c r="I173" s="4"/>
      <c r="J173" s="4"/>
      <c r="K173" s="4"/>
      <c r="L173" s="4"/>
      <c r="M173" s="4"/>
      <c r="N173" s="100" t="str">
        <f t="shared" si="5"/>
        <v/>
      </c>
      <c r="O173" s="100" t="str">
        <f t="shared" si="6"/>
        <v/>
      </c>
      <c r="P173" s="4"/>
    </row>
    <row r="174" ht="15.0" customHeight="1">
      <c r="A174" s="4"/>
      <c r="B174" s="4"/>
      <c r="C174" s="4"/>
      <c r="D174" s="4"/>
      <c r="E174" s="4"/>
      <c r="F174" s="4"/>
      <c r="G174" s="4"/>
      <c r="H174" s="96" t="str">
        <f t="shared" si="4"/>
        <v/>
      </c>
      <c r="I174" s="4"/>
      <c r="J174" s="4"/>
      <c r="K174" s="4"/>
      <c r="L174" s="4"/>
      <c r="M174" s="4"/>
      <c r="N174" s="90" t="str">
        <f t="shared" si="5"/>
        <v/>
      </c>
      <c r="O174" s="90" t="str">
        <f t="shared" si="6"/>
        <v/>
      </c>
      <c r="P174" s="4"/>
    </row>
    <row r="175" ht="15.0" customHeight="1">
      <c r="A175" s="4"/>
      <c r="B175" s="4"/>
      <c r="C175" s="4"/>
      <c r="D175" s="4"/>
      <c r="E175" s="4"/>
      <c r="F175" s="4"/>
      <c r="G175" s="4"/>
      <c r="H175" s="105" t="str">
        <f t="shared" si="4"/>
        <v/>
      </c>
      <c r="I175" s="4"/>
      <c r="J175" s="4"/>
      <c r="K175" s="4"/>
      <c r="L175" s="4"/>
      <c r="M175" s="4"/>
      <c r="N175" s="100" t="str">
        <f t="shared" si="5"/>
        <v/>
      </c>
      <c r="O175" s="100" t="str">
        <f t="shared" si="6"/>
        <v/>
      </c>
      <c r="P175" s="4"/>
    </row>
    <row r="176" ht="15.0" customHeight="1">
      <c r="A176" s="4"/>
      <c r="B176" s="4"/>
      <c r="C176" s="4"/>
      <c r="D176" s="4"/>
      <c r="E176" s="4"/>
      <c r="F176" s="4"/>
      <c r="G176" s="4"/>
      <c r="H176" s="96" t="str">
        <f t="shared" si="4"/>
        <v/>
      </c>
      <c r="I176" s="4"/>
      <c r="J176" s="4"/>
      <c r="K176" s="4"/>
      <c r="L176" s="4"/>
      <c r="M176" s="4"/>
      <c r="N176" s="90" t="str">
        <f t="shared" si="5"/>
        <v/>
      </c>
      <c r="O176" s="90" t="str">
        <f t="shared" si="6"/>
        <v/>
      </c>
      <c r="P176" s="4"/>
    </row>
    <row r="177" ht="15.0" customHeight="1">
      <c r="A177" s="4"/>
      <c r="B177" s="4"/>
      <c r="C177" s="4"/>
      <c r="D177" s="4"/>
      <c r="E177" s="4"/>
      <c r="F177" s="4"/>
      <c r="G177" s="4"/>
      <c r="H177" s="105" t="str">
        <f t="shared" si="4"/>
        <v/>
      </c>
      <c r="I177" s="4"/>
      <c r="J177" s="4"/>
      <c r="K177" s="4"/>
      <c r="L177" s="4"/>
      <c r="M177" s="4"/>
      <c r="N177" s="100" t="str">
        <f t="shared" si="5"/>
        <v/>
      </c>
      <c r="O177" s="100" t="str">
        <f t="shared" si="6"/>
        <v/>
      </c>
      <c r="P177" s="4"/>
    </row>
    <row r="178" ht="15.0" customHeight="1">
      <c r="A178" s="4"/>
      <c r="B178" s="4"/>
      <c r="C178" s="4"/>
      <c r="D178" s="4"/>
      <c r="E178" s="4"/>
      <c r="F178" s="4"/>
      <c r="G178" s="4"/>
      <c r="H178" s="96" t="str">
        <f t="shared" si="4"/>
        <v/>
      </c>
      <c r="I178" s="4"/>
      <c r="J178" s="4"/>
      <c r="K178" s="4"/>
      <c r="L178" s="4"/>
      <c r="M178" s="4"/>
      <c r="N178" s="90" t="str">
        <f t="shared" si="5"/>
        <v/>
      </c>
      <c r="O178" s="90" t="str">
        <f t="shared" si="6"/>
        <v/>
      </c>
      <c r="P178" s="4"/>
    </row>
    <row r="179" ht="15.0" customHeight="1">
      <c r="A179" s="4"/>
      <c r="B179" s="4"/>
      <c r="C179" s="4"/>
      <c r="D179" s="4"/>
      <c r="E179" s="4"/>
      <c r="F179" s="4"/>
      <c r="G179" s="4"/>
      <c r="H179" s="105" t="str">
        <f t="shared" si="4"/>
        <v/>
      </c>
      <c r="I179" s="4"/>
      <c r="J179" s="4"/>
      <c r="K179" s="4"/>
      <c r="L179" s="4"/>
      <c r="M179" s="4"/>
      <c r="N179" s="100" t="str">
        <f t="shared" si="5"/>
        <v/>
      </c>
      <c r="O179" s="100" t="str">
        <f t="shared" si="6"/>
        <v/>
      </c>
      <c r="P179" s="4"/>
    </row>
    <row r="180" ht="15.0" customHeight="1">
      <c r="A180" s="4"/>
      <c r="B180" s="4"/>
      <c r="C180" s="4"/>
      <c r="D180" s="4"/>
      <c r="E180" s="4"/>
      <c r="F180" s="4"/>
      <c r="G180" s="4"/>
      <c r="H180" s="96" t="str">
        <f t="shared" si="4"/>
        <v/>
      </c>
      <c r="I180" s="4"/>
      <c r="J180" s="4"/>
      <c r="K180" s="4"/>
      <c r="L180" s="4"/>
      <c r="M180" s="4"/>
      <c r="N180" s="90" t="str">
        <f t="shared" si="5"/>
        <v/>
      </c>
      <c r="O180" s="90" t="str">
        <f t="shared" si="6"/>
        <v/>
      </c>
      <c r="P180" s="4"/>
    </row>
    <row r="181" ht="15.0" customHeight="1">
      <c r="A181" s="4"/>
      <c r="B181" s="4"/>
      <c r="C181" s="4"/>
      <c r="D181" s="4"/>
      <c r="E181" s="4"/>
      <c r="F181" s="4"/>
      <c r="G181" s="4"/>
      <c r="H181" s="105" t="str">
        <f t="shared" si="4"/>
        <v/>
      </c>
      <c r="I181" s="4"/>
      <c r="J181" s="4"/>
      <c r="K181" s="4"/>
      <c r="L181" s="4"/>
      <c r="M181" s="4"/>
      <c r="N181" s="100" t="str">
        <f t="shared" si="5"/>
        <v/>
      </c>
      <c r="O181" s="100" t="str">
        <f t="shared" si="6"/>
        <v/>
      </c>
      <c r="P181" s="4"/>
    </row>
    <row r="182" ht="15.0" customHeight="1">
      <c r="A182" s="4"/>
      <c r="B182" s="4"/>
      <c r="C182" s="4"/>
      <c r="D182" s="4"/>
      <c r="E182" s="4"/>
      <c r="F182" s="4"/>
      <c r="G182" s="4"/>
      <c r="H182" s="96" t="str">
        <f t="shared" si="4"/>
        <v/>
      </c>
      <c r="I182" s="4"/>
      <c r="J182" s="4"/>
      <c r="K182" s="4"/>
      <c r="L182" s="4"/>
      <c r="M182" s="4"/>
      <c r="N182" s="90" t="str">
        <f t="shared" si="5"/>
        <v/>
      </c>
      <c r="O182" s="90" t="str">
        <f t="shared" si="6"/>
        <v/>
      </c>
      <c r="P182" s="4"/>
    </row>
    <row r="183" ht="15.0" customHeight="1">
      <c r="A183" s="4"/>
      <c r="B183" s="4"/>
      <c r="C183" s="4"/>
      <c r="D183" s="4"/>
      <c r="E183" s="4"/>
      <c r="F183" s="4"/>
      <c r="G183" s="4"/>
      <c r="H183" s="105" t="str">
        <f t="shared" si="4"/>
        <v/>
      </c>
      <c r="I183" s="4"/>
      <c r="J183" s="4"/>
      <c r="K183" s="4"/>
      <c r="L183" s="4"/>
      <c r="M183" s="4"/>
      <c r="N183" s="100" t="str">
        <f t="shared" si="5"/>
        <v/>
      </c>
      <c r="O183" s="100" t="str">
        <f t="shared" si="6"/>
        <v/>
      </c>
      <c r="P183" s="4"/>
    </row>
    <row r="184" ht="15.0" customHeight="1">
      <c r="A184" s="4"/>
      <c r="B184" s="4"/>
      <c r="C184" s="4"/>
      <c r="D184" s="4"/>
      <c r="E184" s="4"/>
      <c r="F184" s="4"/>
      <c r="G184" s="4"/>
      <c r="H184" s="96" t="str">
        <f t="shared" si="4"/>
        <v/>
      </c>
      <c r="I184" s="4"/>
      <c r="J184" s="4"/>
      <c r="K184" s="4"/>
      <c r="L184" s="4"/>
      <c r="M184" s="4"/>
      <c r="N184" s="90" t="str">
        <f t="shared" si="5"/>
        <v/>
      </c>
      <c r="O184" s="90" t="str">
        <f t="shared" si="6"/>
        <v/>
      </c>
      <c r="P184" s="4"/>
    </row>
    <row r="185" ht="15.0" customHeight="1">
      <c r="A185" s="4"/>
      <c r="B185" s="4"/>
      <c r="C185" s="4"/>
      <c r="D185" s="4"/>
      <c r="E185" s="4"/>
      <c r="F185" s="4"/>
      <c r="G185" s="4"/>
      <c r="H185" s="105" t="str">
        <f t="shared" si="4"/>
        <v/>
      </c>
      <c r="I185" s="4"/>
      <c r="J185" s="4"/>
      <c r="K185" s="4"/>
      <c r="L185" s="4"/>
      <c r="M185" s="4"/>
      <c r="N185" s="100" t="str">
        <f t="shared" si="5"/>
        <v/>
      </c>
      <c r="O185" s="100" t="str">
        <f t="shared" si="6"/>
        <v/>
      </c>
      <c r="P185" s="4"/>
    </row>
    <row r="186" ht="15.0" customHeight="1">
      <c r="A186" s="4"/>
      <c r="B186" s="4"/>
      <c r="C186" s="4"/>
      <c r="D186" s="4"/>
      <c r="E186" s="4"/>
      <c r="F186" s="4"/>
      <c r="G186" s="4"/>
      <c r="H186" s="96" t="str">
        <f t="shared" si="4"/>
        <v/>
      </c>
      <c r="I186" s="4"/>
      <c r="J186" s="4"/>
      <c r="K186" s="4"/>
      <c r="L186" s="4"/>
      <c r="M186" s="4"/>
      <c r="N186" s="90" t="str">
        <f t="shared" si="5"/>
        <v/>
      </c>
      <c r="O186" s="90" t="str">
        <f t="shared" si="6"/>
        <v/>
      </c>
      <c r="P186" s="4"/>
    </row>
    <row r="187" ht="15.0" customHeight="1">
      <c r="A187" s="4"/>
      <c r="B187" s="4"/>
      <c r="C187" s="4"/>
      <c r="D187" s="4"/>
      <c r="E187" s="4"/>
      <c r="F187" s="4"/>
      <c r="G187" s="4"/>
      <c r="H187" s="105" t="str">
        <f t="shared" si="4"/>
        <v/>
      </c>
      <c r="I187" s="4"/>
      <c r="J187" s="4"/>
      <c r="K187" s="4"/>
      <c r="L187" s="4"/>
      <c r="M187" s="4"/>
      <c r="N187" s="100" t="str">
        <f t="shared" si="5"/>
        <v/>
      </c>
      <c r="O187" s="100" t="str">
        <f t="shared" si="6"/>
        <v/>
      </c>
      <c r="P187" s="4"/>
    </row>
    <row r="188" ht="15.0" customHeight="1">
      <c r="A188" s="4"/>
      <c r="B188" s="4"/>
      <c r="C188" s="4"/>
      <c r="D188" s="4"/>
      <c r="E188" s="4"/>
      <c r="F188" s="4"/>
      <c r="G188" s="4"/>
      <c r="H188" s="96" t="str">
        <f t="shared" si="4"/>
        <v/>
      </c>
      <c r="I188" s="4"/>
      <c r="J188" s="4"/>
      <c r="K188" s="4"/>
      <c r="L188" s="4"/>
      <c r="M188" s="4"/>
      <c r="N188" s="90" t="str">
        <f t="shared" si="5"/>
        <v/>
      </c>
      <c r="O188" s="90" t="str">
        <f t="shared" si="6"/>
        <v/>
      </c>
      <c r="P188" s="4"/>
    </row>
    <row r="189" ht="15.0" customHeight="1">
      <c r="A189" s="4"/>
      <c r="B189" s="4"/>
      <c r="C189" s="4"/>
      <c r="D189" s="4"/>
      <c r="E189" s="4"/>
      <c r="F189" s="4"/>
      <c r="G189" s="4"/>
      <c r="H189" s="105" t="str">
        <f t="shared" si="4"/>
        <v/>
      </c>
      <c r="I189" s="4"/>
      <c r="J189" s="4"/>
      <c r="K189" s="4"/>
      <c r="L189" s="4"/>
      <c r="M189" s="4"/>
      <c r="N189" s="100" t="str">
        <f t="shared" si="5"/>
        <v/>
      </c>
      <c r="O189" s="100" t="str">
        <f t="shared" si="6"/>
        <v/>
      </c>
      <c r="P189" s="4"/>
    </row>
    <row r="190" ht="15.0" customHeight="1">
      <c r="A190" s="4"/>
      <c r="B190" s="4"/>
      <c r="C190" s="4"/>
      <c r="D190" s="4"/>
      <c r="E190" s="4"/>
      <c r="F190" s="4"/>
      <c r="G190" s="4"/>
      <c r="H190" s="96" t="str">
        <f t="shared" si="4"/>
        <v/>
      </c>
      <c r="I190" s="4"/>
      <c r="J190" s="4"/>
      <c r="K190" s="4"/>
      <c r="L190" s="4"/>
      <c r="M190" s="4"/>
      <c r="N190" s="90" t="str">
        <f t="shared" si="5"/>
        <v/>
      </c>
      <c r="O190" s="90" t="str">
        <f t="shared" si="6"/>
        <v/>
      </c>
      <c r="P190" s="4"/>
    </row>
    <row r="191" ht="15.0" customHeight="1">
      <c r="A191" s="4"/>
      <c r="B191" s="4"/>
      <c r="C191" s="4"/>
      <c r="D191" s="4"/>
      <c r="E191" s="4"/>
      <c r="F191" s="4"/>
      <c r="G191" s="4"/>
      <c r="H191" s="105" t="str">
        <f t="shared" si="4"/>
        <v/>
      </c>
      <c r="I191" s="4"/>
      <c r="J191" s="4"/>
      <c r="K191" s="4"/>
      <c r="L191" s="4"/>
      <c r="M191" s="4"/>
      <c r="N191" s="100" t="str">
        <f t="shared" si="5"/>
        <v/>
      </c>
      <c r="O191" s="100" t="str">
        <f t="shared" si="6"/>
        <v/>
      </c>
      <c r="P191" s="4"/>
    </row>
    <row r="192" ht="15.0" customHeight="1">
      <c r="A192" s="4"/>
      <c r="B192" s="4"/>
      <c r="C192" s="4"/>
      <c r="D192" s="4"/>
      <c r="E192" s="4"/>
      <c r="F192" s="4"/>
      <c r="G192" s="4"/>
      <c r="H192" s="96" t="str">
        <f t="shared" si="4"/>
        <v/>
      </c>
      <c r="I192" s="4"/>
      <c r="J192" s="4"/>
      <c r="K192" s="4"/>
      <c r="L192" s="4"/>
      <c r="M192" s="4"/>
      <c r="N192" s="90" t="str">
        <f t="shared" si="5"/>
        <v/>
      </c>
      <c r="O192" s="90" t="str">
        <f t="shared" si="6"/>
        <v/>
      </c>
      <c r="P192" s="4"/>
    </row>
    <row r="193" ht="15.0" customHeight="1">
      <c r="A193" s="4"/>
      <c r="B193" s="4"/>
      <c r="C193" s="4"/>
      <c r="D193" s="4"/>
      <c r="E193" s="4"/>
      <c r="F193" s="4"/>
      <c r="G193" s="4"/>
      <c r="H193" s="105" t="str">
        <f t="shared" si="4"/>
        <v/>
      </c>
      <c r="I193" s="4"/>
      <c r="J193" s="4"/>
      <c r="K193" s="4"/>
      <c r="L193" s="4"/>
      <c r="M193" s="4"/>
      <c r="N193" s="100" t="str">
        <f t="shared" si="5"/>
        <v/>
      </c>
      <c r="O193" s="100" t="str">
        <f t="shared" si="6"/>
        <v/>
      </c>
      <c r="P193" s="4"/>
    </row>
    <row r="194" ht="15.0" customHeight="1">
      <c r="A194" s="4"/>
      <c r="B194" s="4"/>
      <c r="C194" s="4"/>
      <c r="D194" s="4"/>
      <c r="E194" s="4"/>
      <c r="F194" s="4"/>
      <c r="G194" s="4"/>
      <c r="H194" s="96" t="str">
        <f t="shared" si="4"/>
        <v/>
      </c>
      <c r="I194" s="4"/>
      <c r="J194" s="4"/>
      <c r="K194" s="4"/>
      <c r="L194" s="4"/>
      <c r="M194" s="4"/>
      <c r="N194" s="90" t="str">
        <f t="shared" si="5"/>
        <v/>
      </c>
      <c r="O194" s="90" t="str">
        <f t="shared" si="6"/>
        <v/>
      </c>
      <c r="P194" s="4"/>
    </row>
    <row r="195" ht="15.0" customHeight="1">
      <c r="A195" s="4"/>
      <c r="B195" s="4"/>
      <c r="C195" s="4"/>
      <c r="D195" s="4"/>
      <c r="E195" s="4"/>
      <c r="F195" s="4"/>
      <c r="G195" s="4"/>
      <c r="H195" s="105" t="str">
        <f t="shared" si="4"/>
        <v/>
      </c>
      <c r="I195" s="4"/>
      <c r="J195" s="4"/>
      <c r="K195" s="4"/>
      <c r="L195" s="4"/>
      <c r="M195" s="4"/>
      <c r="N195" s="100" t="str">
        <f t="shared" si="5"/>
        <v/>
      </c>
      <c r="O195" s="100" t="str">
        <f t="shared" si="6"/>
        <v/>
      </c>
      <c r="P195" s="4"/>
    </row>
    <row r="196" ht="15.0" customHeight="1">
      <c r="A196" s="4"/>
      <c r="B196" s="4"/>
      <c r="C196" s="4"/>
      <c r="D196" s="4"/>
      <c r="E196" s="4"/>
      <c r="F196" s="4"/>
      <c r="G196" s="4"/>
      <c r="H196" s="96" t="str">
        <f t="shared" si="4"/>
        <v/>
      </c>
      <c r="I196" s="4"/>
      <c r="J196" s="4"/>
      <c r="K196" s="4"/>
      <c r="L196" s="4"/>
      <c r="M196" s="4"/>
      <c r="N196" s="90" t="str">
        <f t="shared" si="5"/>
        <v/>
      </c>
      <c r="O196" s="90" t="str">
        <f t="shared" si="6"/>
        <v/>
      </c>
      <c r="P196" s="4"/>
    </row>
    <row r="197" ht="15.0" customHeight="1">
      <c r="A197" s="4"/>
      <c r="B197" s="4"/>
      <c r="C197" s="4"/>
      <c r="D197" s="4"/>
      <c r="E197" s="4"/>
      <c r="F197" s="4"/>
      <c r="G197" s="4"/>
      <c r="H197" s="105" t="str">
        <f t="shared" si="4"/>
        <v/>
      </c>
      <c r="I197" s="4"/>
      <c r="J197" s="4"/>
      <c r="K197" s="4"/>
      <c r="L197" s="4"/>
      <c r="M197" s="4"/>
      <c r="N197" s="100" t="str">
        <f t="shared" si="5"/>
        <v/>
      </c>
      <c r="O197" s="100" t="str">
        <f t="shared" si="6"/>
        <v/>
      </c>
      <c r="P197" s="4"/>
    </row>
    <row r="198" ht="15.0" customHeight="1">
      <c r="A198" s="4"/>
      <c r="B198" s="4"/>
      <c r="C198" s="4"/>
      <c r="D198" s="4"/>
      <c r="E198" s="4"/>
      <c r="F198" s="4"/>
      <c r="G198" s="4"/>
      <c r="H198" s="96" t="str">
        <f t="shared" si="4"/>
        <v/>
      </c>
      <c r="I198" s="4"/>
      <c r="J198" s="4"/>
      <c r="K198" s="4"/>
      <c r="L198" s="4"/>
      <c r="M198" s="4"/>
      <c r="N198" s="90" t="str">
        <f t="shared" si="5"/>
        <v/>
      </c>
      <c r="O198" s="90" t="str">
        <f t="shared" si="6"/>
        <v/>
      </c>
      <c r="P198" s="4"/>
    </row>
    <row r="199" ht="15.0" customHeight="1">
      <c r="A199" s="4"/>
      <c r="B199" s="4"/>
      <c r="C199" s="4"/>
      <c r="D199" s="4"/>
      <c r="E199" s="4"/>
      <c r="F199" s="4"/>
      <c r="G199" s="4"/>
      <c r="H199" s="105" t="str">
        <f t="shared" si="4"/>
        <v/>
      </c>
      <c r="I199" s="4"/>
      <c r="J199" s="4"/>
      <c r="K199" s="4"/>
      <c r="L199" s="4"/>
      <c r="M199" s="4"/>
      <c r="N199" s="100" t="str">
        <f t="shared" si="5"/>
        <v/>
      </c>
      <c r="O199" s="100" t="str">
        <f t="shared" si="6"/>
        <v/>
      </c>
      <c r="P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11">
    <mergeCell ref="A15:D15"/>
    <mergeCell ref="E15:H15"/>
    <mergeCell ref="I15:L15"/>
    <mergeCell ref="M15:P15"/>
    <mergeCell ref="A1:P1"/>
    <mergeCell ref="A2:P2"/>
    <mergeCell ref="A13:P13"/>
    <mergeCell ref="A14:D14"/>
    <mergeCell ref="E14:H14"/>
    <mergeCell ref="I14:L14"/>
    <mergeCell ref="M14:P14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20.0"/>
    <col customWidth="1" min="4" max="5" width="9.0"/>
    <col customWidth="1" min="6" max="7" width="12.0"/>
    <col customWidth="1" min="8" max="8" width="10.0"/>
    <col customWidth="1" min="9" max="9" width="12.0"/>
    <col customWidth="1" min="10" max="10" width="14.0"/>
    <col customWidth="1" min="11" max="11" width="18.0"/>
    <col customWidth="1" min="12" max="12" width="11.0"/>
    <col customWidth="1" min="13" max="13" width="12.0"/>
    <col customWidth="1" min="14" max="14" width="11.0"/>
    <col customWidth="1" min="15" max="15" width="13.0"/>
    <col customWidth="1" min="16" max="16" width="26.0"/>
    <col customWidth="1" min="17" max="26" width="8.71"/>
  </cols>
  <sheetData>
    <row r="1" ht="36.0" customHeight="1">
      <c r="A1" s="199" t="s">
        <v>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8.0" customHeight="1">
      <c r="A2" s="76" t="s">
        <v>462</v>
      </c>
    </row>
    <row r="3" ht="19.5" customHeight="1">
      <c r="A3" s="163" t="s">
        <v>463</v>
      </c>
      <c r="B3" s="2"/>
      <c r="C3" s="3"/>
      <c r="D3" s="200">
        <v>60.0</v>
      </c>
      <c r="E3" s="79" t="s">
        <v>464</v>
      </c>
      <c r="K3" s="4"/>
      <c r="L3" s="4"/>
      <c r="M3" s="4"/>
      <c r="N3" s="4"/>
      <c r="O3" s="4"/>
      <c r="P3" s="4"/>
    </row>
    <row r="4" ht="21.75" customHeight="1">
      <c r="A4" s="80" t="s">
        <v>465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ht="36.0" customHeight="1">
      <c r="A5" s="201" t="s">
        <v>10</v>
      </c>
      <c r="B5" s="201" t="s">
        <v>11</v>
      </c>
      <c r="C5" s="201" t="s">
        <v>26</v>
      </c>
      <c r="D5" s="201" t="s">
        <v>466</v>
      </c>
      <c r="E5" s="201" t="s">
        <v>467</v>
      </c>
      <c r="F5" s="201" t="s">
        <v>468</v>
      </c>
      <c r="G5" s="201" t="s">
        <v>469</v>
      </c>
      <c r="H5" s="201" t="s">
        <v>470</v>
      </c>
      <c r="I5" s="201" t="s">
        <v>471</v>
      </c>
      <c r="J5" s="201" t="s">
        <v>472</v>
      </c>
      <c r="K5" s="201" t="s">
        <v>473</v>
      </c>
      <c r="L5" s="201" t="s">
        <v>474</v>
      </c>
      <c r="M5" s="201" t="s">
        <v>475</v>
      </c>
      <c r="N5" s="201" t="s">
        <v>476</v>
      </c>
      <c r="O5" s="201" t="s">
        <v>477</v>
      </c>
      <c r="P5" s="201" t="s">
        <v>478</v>
      </c>
    </row>
    <row r="6" ht="19.5" customHeight="1">
      <c r="A6" s="90" t="s">
        <v>49</v>
      </c>
      <c r="B6" s="91" t="s">
        <v>410</v>
      </c>
      <c r="C6" s="91" t="s">
        <v>120</v>
      </c>
      <c r="D6" s="96">
        <f>IFERROR(VLOOKUP(A6,'📊 Stock Actual'!$A:$H,8,0),0)</f>
        <v>70</v>
      </c>
      <c r="E6" s="96">
        <f>IFERROR(VLOOKUP(A6,'📊 Stock Actual'!$A:$I,9,0),0)</f>
        <v>10</v>
      </c>
      <c r="F6" s="96">
        <v>22.0</v>
      </c>
      <c r="G6" s="96">
        <f t="shared" ref="G6:G13" si="1">D6-F6</f>
        <v>48</v>
      </c>
      <c r="H6" s="188">
        <f t="shared" ref="H6:H13" si="2">IF(G6&gt;=E6,0,MAX(0,E6-G6+ROUND(F6*0.15,0)))</f>
        <v>0</v>
      </c>
      <c r="I6" s="114">
        <v>180.0</v>
      </c>
      <c r="J6" s="202" t="str">
        <f t="shared" ref="J6:J13" si="3">IF(H6=0,"",H6*I6)</f>
        <v/>
      </c>
      <c r="K6" s="91" t="s">
        <v>51</v>
      </c>
      <c r="L6" s="90" t="s">
        <v>479</v>
      </c>
      <c r="M6" s="99" t="s">
        <v>480</v>
      </c>
      <c r="N6" s="90" t="s">
        <v>415</v>
      </c>
      <c r="O6" s="118" t="str">
        <f t="shared" ref="O6:O13" si="4">IF(H6=0,"N/A",TODAY()+7)</f>
        <v>N/A</v>
      </c>
      <c r="P6" s="91" t="s">
        <v>481</v>
      </c>
    </row>
    <row r="7" ht="19.5" customHeight="1">
      <c r="A7" s="100" t="s">
        <v>60</v>
      </c>
      <c r="B7" s="101" t="s">
        <v>482</v>
      </c>
      <c r="C7" s="101" t="s">
        <v>120</v>
      </c>
      <c r="D7" s="105">
        <f>IFERROR(VLOOKUP(A7,'📊 Stock Actual'!$A:$H,8,0),0)</f>
        <v>45</v>
      </c>
      <c r="E7" s="105">
        <f>IFERROR(VLOOKUP(A7,'📊 Stock Actual'!$A:$I,9,0),0)</f>
        <v>10</v>
      </c>
      <c r="F7" s="105">
        <v>15.0</v>
      </c>
      <c r="G7" s="105">
        <f t="shared" si="1"/>
        <v>30</v>
      </c>
      <c r="H7" s="189">
        <f t="shared" si="2"/>
        <v>0</v>
      </c>
      <c r="I7" s="116">
        <v>210.0</v>
      </c>
      <c r="J7" s="203" t="str">
        <f t="shared" si="3"/>
        <v/>
      </c>
      <c r="K7" s="101" t="s">
        <v>61</v>
      </c>
      <c r="L7" s="100" t="s">
        <v>479</v>
      </c>
      <c r="M7" s="108" t="s">
        <v>483</v>
      </c>
      <c r="N7" s="100" t="s">
        <v>415</v>
      </c>
      <c r="O7" s="119" t="str">
        <f t="shared" si="4"/>
        <v>N/A</v>
      </c>
      <c r="P7" s="101" t="s">
        <v>243</v>
      </c>
    </row>
    <row r="8" ht="19.5" customHeight="1">
      <c r="A8" s="90" t="s">
        <v>108</v>
      </c>
      <c r="B8" s="91" t="s">
        <v>133</v>
      </c>
      <c r="C8" s="91" t="s">
        <v>130</v>
      </c>
      <c r="D8" s="96">
        <f>IFERROR(VLOOKUP(A8,'📊 Stock Actual'!$A:$H,8,0),0)</f>
        <v>9</v>
      </c>
      <c r="E8" s="96">
        <f>IFERROR(VLOOKUP(A8,'📊 Stock Actual'!$A:$I,9,0),0)</f>
        <v>3</v>
      </c>
      <c r="F8" s="96">
        <v>3.0</v>
      </c>
      <c r="G8" s="96">
        <f t="shared" si="1"/>
        <v>6</v>
      </c>
      <c r="H8" s="188">
        <f t="shared" si="2"/>
        <v>0</v>
      </c>
      <c r="I8" s="114">
        <v>980.0</v>
      </c>
      <c r="J8" s="202" t="str">
        <f t="shared" si="3"/>
        <v/>
      </c>
      <c r="K8" s="91" t="s">
        <v>57</v>
      </c>
      <c r="L8" s="90" t="s">
        <v>484</v>
      </c>
      <c r="M8" s="99" t="s">
        <v>483</v>
      </c>
      <c r="N8" s="90" t="s">
        <v>415</v>
      </c>
      <c r="O8" s="118" t="str">
        <f t="shared" si="4"/>
        <v>N/A</v>
      </c>
      <c r="P8" s="91" t="s">
        <v>238</v>
      </c>
    </row>
    <row r="9" ht="19.5" customHeight="1">
      <c r="A9" s="100" t="s">
        <v>64</v>
      </c>
      <c r="B9" s="101" t="s">
        <v>144</v>
      </c>
      <c r="C9" s="101" t="s">
        <v>145</v>
      </c>
      <c r="D9" s="105">
        <f>IFERROR(VLOOKUP(A9,'📊 Stock Actual'!$A:$H,8,0),0)</f>
        <v>9</v>
      </c>
      <c r="E9" s="105">
        <f>IFERROR(VLOOKUP(A9,'📊 Stock Actual'!$A:$I,9,0),0)</f>
        <v>2</v>
      </c>
      <c r="F9" s="105">
        <v>2.0</v>
      </c>
      <c r="G9" s="105">
        <f t="shared" si="1"/>
        <v>7</v>
      </c>
      <c r="H9" s="189">
        <f t="shared" si="2"/>
        <v>0</v>
      </c>
      <c r="I9" s="116">
        <v>1900.0</v>
      </c>
      <c r="J9" s="203" t="str">
        <f t="shared" si="3"/>
        <v/>
      </c>
      <c r="K9" s="101" t="s">
        <v>65</v>
      </c>
      <c r="L9" s="100" t="s">
        <v>485</v>
      </c>
      <c r="M9" s="108" t="s">
        <v>486</v>
      </c>
      <c r="N9" s="100" t="s">
        <v>415</v>
      </c>
      <c r="O9" s="119" t="str">
        <f t="shared" si="4"/>
        <v>N/A</v>
      </c>
      <c r="P9" s="101" t="s">
        <v>243</v>
      </c>
    </row>
    <row r="10" ht="19.5" customHeight="1">
      <c r="A10" s="90" t="s">
        <v>70</v>
      </c>
      <c r="B10" s="91" t="s">
        <v>417</v>
      </c>
      <c r="C10" s="91" t="s">
        <v>160</v>
      </c>
      <c r="D10" s="96">
        <f>IFERROR(VLOOKUP(A10,'📊 Stock Actual'!$A:$H,8,0),0)</f>
        <v>1450</v>
      </c>
      <c r="E10" s="96">
        <f>IFERROR(VLOOKUP(A10,'📊 Stock Actual'!$A:$I,9,0),0)</f>
        <v>500</v>
      </c>
      <c r="F10" s="96">
        <v>350.0</v>
      </c>
      <c r="G10" s="96">
        <f t="shared" si="1"/>
        <v>1100</v>
      </c>
      <c r="H10" s="188">
        <f t="shared" si="2"/>
        <v>0</v>
      </c>
      <c r="I10" s="114">
        <v>0.85</v>
      </c>
      <c r="J10" s="202" t="str">
        <f t="shared" si="3"/>
        <v/>
      </c>
      <c r="K10" s="91" t="s">
        <v>71</v>
      </c>
      <c r="L10" s="90" t="s">
        <v>487</v>
      </c>
      <c r="M10" s="99" t="s">
        <v>486</v>
      </c>
      <c r="N10" s="90" t="s">
        <v>415</v>
      </c>
      <c r="O10" s="118" t="str">
        <f t="shared" si="4"/>
        <v>N/A</v>
      </c>
      <c r="P10" s="91" t="s">
        <v>488</v>
      </c>
    </row>
    <row r="11" ht="19.5" customHeight="1">
      <c r="A11" s="100" t="s">
        <v>93</v>
      </c>
      <c r="B11" s="101" t="s">
        <v>414</v>
      </c>
      <c r="C11" s="101" t="s">
        <v>167</v>
      </c>
      <c r="D11" s="105">
        <f>IFERROR(VLOOKUP(A11,'📊 Stock Actual'!$A:$H,8,0),0)</f>
        <v>20</v>
      </c>
      <c r="E11" s="105">
        <f>IFERROR(VLOOKUP(A11,'📊 Stock Actual'!$A:$I,9,0),0)</f>
        <v>10</v>
      </c>
      <c r="F11" s="105">
        <v>8.0</v>
      </c>
      <c r="G11" s="105">
        <f t="shared" si="1"/>
        <v>12</v>
      </c>
      <c r="H11" s="189">
        <f t="shared" si="2"/>
        <v>0</v>
      </c>
      <c r="I11" s="116">
        <v>120.0</v>
      </c>
      <c r="J11" s="203" t="str">
        <f t="shared" si="3"/>
        <v/>
      </c>
      <c r="K11" s="101" t="s">
        <v>168</v>
      </c>
      <c r="L11" s="100" t="s">
        <v>484</v>
      </c>
      <c r="M11" s="108" t="s">
        <v>483</v>
      </c>
      <c r="N11" s="100" t="s">
        <v>415</v>
      </c>
      <c r="O11" s="119" t="str">
        <f t="shared" si="4"/>
        <v>N/A</v>
      </c>
      <c r="P11" s="101" t="s">
        <v>481</v>
      </c>
    </row>
    <row r="12" ht="19.5" customHeight="1">
      <c r="A12" s="90" t="s">
        <v>74</v>
      </c>
      <c r="B12" s="91" t="s">
        <v>138</v>
      </c>
      <c r="C12" s="91" t="s">
        <v>139</v>
      </c>
      <c r="D12" s="96">
        <f>IFERROR(VLOOKUP(A12,'📊 Stock Actual'!$A:$H,8,0),0)</f>
        <v>7</v>
      </c>
      <c r="E12" s="96">
        <f>IFERROR(VLOOKUP(A12,'📊 Stock Actual'!$A:$I,9,0),0)</f>
        <v>2</v>
      </c>
      <c r="F12" s="96">
        <v>3.0</v>
      </c>
      <c r="G12" s="96">
        <f t="shared" si="1"/>
        <v>4</v>
      </c>
      <c r="H12" s="188">
        <f t="shared" si="2"/>
        <v>0</v>
      </c>
      <c r="I12" s="114">
        <v>2200.0</v>
      </c>
      <c r="J12" s="202" t="str">
        <f t="shared" si="3"/>
        <v/>
      </c>
      <c r="K12" s="91" t="s">
        <v>489</v>
      </c>
      <c r="L12" s="90" t="s">
        <v>490</v>
      </c>
      <c r="M12" s="99" t="s">
        <v>486</v>
      </c>
      <c r="N12" s="90" t="s">
        <v>415</v>
      </c>
      <c r="O12" s="118" t="str">
        <f t="shared" si="4"/>
        <v>N/A</v>
      </c>
      <c r="P12" s="91" t="s">
        <v>491</v>
      </c>
    </row>
    <row r="13" ht="19.5" customHeight="1">
      <c r="A13" s="100" t="s">
        <v>173</v>
      </c>
      <c r="B13" s="101" t="s">
        <v>174</v>
      </c>
      <c r="C13" s="101" t="s">
        <v>175</v>
      </c>
      <c r="D13" s="105">
        <f>IFERROR(VLOOKUP(A13,'📊 Stock Actual'!$A:$H,8,0),0)</f>
        <v>60</v>
      </c>
      <c r="E13" s="105">
        <f>IFERROR(VLOOKUP(A13,'📊 Stock Actual'!$A:$I,9,0),0)</f>
        <v>20</v>
      </c>
      <c r="F13" s="105">
        <v>5.0</v>
      </c>
      <c r="G13" s="105">
        <f t="shared" si="1"/>
        <v>55</v>
      </c>
      <c r="H13" s="189">
        <f t="shared" si="2"/>
        <v>0</v>
      </c>
      <c r="I13" s="116">
        <v>45.0</v>
      </c>
      <c r="J13" s="203" t="str">
        <f t="shared" si="3"/>
        <v/>
      </c>
      <c r="K13" s="101" t="s">
        <v>492</v>
      </c>
      <c r="L13" s="100" t="s">
        <v>487</v>
      </c>
      <c r="M13" s="108" t="s">
        <v>493</v>
      </c>
      <c r="N13" s="100" t="s">
        <v>415</v>
      </c>
      <c r="O13" s="119" t="str">
        <f t="shared" si="4"/>
        <v>N/A</v>
      </c>
      <c r="P13" s="101" t="s">
        <v>494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24.0" customHeight="1">
      <c r="A15" s="204" t="s">
        <v>495</v>
      </c>
      <c r="B15" s="25"/>
      <c r="C15" s="25"/>
      <c r="D15" s="25"/>
      <c r="E15" s="25"/>
      <c r="F15" s="25"/>
      <c r="G15" s="25"/>
      <c r="H15" s="25"/>
      <c r="I15" s="26"/>
      <c r="J15" s="205">
        <f>SUM(J6:J14)</f>
        <v>0</v>
      </c>
      <c r="K15" s="4"/>
      <c r="L15" s="4"/>
      <c r="M15" s="4"/>
      <c r="N15" s="4"/>
      <c r="O15" s="4"/>
      <c r="P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6">
    <mergeCell ref="A1:P1"/>
    <mergeCell ref="A2:P2"/>
    <mergeCell ref="A3:C3"/>
    <mergeCell ref="E3:J3"/>
    <mergeCell ref="A4:P4"/>
    <mergeCell ref="A15:I15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2" width="16.0"/>
    <col customWidth="1" min="13" max="26" width="8.71"/>
  </cols>
  <sheetData>
    <row r="1" ht="36.0" customHeight="1">
      <c r="A1" s="45" t="s">
        <v>496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5.0" customHeight="1">
      <c r="A2" s="76" t="s">
        <v>497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15.0" customHeight="1">
      <c r="A5" s="206" t="s">
        <v>385</v>
      </c>
      <c r="B5" s="206" t="s">
        <v>498</v>
      </c>
      <c r="C5" s="206" t="s">
        <v>499</v>
      </c>
      <c r="D5" s="4"/>
      <c r="E5" s="206" t="s">
        <v>267</v>
      </c>
      <c r="F5" s="206" t="s">
        <v>500</v>
      </c>
      <c r="G5" s="206" t="s">
        <v>391</v>
      </c>
      <c r="H5" s="206" t="s">
        <v>501</v>
      </c>
      <c r="I5" s="4"/>
      <c r="J5" s="206" t="s">
        <v>502</v>
      </c>
      <c r="K5" s="206" t="s">
        <v>503</v>
      </c>
      <c r="L5" s="206" t="s">
        <v>504</v>
      </c>
    </row>
    <row r="6" ht="15.0" customHeight="1">
      <c r="A6" s="4" t="s">
        <v>227</v>
      </c>
      <c r="B6" s="4">
        <f>COUNTIF('📋 Proyectos'!$D:$D,A6)</f>
        <v>2</v>
      </c>
      <c r="C6" s="4">
        <f>IFERROR(SUMIFS('📋 Proyectos'!$U:$U,'📋 Proyectos'!$D:$D,A6,'📋 Proyectos'!$F:$F,"Completado"),0)</f>
        <v>0</v>
      </c>
      <c r="D6" s="4"/>
      <c r="E6" s="4" t="s">
        <v>505</v>
      </c>
      <c r="F6" s="4">
        <f>COUNTIF('📋 Proyectos'!$E:$E,"Equipo Alpha")</f>
        <v>3</v>
      </c>
      <c r="G6" s="207">
        <f>IFERROR(AVERAGEIFS('📋 Proyectos'!$X:$X,'📋 Proyectos'!$E:$E,"Equipo Alpha",'📋 Proyectos'!$F:$F,"Completado"),0)</f>
        <v>0</v>
      </c>
      <c r="H6" s="4">
        <f>COUNTIF('⚠️ Incidencias'!$C:$C,"Equipo Alpha")</f>
        <v>1</v>
      </c>
      <c r="I6" s="4"/>
      <c r="J6" s="4" t="s">
        <v>506</v>
      </c>
      <c r="K6" s="4">
        <v>8200.0</v>
      </c>
      <c r="L6" s="4">
        <v>42680.0</v>
      </c>
    </row>
    <row r="7" ht="15.0" customHeight="1">
      <c r="A7" s="4" t="s">
        <v>233</v>
      </c>
      <c r="B7" s="4">
        <f>COUNTIF('📋 Proyectos'!$D:$D,A7)</f>
        <v>4</v>
      </c>
      <c r="C7" s="4">
        <f>IFERROR(SUMIFS('📋 Proyectos'!$U:$U,'📋 Proyectos'!$D:$D,A7,'📋 Proyectos'!$F:$F,"Completado"),0)</f>
        <v>0</v>
      </c>
      <c r="D7" s="4"/>
      <c r="E7" s="4" t="s">
        <v>507</v>
      </c>
      <c r="F7" s="4">
        <f>COUNTIF('📋 Proyectos'!$E:$E,"Equipo Beta")</f>
        <v>3</v>
      </c>
      <c r="G7" s="207">
        <f>IFERROR(AVERAGEIFS('📋 Proyectos'!$X:$X,'📋 Proyectos'!$E:$E,"Equipo Beta",'📋 Proyectos'!$F:$F,"Completado"),0)</f>
        <v>0</v>
      </c>
      <c r="H7" s="4">
        <f>COUNTIF('⚠️ Incidencias'!$C:$C,"Equipo Beta")</f>
        <v>3</v>
      </c>
      <c r="I7" s="4"/>
      <c r="J7" s="4" t="s">
        <v>508</v>
      </c>
      <c r="K7" s="4">
        <v>32800.0</v>
      </c>
      <c r="L7" s="4">
        <v>8200.0</v>
      </c>
    </row>
    <row r="8" ht="15.0" customHeight="1">
      <c r="A8" s="4" t="s">
        <v>145</v>
      </c>
      <c r="B8" s="4">
        <f>COUNTIF('📋 Proyectos'!$D:$D,A8)</f>
        <v>2</v>
      </c>
      <c r="C8" s="4">
        <f>IFERROR(SUMIFS('📋 Proyectos'!$U:$U,'📋 Proyectos'!$D:$D,A8,'📋 Proyectos'!$F:$F,"Completado"),0)</f>
        <v>0</v>
      </c>
      <c r="D8" s="4"/>
      <c r="E8" s="4" t="s">
        <v>509</v>
      </c>
      <c r="F8" s="4">
        <f>COUNTIF('📋 Proyectos'!$E:$E,"Equipo Gamma")</f>
        <v>2</v>
      </c>
      <c r="G8" s="207">
        <f>IFERROR(AVERAGEIFS('📋 Proyectos'!$X:$X,'📋 Proyectos'!$E:$E,"Equipo Gamma",'📋 Proyectos'!$F:$F,"Completado"),0)</f>
        <v>0</v>
      </c>
      <c r="H8" s="4">
        <f>COUNTIF('⚠️ Incidencias'!$C:$C,"Equipo Gamma")</f>
        <v>2</v>
      </c>
      <c r="I8" s="4"/>
      <c r="J8" s="4" t="s">
        <v>510</v>
      </c>
      <c r="K8" s="4">
        <v>0.0</v>
      </c>
      <c r="L8" s="4">
        <v>0.0</v>
      </c>
    </row>
    <row r="9" ht="15.0" customHeight="1">
      <c r="A9" s="4" t="s">
        <v>152</v>
      </c>
      <c r="B9" s="4">
        <f>COUNTIF('📋 Proyectos'!$D:$D,A9)</f>
        <v>1</v>
      </c>
      <c r="C9" s="4">
        <f>IFERROR(SUMIFS('📋 Proyectos'!$U:$U,'📋 Proyectos'!$D:$D,A9,'📋 Proyectos'!$F:$F,"Completado"),0)</f>
        <v>0</v>
      </c>
      <c r="D9" s="4"/>
      <c r="E9" s="4" t="s">
        <v>511</v>
      </c>
      <c r="F9" s="4">
        <f>COUNTIF('📋 Proyectos'!$E:$E,"Equipo Delta")</f>
        <v>2</v>
      </c>
      <c r="G9" s="207">
        <f>IFERROR(AVERAGEIFS('📋 Proyectos'!$X:$X,'📋 Proyectos'!$E:$E,"Equipo Delta",'📋 Proyectos'!$F:$F,"Completado"),0)</f>
        <v>0</v>
      </c>
      <c r="H9" s="4">
        <f>COUNTIF('⚠️ Incidencias'!$C:$C,"Equipo Delta")</f>
        <v>1</v>
      </c>
      <c r="I9" s="4"/>
      <c r="J9" s="4" t="s">
        <v>512</v>
      </c>
      <c r="K9" s="4">
        <v>0.0</v>
      </c>
      <c r="L9" s="4">
        <v>0.0</v>
      </c>
    </row>
    <row r="10" ht="15.0" customHeight="1">
      <c r="A10" s="4" t="s">
        <v>246</v>
      </c>
      <c r="B10" s="4">
        <f>COUNTIF('📋 Proyectos'!$D:$D,A10)</f>
        <v>1</v>
      </c>
      <c r="C10" s="4">
        <f>IFERROR(SUMIFS('📋 Proyectos'!$U:$U,'📋 Proyectos'!$D:$D,A10,'📋 Proyectos'!$F:$F,"Completado"),0)</f>
        <v>0</v>
      </c>
      <c r="D10" s="4"/>
      <c r="E10" s="4"/>
      <c r="F10" s="4"/>
      <c r="G10" s="4"/>
      <c r="H10" s="4"/>
      <c r="I10" s="4"/>
      <c r="J10" s="4" t="s">
        <v>513</v>
      </c>
      <c r="K10" s="4">
        <v>0.0</v>
      </c>
      <c r="L10" s="4">
        <v>0.0</v>
      </c>
    </row>
    <row r="11" ht="15.0" customHeight="1">
      <c r="A11" s="4"/>
      <c r="B11" s="4"/>
      <c r="C11" s="4"/>
      <c r="D11" s="4"/>
      <c r="E11" s="4"/>
      <c r="F11" s="4"/>
      <c r="G11" s="4"/>
      <c r="H11" s="4"/>
      <c r="I11" s="4"/>
      <c r="J11" s="4" t="s">
        <v>514</v>
      </c>
      <c r="K11" s="4">
        <v>0.0</v>
      </c>
      <c r="L11" s="4">
        <v>0.0</v>
      </c>
    </row>
    <row r="12" ht="15.0" customHeight="1">
      <c r="A12" s="4"/>
      <c r="B12" s="4"/>
      <c r="C12" s="4"/>
      <c r="D12" s="4"/>
      <c r="E12" s="4"/>
      <c r="F12" s="4"/>
      <c r="G12" s="4"/>
      <c r="H12" s="4"/>
      <c r="I12" s="4"/>
      <c r="J12" s="4" t="s">
        <v>515</v>
      </c>
      <c r="K12" s="4">
        <v>0.0</v>
      </c>
      <c r="L12" s="4">
        <v>0.0</v>
      </c>
    </row>
    <row r="13" ht="15.0" customHeight="1">
      <c r="A13" s="4"/>
      <c r="B13" s="4"/>
      <c r="C13" s="4"/>
      <c r="D13" s="4"/>
      <c r="E13" s="4"/>
      <c r="F13" s="4"/>
      <c r="G13" s="4"/>
      <c r="H13" s="4"/>
      <c r="I13" s="4"/>
      <c r="J13" s="4" t="s">
        <v>516</v>
      </c>
      <c r="K13" s="4">
        <v>0.0</v>
      </c>
      <c r="L13" s="4">
        <v>0.0</v>
      </c>
    </row>
    <row r="14" ht="15.0" customHeight="1">
      <c r="A14" s="4"/>
      <c r="B14" s="4"/>
      <c r="C14" s="4"/>
      <c r="D14" s="4"/>
      <c r="E14" s="4"/>
      <c r="F14" s="4"/>
      <c r="G14" s="4"/>
      <c r="H14" s="4"/>
      <c r="I14" s="4"/>
      <c r="J14" s="4" t="s">
        <v>517</v>
      </c>
      <c r="K14" s="4">
        <v>0.0</v>
      </c>
      <c r="L14" s="4">
        <v>0.0</v>
      </c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 t="s">
        <v>518</v>
      </c>
      <c r="K15" s="4">
        <v>0.0</v>
      </c>
      <c r="L15" s="4">
        <v>0.0</v>
      </c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 t="s">
        <v>519</v>
      </c>
      <c r="K16" s="4">
        <v>0.0</v>
      </c>
      <c r="L16" s="4">
        <v>0.0</v>
      </c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 t="s">
        <v>520</v>
      </c>
      <c r="K17" s="4">
        <v>0.0</v>
      </c>
      <c r="L17" s="4">
        <v>0.0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2">
    <mergeCell ref="A1:T1"/>
    <mergeCell ref="A2:T2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40.0"/>
    <col customWidth="1" min="3" max="3" width="55.0"/>
    <col customWidth="1" min="4" max="6" width="14.0"/>
    <col customWidth="1" min="7" max="7" width="5.0"/>
    <col customWidth="1" min="8" max="8" width="9.0"/>
    <col customWidth="1" min="9" max="9" width="22.0"/>
    <col customWidth="1" min="10" max="10" width="14.0"/>
    <col customWidth="1" min="11" max="11" width="65.0"/>
    <col customWidth="1" min="12" max="13" width="12.0"/>
    <col customWidth="1" min="14" max="14" width="14.0"/>
    <col customWidth="1" min="15" max="26" width="8.71"/>
  </cols>
  <sheetData>
    <row r="1" ht="36.0" customHeight="1">
      <c r="A1" s="208" t="s">
        <v>521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76" t="s">
        <v>522</v>
      </c>
    </row>
    <row r="3" ht="21.75" customHeight="1">
      <c r="A3" s="80" t="s">
        <v>523</v>
      </c>
      <c r="B3" s="2"/>
      <c r="C3" s="2"/>
      <c r="D3" s="2"/>
      <c r="E3" s="2"/>
      <c r="F3" s="3"/>
      <c r="G3" s="4"/>
      <c r="H3" s="209" t="s">
        <v>524</v>
      </c>
      <c r="I3" s="25"/>
      <c r="J3" s="25"/>
      <c r="K3" s="25"/>
      <c r="L3" s="25"/>
      <c r="M3" s="25"/>
      <c r="N3" s="26"/>
    </row>
    <row r="4" ht="79.5" customHeight="1">
      <c r="A4" s="210" t="s">
        <v>525</v>
      </c>
      <c r="B4" s="26"/>
      <c r="C4" s="211" t="s">
        <v>526</v>
      </c>
      <c r="D4" s="25"/>
      <c r="E4" s="25"/>
      <c r="F4" s="26"/>
      <c r="G4" s="4"/>
      <c r="H4" s="212" t="s">
        <v>527</v>
      </c>
      <c r="I4" s="213" t="s">
        <v>528</v>
      </c>
      <c r="J4" s="214" t="s">
        <v>529</v>
      </c>
      <c r="K4" s="215" t="s">
        <v>530</v>
      </c>
      <c r="L4" s="214" t="s">
        <v>531</v>
      </c>
      <c r="M4" s="214" t="s">
        <v>532</v>
      </c>
      <c r="N4" s="214" t="s">
        <v>533</v>
      </c>
    </row>
    <row r="5" ht="79.5" customHeight="1">
      <c r="A5" s="28" t="s">
        <v>534</v>
      </c>
      <c r="B5" s="25"/>
      <c r="C5" s="25"/>
      <c r="D5" s="25"/>
      <c r="E5" s="25"/>
      <c r="F5" s="26"/>
      <c r="G5" s="4"/>
      <c r="H5" s="216" t="s">
        <v>535</v>
      </c>
      <c r="I5" s="217" t="s">
        <v>536</v>
      </c>
      <c r="J5" s="218" t="s">
        <v>537</v>
      </c>
      <c r="K5" s="219" t="s">
        <v>538</v>
      </c>
      <c r="L5" s="218" t="s">
        <v>539</v>
      </c>
      <c r="M5" s="218" t="s">
        <v>532</v>
      </c>
      <c r="N5" s="218" t="s">
        <v>540</v>
      </c>
    </row>
    <row r="6" ht="79.5" customHeight="1">
      <c r="A6" s="32" t="s">
        <v>541</v>
      </c>
      <c r="B6" s="25"/>
      <c r="C6" s="25"/>
      <c r="D6" s="25"/>
      <c r="E6" s="25"/>
      <c r="F6" s="26"/>
      <c r="G6" s="4"/>
      <c r="H6" s="212" t="s">
        <v>542</v>
      </c>
      <c r="I6" s="213" t="s">
        <v>543</v>
      </c>
      <c r="J6" s="214" t="s">
        <v>537</v>
      </c>
      <c r="K6" s="215" t="s">
        <v>544</v>
      </c>
      <c r="L6" s="214" t="s">
        <v>539</v>
      </c>
      <c r="M6" s="214" t="s">
        <v>532</v>
      </c>
      <c r="N6" s="214" t="s">
        <v>545</v>
      </c>
    </row>
    <row r="7" ht="79.5" customHeight="1">
      <c r="A7" s="28" t="s">
        <v>546</v>
      </c>
      <c r="B7" s="25"/>
      <c r="C7" s="25"/>
      <c r="D7" s="25"/>
      <c r="E7" s="25"/>
      <c r="F7" s="26"/>
      <c r="G7" s="4"/>
      <c r="H7" s="216" t="s">
        <v>547</v>
      </c>
      <c r="I7" s="217" t="s">
        <v>548</v>
      </c>
      <c r="J7" s="218" t="s">
        <v>549</v>
      </c>
      <c r="K7" s="219" t="s">
        <v>550</v>
      </c>
      <c r="L7" s="218" t="s">
        <v>539</v>
      </c>
      <c r="M7" s="218" t="s">
        <v>551</v>
      </c>
      <c r="N7" s="218" t="s">
        <v>552</v>
      </c>
    </row>
    <row r="8" ht="79.5" customHeight="1">
      <c r="A8" s="32" t="s">
        <v>553</v>
      </c>
      <c r="B8" s="25"/>
      <c r="C8" s="25"/>
      <c r="D8" s="25"/>
      <c r="E8" s="25"/>
      <c r="F8" s="26"/>
      <c r="G8" s="4"/>
      <c r="H8" s="220" t="s">
        <v>554</v>
      </c>
      <c r="I8" s="221" t="s">
        <v>555</v>
      </c>
      <c r="J8" s="222" t="s">
        <v>556</v>
      </c>
      <c r="K8" s="223" t="s">
        <v>557</v>
      </c>
      <c r="L8" s="222" t="s">
        <v>558</v>
      </c>
      <c r="M8" s="222" t="s">
        <v>551</v>
      </c>
      <c r="N8" s="222" t="s">
        <v>559</v>
      </c>
    </row>
    <row r="9" ht="79.5" customHeight="1">
      <c r="A9" s="28" t="s">
        <v>560</v>
      </c>
      <c r="B9" s="25"/>
      <c r="C9" s="25"/>
      <c r="D9" s="25"/>
      <c r="E9" s="25"/>
      <c r="F9" s="26"/>
      <c r="G9" s="4"/>
      <c r="H9" s="216" t="s">
        <v>561</v>
      </c>
      <c r="I9" s="217" t="s">
        <v>562</v>
      </c>
      <c r="J9" s="218" t="s">
        <v>563</v>
      </c>
      <c r="K9" s="219" t="s">
        <v>564</v>
      </c>
      <c r="L9" s="218" t="s">
        <v>539</v>
      </c>
      <c r="M9" s="218" t="s">
        <v>551</v>
      </c>
      <c r="N9" s="218" t="s">
        <v>565</v>
      </c>
    </row>
    <row r="10" ht="79.5" customHeight="1">
      <c r="A10" s="4"/>
      <c r="B10" s="4"/>
      <c r="C10" s="4"/>
      <c r="D10" s="4"/>
      <c r="E10" s="4"/>
      <c r="F10" s="4"/>
      <c r="G10" s="4"/>
      <c r="H10" s="220" t="s">
        <v>566</v>
      </c>
      <c r="I10" s="221" t="s">
        <v>567</v>
      </c>
      <c r="J10" s="222" t="s">
        <v>568</v>
      </c>
      <c r="K10" s="223" t="s">
        <v>569</v>
      </c>
      <c r="L10" s="222" t="s">
        <v>531</v>
      </c>
      <c r="M10" s="222" t="s">
        <v>551</v>
      </c>
      <c r="N10" s="222" t="s">
        <v>570</v>
      </c>
    </row>
    <row r="11" ht="79.5" customHeight="1">
      <c r="A11" s="224" t="s">
        <v>571</v>
      </c>
      <c r="B11" s="26"/>
      <c r="C11" s="225" t="s">
        <v>572</v>
      </c>
      <c r="D11" s="25"/>
      <c r="E11" s="25"/>
      <c r="F11" s="26"/>
      <c r="G11" s="4"/>
      <c r="H11" s="216" t="s">
        <v>573</v>
      </c>
      <c r="I11" s="217" t="s">
        <v>574</v>
      </c>
      <c r="J11" s="218" t="s">
        <v>575</v>
      </c>
      <c r="K11" s="219" t="s">
        <v>576</v>
      </c>
      <c r="L11" s="218" t="s">
        <v>558</v>
      </c>
      <c r="M11" s="218" t="s">
        <v>577</v>
      </c>
      <c r="N11" s="218" t="s">
        <v>578</v>
      </c>
    </row>
    <row r="12" ht="18.0" customHeight="1">
      <c r="A12" s="32" t="s">
        <v>579</v>
      </c>
      <c r="B12" s="25"/>
      <c r="C12" s="25"/>
      <c r="D12" s="25"/>
      <c r="E12" s="25"/>
      <c r="F12" s="26"/>
      <c r="G12" s="4"/>
      <c r="H12" s="4"/>
      <c r="I12" s="4"/>
      <c r="J12" s="4"/>
      <c r="K12" s="4"/>
      <c r="L12" s="4"/>
      <c r="M12" s="4"/>
      <c r="N12" s="4"/>
    </row>
    <row r="13" ht="18.0" customHeight="1">
      <c r="A13" s="28" t="s">
        <v>580</v>
      </c>
      <c r="B13" s="25"/>
      <c r="C13" s="25"/>
      <c r="D13" s="25"/>
      <c r="E13" s="25"/>
      <c r="F13" s="26"/>
      <c r="G13" s="4"/>
      <c r="H13" s="4"/>
      <c r="I13" s="4"/>
      <c r="J13" s="4"/>
      <c r="K13" s="4"/>
      <c r="L13" s="4"/>
      <c r="M13" s="4"/>
      <c r="N13" s="4"/>
    </row>
    <row r="14" ht="18.0" customHeight="1">
      <c r="A14" s="32" t="s">
        <v>581</v>
      </c>
      <c r="B14" s="25"/>
      <c r="C14" s="25"/>
      <c r="D14" s="25"/>
      <c r="E14" s="25"/>
      <c r="F14" s="26"/>
      <c r="G14" s="4"/>
      <c r="H14" s="4"/>
      <c r="I14" s="4"/>
      <c r="J14" s="4"/>
      <c r="K14" s="4"/>
      <c r="L14" s="4"/>
      <c r="M14" s="4"/>
      <c r="N14" s="4"/>
    </row>
    <row r="15" ht="18.0" customHeight="1">
      <c r="A15" s="28" t="s">
        <v>582</v>
      </c>
      <c r="B15" s="25"/>
      <c r="C15" s="25"/>
      <c r="D15" s="25"/>
      <c r="E15" s="25"/>
      <c r="F15" s="26"/>
      <c r="G15" s="4"/>
      <c r="H15" s="4"/>
      <c r="I15" s="4"/>
      <c r="J15" s="4"/>
      <c r="K15" s="4"/>
      <c r="L15" s="4"/>
      <c r="M15" s="4"/>
      <c r="N15" s="4"/>
    </row>
    <row r="16" ht="18.0" customHeight="1">
      <c r="A16" s="32" t="s">
        <v>583</v>
      </c>
      <c r="B16" s="25"/>
      <c r="C16" s="25"/>
      <c r="D16" s="25"/>
      <c r="E16" s="25"/>
      <c r="F16" s="26"/>
      <c r="G16" s="4"/>
      <c r="H16" s="4"/>
      <c r="I16" s="4"/>
      <c r="J16" s="4"/>
      <c r="K16" s="4"/>
      <c r="L16" s="4"/>
      <c r="M16" s="4"/>
      <c r="N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21.75" customHeight="1">
      <c r="A18" s="226" t="s">
        <v>584</v>
      </c>
      <c r="B18" s="26"/>
      <c r="C18" s="227" t="s">
        <v>585</v>
      </c>
      <c r="D18" s="25"/>
      <c r="E18" s="25"/>
      <c r="F18" s="26"/>
      <c r="G18" s="4"/>
      <c r="H18" s="4"/>
      <c r="I18" s="4"/>
      <c r="J18" s="4"/>
      <c r="K18" s="4"/>
      <c r="L18" s="4"/>
      <c r="M18" s="4"/>
      <c r="N18" s="4"/>
    </row>
    <row r="19" ht="18.0" customHeight="1">
      <c r="A19" s="28" t="s">
        <v>586</v>
      </c>
      <c r="B19" s="25"/>
      <c r="C19" s="25"/>
      <c r="D19" s="25"/>
      <c r="E19" s="25"/>
      <c r="F19" s="26"/>
      <c r="G19" s="4"/>
      <c r="H19" s="4"/>
      <c r="I19" s="4"/>
      <c r="J19" s="4"/>
      <c r="K19" s="4"/>
      <c r="L19" s="4"/>
      <c r="M19" s="4"/>
      <c r="N19" s="4"/>
    </row>
    <row r="20" ht="18.0" customHeight="1">
      <c r="A20" s="32" t="s">
        <v>587</v>
      </c>
      <c r="B20" s="25"/>
      <c r="C20" s="25"/>
      <c r="D20" s="25"/>
      <c r="E20" s="25"/>
      <c r="F20" s="26"/>
      <c r="G20" s="4"/>
      <c r="H20" s="4"/>
      <c r="I20" s="4"/>
      <c r="J20" s="4"/>
      <c r="K20" s="4"/>
      <c r="L20" s="4"/>
      <c r="M20" s="4"/>
      <c r="N20" s="4"/>
    </row>
    <row r="21" ht="18.0" customHeight="1">
      <c r="A21" s="28" t="s">
        <v>588</v>
      </c>
      <c r="B21" s="25"/>
      <c r="C21" s="25"/>
      <c r="D21" s="25"/>
      <c r="E21" s="25"/>
      <c r="F21" s="26"/>
      <c r="G21" s="4"/>
      <c r="H21" s="4"/>
      <c r="I21" s="4"/>
      <c r="J21" s="4"/>
      <c r="K21" s="4"/>
      <c r="L21" s="4"/>
      <c r="M21" s="4"/>
      <c r="N21" s="4"/>
    </row>
    <row r="22" ht="18.0" customHeight="1">
      <c r="A22" s="32" t="s">
        <v>589</v>
      </c>
      <c r="B22" s="25"/>
      <c r="C22" s="25"/>
      <c r="D22" s="25"/>
      <c r="E22" s="25"/>
      <c r="F22" s="26"/>
      <c r="G22" s="4"/>
      <c r="H22" s="4"/>
      <c r="I22" s="4"/>
      <c r="J22" s="4"/>
      <c r="K22" s="4"/>
      <c r="L22" s="4"/>
      <c r="M22" s="4"/>
      <c r="N22" s="4"/>
    </row>
    <row r="23" ht="18.0" customHeight="1">
      <c r="A23" s="28" t="s">
        <v>590</v>
      </c>
      <c r="B23" s="25"/>
      <c r="C23" s="25"/>
      <c r="D23" s="25"/>
      <c r="E23" s="25"/>
      <c r="F23" s="26"/>
      <c r="G23" s="4"/>
      <c r="H23" s="4"/>
      <c r="I23" s="4"/>
      <c r="J23" s="4"/>
      <c r="K23" s="4"/>
      <c r="L23" s="4"/>
      <c r="M23" s="4"/>
      <c r="N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21.75" customHeight="1">
      <c r="A25" s="228" t="s">
        <v>591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</row>
    <row r="26" ht="19.5" customHeight="1">
      <c r="A26" s="229" t="s">
        <v>592</v>
      </c>
      <c r="B26" s="229" t="s">
        <v>11</v>
      </c>
      <c r="C26" s="229" t="s">
        <v>593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90.0" customHeight="1">
      <c r="A27" s="230" t="s">
        <v>594</v>
      </c>
      <c r="B27" s="231" t="s">
        <v>595</v>
      </c>
      <c r="C27" s="232" t="s">
        <v>596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90.0" customHeight="1">
      <c r="A28" s="233" t="s">
        <v>597</v>
      </c>
      <c r="B28" s="234" t="s">
        <v>598</v>
      </c>
      <c r="C28" s="235" t="s">
        <v>599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90.0" customHeight="1">
      <c r="A29" s="230" t="s">
        <v>600</v>
      </c>
      <c r="B29" s="231" t="s">
        <v>601</v>
      </c>
      <c r="C29" s="232" t="s">
        <v>602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90.0" customHeight="1">
      <c r="A30" s="233" t="s">
        <v>603</v>
      </c>
      <c r="B30" s="234" t="s">
        <v>604</v>
      </c>
      <c r="C30" s="235" t="s">
        <v>605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90.0" customHeight="1">
      <c r="A31" s="230" t="s">
        <v>606</v>
      </c>
      <c r="B31" s="231" t="s">
        <v>607</v>
      </c>
      <c r="C31" s="232" t="s">
        <v>608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90.0" customHeight="1">
      <c r="A32" s="233" t="s">
        <v>609</v>
      </c>
      <c r="B32" s="234" t="s">
        <v>610</v>
      </c>
      <c r="C32" s="235" t="s">
        <v>611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21.75" customHeight="1">
      <c r="A35" s="236" t="s">
        <v>612</v>
      </c>
      <c r="B35" s="2"/>
      <c r="C35" s="2"/>
      <c r="D35" s="2"/>
      <c r="E35" s="2"/>
      <c r="F35" s="3"/>
      <c r="G35" s="4"/>
      <c r="H35" s="4"/>
      <c r="I35" s="4"/>
      <c r="J35" s="4"/>
      <c r="K35" s="4"/>
      <c r="L35" s="4"/>
      <c r="M35" s="4"/>
      <c r="N35" s="4"/>
    </row>
    <row r="36" ht="39.75" customHeight="1">
      <c r="A36" s="216" t="s">
        <v>613</v>
      </c>
      <c r="B36" s="218" t="s">
        <v>614</v>
      </c>
      <c r="C36" s="219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69.75" customHeight="1">
      <c r="A37" s="237" t="s">
        <v>615</v>
      </c>
      <c r="B37" s="231" t="s">
        <v>616</v>
      </c>
      <c r="C37" s="232" t="s">
        <v>617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69.75" customHeight="1">
      <c r="A38" s="216" t="s">
        <v>618</v>
      </c>
      <c r="B38" s="218" t="s">
        <v>619</v>
      </c>
      <c r="C38" s="219" t="s">
        <v>620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69.75" customHeight="1">
      <c r="A39" s="237" t="s">
        <v>621</v>
      </c>
      <c r="B39" s="231" t="s">
        <v>622</v>
      </c>
      <c r="C39" s="232" t="s">
        <v>623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69.75" customHeight="1">
      <c r="A40" s="216" t="s">
        <v>624</v>
      </c>
      <c r="B40" s="218" t="s">
        <v>625</v>
      </c>
      <c r="C40" s="219" t="s">
        <v>626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mergeCells count="27">
    <mergeCell ref="A1:N1"/>
    <mergeCell ref="A2:N2"/>
    <mergeCell ref="A3:F3"/>
    <mergeCell ref="H3:N3"/>
    <mergeCell ref="A4:B4"/>
    <mergeCell ref="C4:F4"/>
    <mergeCell ref="A5:F5"/>
    <mergeCell ref="A6:F6"/>
    <mergeCell ref="A7:F7"/>
    <mergeCell ref="A8:F8"/>
    <mergeCell ref="A9:F9"/>
    <mergeCell ref="A11:B11"/>
    <mergeCell ref="C11:F11"/>
    <mergeCell ref="A12:F12"/>
    <mergeCell ref="A20:F20"/>
    <mergeCell ref="A21:F21"/>
    <mergeCell ref="A22:F22"/>
    <mergeCell ref="A23:F23"/>
    <mergeCell ref="A25:F25"/>
    <mergeCell ref="A35:F35"/>
    <mergeCell ref="A13:F13"/>
    <mergeCell ref="A14:F14"/>
    <mergeCell ref="A15:F15"/>
    <mergeCell ref="A16:F16"/>
    <mergeCell ref="A18:B18"/>
    <mergeCell ref="C18:F18"/>
    <mergeCell ref="A19:F19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85.0"/>
    <col customWidth="1" min="3" max="26" width="8.71"/>
  </cols>
  <sheetData>
    <row r="1" ht="36.0" customHeight="1">
      <c r="A1" s="45" t="s">
        <v>627</v>
      </c>
      <c r="B1" s="2"/>
      <c r="C1" s="2"/>
      <c r="D1" s="2"/>
      <c r="E1" s="2"/>
      <c r="F1" s="3"/>
    </row>
    <row r="2" ht="13.5" customHeight="1">
      <c r="A2" s="4"/>
      <c r="B2" s="4"/>
    </row>
    <row r="3" ht="24.0" customHeight="1">
      <c r="A3" s="238" t="s">
        <v>628</v>
      </c>
      <c r="B3" s="2"/>
      <c r="C3" s="2"/>
      <c r="D3" s="2"/>
      <c r="E3" s="2"/>
      <c r="F3" s="3"/>
    </row>
    <row r="4" ht="19.5" customHeight="1">
      <c r="A4" s="239" t="s">
        <v>629</v>
      </c>
      <c r="B4" s="240" t="s">
        <v>630</v>
      </c>
    </row>
    <row r="5" ht="19.5" customHeight="1">
      <c r="A5" s="239" t="s">
        <v>631</v>
      </c>
      <c r="B5" s="240" t="s">
        <v>632</v>
      </c>
    </row>
    <row r="6" ht="19.5" customHeight="1">
      <c r="A6" s="239" t="s">
        <v>633</v>
      </c>
      <c r="B6" s="240" t="s">
        <v>634</v>
      </c>
    </row>
    <row r="7" ht="19.5" customHeight="1">
      <c r="A7" s="239" t="s">
        <v>635</v>
      </c>
      <c r="B7" s="240" t="s">
        <v>636</v>
      </c>
    </row>
    <row r="8" ht="19.5" customHeight="1">
      <c r="A8" s="239" t="s">
        <v>637</v>
      </c>
      <c r="B8" s="240" t="s">
        <v>638</v>
      </c>
    </row>
    <row r="9" ht="13.5" customHeight="1">
      <c r="A9" s="4"/>
      <c r="B9" s="4"/>
    </row>
    <row r="10" ht="24.0" customHeight="1">
      <c r="A10" s="238" t="s">
        <v>639</v>
      </c>
      <c r="B10" s="2"/>
      <c r="C10" s="2"/>
      <c r="D10" s="2"/>
      <c r="E10" s="2"/>
      <c r="F10" s="3"/>
    </row>
    <row r="11" ht="19.5" customHeight="1">
      <c r="A11" s="239" t="s">
        <v>640</v>
      </c>
      <c r="B11" s="240" t="s">
        <v>641</v>
      </c>
    </row>
    <row r="12" ht="19.5" customHeight="1">
      <c r="A12" s="239" t="s">
        <v>642</v>
      </c>
      <c r="B12" s="240" t="s">
        <v>643</v>
      </c>
    </row>
    <row r="13" ht="13.5" customHeight="1">
      <c r="A13" s="4"/>
      <c r="B13" s="4"/>
    </row>
    <row r="14" ht="24.0" customHeight="1">
      <c r="A14" s="238" t="s">
        <v>644</v>
      </c>
      <c r="B14" s="2"/>
      <c r="C14" s="2"/>
      <c r="D14" s="2"/>
      <c r="E14" s="2"/>
      <c r="F14" s="3"/>
    </row>
    <row r="15" ht="19.5" customHeight="1">
      <c r="A15" s="239" t="s">
        <v>645</v>
      </c>
      <c r="B15" s="240" t="s">
        <v>646</v>
      </c>
    </row>
    <row r="16" ht="19.5" customHeight="1">
      <c r="A16" s="239" t="s">
        <v>28</v>
      </c>
      <c r="B16" s="240" t="s">
        <v>647</v>
      </c>
    </row>
    <row r="17" ht="19.5" customHeight="1">
      <c r="A17" s="239" t="s">
        <v>648</v>
      </c>
      <c r="B17" s="240" t="s">
        <v>649</v>
      </c>
    </row>
    <row r="18" ht="19.5" customHeight="1">
      <c r="A18" s="239" t="s">
        <v>650</v>
      </c>
      <c r="B18" s="240" t="s">
        <v>651</v>
      </c>
    </row>
    <row r="19" ht="19.5" customHeight="1">
      <c r="A19" s="239" t="s">
        <v>652</v>
      </c>
      <c r="B19" s="240" t="s">
        <v>653</v>
      </c>
    </row>
    <row r="20" ht="13.5" customHeight="1">
      <c r="A20" s="4"/>
      <c r="B20" s="4"/>
    </row>
    <row r="21" ht="24.0" customHeight="1">
      <c r="A21" s="238" t="s">
        <v>654</v>
      </c>
      <c r="B21" s="2"/>
      <c r="C21" s="2"/>
      <c r="D21" s="2"/>
      <c r="E21" s="2"/>
      <c r="F21" s="3"/>
    </row>
    <row r="22" ht="19.5" customHeight="1">
      <c r="A22" s="239" t="s">
        <v>655</v>
      </c>
      <c r="B22" s="240" t="s">
        <v>656</v>
      </c>
    </row>
    <row r="23" ht="19.5" customHeight="1">
      <c r="A23" s="239" t="s">
        <v>657</v>
      </c>
      <c r="B23" s="240" t="s">
        <v>658</v>
      </c>
    </row>
    <row r="24" ht="19.5" customHeight="1">
      <c r="A24" s="239" t="s">
        <v>659</v>
      </c>
      <c r="B24" s="240" t="s">
        <v>660</v>
      </c>
    </row>
    <row r="25" ht="19.5" customHeight="1">
      <c r="A25" s="239" t="s">
        <v>661</v>
      </c>
      <c r="B25" s="240" t="s">
        <v>662</v>
      </c>
    </row>
    <row r="26" ht="19.5" customHeight="1">
      <c r="A26" s="239" t="s">
        <v>663</v>
      </c>
      <c r="B26" s="240" t="s">
        <v>664</v>
      </c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5">
    <mergeCell ref="A1:F1"/>
    <mergeCell ref="A3:F3"/>
    <mergeCell ref="A10:F10"/>
    <mergeCell ref="A14:F14"/>
    <mergeCell ref="A21:F21"/>
  </mergeCells>
  <printOptions/>
  <pageMargins bottom="1.0" footer="0.0" header="0.0" left="0.75" right="0.75" top="1.0"/>
  <pageSetup paperSize="9" orientation="portrait"/>
  <drawing r:id="rId1"/>
</worksheet>
</file>