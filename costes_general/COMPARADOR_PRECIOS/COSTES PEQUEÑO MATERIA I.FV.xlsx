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nas\datos\INGENIERÍA\1. DISEÑO - ESTUDIOS\2. CRISTOBAL\19. COSTES INSTALACIONES FOTOVOLTAICAS 3,6 Y 10\"/>
    </mc:Choice>
  </mc:AlternateContent>
  <xr:revisionPtr revIDLastSave="0" documentId="13_ncr:1_{985CDD71-917B-4F0E-97F2-6E607CD62A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lculo Costes" sheetId="14" r:id="rId1"/>
    <sheet name="Hoja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tjvBvAbUL8dze39ngkrQ+X89+bXGFhDamZrtdnADeMo="/>
    </ext>
  </extLst>
</workbook>
</file>

<file path=xl/calcChain.xml><?xml version="1.0" encoding="utf-8"?>
<calcChain xmlns="http://schemas.openxmlformats.org/spreadsheetml/2006/main">
  <c r="N6" i="15" l="1"/>
  <c r="I9" i="15"/>
  <c r="N19" i="15"/>
  <c r="N18" i="15"/>
  <c r="N17" i="15"/>
  <c r="N16" i="15"/>
  <c r="N15" i="15"/>
  <c r="N14" i="15"/>
  <c r="N13" i="15"/>
  <c r="N12" i="15"/>
  <c r="N11" i="15"/>
  <c r="N10" i="15"/>
  <c r="N8" i="15"/>
  <c r="N7" i="15"/>
  <c r="N5" i="15"/>
  <c r="N4" i="15"/>
  <c r="I19" i="15"/>
  <c r="I20" i="15" s="1"/>
  <c r="I18" i="15"/>
  <c r="I17" i="15"/>
  <c r="I16" i="15"/>
  <c r="I15" i="15"/>
  <c r="I14" i="15"/>
  <c r="I13" i="15"/>
  <c r="I12" i="15"/>
  <c r="I11" i="15"/>
  <c r="I10" i="15"/>
  <c r="I8" i="15"/>
  <c r="I7" i="15"/>
  <c r="I6" i="15"/>
  <c r="I5" i="15"/>
  <c r="I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4" i="15"/>
  <c r="L9" i="15"/>
  <c r="N9" i="15" s="1"/>
  <c r="G9" i="15"/>
  <c r="B9" i="15"/>
  <c r="N20" i="15" l="1"/>
  <c r="D20" i="15"/>
  <c r="D14" i="14"/>
  <c r="D12" i="14"/>
  <c r="D15" i="14" s="1"/>
  <c r="D13" i="14"/>
  <c r="D11" i="14"/>
  <c r="D10" i="14"/>
  <c r="D9" i="14"/>
  <c r="D8" i="14"/>
  <c r="D7" i="14"/>
  <c r="D6" i="14"/>
  <c r="B17" i="14"/>
  <c r="D17" i="14" s="1"/>
  <c r="B3" i="14"/>
  <c r="B4" i="14" s="1"/>
  <c r="D4" i="14" s="1"/>
  <c r="B2" i="14"/>
  <c r="D2" i="14" s="1"/>
  <c r="D5" i="14"/>
  <c r="D3" i="14" l="1"/>
  <c r="D19" i="14" l="1"/>
  <c r="B24" i="14" s="1"/>
  <c r="D20" i="14" l="1"/>
  <c r="B25" i="14"/>
  <c r="G20" i="14"/>
</calcChain>
</file>

<file path=xl/sharedStrings.xml><?xml version="1.0" encoding="utf-8"?>
<sst xmlns="http://schemas.openxmlformats.org/spreadsheetml/2006/main" count="113" uniqueCount="71">
  <si>
    <t>Total</t>
  </si>
  <si>
    <t>Cantidad</t>
  </si>
  <si>
    <t>TOTAL</t>
  </si>
  <si>
    <t>Concepto</t>
  </si>
  <si>
    <t>Precio Unitario</t>
  </si>
  <si>
    <t>DESPLAZAMIENTO</t>
  </si>
  <si>
    <t>Mano de Obra</t>
  </si>
  <si>
    <t>Dieta</t>
  </si>
  <si>
    <t>Ganancia por dia</t>
  </si>
  <si>
    <t>PRECIO VENTA</t>
  </si>
  <si>
    <t>kWp</t>
  </si>
  <si>
    <t xml:space="preserve">Coste kWp (€/wp) </t>
  </si>
  <si>
    <t>BENEFICIO</t>
  </si>
  <si>
    <t>General</t>
  </si>
  <si>
    <t>TOTAL + IVA</t>
  </si>
  <si>
    <t>Dias</t>
  </si>
  <si>
    <t>Trabajadores</t>
  </si>
  <si>
    <t>Km diarios</t>
  </si>
  <si>
    <t>CARGADOR 22 KW</t>
  </si>
  <si>
    <t>Proyecto y legalizacion</t>
  </si>
  <si>
    <t>CABLE L. HALOGENOS H7Z-K 6MM</t>
  </si>
  <si>
    <t xml:space="preserve">MAGNETOTÉRMICO 4P 40A </t>
  </si>
  <si>
    <t>SOBRETENSIONES</t>
  </si>
  <si>
    <t>TUBO CORRUGADO</t>
  </si>
  <si>
    <t>DIFERENCIAL 4P 40A 30MA</t>
  </si>
  <si>
    <t>CUADRO DE PROTECCIONES</t>
  </si>
  <si>
    <t>CONFIGURACION DE CARGADOR</t>
  </si>
  <si>
    <t>PARTIDA DE CIMENTACION</t>
  </si>
  <si>
    <t>Cantidad aproximada</t>
  </si>
  <si>
    <t>Coste Total</t>
  </si>
  <si>
    <t>Instalacion FV 3kW</t>
  </si>
  <si>
    <t>Instalacion FV 6kW</t>
  </si>
  <si>
    <t>Instalacion FV 10kW</t>
  </si>
  <si>
    <t>MC4</t>
  </si>
  <si>
    <t xml:space="preserve">Intermedios </t>
  </si>
  <si>
    <t>Finales</t>
  </si>
  <si>
    <t>Cable de 6 mm (DC)</t>
  </si>
  <si>
    <t>Sobretensiones DC</t>
  </si>
  <si>
    <t>Cuadro DC</t>
  </si>
  <si>
    <t>Magneto 25</t>
  </si>
  <si>
    <t>Sobretensiones AC</t>
  </si>
  <si>
    <t>Cuadro AC</t>
  </si>
  <si>
    <t>Cable de 6 mm (AC)</t>
  </si>
  <si>
    <t>Porta fusibles</t>
  </si>
  <si>
    <t>Magneto 40</t>
  </si>
  <si>
    <t>Diferencial 40</t>
  </si>
  <si>
    <t>Canalizacion Pvc D25</t>
  </si>
  <si>
    <t>Fusibles 25 A</t>
  </si>
  <si>
    <t>Magneto 63</t>
  </si>
  <si>
    <t>Diferencial 63</t>
  </si>
  <si>
    <t>Cable de 16 mm (AC)</t>
  </si>
  <si>
    <t>Mangitos de union</t>
  </si>
  <si>
    <t>Codos pvc</t>
  </si>
  <si>
    <t>Diferencial 25/40</t>
  </si>
  <si>
    <t>Costes Pequeño Material Instalacion FV</t>
  </si>
  <si>
    <t>Arandelas</t>
  </si>
  <si>
    <t>Cinta Aislante</t>
  </si>
  <si>
    <t>Tirafondos</t>
  </si>
  <si>
    <t>Bote Silicona</t>
  </si>
  <si>
    <t>Barillas</t>
  </si>
  <si>
    <t>Tacos para tirafondos</t>
  </si>
  <si>
    <t>Mangitos</t>
  </si>
  <si>
    <t>Tuercas</t>
  </si>
  <si>
    <t>Tacos 10</t>
  </si>
  <si>
    <t>Soporte L</t>
  </si>
  <si>
    <t>Patas</t>
  </si>
  <si>
    <t>Cantidad Aproximada</t>
  </si>
  <si>
    <t xml:space="preserve">Tornillos </t>
  </si>
  <si>
    <t>Spirro 8M</t>
  </si>
  <si>
    <t>Material que debe estar siembre diponible</t>
  </si>
  <si>
    <t>Cinta Perforada metalica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</si>
</sst>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C0A]_-;\-* #,##0.00\ [$€-C0A]_-;_-* &quot;-&quot;??\ [$€-C0A]_-;_-@_-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5" fillId="0" borderId="0"/>
    <xf numFmtId="44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5" xfId="0" applyBorder="1"/>
    <xf numFmtId="0" fontId="3" fillId="0" borderId="0" xfId="5"/>
    <xf numFmtId="0" fontId="3" fillId="0" borderId="3" xfId="5" applyBorder="1"/>
    <xf numFmtId="0" fontId="3" fillId="2" borderId="3" xfId="5" applyFill="1" applyBorder="1"/>
    <xf numFmtId="44" fontId="0" fillId="0" borderId="0" xfId="7" applyFont="1" applyFill="1" applyBorder="1"/>
    <xf numFmtId="164" fontId="3" fillId="0" borderId="0" xfId="5" applyNumberFormat="1"/>
    <xf numFmtId="0" fontId="3" fillId="0" borderId="0" xfId="5" applyAlignment="1">
      <alignment wrapText="1"/>
    </xf>
    <xf numFmtId="0" fontId="3" fillId="2" borderId="13" xfId="5" applyFill="1" applyBorder="1"/>
    <xf numFmtId="0" fontId="3" fillId="0" borderId="5" xfId="5" applyBorder="1"/>
    <xf numFmtId="44" fontId="0" fillId="0" borderId="2" xfId="4" applyFont="1" applyBorder="1"/>
    <xf numFmtId="0" fontId="3" fillId="0" borderId="18" xfId="5" applyBorder="1"/>
    <xf numFmtId="44" fontId="3" fillId="0" borderId="11" xfId="4" applyFont="1" applyBorder="1"/>
    <xf numFmtId="44" fontId="0" fillId="0" borderId="11" xfId="7" applyFont="1" applyFill="1" applyBorder="1"/>
    <xf numFmtId="0" fontId="3" fillId="0" borderId="3" xfId="5" applyBorder="1" applyAlignment="1">
      <alignment wrapText="1"/>
    </xf>
    <xf numFmtId="0" fontId="3" fillId="0" borderId="12" xfId="5" applyBorder="1" applyAlignment="1">
      <alignment wrapText="1"/>
    </xf>
    <xf numFmtId="0" fontId="8" fillId="0" borderId="12" xfId="5" applyFont="1" applyBorder="1" applyAlignment="1">
      <alignment wrapText="1"/>
    </xf>
    <xf numFmtId="0" fontId="8" fillId="0" borderId="1" xfId="5" applyFont="1" applyBorder="1" applyAlignment="1">
      <alignment wrapText="1"/>
    </xf>
    <xf numFmtId="0" fontId="6" fillId="5" borderId="3" xfId="5" applyFont="1" applyFill="1" applyBorder="1" applyAlignment="1">
      <alignment horizontal="center" vertical="center" wrapText="1"/>
    </xf>
    <xf numFmtId="44" fontId="3" fillId="0" borderId="3" xfId="5" applyNumberFormat="1" applyBorder="1"/>
    <xf numFmtId="0" fontId="6" fillId="0" borderId="3" xfId="5" applyFont="1" applyBorder="1" applyAlignment="1">
      <alignment wrapText="1"/>
    </xf>
    <xf numFmtId="0" fontId="3" fillId="0" borderId="3" xfId="5" applyBorder="1" applyAlignment="1">
      <alignment horizontal="center"/>
    </xf>
    <xf numFmtId="0" fontId="6" fillId="3" borderId="3" xfId="5" applyFont="1" applyFill="1" applyBorder="1" applyAlignment="1">
      <alignment horizontal="center"/>
    </xf>
    <xf numFmtId="0" fontId="6" fillId="4" borderId="3" xfId="5" applyFont="1" applyFill="1" applyBorder="1" applyAlignment="1">
      <alignment horizontal="center" vertical="center"/>
    </xf>
    <xf numFmtId="0" fontId="6" fillId="4" borderId="3" xfId="5" applyFont="1" applyFill="1" applyBorder="1" applyAlignment="1">
      <alignment horizontal="center" vertical="center" wrapText="1"/>
    </xf>
    <xf numFmtId="0" fontId="2" fillId="2" borderId="13" xfId="5" applyFont="1" applyFill="1" applyBorder="1" applyAlignment="1">
      <alignment wrapText="1"/>
    </xf>
    <xf numFmtId="0" fontId="2" fillId="2" borderId="3" xfId="5" applyFont="1" applyFill="1" applyBorder="1" applyAlignment="1">
      <alignment wrapText="1"/>
    </xf>
    <xf numFmtId="0" fontId="3" fillId="0" borderId="1" xfId="5" applyBorder="1" applyAlignment="1">
      <alignment wrapText="1"/>
    </xf>
    <xf numFmtId="44" fontId="0" fillId="0" borderId="19" xfId="7" applyFont="1" applyFill="1" applyBorder="1"/>
    <xf numFmtId="0" fontId="0" fillId="0" borderId="3" xfId="0" applyBorder="1"/>
    <xf numFmtId="1" fontId="0" fillId="0" borderId="3" xfId="0" applyNumberFormat="1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/>
    <xf numFmtId="0" fontId="0" fillId="0" borderId="16" xfId="0" applyBorder="1"/>
    <xf numFmtId="0" fontId="0" fillId="0" borderId="13" xfId="0" applyBorder="1"/>
    <xf numFmtId="165" fontId="0" fillId="0" borderId="17" xfId="0" applyNumberFormat="1" applyBorder="1"/>
    <xf numFmtId="0" fontId="6" fillId="0" borderId="8" xfId="0" applyFont="1" applyBorder="1"/>
    <xf numFmtId="0" fontId="0" fillId="0" borderId="9" xfId="0" applyBorder="1"/>
    <xf numFmtId="165" fontId="0" fillId="0" borderId="10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3" xfId="5" applyFont="1" applyBorder="1" applyAlignment="1">
      <alignment horizontal="center" vertical="center"/>
    </xf>
    <xf numFmtId="0" fontId="6" fillId="3" borderId="1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7" borderId="12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/>
    </xf>
    <xf numFmtId="0" fontId="1" fillId="0" borderId="0" xfId="0" applyFont="1"/>
    <xf numFmtId="0" fontId="6" fillId="8" borderId="20" xfId="0" applyFont="1" applyFill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" fillId="0" borderId="4" xfId="0" applyFont="1" applyBorder="1"/>
    <xf numFmtId="0" fontId="0" fillId="0" borderId="6" xfId="0" applyBorder="1"/>
    <xf numFmtId="0" fontId="1" fillId="0" borderId="6" xfId="0" applyFont="1" applyBorder="1" applyAlignment="1">
      <alignment horizontal="right"/>
    </xf>
    <xf numFmtId="0" fontId="1" fillId="0" borderId="22" xfId="0" applyFont="1" applyBorder="1"/>
    <xf numFmtId="0" fontId="0" fillId="0" borderId="23" xfId="0" applyBorder="1"/>
    <xf numFmtId="0" fontId="6" fillId="9" borderId="8" xfId="0" applyFont="1" applyFill="1" applyBorder="1" applyAlignment="1">
      <alignment horizontal="center" wrapText="1"/>
    </xf>
    <xf numFmtId="0" fontId="6" fillId="9" borderId="10" xfId="0" applyFont="1" applyFill="1" applyBorder="1" applyAlignment="1">
      <alignment horizontal="center" wrapText="1"/>
    </xf>
  </cellXfs>
  <cellStyles count="8">
    <cellStyle name="Millares 2" xfId="3" xr:uid="{96EE3D55-A8B3-40FF-93E7-7ACA08F8D94C}"/>
    <cellStyle name="Millares 3" xfId="6" xr:uid="{08D989D3-CBE8-434D-80BD-3340F0E5DB51}"/>
    <cellStyle name="Moneda" xfId="4" builtinId="4"/>
    <cellStyle name="Moneda 2" xfId="2" xr:uid="{F3B653B4-F5E9-4EB8-A6F5-8468B99C2347}"/>
    <cellStyle name="Moneda 3" xfId="7" xr:uid="{25C18BE2-88A3-4A8B-AD1C-CDE7F6F7E90E}"/>
    <cellStyle name="Normal" xfId="0" builtinId="0"/>
    <cellStyle name="Normal 2" xfId="1" xr:uid="{C9E559E1-082B-4E9A-8A10-9EEF4F197374}"/>
    <cellStyle name="Normal 3" xfId="5" xr:uid="{ABCF19A1-BEDE-48EB-BB33-58ACF149C7DA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Autoconsumo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107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0AA7-F838-4176-B600-C938B61E32B5}">
  <dimension ref="A1:J28"/>
  <sheetViews>
    <sheetView zoomScale="85" zoomScaleNormal="85" workbookViewId="0">
      <selection activeCell="E33" sqref="E33"/>
    </sheetView>
  </sheetViews>
  <sheetFormatPr baseColWidth="10" defaultColWidth="11.5703125" defaultRowHeight="15" x14ac:dyDescent="0.25"/>
  <cols>
    <col min="1" max="1" width="47" style="7" customWidth="1"/>
    <col min="2" max="2" width="14" style="2" customWidth="1"/>
    <col min="3" max="3" width="11.5703125" style="2" customWidth="1"/>
    <col min="4" max="4" width="12.7109375" style="2" bestFit="1" customWidth="1"/>
    <col min="5" max="8" width="11.5703125" style="2"/>
    <col min="9" max="9" width="17" style="2" customWidth="1"/>
    <col min="10" max="16384" width="11.5703125" style="2"/>
  </cols>
  <sheetData>
    <row r="1" spans="1:10" ht="30" x14ac:dyDescent="0.25">
      <c r="A1" s="18" t="s">
        <v>3</v>
      </c>
      <c r="B1" s="18" t="s">
        <v>1</v>
      </c>
      <c r="C1" s="18" t="s">
        <v>4</v>
      </c>
      <c r="D1" s="18" t="s">
        <v>0</v>
      </c>
      <c r="H1" s="22" t="s">
        <v>15</v>
      </c>
      <c r="I1" s="22" t="s">
        <v>16</v>
      </c>
      <c r="J1" s="22" t="s">
        <v>17</v>
      </c>
    </row>
    <row r="2" spans="1:10" x14ac:dyDescent="0.25">
      <c r="A2" s="14" t="s">
        <v>5</v>
      </c>
      <c r="B2" s="3">
        <f>H2*J2</f>
        <v>600</v>
      </c>
      <c r="C2" s="3">
        <v>0.38</v>
      </c>
      <c r="D2" s="3">
        <f>B2*C2</f>
        <v>228</v>
      </c>
      <c r="E2" s="44" t="s">
        <v>13</v>
      </c>
      <c r="H2" s="21">
        <v>3</v>
      </c>
      <c r="I2" s="21">
        <v>2</v>
      </c>
      <c r="J2" s="3">
        <v>200</v>
      </c>
    </row>
    <row r="3" spans="1:10" x14ac:dyDescent="0.25">
      <c r="A3" s="14" t="s">
        <v>6</v>
      </c>
      <c r="B3" s="3">
        <f>H2*I2</f>
        <v>6</v>
      </c>
      <c r="C3" s="3">
        <v>150</v>
      </c>
      <c r="D3" s="3">
        <f t="shared" ref="D3:D4" si="0">B3*C3</f>
        <v>900</v>
      </c>
      <c r="E3" s="44"/>
    </row>
    <row r="4" spans="1:10" x14ac:dyDescent="0.25">
      <c r="A4" s="14" t="s">
        <v>7</v>
      </c>
      <c r="B4" s="3">
        <f>B3</f>
        <v>6</v>
      </c>
      <c r="C4" s="3">
        <v>12</v>
      </c>
      <c r="D4" s="3">
        <f t="shared" si="0"/>
        <v>72</v>
      </c>
      <c r="E4" s="44"/>
    </row>
    <row r="5" spans="1:10" x14ac:dyDescent="0.25">
      <c r="A5" s="25" t="s">
        <v>18</v>
      </c>
      <c r="B5" s="8">
        <v>1</v>
      </c>
      <c r="C5" s="8">
        <v>4891</v>
      </c>
      <c r="D5" s="8">
        <f t="shared" ref="D5:D11" si="1">B5*C5</f>
        <v>4891</v>
      </c>
      <c r="E5" s="44"/>
    </row>
    <row r="6" spans="1:10" x14ac:dyDescent="0.25">
      <c r="A6" s="25" t="s">
        <v>19</v>
      </c>
      <c r="B6" s="8">
        <v>1</v>
      </c>
      <c r="C6" s="8">
        <v>1500</v>
      </c>
      <c r="D6" s="8">
        <f t="shared" si="1"/>
        <v>1500</v>
      </c>
      <c r="E6" s="44"/>
    </row>
    <row r="7" spans="1:10" x14ac:dyDescent="0.25">
      <c r="A7" s="25" t="s">
        <v>20</v>
      </c>
      <c r="B7" s="8">
        <v>50</v>
      </c>
      <c r="C7" s="8">
        <v>0.89</v>
      </c>
      <c r="D7" s="8">
        <f t="shared" si="1"/>
        <v>44.5</v>
      </c>
      <c r="E7" s="44"/>
    </row>
    <row r="8" spans="1:10" x14ac:dyDescent="0.25">
      <c r="A8" s="25" t="s">
        <v>21</v>
      </c>
      <c r="B8" s="8">
        <v>1</v>
      </c>
      <c r="C8" s="8">
        <v>40</v>
      </c>
      <c r="D8" s="8">
        <f t="shared" si="1"/>
        <v>40</v>
      </c>
      <c r="E8" s="44"/>
    </row>
    <row r="9" spans="1:10" x14ac:dyDescent="0.25">
      <c r="A9" s="25" t="s">
        <v>24</v>
      </c>
      <c r="B9" s="8">
        <v>1</v>
      </c>
      <c r="C9" s="8">
        <v>62</v>
      </c>
      <c r="D9" s="8">
        <f t="shared" si="1"/>
        <v>62</v>
      </c>
      <c r="E9" s="44"/>
    </row>
    <row r="10" spans="1:10" x14ac:dyDescent="0.25">
      <c r="A10" s="25" t="s">
        <v>22</v>
      </c>
      <c r="B10" s="8">
        <v>1</v>
      </c>
      <c r="C10" s="8">
        <v>57</v>
      </c>
      <c r="D10" s="8">
        <f t="shared" si="1"/>
        <v>57</v>
      </c>
      <c r="E10" s="44"/>
    </row>
    <row r="11" spans="1:10" x14ac:dyDescent="0.25">
      <c r="A11" s="25" t="s">
        <v>23</v>
      </c>
      <c r="B11" s="8">
        <v>10</v>
      </c>
      <c r="C11" s="8">
        <v>0.65</v>
      </c>
      <c r="D11" s="8">
        <f t="shared" si="1"/>
        <v>6.5</v>
      </c>
      <c r="E11" s="44"/>
    </row>
    <row r="12" spans="1:10" x14ac:dyDescent="0.25">
      <c r="A12" s="25" t="s">
        <v>25</v>
      </c>
      <c r="B12" s="8">
        <v>1</v>
      </c>
      <c r="C12" s="8">
        <v>155.22999999999999</v>
      </c>
      <c r="D12" s="8">
        <f t="shared" ref="D12:D14" si="2">B12*C12</f>
        <v>155.22999999999999</v>
      </c>
      <c r="E12" s="44"/>
    </row>
    <row r="13" spans="1:10" x14ac:dyDescent="0.25">
      <c r="A13" s="26" t="s">
        <v>26</v>
      </c>
      <c r="B13" s="4">
        <v>1</v>
      </c>
      <c r="C13" s="4">
        <v>250</v>
      </c>
      <c r="D13" s="4">
        <f t="shared" si="2"/>
        <v>250</v>
      </c>
      <c r="E13" s="44"/>
    </row>
    <row r="14" spans="1:10" x14ac:dyDescent="0.25">
      <c r="A14" s="26" t="s">
        <v>27</v>
      </c>
      <c r="B14" s="4">
        <v>1</v>
      </c>
      <c r="C14" s="4">
        <v>1000</v>
      </c>
      <c r="D14" s="4">
        <f t="shared" si="2"/>
        <v>1000</v>
      </c>
      <c r="E14" s="44"/>
    </row>
    <row r="15" spans="1:10" ht="15.75" thickBot="1" x14ac:dyDescent="0.3">
      <c r="A15" s="27" t="s">
        <v>2</v>
      </c>
      <c r="B15" s="9"/>
      <c r="C15" s="9"/>
      <c r="D15" s="28">
        <f>SUM(D2:D14)</f>
        <v>9206.23</v>
      </c>
    </row>
    <row r="16" spans="1:10" ht="15.75" thickBot="1" x14ac:dyDescent="0.3">
      <c r="D16" s="5"/>
    </row>
    <row r="17" spans="1:7" ht="15.75" thickBot="1" x14ac:dyDescent="0.3">
      <c r="A17" s="15" t="s">
        <v>8</v>
      </c>
      <c r="B17" s="11">
        <f>H2</f>
        <v>3</v>
      </c>
      <c r="C17" s="11">
        <v>1000</v>
      </c>
      <c r="D17" s="13">
        <f>B17*C17</f>
        <v>3000</v>
      </c>
    </row>
    <row r="18" spans="1:7" ht="15.75" thickBot="1" x14ac:dyDescent="0.3">
      <c r="D18" s="5"/>
    </row>
    <row r="19" spans="1:7" ht="30.75" thickBot="1" x14ac:dyDescent="0.3">
      <c r="A19" s="16" t="s">
        <v>9</v>
      </c>
      <c r="B19" s="11"/>
      <c r="C19" s="11"/>
      <c r="D19" s="12">
        <f>D15+D17</f>
        <v>12206.23</v>
      </c>
      <c r="F19" s="23" t="s">
        <v>10</v>
      </c>
      <c r="G19" s="24" t="s">
        <v>11</v>
      </c>
    </row>
    <row r="20" spans="1:7" ht="15.75" thickBot="1" x14ac:dyDescent="0.3">
      <c r="A20" s="17" t="s">
        <v>12</v>
      </c>
      <c r="B20" s="9"/>
      <c r="C20" s="9"/>
      <c r="D20" s="10">
        <f>D19-SUM(D2:D13)</f>
        <v>4000</v>
      </c>
      <c r="E20" s="6"/>
      <c r="F20" s="3">
        <v>32.450000000000003</v>
      </c>
      <c r="G20" s="19">
        <f>(B24/1000)/F20</f>
        <v>0.37615500770416022</v>
      </c>
    </row>
    <row r="24" spans="1:7" x14ac:dyDescent="0.25">
      <c r="A24" s="20" t="s">
        <v>2</v>
      </c>
      <c r="B24" s="19">
        <f>D19</f>
        <v>12206.23</v>
      </c>
      <c r="C24" s="7"/>
    </row>
    <row r="25" spans="1:7" x14ac:dyDescent="0.25">
      <c r="A25" s="20" t="s">
        <v>14</v>
      </c>
      <c r="B25" s="19">
        <f>B24*1.21</f>
        <v>14769.538299999998</v>
      </c>
      <c r="C25" s="7"/>
    </row>
    <row r="26" spans="1:7" x14ac:dyDescent="0.25">
      <c r="C26" s="7"/>
    </row>
    <row r="27" spans="1:7" x14ac:dyDescent="0.25">
      <c r="C27" s="7"/>
    </row>
    <row r="28" spans="1:7" x14ac:dyDescent="0.25">
      <c r="C28" s="7"/>
    </row>
  </sheetData>
  <mergeCells count="1">
    <mergeCell ref="E2:E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A53B-6137-40EC-BB43-5686C5047A75}">
  <dimension ref="A1:Q36"/>
  <sheetViews>
    <sheetView tabSelected="1" workbookViewId="0">
      <selection activeCell="P22" sqref="P22"/>
    </sheetView>
  </sheetViews>
  <sheetFormatPr baseColWidth="10" defaultRowHeight="15" x14ac:dyDescent="0.25"/>
  <cols>
    <col min="1" max="1" width="18.7109375" customWidth="1"/>
    <col min="5" max="5" width="3.28515625" customWidth="1"/>
    <col min="6" max="6" width="18.42578125" customWidth="1"/>
    <col min="10" max="10" width="3.140625" customWidth="1"/>
    <col min="11" max="11" width="20.85546875" customWidth="1"/>
    <col min="15" max="15" width="2.85546875" customWidth="1"/>
    <col min="16" max="16" width="25.140625" customWidth="1"/>
  </cols>
  <sheetData>
    <row r="1" spans="1:17" ht="33.75" customHeight="1" thickBot="1" x14ac:dyDescent="0.3">
      <c r="A1" s="54" t="s">
        <v>54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6"/>
      <c r="P1" s="65" t="s">
        <v>69</v>
      </c>
      <c r="Q1" s="66"/>
    </row>
    <row r="2" spans="1:17" ht="45" x14ac:dyDescent="0.25">
      <c r="A2" s="45" t="s">
        <v>30</v>
      </c>
      <c r="B2" s="46"/>
      <c r="C2" s="46"/>
      <c r="D2" s="47"/>
      <c r="E2" s="42"/>
      <c r="F2" s="48" t="s">
        <v>31</v>
      </c>
      <c r="G2" s="49"/>
      <c r="H2" s="49"/>
      <c r="I2" s="50"/>
      <c r="J2" s="42"/>
      <c r="K2" s="51" t="s">
        <v>32</v>
      </c>
      <c r="L2" s="52"/>
      <c r="M2" s="52"/>
      <c r="N2" s="53"/>
      <c r="P2" s="58" t="s">
        <v>3</v>
      </c>
      <c r="Q2" s="59" t="s">
        <v>66</v>
      </c>
    </row>
    <row r="3" spans="1:17" ht="30" x14ac:dyDescent="0.25">
      <c r="A3" s="32" t="s">
        <v>3</v>
      </c>
      <c r="B3" s="33" t="s">
        <v>28</v>
      </c>
      <c r="C3" s="33" t="s">
        <v>4</v>
      </c>
      <c r="D3" s="34" t="s">
        <v>29</v>
      </c>
      <c r="E3" s="43"/>
      <c r="F3" s="32" t="s">
        <v>3</v>
      </c>
      <c r="G3" s="33" t="s">
        <v>28</v>
      </c>
      <c r="H3" s="33" t="s">
        <v>4</v>
      </c>
      <c r="I3" s="34" t="s">
        <v>29</v>
      </c>
      <c r="J3" s="43"/>
      <c r="K3" s="32" t="s">
        <v>3</v>
      </c>
      <c r="L3" s="33" t="s">
        <v>28</v>
      </c>
      <c r="M3" s="33" t="s">
        <v>4</v>
      </c>
      <c r="N3" s="34" t="s">
        <v>29</v>
      </c>
      <c r="P3" s="60" t="s">
        <v>58</v>
      </c>
      <c r="Q3" s="61">
        <v>1</v>
      </c>
    </row>
    <row r="4" spans="1:17" x14ac:dyDescent="0.25">
      <c r="A4" s="31" t="s">
        <v>33</v>
      </c>
      <c r="B4" s="29">
        <v>6</v>
      </c>
      <c r="C4" s="29">
        <v>0.84150000000000003</v>
      </c>
      <c r="D4" s="35">
        <f>B4*C4</f>
        <v>5.0490000000000004</v>
      </c>
      <c r="F4" s="31" t="s">
        <v>33</v>
      </c>
      <c r="G4" s="29">
        <v>12</v>
      </c>
      <c r="H4" s="29">
        <v>0.84150000000000003</v>
      </c>
      <c r="I4" s="35">
        <f>G4*H4</f>
        <v>10.098000000000001</v>
      </c>
      <c r="K4" s="31" t="s">
        <v>33</v>
      </c>
      <c r="L4" s="29">
        <v>18</v>
      </c>
      <c r="M4" s="29">
        <v>0.84150000000000003</v>
      </c>
      <c r="N4" s="35">
        <f>L4*M4</f>
        <v>15.147</v>
      </c>
      <c r="P4" s="60" t="s">
        <v>70</v>
      </c>
      <c r="Q4" s="61">
        <v>1</v>
      </c>
    </row>
    <row r="5" spans="1:17" x14ac:dyDescent="0.25">
      <c r="A5" s="31" t="s">
        <v>34</v>
      </c>
      <c r="B5" s="29">
        <v>5</v>
      </c>
      <c r="C5" s="29">
        <v>0.90749999999999997</v>
      </c>
      <c r="D5" s="35">
        <f t="shared" ref="D5:D19" si="0">B5*C5</f>
        <v>4.5374999999999996</v>
      </c>
      <c r="F5" s="31" t="s">
        <v>34</v>
      </c>
      <c r="G5" s="29">
        <v>10</v>
      </c>
      <c r="H5" s="29">
        <v>0.90749999999999997</v>
      </c>
      <c r="I5" s="35">
        <f t="shared" ref="I5:I19" si="1">G5*H5</f>
        <v>9.0749999999999993</v>
      </c>
      <c r="K5" s="31" t="s">
        <v>34</v>
      </c>
      <c r="L5" s="29">
        <v>15</v>
      </c>
      <c r="M5" s="29">
        <v>0.90749999999999997</v>
      </c>
      <c r="N5" s="35">
        <f t="shared" ref="N5:N19" si="2">L5*M5</f>
        <v>13.612499999999999</v>
      </c>
      <c r="P5" s="60" t="s">
        <v>59</v>
      </c>
      <c r="Q5" s="62">
        <v>5</v>
      </c>
    </row>
    <row r="6" spans="1:17" x14ac:dyDescent="0.25">
      <c r="A6" s="31" t="s">
        <v>35</v>
      </c>
      <c r="B6" s="29">
        <v>2</v>
      </c>
      <c r="C6" s="29">
        <v>1.78</v>
      </c>
      <c r="D6" s="35">
        <f t="shared" si="0"/>
        <v>3.56</v>
      </c>
      <c r="F6" s="31" t="s">
        <v>35</v>
      </c>
      <c r="G6" s="29">
        <v>4</v>
      </c>
      <c r="H6" s="29">
        <v>1.78</v>
      </c>
      <c r="I6" s="35">
        <f t="shared" si="1"/>
        <v>7.12</v>
      </c>
      <c r="K6" s="31" t="s">
        <v>35</v>
      </c>
      <c r="L6" s="29">
        <v>6</v>
      </c>
      <c r="M6" s="29">
        <v>1.78</v>
      </c>
      <c r="N6" s="35">
        <f>L6*M6</f>
        <v>10.68</v>
      </c>
      <c r="P6" s="60" t="s">
        <v>56</v>
      </c>
      <c r="Q6" s="61">
        <v>2</v>
      </c>
    </row>
    <row r="7" spans="1:17" x14ac:dyDescent="0.25">
      <c r="A7" s="31" t="s">
        <v>36</v>
      </c>
      <c r="B7" s="29">
        <v>70</v>
      </c>
      <c r="C7" s="29">
        <v>0.87</v>
      </c>
      <c r="D7" s="35">
        <f t="shared" si="0"/>
        <v>60.9</v>
      </c>
      <c r="F7" s="31" t="s">
        <v>36</v>
      </c>
      <c r="G7" s="29">
        <v>80</v>
      </c>
      <c r="H7" s="29">
        <v>0.87</v>
      </c>
      <c r="I7" s="35">
        <f t="shared" si="1"/>
        <v>69.599999999999994</v>
      </c>
      <c r="K7" s="31" t="s">
        <v>36</v>
      </c>
      <c r="L7" s="29">
        <v>120</v>
      </c>
      <c r="M7" s="29">
        <v>0.87</v>
      </c>
      <c r="N7" s="35">
        <f t="shared" si="2"/>
        <v>104.4</v>
      </c>
      <c r="P7" s="60" t="s">
        <v>63</v>
      </c>
      <c r="Q7" s="61">
        <v>20</v>
      </c>
    </row>
    <row r="8" spans="1:17" x14ac:dyDescent="0.25">
      <c r="A8" s="31" t="s">
        <v>46</v>
      </c>
      <c r="B8" s="29">
        <v>35</v>
      </c>
      <c r="C8" s="29">
        <v>0.52</v>
      </c>
      <c r="D8" s="35">
        <f t="shared" si="0"/>
        <v>18.2</v>
      </c>
      <c r="F8" s="31" t="s">
        <v>46</v>
      </c>
      <c r="G8" s="29">
        <v>40</v>
      </c>
      <c r="H8" s="29">
        <v>0.52</v>
      </c>
      <c r="I8" s="35">
        <f t="shared" si="1"/>
        <v>20.8</v>
      </c>
      <c r="K8" s="31" t="s">
        <v>46</v>
      </c>
      <c r="L8" s="29">
        <v>40</v>
      </c>
      <c r="M8" s="29">
        <v>0.52</v>
      </c>
      <c r="N8" s="35">
        <f t="shared" si="2"/>
        <v>20.8</v>
      </c>
      <c r="P8" s="60" t="s">
        <v>67</v>
      </c>
      <c r="Q8" s="61">
        <v>20</v>
      </c>
    </row>
    <row r="9" spans="1:17" x14ac:dyDescent="0.25">
      <c r="A9" s="31" t="s">
        <v>51</v>
      </c>
      <c r="B9" s="30">
        <f>B8/3</f>
        <v>11.666666666666666</v>
      </c>
      <c r="C9" s="29">
        <v>0.35</v>
      </c>
      <c r="D9" s="35">
        <f t="shared" si="0"/>
        <v>4.083333333333333</v>
      </c>
      <c r="F9" s="31" t="s">
        <v>51</v>
      </c>
      <c r="G9" s="30">
        <f>G8/3</f>
        <v>13.333333333333334</v>
      </c>
      <c r="H9" s="29">
        <v>0.35</v>
      </c>
      <c r="I9" s="35">
        <f>G9*H9</f>
        <v>4.666666666666667</v>
      </c>
      <c r="K9" s="31" t="s">
        <v>51</v>
      </c>
      <c r="L9" s="30">
        <f>L8/3</f>
        <v>13.333333333333334</v>
      </c>
      <c r="M9" s="29">
        <v>0.35</v>
      </c>
      <c r="N9" s="35">
        <f t="shared" si="2"/>
        <v>4.666666666666667</v>
      </c>
      <c r="P9" s="60" t="s">
        <v>55</v>
      </c>
      <c r="Q9" s="61">
        <v>20</v>
      </c>
    </row>
    <row r="10" spans="1:17" x14ac:dyDescent="0.25">
      <c r="A10" s="31" t="s">
        <v>52</v>
      </c>
      <c r="B10" s="29">
        <v>3</v>
      </c>
      <c r="C10" s="29">
        <v>0.30199999999999999</v>
      </c>
      <c r="D10" s="35">
        <f t="shared" si="0"/>
        <v>0.90599999999999992</v>
      </c>
      <c r="F10" s="31" t="s">
        <v>52</v>
      </c>
      <c r="G10" s="29">
        <v>3</v>
      </c>
      <c r="H10" s="29">
        <v>0.30199999999999999</v>
      </c>
      <c r="I10" s="35">
        <f t="shared" si="1"/>
        <v>0.90599999999999992</v>
      </c>
      <c r="K10" s="31" t="s">
        <v>52</v>
      </c>
      <c r="L10" s="29">
        <v>3</v>
      </c>
      <c r="M10" s="29">
        <v>0.30199999999999999</v>
      </c>
      <c r="N10" s="35">
        <f t="shared" si="2"/>
        <v>0.90599999999999992</v>
      </c>
      <c r="P10" s="60" t="s">
        <v>57</v>
      </c>
      <c r="Q10" s="61">
        <v>20</v>
      </c>
    </row>
    <row r="11" spans="1:17" x14ac:dyDescent="0.25">
      <c r="A11" s="31" t="s">
        <v>47</v>
      </c>
      <c r="B11" s="29">
        <v>2</v>
      </c>
      <c r="C11" s="29">
        <v>3.62</v>
      </c>
      <c r="D11" s="35">
        <f t="shared" si="0"/>
        <v>7.24</v>
      </c>
      <c r="F11" s="31" t="s">
        <v>47</v>
      </c>
      <c r="G11" s="29">
        <v>4</v>
      </c>
      <c r="H11" s="29">
        <v>3.62</v>
      </c>
      <c r="I11" s="35">
        <f t="shared" si="1"/>
        <v>14.48</v>
      </c>
      <c r="K11" s="31" t="s">
        <v>47</v>
      </c>
      <c r="L11" s="29">
        <v>6</v>
      </c>
      <c r="M11" s="29">
        <v>3.62</v>
      </c>
      <c r="N11" s="35">
        <f t="shared" si="2"/>
        <v>21.72</v>
      </c>
      <c r="P11" s="60" t="s">
        <v>60</v>
      </c>
      <c r="Q11" s="61">
        <v>20</v>
      </c>
    </row>
    <row r="12" spans="1:17" x14ac:dyDescent="0.25">
      <c r="A12" s="31" t="s">
        <v>43</v>
      </c>
      <c r="B12" s="29">
        <v>2</v>
      </c>
      <c r="C12" s="29">
        <v>4.6500000000000004</v>
      </c>
      <c r="D12" s="35">
        <f t="shared" si="0"/>
        <v>9.3000000000000007</v>
      </c>
      <c r="F12" s="31" t="s">
        <v>43</v>
      </c>
      <c r="G12" s="29">
        <v>4</v>
      </c>
      <c r="H12" s="29">
        <v>4.6500000000000004</v>
      </c>
      <c r="I12" s="35">
        <f t="shared" si="1"/>
        <v>18.600000000000001</v>
      </c>
      <c r="K12" s="31" t="s">
        <v>43</v>
      </c>
      <c r="L12" s="29">
        <v>6</v>
      </c>
      <c r="M12" s="29">
        <v>4.6500000000000004</v>
      </c>
      <c r="N12" s="35">
        <f t="shared" si="2"/>
        <v>27.900000000000002</v>
      </c>
      <c r="P12" s="60" t="s">
        <v>61</v>
      </c>
      <c r="Q12" s="61">
        <v>20</v>
      </c>
    </row>
    <row r="13" spans="1:17" x14ac:dyDescent="0.25">
      <c r="A13" s="31" t="s">
        <v>37</v>
      </c>
      <c r="B13" s="29">
        <v>1</v>
      </c>
      <c r="C13" s="29">
        <v>42.56</v>
      </c>
      <c r="D13" s="35">
        <f t="shared" si="0"/>
        <v>42.56</v>
      </c>
      <c r="F13" s="31" t="s">
        <v>37</v>
      </c>
      <c r="G13" s="29">
        <v>2</v>
      </c>
      <c r="H13" s="29">
        <v>42.56</v>
      </c>
      <c r="I13" s="35">
        <f t="shared" si="1"/>
        <v>85.12</v>
      </c>
      <c r="K13" s="31" t="s">
        <v>37</v>
      </c>
      <c r="L13" s="29">
        <v>3</v>
      </c>
      <c r="M13" s="29">
        <v>42.56</v>
      </c>
      <c r="N13" s="35">
        <f t="shared" si="2"/>
        <v>127.68</v>
      </c>
      <c r="P13" s="60" t="s">
        <v>62</v>
      </c>
      <c r="Q13" s="61">
        <v>20</v>
      </c>
    </row>
    <row r="14" spans="1:17" x14ac:dyDescent="0.25">
      <c r="A14" s="31" t="s">
        <v>38</v>
      </c>
      <c r="B14" s="29">
        <v>1</v>
      </c>
      <c r="C14" s="29">
        <v>25.9</v>
      </c>
      <c r="D14" s="35">
        <f t="shared" si="0"/>
        <v>25.9</v>
      </c>
      <c r="F14" s="31" t="s">
        <v>38</v>
      </c>
      <c r="G14" s="29">
        <v>1</v>
      </c>
      <c r="H14" s="29">
        <v>31.5</v>
      </c>
      <c r="I14" s="35">
        <f t="shared" si="1"/>
        <v>31.5</v>
      </c>
      <c r="K14" s="31" t="s">
        <v>38</v>
      </c>
      <c r="L14" s="29">
        <v>1</v>
      </c>
      <c r="M14" s="29">
        <v>47.97</v>
      </c>
      <c r="N14" s="35">
        <f t="shared" si="2"/>
        <v>47.97</v>
      </c>
      <c r="P14" s="60" t="s">
        <v>64</v>
      </c>
      <c r="Q14" s="61">
        <v>20</v>
      </c>
    </row>
    <row r="15" spans="1:17" x14ac:dyDescent="0.25">
      <c r="A15" s="31" t="s">
        <v>39</v>
      </c>
      <c r="B15" s="29">
        <v>1</v>
      </c>
      <c r="C15" s="29">
        <v>2.9</v>
      </c>
      <c r="D15" s="35">
        <f t="shared" si="0"/>
        <v>2.9</v>
      </c>
      <c r="F15" s="31" t="s">
        <v>44</v>
      </c>
      <c r="G15" s="29">
        <v>1</v>
      </c>
      <c r="H15" s="29">
        <v>3.96</v>
      </c>
      <c r="I15" s="35">
        <f t="shared" si="1"/>
        <v>3.96</v>
      </c>
      <c r="K15" s="31" t="s">
        <v>48</v>
      </c>
      <c r="L15" s="29">
        <v>1</v>
      </c>
      <c r="M15" s="29">
        <v>21</v>
      </c>
      <c r="N15" s="35">
        <f t="shared" si="2"/>
        <v>21</v>
      </c>
      <c r="P15" s="60" t="s">
        <v>65</v>
      </c>
      <c r="Q15" s="61">
        <v>10</v>
      </c>
    </row>
    <row r="16" spans="1:17" ht="15.75" thickBot="1" x14ac:dyDescent="0.3">
      <c r="A16" s="31" t="s">
        <v>53</v>
      </c>
      <c r="B16" s="29">
        <v>1</v>
      </c>
      <c r="C16" s="29">
        <v>28.5</v>
      </c>
      <c r="D16" s="35">
        <f t="shared" si="0"/>
        <v>28.5</v>
      </c>
      <c r="F16" s="31" t="s">
        <v>45</v>
      </c>
      <c r="G16" s="29">
        <v>1</v>
      </c>
      <c r="H16" s="29">
        <v>28.5</v>
      </c>
      <c r="I16" s="35">
        <f t="shared" si="1"/>
        <v>28.5</v>
      </c>
      <c r="K16" s="31" t="s">
        <v>49</v>
      </c>
      <c r="L16" s="29">
        <v>1</v>
      </c>
      <c r="M16" s="29">
        <v>33.909999999999997</v>
      </c>
      <c r="N16" s="35">
        <f t="shared" si="2"/>
        <v>33.909999999999997</v>
      </c>
      <c r="P16" s="63" t="s">
        <v>68</v>
      </c>
      <c r="Q16" s="64">
        <v>20</v>
      </c>
    </row>
    <row r="17" spans="1:14" x14ac:dyDescent="0.25">
      <c r="A17" s="31" t="s">
        <v>40</v>
      </c>
      <c r="B17" s="29">
        <v>1</v>
      </c>
      <c r="C17" s="29">
        <v>42</v>
      </c>
      <c r="D17" s="35">
        <f t="shared" si="0"/>
        <v>42</v>
      </c>
      <c r="F17" s="31" t="s">
        <v>40</v>
      </c>
      <c r="G17" s="29">
        <v>1</v>
      </c>
      <c r="H17" s="29">
        <v>42</v>
      </c>
      <c r="I17" s="35">
        <f t="shared" si="1"/>
        <v>42</v>
      </c>
      <c r="K17" s="31" t="s">
        <v>40</v>
      </c>
      <c r="L17" s="29">
        <v>1</v>
      </c>
      <c r="M17" s="29">
        <v>42</v>
      </c>
      <c r="N17" s="35">
        <f t="shared" si="2"/>
        <v>42</v>
      </c>
    </row>
    <row r="18" spans="1:14" x14ac:dyDescent="0.25">
      <c r="A18" s="31" t="s">
        <v>41</v>
      </c>
      <c r="B18" s="29">
        <v>1</v>
      </c>
      <c r="C18" s="29">
        <v>25.9</v>
      </c>
      <c r="D18" s="35">
        <f t="shared" si="0"/>
        <v>25.9</v>
      </c>
      <c r="F18" s="31" t="s">
        <v>41</v>
      </c>
      <c r="G18" s="29">
        <v>1</v>
      </c>
      <c r="H18" s="29">
        <v>25.9</v>
      </c>
      <c r="I18" s="35">
        <f t="shared" si="1"/>
        <v>25.9</v>
      </c>
      <c r="K18" s="31" t="s">
        <v>41</v>
      </c>
      <c r="L18" s="29">
        <v>1</v>
      </c>
      <c r="M18" s="29">
        <v>25.9</v>
      </c>
      <c r="N18" s="35">
        <f t="shared" si="2"/>
        <v>25.9</v>
      </c>
    </row>
    <row r="19" spans="1:14" ht="15.75" thickBot="1" x14ac:dyDescent="0.3">
      <c r="A19" s="36" t="s">
        <v>42</v>
      </c>
      <c r="B19" s="37">
        <v>30</v>
      </c>
      <c r="C19" s="37">
        <v>0.44900000000000001</v>
      </c>
      <c r="D19" s="38">
        <f t="shared" si="0"/>
        <v>13.47</v>
      </c>
      <c r="F19" s="36" t="s">
        <v>42</v>
      </c>
      <c r="G19" s="37">
        <v>30</v>
      </c>
      <c r="H19" s="37">
        <v>0.44900000000000001</v>
      </c>
      <c r="I19" s="38">
        <f t="shared" si="1"/>
        <v>13.47</v>
      </c>
      <c r="K19" s="36" t="s">
        <v>50</v>
      </c>
      <c r="L19" s="37">
        <v>30</v>
      </c>
      <c r="M19" s="37">
        <v>1.56</v>
      </c>
      <c r="N19" s="38">
        <f t="shared" si="2"/>
        <v>46.800000000000004</v>
      </c>
    </row>
    <row r="20" spans="1:14" ht="15.75" thickBot="1" x14ac:dyDescent="0.3">
      <c r="A20" s="39" t="s">
        <v>0</v>
      </c>
      <c r="B20" s="40"/>
      <c r="C20" s="40"/>
      <c r="D20" s="41">
        <f>SUM(D4:D19)</f>
        <v>295.00583333333333</v>
      </c>
      <c r="E20" s="1"/>
      <c r="F20" s="39" t="s">
        <v>0</v>
      </c>
      <c r="G20" s="40"/>
      <c r="H20" s="40"/>
      <c r="I20" s="41">
        <f>SUM(I4:I19)</f>
        <v>385.79566666666665</v>
      </c>
      <c r="J20" s="1"/>
      <c r="K20" s="39" t="s">
        <v>0</v>
      </c>
      <c r="L20" s="40"/>
      <c r="M20" s="40"/>
      <c r="N20" s="41">
        <f>SUM(N4:N19)</f>
        <v>565.09216666666657</v>
      </c>
    </row>
    <row r="28" spans="1:14" x14ac:dyDescent="0.25">
      <c r="F28" s="57"/>
    </row>
    <row r="29" spans="1:14" x14ac:dyDescent="0.25">
      <c r="F29" s="57"/>
    </row>
    <row r="30" spans="1:14" x14ac:dyDescent="0.25">
      <c r="F30" s="57"/>
    </row>
    <row r="31" spans="1:14" x14ac:dyDescent="0.25">
      <c r="F31" s="57"/>
    </row>
    <row r="32" spans="1:14" x14ac:dyDescent="0.25">
      <c r="F32" s="57"/>
    </row>
    <row r="33" spans="6:6" x14ac:dyDescent="0.25">
      <c r="F33" s="57"/>
    </row>
    <row r="34" spans="6:6" x14ac:dyDescent="0.25">
      <c r="F34" s="57"/>
    </row>
    <row r="35" spans="6:6" x14ac:dyDescent="0.25">
      <c r="F35" s="57"/>
    </row>
    <row r="36" spans="6:6" x14ac:dyDescent="0.25">
      <c r="F36" s="57"/>
    </row>
  </sheetData>
  <mergeCells count="5">
    <mergeCell ref="A2:D2"/>
    <mergeCell ref="F2:I2"/>
    <mergeCell ref="K2:N2"/>
    <mergeCell ref="A1:N1"/>
    <mergeCell ref="P1:Q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Calculo Costes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fop</cp:lastModifiedBy>
  <cp:lastPrinted>2025-11-06T13:09:28Z</cp:lastPrinted>
  <dcterms:created xsi:type="dcterms:W3CDTF">2021-10-19T09:00:08Z</dcterms:created>
  <dcterms:modified xsi:type="dcterms:W3CDTF">2025-11-06T13:50:18Z</dcterms:modified>
</cp:coreProperties>
</file>