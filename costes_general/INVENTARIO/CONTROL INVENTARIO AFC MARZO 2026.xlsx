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VENTARIO\"/>
    </mc:Choice>
  </mc:AlternateContent>
  <xr:revisionPtr revIDLastSave="0" documentId="13_ncr:1_{89E3F2B0-BF1C-47D1-918F-661BA6488600}" xr6:coauthVersionLast="47" xr6:coauthVersionMax="47" xr10:uidLastSave="{00000000-0000-0000-0000-000000000000}"/>
  <bookViews>
    <workbookView xWindow="-108" yWindow="-108" windowWidth="23256" windowHeight="12456" xr2:uid="{D7F44234-10BE-4990-9313-5E72422798F5}"/>
  </bookViews>
  <sheets>
    <sheet name="BASE DE CONTROL" sheetId="1" r:id="rId1"/>
    <sheet name="LISTA ITEMS" sheetId="3" r:id="rId2"/>
    <sheet name="ESTRUCTURA CODIGO" sheetId="4" r:id="rId3"/>
    <sheet name="OTRO" sheetId="6" r:id="rId4"/>
    <sheet name="INV CRISTOBAL 23-3" sheetId="7" r:id="rId5"/>
  </sheets>
  <definedNames>
    <definedName name="_xlnm._FilterDatabase" localSheetId="0" hidden="1">'BASE DE CONTROL'!$A$3:$AH$576</definedName>
    <definedName name="_xlnm._FilterDatabase" localSheetId="2" hidden="1">'ESTRUCTURA CODIGO'!$A$1:$L$613</definedName>
    <definedName name="_xlnm._FilterDatabase" localSheetId="4" hidden="1">'INV CRISTOBAL 23-3'!$A$2:$M$27</definedName>
    <definedName name="_xlnm._FilterDatabase" localSheetId="1" hidden="1">'LISTA ITEMS'!$B$2:$H$875</definedName>
    <definedName name="_xlnm._FilterDatabase" localSheetId="3" hidden="1">OTRO!$A$3:$AH$517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" i="7" l="1"/>
  <c r="E25" i="7"/>
  <c r="E24" i="7"/>
  <c r="E23" i="7"/>
  <c r="E22" i="7"/>
  <c r="E20" i="7"/>
  <c r="E19" i="7"/>
  <c r="E18" i="7"/>
  <c r="E17" i="7"/>
  <c r="E16" i="7"/>
  <c r="E15" i="7"/>
  <c r="I14" i="7"/>
  <c r="E14" i="7"/>
  <c r="E13" i="7"/>
  <c r="E12" i="7"/>
  <c r="E11" i="7"/>
  <c r="E10" i="7"/>
  <c r="E9" i="7"/>
  <c r="E8" i="7"/>
  <c r="E7" i="7"/>
  <c r="E6" i="7"/>
  <c r="E5" i="7"/>
  <c r="E3" i="7"/>
  <c r="T68" i="1"/>
  <c r="N515" i="6"/>
  <c r="L515" i="6"/>
  <c r="R514" i="6"/>
  <c r="AC514" i="6" s="1"/>
  <c r="E514" i="6"/>
  <c r="R513" i="6"/>
  <c r="AC513" i="6" s="1"/>
  <c r="E513" i="6"/>
  <c r="R512" i="6"/>
  <c r="AC512" i="6" s="1"/>
  <c r="E512" i="6"/>
  <c r="R511" i="6"/>
  <c r="AC511" i="6" s="1"/>
  <c r="E511" i="6"/>
  <c r="R510" i="6"/>
  <c r="AC510" i="6" s="1"/>
  <c r="E510" i="6"/>
  <c r="R509" i="6"/>
  <c r="AC509" i="6" s="1"/>
  <c r="E509" i="6"/>
  <c r="R508" i="6"/>
  <c r="AC508" i="6" s="1"/>
  <c r="E508" i="6"/>
  <c r="R507" i="6"/>
  <c r="AC507" i="6" s="1"/>
  <c r="E507" i="6"/>
  <c r="R506" i="6"/>
  <c r="AC506" i="6" s="1"/>
  <c r="E506" i="6"/>
  <c r="R505" i="6"/>
  <c r="AC505" i="6" s="1"/>
  <c r="E505" i="6"/>
  <c r="R504" i="6"/>
  <c r="AC504" i="6" s="1"/>
  <c r="E504" i="6"/>
  <c r="R503" i="6"/>
  <c r="AC503" i="6" s="1"/>
  <c r="E503" i="6"/>
  <c r="R502" i="6"/>
  <c r="AC502" i="6" s="1"/>
  <c r="E502" i="6"/>
  <c r="R501" i="6"/>
  <c r="AC501" i="6" s="1"/>
  <c r="E501" i="6"/>
  <c r="R500" i="6"/>
  <c r="AC500" i="6" s="1"/>
  <c r="E500" i="6"/>
  <c r="R499" i="6"/>
  <c r="AC499" i="6" s="1"/>
  <c r="E499" i="6"/>
  <c r="R498" i="6"/>
  <c r="AC498" i="6" s="1"/>
  <c r="E498" i="6"/>
  <c r="R497" i="6"/>
  <c r="AC497" i="6" s="1"/>
  <c r="E497" i="6"/>
  <c r="R496" i="6"/>
  <c r="AC496" i="6" s="1"/>
  <c r="E496" i="6"/>
  <c r="R495" i="6"/>
  <c r="AC495" i="6" s="1"/>
  <c r="E495" i="6"/>
  <c r="R494" i="6"/>
  <c r="AC494" i="6" s="1"/>
  <c r="E494" i="6"/>
  <c r="R493" i="6"/>
  <c r="AC493" i="6" s="1"/>
  <c r="E493" i="6"/>
  <c r="R492" i="6"/>
  <c r="AC492" i="6" s="1"/>
  <c r="E492" i="6"/>
  <c r="R491" i="6"/>
  <c r="AC491" i="6" s="1"/>
  <c r="E491" i="6"/>
  <c r="R490" i="6"/>
  <c r="AC490" i="6" s="1"/>
  <c r="E490" i="6"/>
  <c r="R489" i="6"/>
  <c r="AC489" i="6" s="1"/>
  <c r="E489" i="6"/>
  <c r="R488" i="6"/>
  <c r="AC488" i="6" s="1"/>
  <c r="E488" i="6"/>
  <c r="R487" i="6"/>
  <c r="AC487" i="6" s="1"/>
  <c r="E487" i="6"/>
  <c r="R486" i="6"/>
  <c r="AC486" i="6" s="1"/>
  <c r="E486" i="6"/>
  <c r="R485" i="6"/>
  <c r="AC485" i="6" s="1"/>
  <c r="E485" i="6"/>
  <c r="R484" i="6"/>
  <c r="AC484" i="6" s="1"/>
  <c r="E484" i="6"/>
  <c r="R483" i="6"/>
  <c r="AC483" i="6" s="1"/>
  <c r="E483" i="6"/>
  <c r="R482" i="6"/>
  <c r="AC482" i="6" s="1"/>
  <c r="E482" i="6"/>
  <c r="R481" i="6"/>
  <c r="AC481" i="6" s="1"/>
  <c r="E481" i="6"/>
  <c r="R480" i="6"/>
  <c r="AC480" i="6" s="1"/>
  <c r="E480" i="6"/>
  <c r="R479" i="6"/>
  <c r="AC479" i="6" s="1"/>
  <c r="E479" i="6"/>
  <c r="R478" i="6"/>
  <c r="AC478" i="6" s="1"/>
  <c r="E478" i="6"/>
  <c r="R477" i="6"/>
  <c r="AC477" i="6" s="1"/>
  <c r="E477" i="6"/>
  <c r="R476" i="6"/>
  <c r="AC476" i="6" s="1"/>
  <c r="E476" i="6"/>
  <c r="R475" i="6"/>
  <c r="AC475" i="6" s="1"/>
  <c r="E475" i="6"/>
  <c r="R474" i="6"/>
  <c r="AC474" i="6" s="1"/>
  <c r="E474" i="6"/>
  <c r="R473" i="6"/>
  <c r="AC473" i="6" s="1"/>
  <c r="E473" i="6"/>
  <c r="R472" i="6"/>
  <c r="AC472" i="6" s="1"/>
  <c r="E472" i="6"/>
  <c r="R471" i="6"/>
  <c r="AC471" i="6" s="1"/>
  <c r="E471" i="6"/>
  <c r="R470" i="6"/>
  <c r="AC470" i="6" s="1"/>
  <c r="E470" i="6"/>
  <c r="R469" i="6"/>
  <c r="AC469" i="6" s="1"/>
  <c r="E469" i="6"/>
  <c r="R468" i="6"/>
  <c r="AC468" i="6" s="1"/>
  <c r="E468" i="6"/>
  <c r="R467" i="6"/>
  <c r="AC467" i="6" s="1"/>
  <c r="E467" i="6"/>
  <c r="R466" i="6"/>
  <c r="AC466" i="6" s="1"/>
  <c r="E466" i="6"/>
  <c r="R465" i="6"/>
  <c r="AC465" i="6" s="1"/>
  <c r="E465" i="6"/>
  <c r="R464" i="6"/>
  <c r="AC464" i="6" s="1"/>
  <c r="E464" i="6"/>
  <c r="R463" i="6"/>
  <c r="AC463" i="6" s="1"/>
  <c r="E463" i="6"/>
  <c r="R462" i="6"/>
  <c r="AC462" i="6" s="1"/>
  <c r="E462" i="6"/>
  <c r="R461" i="6"/>
  <c r="AC461" i="6" s="1"/>
  <c r="E461" i="6"/>
  <c r="R460" i="6"/>
  <c r="AC460" i="6" s="1"/>
  <c r="E460" i="6"/>
  <c r="R459" i="6"/>
  <c r="AC459" i="6" s="1"/>
  <c r="E459" i="6"/>
  <c r="R458" i="6"/>
  <c r="AC458" i="6" s="1"/>
  <c r="E458" i="6"/>
  <c r="R457" i="6"/>
  <c r="AC457" i="6" s="1"/>
  <c r="E457" i="6"/>
  <c r="R456" i="6"/>
  <c r="AC456" i="6" s="1"/>
  <c r="E456" i="6"/>
  <c r="R455" i="6"/>
  <c r="AC455" i="6" s="1"/>
  <c r="E455" i="6"/>
  <c r="R454" i="6"/>
  <c r="AC454" i="6" s="1"/>
  <c r="E454" i="6"/>
  <c r="R453" i="6"/>
  <c r="AC453" i="6" s="1"/>
  <c r="E453" i="6"/>
  <c r="R452" i="6"/>
  <c r="AC452" i="6" s="1"/>
  <c r="E452" i="6"/>
  <c r="R451" i="6"/>
  <c r="AC451" i="6" s="1"/>
  <c r="E451" i="6"/>
  <c r="R450" i="6"/>
  <c r="AC450" i="6" s="1"/>
  <c r="E450" i="6"/>
  <c r="R449" i="6"/>
  <c r="AC449" i="6" s="1"/>
  <c r="E449" i="6"/>
  <c r="R448" i="6"/>
  <c r="AC448" i="6" s="1"/>
  <c r="E448" i="6"/>
  <c r="R447" i="6"/>
  <c r="AC447" i="6" s="1"/>
  <c r="E447" i="6"/>
  <c r="R446" i="6"/>
  <c r="AC446" i="6" s="1"/>
  <c r="E446" i="6"/>
  <c r="R445" i="6"/>
  <c r="AC445" i="6" s="1"/>
  <c r="E445" i="6"/>
  <c r="R444" i="6"/>
  <c r="AC444" i="6" s="1"/>
  <c r="E444" i="6"/>
  <c r="R443" i="6"/>
  <c r="AC443" i="6" s="1"/>
  <c r="E443" i="6"/>
  <c r="R442" i="6"/>
  <c r="AC442" i="6" s="1"/>
  <c r="E442" i="6"/>
  <c r="R441" i="6"/>
  <c r="AC441" i="6" s="1"/>
  <c r="E441" i="6"/>
  <c r="R440" i="6"/>
  <c r="AC440" i="6" s="1"/>
  <c r="E440" i="6"/>
  <c r="R439" i="6"/>
  <c r="AC439" i="6" s="1"/>
  <c r="E439" i="6"/>
  <c r="R438" i="6"/>
  <c r="AC438" i="6" s="1"/>
  <c r="E438" i="6"/>
  <c r="R437" i="6"/>
  <c r="AC437" i="6" s="1"/>
  <c r="E437" i="6"/>
  <c r="R436" i="6"/>
  <c r="AC436" i="6" s="1"/>
  <c r="E436" i="6"/>
  <c r="R435" i="6"/>
  <c r="AC435" i="6" s="1"/>
  <c r="E435" i="6"/>
  <c r="R434" i="6"/>
  <c r="AC434" i="6" s="1"/>
  <c r="E434" i="6"/>
  <c r="R433" i="6"/>
  <c r="AC433" i="6" s="1"/>
  <c r="E433" i="6"/>
  <c r="R432" i="6"/>
  <c r="AC432" i="6" s="1"/>
  <c r="E432" i="6"/>
  <c r="R431" i="6"/>
  <c r="AC431" i="6" s="1"/>
  <c r="E431" i="6"/>
  <c r="R430" i="6"/>
  <c r="AC430" i="6" s="1"/>
  <c r="E430" i="6"/>
  <c r="R429" i="6"/>
  <c r="AC429" i="6" s="1"/>
  <c r="E429" i="6"/>
  <c r="R428" i="6"/>
  <c r="AC428" i="6" s="1"/>
  <c r="E428" i="6"/>
  <c r="R427" i="6"/>
  <c r="AC427" i="6" s="1"/>
  <c r="E427" i="6"/>
  <c r="R426" i="6"/>
  <c r="AC426" i="6" s="1"/>
  <c r="E426" i="6"/>
  <c r="R425" i="6"/>
  <c r="AC425" i="6" s="1"/>
  <c r="E425" i="6"/>
  <c r="R424" i="6"/>
  <c r="AC424" i="6" s="1"/>
  <c r="E424" i="6"/>
  <c r="R423" i="6"/>
  <c r="AC423" i="6" s="1"/>
  <c r="E423" i="6"/>
  <c r="AC422" i="6"/>
  <c r="R422" i="6"/>
  <c r="E422" i="6"/>
  <c r="R421" i="6"/>
  <c r="AC421" i="6" s="1"/>
  <c r="E421" i="6"/>
  <c r="R420" i="6"/>
  <c r="AC420" i="6" s="1"/>
  <c r="E420" i="6"/>
  <c r="R419" i="6"/>
  <c r="AC419" i="6" s="1"/>
  <c r="E419" i="6"/>
  <c r="R418" i="6"/>
  <c r="AC418" i="6" s="1"/>
  <c r="E418" i="6"/>
  <c r="R417" i="6"/>
  <c r="AC417" i="6" s="1"/>
  <c r="E417" i="6"/>
  <c r="R416" i="6"/>
  <c r="AC416" i="6" s="1"/>
  <c r="E416" i="6"/>
  <c r="R415" i="6"/>
  <c r="AC415" i="6" s="1"/>
  <c r="E415" i="6"/>
  <c r="R414" i="6"/>
  <c r="AC414" i="6" s="1"/>
  <c r="E414" i="6"/>
  <c r="R413" i="6"/>
  <c r="AC413" i="6" s="1"/>
  <c r="E413" i="6"/>
  <c r="R412" i="6"/>
  <c r="AC412" i="6" s="1"/>
  <c r="E412" i="6"/>
  <c r="R411" i="6"/>
  <c r="AC411" i="6" s="1"/>
  <c r="E411" i="6"/>
  <c r="R410" i="6"/>
  <c r="AC410" i="6" s="1"/>
  <c r="E410" i="6"/>
  <c r="R409" i="6"/>
  <c r="AC409" i="6" s="1"/>
  <c r="E409" i="6"/>
  <c r="R408" i="6"/>
  <c r="AC408" i="6" s="1"/>
  <c r="E408" i="6"/>
  <c r="R407" i="6"/>
  <c r="AC407" i="6" s="1"/>
  <c r="E407" i="6"/>
  <c r="R406" i="6"/>
  <c r="AC406" i="6" s="1"/>
  <c r="E406" i="6"/>
  <c r="R405" i="6"/>
  <c r="AC405" i="6" s="1"/>
  <c r="E405" i="6"/>
  <c r="R404" i="6"/>
  <c r="AC404" i="6" s="1"/>
  <c r="E404" i="6"/>
  <c r="R403" i="6"/>
  <c r="AC403" i="6" s="1"/>
  <c r="E403" i="6"/>
  <c r="R402" i="6"/>
  <c r="AC402" i="6" s="1"/>
  <c r="E402" i="6"/>
  <c r="R401" i="6"/>
  <c r="AC401" i="6" s="1"/>
  <c r="E401" i="6"/>
  <c r="R400" i="6"/>
  <c r="AC400" i="6" s="1"/>
  <c r="E400" i="6"/>
  <c r="R399" i="6"/>
  <c r="AC399" i="6" s="1"/>
  <c r="E399" i="6"/>
  <c r="R398" i="6"/>
  <c r="AC398" i="6" s="1"/>
  <c r="E398" i="6"/>
  <c r="AC397" i="6"/>
  <c r="R397" i="6"/>
  <c r="E397" i="6"/>
  <c r="R396" i="6"/>
  <c r="AC396" i="6" s="1"/>
  <c r="E396" i="6"/>
  <c r="R395" i="6"/>
  <c r="AC395" i="6" s="1"/>
  <c r="E395" i="6"/>
  <c r="R394" i="6"/>
  <c r="AC394" i="6" s="1"/>
  <c r="E394" i="6"/>
  <c r="R393" i="6"/>
  <c r="AC393" i="6" s="1"/>
  <c r="E393" i="6"/>
  <c r="R392" i="6"/>
  <c r="AC392" i="6" s="1"/>
  <c r="E392" i="6"/>
  <c r="R391" i="6"/>
  <c r="AC391" i="6" s="1"/>
  <c r="E391" i="6"/>
  <c r="AC390" i="6"/>
  <c r="R390" i="6"/>
  <c r="E390" i="6"/>
  <c r="R389" i="6"/>
  <c r="AC389" i="6" s="1"/>
  <c r="E389" i="6"/>
  <c r="R388" i="6"/>
  <c r="AC388" i="6" s="1"/>
  <c r="E388" i="6"/>
  <c r="R387" i="6"/>
  <c r="AC387" i="6" s="1"/>
  <c r="E387" i="6"/>
  <c r="R386" i="6"/>
  <c r="AC386" i="6" s="1"/>
  <c r="E386" i="6"/>
  <c r="R385" i="6"/>
  <c r="AC385" i="6" s="1"/>
  <c r="E385" i="6"/>
  <c r="R384" i="6"/>
  <c r="AC384" i="6" s="1"/>
  <c r="E384" i="6"/>
  <c r="R383" i="6"/>
  <c r="AC383" i="6" s="1"/>
  <c r="E383" i="6"/>
  <c r="R382" i="6"/>
  <c r="AC382" i="6" s="1"/>
  <c r="E382" i="6"/>
  <c r="R381" i="6"/>
  <c r="AC381" i="6" s="1"/>
  <c r="E381" i="6"/>
  <c r="R380" i="6"/>
  <c r="AC380" i="6" s="1"/>
  <c r="E380" i="6"/>
  <c r="R379" i="6"/>
  <c r="AC379" i="6" s="1"/>
  <c r="E379" i="6"/>
  <c r="R378" i="6"/>
  <c r="AC378" i="6" s="1"/>
  <c r="E378" i="6"/>
  <c r="R377" i="6"/>
  <c r="AC377" i="6" s="1"/>
  <c r="E377" i="6"/>
  <c r="R376" i="6"/>
  <c r="AC376" i="6" s="1"/>
  <c r="E376" i="6"/>
  <c r="R375" i="6"/>
  <c r="AC375" i="6" s="1"/>
  <c r="E375" i="6"/>
  <c r="R374" i="6"/>
  <c r="AC374" i="6" s="1"/>
  <c r="E374" i="6"/>
  <c r="R373" i="6"/>
  <c r="AC373" i="6" s="1"/>
  <c r="E373" i="6"/>
  <c r="R372" i="6"/>
  <c r="AC372" i="6" s="1"/>
  <c r="E372" i="6"/>
  <c r="R371" i="6"/>
  <c r="AC371" i="6" s="1"/>
  <c r="E371" i="6"/>
  <c r="R370" i="6"/>
  <c r="AC370" i="6" s="1"/>
  <c r="E370" i="6"/>
  <c r="R369" i="6"/>
  <c r="AC369" i="6" s="1"/>
  <c r="E369" i="6"/>
  <c r="R368" i="6"/>
  <c r="AC368" i="6" s="1"/>
  <c r="E368" i="6"/>
  <c r="R367" i="6"/>
  <c r="AC367" i="6" s="1"/>
  <c r="E367" i="6"/>
  <c r="R366" i="6"/>
  <c r="AC366" i="6" s="1"/>
  <c r="E366" i="6"/>
  <c r="R365" i="6"/>
  <c r="AC365" i="6" s="1"/>
  <c r="E365" i="6"/>
  <c r="R364" i="6"/>
  <c r="AC364" i="6" s="1"/>
  <c r="E364" i="6"/>
  <c r="R363" i="6"/>
  <c r="AC363" i="6" s="1"/>
  <c r="E363" i="6"/>
  <c r="R362" i="6"/>
  <c r="AC362" i="6" s="1"/>
  <c r="E362" i="6"/>
  <c r="R361" i="6"/>
  <c r="AC361" i="6" s="1"/>
  <c r="E361" i="6"/>
  <c r="R360" i="6"/>
  <c r="AC360" i="6" s="1"/>
  <c r="E360" i="6"/>
  <c r="R359" i="6"/>
  <c r="AC359" i="6" s="1"/>
  <c r="E359" i="6"/>
  <c r="R358" i="6"/>
  <c r="AC358" i="6" s="1"/>
  <c r="E358" i="6"/>
  <c r="R357" i="6"/>
  <c r="AC357" i="6" s="1"/>
  <c r="E357" i="6"/>
  <c r="R356" i="6"/>
  <c r="AC356" i="6" s="1"/>
  <c r="E356" i="6"/>
  <c r="R355" i="6"/>
  <c r="AC355" i="6" s="1"/>
  <c r="E355" i="6"/>
  <c r="R354" i="6"/>
  <c r="AC354" i="6" s="1"/>
  <c r="E354" i="6"/>
  <c r="R353" i="6"/>
  <c r="AC353" i="6" s="1"/>
  <c r="E353" i="6"/>
  <c r="R352" i="6"/>
  <c r="AC352" i="6" s="1"/>
  <c r="E352" i="6"/>
  <c r="R351" i="6"/>
  <c r="AC351" i="6" s="1"/>
  <c r="E351" i="6"/>
  <c r="R350" i="6"/>
  <c r="AC350" i="6" s="1"/>
  <c r="E350" i="6"/>
  <c r="R349" i="6"/>
  <c r="AC349" i="6" s="1"/>
  <c r="E349" i="6"/>
  <c r="R348" i="6"/>
  <c r="AC348" i="6" s="1"/>
  <c r="E348" i="6"/>
  <c r="R347" i="6"/>
  <c r="AC347" i="6" s="1"/>
  <c r="E347" i="6"/>
  <c r="R346" i="6"/>
  <c r="AC346" i="6" s="1"/>
  <c r="E346" i="6"/>
  <c r="R345" i="6"/>
  <c r="AC345" i="6" s="1"/>
  <c r="E345" i="6"/>
  <c r="AC344" i="6"/>
  <c r="R344" i="6"/>
  <c r="E344" i="6"/>
  <c r="R343" i="6"/>
  <c r="AC343" i="6" s="1"/>
  <c r="E343" i="6"/>
  <c r="R342" i="6"/>
  <c r="AC342" i="6" s="1"/>
  <c r="E342" i="6"/>
  <c r="R341" i="6"/>
  <c r="AC341" i="6" s="1"/>
  <c r="E341" i="6"/>
  <c r="R340" i="6"/>
  <c r="AC340" i="6" s="1"/>
  <c r="E340" i="6"/>
  <c r="R339" i="6"/>
  <c r="AC339" i="6" s="1"/>
  <c r="E339" i="6"/>
  <c r="R338" i="6"/>
  <c r="AC338" i="6" s="1"/>
  <c r="E338" i="6"/>
  <c r="R337" i="6"/>
  <c r="AC337" i="6" s="1"/>
  <c r="E337" i="6"/>
  <c r="R336" i="6"/>
  <c r="AC336" i="6" s="1"/>
  <c r="E336" i="6"/>
  <c r="R335" i="6"/>
  <c r="AC335" i="6" s="1"/>
  <c r="E335" i="6"/>
  <c r="R334" i="6"/>
  <c r="AC334" i="6" s="1"/>
  <c r="E334" i="6"/>
  <c r="R333" i="6"/>
  <c r="AC333" i="6" s="1"/>
  <c r="E333" i="6"/>
  <c r="AC332" i="6"/>
  <c r="R332" i="6"/>
  <c r="E332" i="6"/>
  <c r="R331" i="6"/>
  <c r="AC331" i="6" s="1"/>
  <c r="E331" i="6"/>
  <c r="R330" i="6"/>
  <c r="AC330" i="6" s="1"/>
  <c r="E330" i="6"/>
  <c r="R329" i="6"/>
  <c r="AC329" i="6" s="1"/>
  <c r="E329" i="6"/>
  <c r="R328" i="6"/>
  <c r="AC328" i="6" s="1"/>
  <c r="E328" i="6"/>
  <c r="R327" i="6"/>
  <c r="AC327" i="6" s="1"/>
  <c r="E327" i="6"/>
  <c r="R326" i="6"/>
  <c r="AC326" i="6" s="1"/>
  <c r="E326" i="6"/>
  <c r="AC325" i="6"/>
  <c r="R325" i="6"/>
  <c r="E325" i="6"/>
  <c r="R324" i="6"/>
  <c r="AC324" i="6" s="1"/>
  <c r="E324" i="6"/>
  <c r="R323" i="6"/>
  <c r="AC323" i="6" s="1"/>
  <c r="E323" i="6"/>
  <c r="R322" i="6"/>
  <c r="AC322" i="6" s="1"/>
  <c r="E322" i="6"/>
  <c r="R321" i="6"/>
  <c r="AC321" i="6" s="1"/>
  <c r="E321" i="6"/>
  <c r="R320" i="6"/>
  <c r="AC320" i="6" s="1"/>
  <c r="E320" i="6"/>
  <c r="R319" i="6"/>
  <c r="AC319" i="6" s="1"/>
  <c r="E319" i="6"/>
  <c r="R318" i="6"/>
  <c r="AC318" i="6" s="1"/>
  <c r="E318" i="6"/>
  <c r="R317" i="6"/>
  <c r="AC317" i="6" s="1"/>
  <c r="E317" i="6"/>
  <c r="R316" i="6"/>
  <c r="AC316" i="6" s="1"/>
  <c r="E316" i="6"/>
  <c r="R315" i="6"/>
  <c r="AC315" i="6" s="1"/>
  <c r="E315" i="6"/>
  <c r="R314" i="6"/>
  <c r="AC314" i="6" s="1"/>
  <c r="E314" i="6"/>
  <c r="R313" i="6"/>
  <c r="AC313" i="6" s="1"/>
  <c r="E313" i="6"/>
  <c r="AC312" i="6"/>
  <c r="R312" i="6"/>
  <c r="E312" i="6"/>
  <c r="R311" i="6"/>
  <c r="AC311" i="6" s="1"/>
  <c r="E311" i="6"/>
  <c r="R310" i="6"/>
  <c r="AC310" i="6" s="1"/>
  <c r="E310" i="6"/>
  <c r="AC309" i="6"/>
  <c r="R309" i="6"/>
  <c r="E309" i="6"/>
  <c r="R308" i="6"/>
  <c r="AC308" i="6" s="1"/>
  <c r="E308" i="6"/>
  <c r="R307" i="6"/>
  <c r="AC307" i="6" s="1"/>
  <c r="E307" i="6"/>
  <c r="R306" i="6"/>
  <c r="AC306" i="6" s="1"/>
  <c r="E306" i="6"/>
  <c r="R305" i="6"/>
  <c r="AC305" i="6" s="1"/>
  <c r="E305" i="6"/>
  <c r="R304" i="6"/>
  <c r="AC304" i="6" s="1"/>
  <c r="E304" i="6"/>
  <c r="R303" i="6"/>
  <c r="AC303" i="6" s="1"/>
  <c r="E303" i="6"/>
  <c r="R302" i="6"/>
  <c r="AC302" i="6" s="1"/>
  <c r="E302" i="6"/>
  <c r="R301" i="6"/>
  <c r="AC301" i="6" s="1"/>
  <c r="E301" i="6"/>
  <c r="R300" i="6"/>
  <c r="AC300" i="6" s="1"/>
  <c r="E300" i="6"/>
  <c r="R299" i="6"/>
  <c r="AC299" i="6" s="1"/>
  <c r="E299" i="6"/>
  <c r="R298" i="6"/>
  <c r="AC298" i="6" s="1"/>
  <c r="E298" i="6"/>
  <c r="R297" i="6"/>
  <c r="AC297" i="6" s="1"/>
  <c r="E297" i="6"/>
  <c r="R296" i="6"/>
  <c r="AC296" i="6" s="1"/>
  <c r="E296" i="6"/>
  <c r="R295" i="6"/>
  <c r="AC295" i="6" s="1"/>
  <c r="E295" i="6"/>
  <c r="R294" i="6"/>
  <c r="AC294" i="6" s="1"/>
  <c r="E294" i="6"/>
  <c r="R293" i="6"/>
  <c r="AC293" i="6" s="1"/>
  <c r="E293" i="6"/>
  <c r="R292" i="6"/>
  <c r="AC292" i="6" s="1"/>
  <c r="E292" i="6"/>
  <c r="R291" i="6"/>
  <c r="AC291" i="6" s="1"/>
  <c r="E291" i="6"/>
  <c r="R290" i="6"/>
  <c r="AC290" i="6" s="1"/>
  <c r="E290" i="6"/>
  <c r="R289" i="6"/>
  <c r="AC289" i="6" s="1"/>
  <c r="E289" i="6"/>
  <c r="R288" i="6"/>
  <c r="AC288" i="6" s="1"/>
  <c r="E288" i="6"/>
  <c r="R287" i="6"/>
  <c r="AC287" i="6" s="1"/>
  <c r="E287" i="6"/>
  <c r="R286" i="6"/>
  <c r="AC286" i="6" s="1"/>
  <c r="E286" i="6"/>
  <c r="R285" i="6"/>
  <c r="AC285" i="6" s="1"/>
  <c r="E285" i="6"/>
  <c r="R284" i="6"/>
  <c r="AC284" i="6" s="1"/>
  <c r="E284" i="6"/>
  <c r="R283" i="6"/>
  <c r="AC283" i="6" s="1"/>
  <c r="E283" i="6"/>
  <c r="R282" i="6"/>
  <c r="AC282" i="6" s="1"/>
  <c r="E282" i="6"/>
  <c r="R281" i="6"/>
  <c r="AC281" i="6" s="1"/>
  <c r="E281" i="6"/>
  <c r="R280" i="6"/>
  <c r="AC280" i="6" s="1"/>
  <c r="E280" i="6"/>
  <c r="R279" i="6"/>
  <c r="AC279" i="6" s="1"/>
  <c r="E279" i="6"/>
  <c r="R278" i="6"/>
  <c r="AC278" i="6" s="1"/>
  <c r="E278" i="6"/>
  <c r="R277" i="6"/>
  <c r="AC277" i="6" s="1"/>
  <c r="E277" i="6"/>
  <c r="R276" i="6"/>
  <c r="AC276" i="6" s="1"/>
  <c r="E276" i="6"/>
  <c r="R275" i="6"/>
  <c r="AC275" i="6" s="1"/>
  <c r="E275" i="6"/>
  <c r="R274" i="6"/>
  <c r="AC274" i="6" s="1"/>
  <c r="E274" i="6"/>
  <c r="R273" i="6"/>
  <c r="AC273" i="6" s="1"/>
  <c r="E273" i="6"/>
  <c r="R272" i="6"/>
  <c r="AC272" i="6" s="1"/>
  <c r="E272" i="6"/>
  <c r="R271" i="6"/>
  <c r="AC271" i="6" s="1"/>
  <c r="E271" i="6"/>
  <c r="R270" i="6"/>
  <c r="AC270" i="6" s="1"/>
  <c r="E270" i="6"/>
  <c r="R269" i="6"/>
  <c r="AC269" i="6" s="1"/>
  <c r="E269" i="6"/>
  <c r="R268" i="6"/>
  <c r="AC268" i="6" s="1"/>
  <c r="E268" i="6"/>
  <c r="R267" i="6"/>
  <c r="AC267" i="6" s="1"/>
  <c r="E267" i="6"/>
  <c r="R266" i="6"/>
  <c r="AC266" i="6" s="1"/>
  <c r="E266" i="6"/>
  <c r="R265" i="6"/>
  <c r="AC265" i="6" s="1"/>
  <c r="E265" i="6"/>
  <c r="R264" i="6"/>
  <c r="AC264" i="6" s="1"/>
  <c r="E264" i="6"/>
  <c r="R263" i="6"/>
  <c r="AC263" i="6" s="1"/>
  <c r="E263" i="6"/>
  <c r="R262" i="6"/>
  <c r="AC262" i="6" s="1"/>
  <c r="E262" i="6"/>
  <c r="R261" i="6"/>
  <c r="AC261" i="6" s="1"/>
  <c r="E261" i="6"/>
  <c r="R260" i="6"/>
  <c r="AC260" i="6" s="1"/>
  <c r="E260" i="6"/>
  <c r="R259" i="6"/>
  <c r="AC259" i="6" s="1"/>
  <c r="E259" i="6"/>
  <c r="R258" i="6"/>
  <c r="AC258" i="6" s="1"/>
  <c r="E258" i="6"/>
  <c r="R257" i="6"/>
  <c r="AC257" i="6" s="1"/>
  <c r="E257" i="6"/>
  <c r="R256" i="6"/>
  <c r="AC256" i="6" s="1"/>
  <c r="E256" i="6"/>
  <c r="R255" i="6"/>
  <c r="AC255" i="6" s="1"/>
  <c r="E255" i="6"/>
  <c r="R254" i="6"/>
  <c r="AC254" i="6" s="1"/>
  <c r="E254" i="6"/>
  <c r="R253" i="6"/>
  <c r="AC253" i="6" s="1"/>
  <c r="E253" i="6"/>
  <c r="R252" i="6"/>
  <c r="AC252" i="6" s="1"/>
  <c r="E252" i="6"/>
  <c r="R251" i="6"/>
  <c r="AC251" i="6" s="1"/>
  <c r="E251" i="6"/>
  <c r="R250" i="6"/>
  <c r="AC250" i="6" s="1"/>
  <c r="E250" i="6"/>
  <c r="R249" i="6"/>
  <c r="AC249" i="6" s="1"/>
  <c r="E249" i="6"/>
  <c r="R248" i="6"/>
  <c r="AC248" i="6" s="1"/>
  <c r="E248" i="6"/>
  <c r="R247" i="6"/>
  <c r="AC247" i="6" s="1"/>
  <c r="E247" i="6"/>
  <c r="R246" i="6"/>
  <c r="AC246" i="6" s="1"/>
  <c r="E246" i="6"/>
  <c r="R245" i="6"/>
  <c r="AC245" i="6" s="1"/>
  <c r="E245" i="6"/>
  <c r="R244" i="6"/>
  <c r="AC244" i="6" s="1"/>
  <c r="E244" i="6"/>
  <c r="R243" i="6"/>
  <c r="AC243" i="6" s="1"/>
  <c r="E243" i="6"/>
  <c r="R242" i="6"/>
  <c r="AC242" i="6" s="1"/>
  <c r="E242" i="6"/>
  <c r="R241" i="6"/>
  <c r="AC241" i="6" s="1"/>
  <c r="E241" i="6"/>
  <c r="AC240" i="6"/>
  <c r="R240" i="6"/>
  <c r="E240" i="6"/>
  <c r="R239" i="6"/>
  <c r="AC239" i="6" s="1"/>
  <c r="E239" i="6"/>
  <c r="R238" i="6"/>
  <c r="AC238" i="6" s="1"/>
  <c r="E238" i="6"/>
  <c r="R237" i="6"/>
  <c r="AC237" i="6" s="1"/>
  <c r="E237" i="6"/>
  <c r="R236" i="6"/>
  <c r="AC236" i="6" s="1"/>
  <c r="E236" i="6"/>
  <c r="R235" i="6"/>
  <c r="AC235" i="6" s="1"/>
  <c r="E235" i="6"/>
  <c r="R234" i="6"/>
  <c r="AC234" i="6" s="1"/>
  <c r="E234" i="6"/>
  <c r="R233" i="6"/>
  <c r="AC233" i="6" s="1"/>
  <c r="E233" i="6"/>
  <c r="R232" i="6"/>
  <c r="AC232" i="6" s="1"/>
  <c r="E232" i="6"/>
  <c r="R231" i="6"/>
  <c r="AC231" i="6" s="1"/>
  <c r="E231" i="6"/>
  <c r="R230" i="6"/>
  <c r="AC230" i="6" s="1"/>
  <c r="E230" i="6"/>
  <c r="R229" i="6"/>
  <c r="AC229" i="6" s="1"/>
  <c r="E229" i="6"/>
  <c r="R228" i="6"/>
  <c r="AC228" i="6" s="1"/>
  <c r="E228" i="6"/>
  <c r="R227" i="6"/>
  <c r="AC227" i="6" s="1"/>
  <c r="E227" i="6"/>
  <c r="R226" i="6"/>
  <c r="AC226" i="6" s="1"/>
  <c r="E226" i="6"/>
  <c r="R225" i="6"/>
  <c r="AC225" i="6" s="1"/>
  <c r="E225" i="6"/>
  <c r="R224" i="6"/>
  <c r="AC224" i="6" s="1"/>
  <c r="E224" i="6"/>
  <c r="R223" i="6"/>
  <c r="AC223" i="6" s="1"/>
  <c r="E223" i="6"/>
  <c r="R222" i="6"/>
  <c r="AC222" i="6" s="1"/>
  <c r="E222" i="6"/>
  <c r="R221" i="6"/>
  <c r="AC221" i="6" s="1"/>
  <c r="E221" i="6"/>
  <c r="R220" i="6"/>
  <c r="AC220" i="6" s="1"/>
  <c r="E220" i="6"/>
  <c r="R219" i="6"/>
  <c r="AC219" i="6" s="1"/>
  <c r="E219" i="6"/>
  <c r="R218" i="6"/>
  <c r="AC218" i="6" s="1"/>
  <c r="E218" i="6"/>
  <c r="R217" i="6"/>
  <c r="AC217" i="6" s="1"/>
  <c r="E217" i="6"/>
  <c r="R216" i="6"/>
  <c r="AC216" i="6" s="1"/>
  <c r="E216" i="6"/>
  <c r="R215" i="6"/>
  <c r="AC215" i="6" s="1"/>
  <c r="E215" i="6"/>
  <c r="R214" i="6"/>
  <c r="AC214" i="6" s="1"/>
  <c r="E214" i="6"/>
  <c r="R213" i="6"/>
  <c r="AC213" i="6" s="1"/>
  <c r="E213" i="6"/>
  <c r="R212" i="6"/>
  <c r="AC212" i="6" s="1"/>
  <c r="E212" i="6"/>
  <c r="R211" i="6"/>
  <c r="AC211" i="6" s="1"/>
  <c r="E211" i="6"/>
  <c r="R210" i="6"/>
  <c r="AC210" i="6" s="1"/>
  <c r="E210" i="6"/>
  <c r="R209" i="6"/>
  <c r="AC209" i="6" s="1"/>
  <c r="E209" i="6"/>
  <c r="R208" i="6"/>
  <c r="AC208" i="6" s="1"/>
  <c r="E208" i="6"/>
  <c r="R207" i="6"/>
  <c r="AC207" i="6" s="1"/>
  <c r="E207" i="6"/>
  <c r="R206" i="6"/>
  <c r="AC206" i="6" s="1"/>
  <c r="E206" i="6"/>
  <c r="R205" i="6"/>
  <c r="AC205" i="6" s="1"/>
  <c r="E205" i="6"/>
  <c r="R204" i="6"/>
  <c r="AC204" i="6" s="1"/>
  <c r="E204" i="6"/>
  <c r="R203" i="6"/>
  <c r="AC203" i="6" s="1"/>
  <c r="E203" i="6"/>
  <c r="R202" i="6"/>
  <c r="AC202" i="6" s="1"/>
  <c r="E202" i="6"/>
  <c r="R201" i="6"/>
  <c r="AC201" i="6" s="1"/>
  <c r="E201" i="6"/>
  <c r="AC200" i="6"/>
  <c r="R200" i="6"/>
  <c r="E200" i="6"/>
  <c r="R199" i="6"/>
  <c r="AC199" i="6" s="1"/>
  <c r="E199" i="6"/>
  <c r="R198" i="6"/>
  <c r="AC198" i="6" s="1"/>
  <c r="E198" i="6"/>
  <c r="R197" i="6"/>
  <c r="AC197" i="6" s="1"/>
  <c r="E197" i="6"/>
  <c r="R196" i="6"/>
  <c r="AC196" i="6" s="1"/>
  <c r="E196" i="6"/>
  <c r="R195" i="6"/>
  <c r="AC195" i="6" s="1"/>
  <c r="E195" i="6"/>
  <c r="R194" i="6"/>
  <c r="AC194" i="6" s="1"/>
  <c r="E194" i="6"/>
  <c r="R193" i="6"/>
  <c r="AC193" i="6" s="1"/>
  <c r="E193" i="6"/>
  <c r="R192" i="6"/>
  <c r="AC192" i="6" s="1"/>
  <c r="E192" i="6"/>
  <c r="R191" i="6"/>
  <c r="AC191" i="6" s="1"/>
  <c r="E191" i="6"/>
  <c r="R190" i="6"/>
  <c r="AC190" i="6" s="1"/>
  <c r="E190" i="6"/>
  <c r="R189" i="6"/>
  <c r="AC189" i="6" s="1"/>
  <c r="E189" i="6"/>
  <c r="R188" i="6"/>
  <c r="AC188" i="6" s="1"/>
  <c r="E188" i="6"/>
  <c r="R187" i="6"/>
  <c r="AC187" i="6" s="1"/>
  <c r="E187" i="6"/>
  <c r="R186" i="6"/>
  <c r="AC186" i="6" s="1"/>
  <c r="E186" i="6"/>
  <c r="R185" i="6"/>
  <c r="AC185" i="6" s="1"/>
  <c r="E185" i="6"/>
  <c r="R184" i="6"/>
  <c r="AC184" i="6" s="1"/>
  <c r="E184" i="6"/>
  <c r="R183" i="6"/>
  <c r="AC183" i="6" s="1"/>
  <c r="E183" i="6"/>
  <c r="R182" i="6"/>
  <c r="AC182" i="6" s="1"/>
  <c r="E182" i="6"/>
  <c r="R181" i="6"/>
  <c r="AC181" i="6" s="1"/>
  <c r="E181" i="6"/>
  <c r="R180" i="6"/>
  <c r="AC180" i="6" s="1"/>
  <c r="E180" i="6"/>
  <c r="R179" i="6"/>
  <c r="AC179" i="6" s="1"/>
  <c r="E179" i="6"/>
  <c r="R178" i="6"/>
  <c r="AC178" i="6" s="1"/>
  <c r="E178" i="6"/>
  <c r="R177" i="6"/>
  <c r="AC177" i="6" s="1"/>
  <c r="E177" i="6"/>
  <c r="R176" i="6"/>
  <c r="AC176" i="6" s="1"/>
  <c r="E176" i="6"/>
  <c r="R175" i="6"/>
  <c r="AC175" i="6" s="1"/>
  <c r="E175" i="6"/>
  <c r="R174" i="6"/>
  <c r="AC174" i="6" s="1"/>
  <c r="E174" i="6"/>
  <c r="R173" i="6"/>
  <c r="AC173" i="6" s="1"/>
  <c r="E173" i="6"/>
  <c r="R172" i="6"/>
  <c r="AC172" i="6" s="1"/>
  <c r="E172" i="6"/>
  <c r="R171" i="6"/>
  <c r="AC171" i="6" s="1"/>
  <c r="E171" i="6"/>
  <c r="R170" i="6"/>
  <c r="AC170" i="6" s="1"/>
  <c r="E170" i="6"/>
  <c r="R169" i="6"/>
  <c r="AC169" i="6" s="1"/>
  <c r="E169" i="6"/>
  <c r="AC168" i="6"/>
  <c r="R168" i="6"/>
  <c r="E168" i="6"/>
  <c r="R167" i="6"/>
  <c r="AC167" i="6" s="1"/>
  <c r="E167" i="6"/>
  <c r="R166" i="6"/>
  <c r="AC166" i="6" s="1"/>
  <c r="E166" i="6"/>
  <c r="R165" i="6"/>
  <c r="AC165" i="6" s="1"/>
  <c r="E165" i="6"/>
  <c r="R164" i="6"/>
  <c r="AC164" i="6" s="1"/>
  <c r="E164" i="6"/>
  <c r="R163" i="6"/>
  <c r="AC163" i="6" s="1"/>
  <c r="E163" i="6"/>
  <c r="R162" i="6"/>
  <c r="AC162" i="6" s="1"/>
  <c r="E162" i="6"/>
  <c r="R161" i="6"/>
  <c r="AC161" i="6" s="1"/>
  <c r="E161" i="6"/>
  <c r="R160" i="6"/>
  <c r="AC160" i="6" s="1"/>
  <c r="E160" i="6"/>
  <c r="R159" i="6"/>
  <c r="AC159" i="6" s="1"/>
  <c r="E159" i="6"/>
  <c r="R158" i="6"/>
  <c r="AC158" i="6" s="1"/>
  <c r="E158" i="6"/>
  <c r="R157" i="6"/>
  <c r="AC157" i="6" s="1"/>
  <c r="E157" i="6"/>
  <c r="R156" i="6"/>
  <c r="AC156" i="6" s="1"/>
  <c r="E156" i="6"/>
  <c r="R155" i="6"/>
  <c r="AC155" i="6" s="1"/>
  <c r="E155" i="6"/>
  <c r="R154" i="6"/>
  <c r="AC154" i="6" s="1"/>
  <c r="E154" i="6"/>
  <c r="R153" i="6"/>
  <c r="AC153" i="6" s="1"/>
  <c r="E153" i="6"/>
  <c r="R152" i="6"/>
  <c r="AC152" i="6" s="1"/>
  <c r="E152" i="6"/>
  <c r="R151" i="6"/>
  <c r="AC151" i="6" s="1"/>
  <c r="E151" i="6"/>
  <c r="R150" i="6"/>
  <c r="AC150" i="6" s="1"/>
  <c r="E150" i="6"/>
  <c r="R149" i="6"/>
  <c r="AC149" i="6" s="1"/>
  <c r="E149" i="6"/>
  <c r="R148" i="6"/>
  <c r="AC148" i="6" s="1"/>
  <c r="E148" i="6"/>
  <c r="R147" i="6"/>
  <c r="AC147" i="6" s="1"/>
  <c r="E147" i="6"/>
  <c r="R146" i="6"/>
  <c r="AC146" i="6" s="1"/>
  <c r="E146" i="6"/>
  <c r="R145" i="6"/>
  <c r="AC145" i="6" s="1"/>
  <c r="E145" i="6"/>
  <c r="R144" i="6"/>
  <c r="AC144" i="6" s="1"/>
  <c r="E144" i="6"/>
  <c r="R143" i="6"/>
  <c r="AC143" i="6" s="1"/>
  <c r="E143" i="6"/>
  <c r="R142" i="6"/>
  <c r="AC142" i="6" s="1"/>
  <c r="E142" i="6"/>
  <c r="R141" i="6"/>
  <c r="AC141" i="6" s="1"/>
  <c r="E141" i="6"/>
  <c r="R140" i="6"/>
  <c r="AC140" i="6" s="1"/>
  <c r="E140" i="6"/>
  <c r="R139" i="6"/>
  <c r="AC139" i="6" s="1"/>
  <c r="E139" i="6"/>
  <c r="R138" i="6"/>
  <c r="AC138" i="6" s="1"/>
  <c r="E138" i="6"/>
  <c r="R137" i="6"/>
  <c r="AC137" i="6" s="1"/>
  <c r="E137" i="6"/>
  <c r="R136" i="6"/>
  <c r="AC136" i="6" s="1"/>
  <c r="E136" i="6"/>
  <c r="R135" i="6"/>
  <c r="AC135" i="6" s="1"/>
  <c r="E135" i="6"/>
  <c r="R134" i="6"/>
  <c r="AC134" i="6" s="1"/>
  <c r="E134" i="6"/>
  <c r="R133" i="6"/>
  <c r="AC133" i="6" s="1"/>
  <c r="E133" i="6"/>
  <c r="R132" i="6"/>
  <c r="AC132" i="6" s="1"/>
  <c r="E132" i="6"/>
  <c r="R131" i="6"/>
  <c r="AC131" i="6" s="1"/>
  <c r="E131" i="6"/>
  <c r="R130" i="6"/>
  <c r="AC130" i="6" s="1"/>
  <c r="E130" i="6"/>
  <c r="R129" i="6"/>
  <c r="AC129" i="6" s="1"/>
  <c r="E129" i="6"/>
  <c r="R128" i="6"/>
  <c r="AC128" i="6" s="1"/>
  <c r="E128" i="6"/>
  <c r="R127" i="6"/>
  <c r="AC127" i="6" s="1"/>
  <c r="E127" i="6"/>
  <c r="R126" i="6"/>
  <c r="AC126" i="6" s="1"/>
  <c r="E126" i="6"/>
  <c r="R125" i="6"/>
  <c r="AC125" i="6" s="1"/>
  <c r="E125" i="6"/>
  <c r="AC124" i="6"/>
  <c r="R124" i="6"/>
  <c r="E124" i="6"/>
  <c r="R123" i="6"/>
  <c r="AC123" i="6" s="1"/>
  <c r="E123" i="6"/>
  <c r="R122" i="6"/>
  <c r="AC122" i="6" s="1"/>
  <c r="E122" i="6"/>
  <c r="R121" i="6"/>
  <c r="AC121" i="6" s="1"/>
  <c r="E121" i="6"/>
  <c r="R120" i="6"/>
  <c r="AC120" i="6" s="1"/>
  <c r="E120" i="6"/>
  <c r="R119" i="6"/>
  <c r="AC119" i="6" s="1"/>
  <c r="E119" i="6"/>
  <c r="R118" i="6"/>
  <c r="AC118" i="6" s="1"/>
  <c r="E118" i="6"/>
  <c r="R117" i="6"/>
  <c r="AC117" i="6" s="1"/>
  <c r="E117" i="6"/>
  <c r="R116" i="6"/>
  <c r="AC116" i="6" s="1"/>
  <c r="E116" i="6"/>
  <c r="R115" i="6"/>
  <c r="AC115" i="6" s="1"/>
  <c r="E115" i="6"/>
  <c r="R114" i="6"/>
  <c r="AC114" i="6" s="1"/>
  <c r="E114" i="6"/>
  <c r="R113" i="6"/>
  <c r="AC113" i="6" s="1"/>
  <c r="E113" i="6"/>
  <c r="R112" i="6"/>
  <c r="AC112" i="6" s="1"/>
  <c r="E112" i="6"/>
  <c r="R111" i="6"/>
  <c r="AC111" i="6" s="1"/>
  <c r="E111" i="6"/>
  <c r="R110" i="6"/>
  <c r="AC110" i="6" s="1"/>
  <c r="E110" i="6"/>
  <c r="R109" i="6"/>
  <c r="AC109" i="6" s="1"/>
  <c r="E109" i="6"/>
  <c r="R108" i="6"/>
  <c r="AC108" i="6" s="1"/>
  <c r="E108" i="6"/>
  <c r="R107" i="6"/>
  <c r="AC107" i="6" s="1"/>
  <c r="E107" i="6"/>
  <c r="R106" i="6"/>
  <c r="AC106" i="6" s="1"/>
  <c r="E106" i="6"/>
  <c r="R105" i="6"/>
  <c r="AC105" i="6" s="1"/>
  <c r="E105" i="6"/>
  <c r="R104" i="6"/>
  <c r="AC104" i="6" s="1"/>
  <c r="E104" i="6"/>
  <c r="R103" i="6"/>
  <c r="AC103" i="6" s="1"/>
  <c r="E103" i="6"/>
  <c r="R102" i="6"/>
  <c r="AC102" i="6" s="1"/>
  <c r="E102" i="6"/>
  <c r="R101" i="6"/>
  <c r="AC101" i="6" s="1"/>
  <c r="E101" i="6"/>
  <c r="R100" i="6"/>
  <c r="AC100" i="6" s="1"/>
  <c r="E100" i="6"/>
  <c r="R99" i="6"/>
  <c r="AC99" i="6" s="1"/>
  <c r="E99" i="6"/>
  <c r="R98" i="6"/>
  <c r="AC98" i="6" s="1"/>
  <c r="E98" i="6"/>
  <c r="R97" i="6"/>
  <c r="AC97" i="6" s="1"/>
  <c r="E97" i="6"/>
  <c r="R96" i="6"/>
  <c r="AC96" i="6" s="1"/>
  <c r="E96" i="6"/>
  <c r="R95" i="6"/>
  <c r="AC95" i="6" s="1"/>
  <c r="E95" i="6"/>
  <c r="R94" i="6"/>
  <c r="AC94" i="6" s="1"/>
  <c r="E94" i="6"/>
  <c r="R93" i="6"/>
  <c r="AC93" i="6" s="1"/>
  <c r="E93" i="6"/>
  <c r="AC92" i="6"/>
  <c r="R92" i="6"/>
  <c r="E92" i="6"/>
  <c r="R91" i="6"/>
  <c r="AC91" i="6" s="1"/>
  <c r="E91" i="6"/>
  <c r="R90" i="6"/>
  <c r="AC90" i="6" s="1"/>
  <c r="E90" i="6"/>
  <c r="R89" i="6"/>
  <c r="AC89" i="6" s="1"/>
  <c r="E89" i="6"/>
  <c r="R88" i="6"/>
  <c r="AC88" i="6" s="1"/>
  <c r="E88" i="6"/>
  <c r="R87" i="6"/>
  <c r="AC87" i="6" s="1"/>
  <c r="E87" i="6"/>
  <c r="R86" i="6"/>
  <c r="AC86" i="6" s="1"/>
  <c r="E86" i="6"/>
  <c r="R85" i="6"/>
  <c r="AC85" i="6" s="1"/>
  <c r="E85" i="6"/>
  <c r="R84" i="6"/>
  <c r="AC84" i="6" s="1"/>
  <c r="E84" i="6"/>
  <c r="R83" i="6"/>
  <c r="AC83" i="6" s="1"/>
  <c r="E83" i="6"/>
  <c r="R82" i="6"/>
  <c r="AC82" i="6" s="1"/>
  <c r="E82" i="6"/>
  <c r="R81" i="6"/>
  <c r="AC81" i="6" s="1"/>
  <c r="E81" i="6"/>
  <c r="R80" i="6"/>
  <c r="AC80" i="6" s="1"/>
  <c r="E80" i="6"/>
  <c r="R79" i="6"/>
  <c r="AC79" i="6" s="1"/>
  <c r="E79" i="6"/>
  <c r="R78" i="6"/>
  <c r="AC78" i="6" s="1"/>
  <c r="E78" i="6"/>
  <c r="R77" i="6"/>
  <c r="AC77" i="6" s="1"/>
  <c r="E77" i="6"/>
  <c r="R76" i="6"/>
  <c r="AC76" i="6" s="1"/>
  <c r="E76" i="6"/>
  <c r="R75" i="6"/>
  <c r="AC75" i="6" s="1"/>
  <c r="E75" i="6"/>
  <c r="R74" i="6"/>
  <c r="AC74" i="6" s="1"/>
  <c r="E74" i="6"/>
  <c r="R73" i="6"/>
  <c r="AC73" i="6" s="1"/>
  <c r="E73" i="6"/>
  <c r="R72" i="6"/>
  <c r="AC72" i="6" s="1"/>
  <c r="E72" i="6"/>
  <c r="R71" i="6"/>
  <c r="AC71" i="6" s="1"/>
  <c r="E71" i="6"/>
  <c r="R70" i="6"/>
  <c r="AC70" i="6" s="1"/>
  <c r="E70" i="6"/>
  <c r="AC69" i="6"/>
  <c r="R69" i="6"/>
  <c r="E69" i="6"/>
  <c r="R68" i="6"/>
  <c r="AC68" i="6" s="1"/>
  <c r="E68" i="6"/>
  <c r="R67" i="6"/>
  <c r="AC67" i="6" s="1"/>
  <c r="E67" i="6"/>
  <c r="R66" i="6"/>
  <c r="AC66" i="6" s="1"/>
  <c r="E66" i="6"/>
  <c r="R65" i="6"/>
  <c r="AC65" i="6" s="1"/>
  <c r="E65" i="6"/>
  <c r="R64" i="6"/>
  <c r="AC64" i="6" s="1"/>
  <c r="E64" i="6"/>
  <c r="R63" i="6"/>
  <c r="AC63" i="6" s="1"/>
  <c r="E63" i="6"/>
  <c r="R62" i="6"/>
  <c r="AC62" i="6" s="1"/>
  <c r="E62" i="6"/>
  <c r="R61" i="6"/>
  <c r="AC61" i="6" s="1"/>
  <c r="E61" i="6"/>
  <c r="R60" i="6"/>
  <c r="AC60" i="6" s="1"/>
  <c r="E60" i="6"/>
  <c r="R59" i="6"/>
  <c r="AC59" i="6" s="1"/>
  <c r="E59" i="6"/>
  <c r="R58" i="6"/>
  <c r="AC58" i="6" s="1"/>
  <c r="E58" i="6"/>
  <c r="R57" i="6"/>
  <c r="AC57" i="6" s="1"/>
  <c r="E57" i="6"/>
  <c r="R56" i="6"/>
  <c r="AC56" i="6" s="1"/>
  <c r="E56" i="6"/>
  <c r="R55" i="6"/>
  <c r="AC55" i="6" s="1"/>
  <c r="E55" i="6"/>
  <c r="AC54" i="6"/>
  <c r="R54" i="6"/>
  <c r="E54" i="6"/>
  <c r="R53" i="6"/>
  <c r="AC53" i="6" s="1"/>
  <c r="E53" i="6"/>
  <c r="R52" i="6"/>
  <c r="AC52" i="6" s="1"/>
  <c r="E52" i="6"/>
  <c r="R51" i="6"/>
  <c r="AC51" i="6" s="1"/>
  <c r="E51" i="6"/>
  <c r="R50" i="6"/>
  <c r="AC50" i="6" s="1"/>
  <c r="E50" i="6"/>
  <c r="R49" i="6"/>
  <c r="AC49" i="6" s="1"/>
  <c r="E49" i="6"/>
  <c r="AC48" i="6"/>
  <c r="R48" i="6"/>
  <c r="E48" i="6"/>
  <c r="R47" i="6"/>
  <c r="AC47" i="6" s="1"/>
  <c r="E47" i="6"/>
  <c r="R46" i="6"/>
  <c r="AC46" i="6" s="1"/>
  <c r="E46" i="6"/>
  <c r="R45" i="6"/>
  <c r="AC45" i="6" s="1"/>
  <c r="E45" i="6"/>
  <c r="R44" i="6"/>
  <c r="AC44" i="6" s="1"/>
  <c r="E44" i="6"/>
  <c r="R43" i="6"/>
  <c r="AC43" i="6" s="1"/>
  <c r="E43" i="6"/>
  <c r="R42" i="6"/>
  <c r="AC42" i="6" s="1"/>
  <c r="E42" i="6"/>
  <c r="R41" i="6"/>
  <c r="AC41" i="6" s="1"/>
  <c r="E41" i="6"/>
  <c r="AC40" i="6"/>
  <c r="R40" i="6"/>
  <c r="E40" i="6"/>
  <c r="R39" i="6"/>
  <c r="AC39" i="6" s="1"/>
  <c r="E39" i="6"/>
  <c r="R38" i="6"/>
  <c r="AC38" i="6" s="1"/>
  <c r="E38" i="6"/>
  <c r="R37" i="6"/>
  <c r="AC37" i="6" s="1"/>
  <c r="E37" i="6"/>
  <c r="R36" i="6"/>
  <c r="AC36" i="6" s="1"/>
  <c r="E36" i="6"/>
  <c r="R35" i="6"/>
  <c r="AC35" i="6" s="1"/>
  <c r="E35" i="6"/>
  <c r="R34" i="6"/>
  <c r="AC34" i="6" s="1"/>
  <c r="E34" i="6"/>
  <c r="R33" i="6"/>
  <c r="AC33" i="6" s="1"/>
  <c r="E33" i="6"/>
  <c r="AC32" i="6"/>
  <c r="R32" i="6"/>
  <c r="E32" i="6"/>
  <c r="R31" i="6"/>
  <c r="AC31" i="6" s="1"/>
  <c r="E31" i="6"/>
  <c r="R30" i="6"/>
  <c r="AC30" i="6" s="1"/>
  <c r="E30" i="6"/>
  <c r="R29" i="6"/>
  <c r="AC29" i="6" s="1"/>
  <c r="E29" i="6"/>
  <c r="R28" i="6"/>
  <c r="AC28" i="6" s="1"/>
  <c r="E28" i="6"/>
  <c r="R27" i="6"/>
  <c r="AC27" i="6" s="1"/>
  <c r="E27" i="6"/>
  <c r="R26" i="6"/>
  <c r="AC26" i="6" s="1"/>
  <c r="E26" i="6"/>
  <c r="R25" i="6"/>
  <c r="AC25" i="6" s="1"/>
  <c r="E25" i="6"/>
  <c r="R24" i="6"/>
  <c r="AC24" i="6" s="1"/>
  <c r="E24" i="6"/>
  <c r="R23" i="6"/>
  <c r="AC23" i="6" s="1"/>
  <c r="E23" i="6"/>
  <c r="R22" i="6"/>
  <c r="AC22" i="6" s="1"/>
  <c r="E22" i="6"/>
  <c r="R21" i="6"/>
  <c r="AC21" i="6" s="1"/>
  <c r="E21" i="6"/>
  <c r="R20" i="6"/>
  <c r="AC20" i="6" s="1"/>
  <c r="E20" i="6"/>
  <c r="R19" i="6"/>
  <c r="AC19" i="6" s="1"/>
  <c r="E19" i="6"/>
  <c r="R18" i="6"/>
  <c r="AC18" i="6" s="1"/>
  <c r="E18" i="6"/>
  <c r="R17" i="6"/>
  <c r="AC17" i="6" s="1"/>
  <c r="E17" i="6"/>
  <c r="R16" i="6"/>
  <c r="AC16" i="6" s="1"/>
  <c r="E16" i="6"/>
  <c r="R15" i="6"/>
  <c r="AC15" i="6" s="1"/>
  <c r="E15" i="6"/>
  <c r="R14" i="6"/>
  <c r="AC14" i="6" s="1"/>
  <c r="E14" i="6"/>
  <c r="R13" i="6"/>
  <c r="AC13" i="6" s="1"/>
  <c r="E13" i="6"/>
  <c r="R12" i="6"/>
  <c r="AC12" i="6" s="1"/>
  <c r="E12" i="6"/>
  <c r="R11" i="6"/>
  <c r="AC11" i="6" s="1"/>
  <c r="E11" i="6"/>
  <c r="R10" i="6"/>
  <c r="AC10" i="6" s="1"/>
  <c r="E10" i="6"/>
  <c r="R9" i="6"/>
  <c r="AC9" i="6" s="1"/>
  <c r="E9" i="6"/>
  <c r="AC8" i="6"/>
  <c r="R8" i="6"/>
  <c r="E8" i="6"/>
  <c r="R7" i="6"/>
  <c r="AC7" i="6" s="1"/>
  <c r="E7" i="6"/>
  <c r="R6" i="6"/>
  <c r="AC6" i="6" s="1"/>
  <c r="E6" i="6"/>
  <c r="R5" i="6"/>
  <c r="AC5" i="6" s="1"/>
  <c r="E5" i="6"/>
  <c r="R4" i="6"/>
  <c r="AC4" i="6" s="1"/>
  <c r="E4" i="6"/>
  <c r="L574" i="1"/>
  <c r="G408" i="6" l="1"/>
  <c r="G372" i="4"/>
  <c r="H372" i="4" s="1"/>
  <c r="I431" i="4"/>
  <c r="H431" i="4"/>
  <c r="I430" i="4"/>
  <c r="H430" i="4"/>
  <c r="I429" i="4"/>
  <c r="H429" i="4"/>
  <c r="I428" i="4"/>
  <c r="H428" i="4"/>
  <c r="I427" i="4"/>
  <c r="H427" i="4"/>
  <c r="I426" i="4"/>
  <c r="H426" i="4"/>
  <c r="I425" i="4"/>
  <c r="H425" i="4"/>
  <c r="I424" i="4"/>
  <c r="H424" i="4"/>
  <c r="I423" i="4"/>
  <c r="H423" i="4"/>
  <c r="I422" i="4"/>
  <c r="H422" i="4"/>
  <c r="I421" i="4"/>
  <c r="H421" i="4"/>
  <c r="I420" i="4"/>
  <c r="H420" i="4"/>
  <c r="I419" i="4"/>
  <c r="H419" i="4"/>
  <c r="I418" i="4"/>
  <c r="H418" i="4"/>
  <c r="I417" i="4"/>
  <c r="H417" i="4"/>
  <c r="I416" i="4"/>
  <c r="H416" i="4"/>
  <c r="I415" i="4"/>
  <c r="H415" i="4"/>
  <c r="I414" i="4"/>
  <c r="H414" i="4"/>
  <c r="I413" i="4"/>
  <c r="H413" i="4"/>
  <c r="I412" i="4"/>
  <c r="H412" i="4"/>
  <c r="I411" i="4"/>
  <c r="H411" i="4"/>
  <c r="I410" i="4"/>
  <c r="H410" i="4"/>
  <c r="I409" i="4"/>
  <c r="H409" i="4"/>
  <c r="I408" i="4"/>
  <c r="H408" i="4"/>
  <c r="I407" i="4"/>
  <c r="H407" i="4"/>
  <c r="I406" i="4"/>
  <c r="H406" i="4"/>
  <c r="I405" i="4"/>
  <c r="H405" i="4"/>
  <c r="I404" i="4"/>
  <c r="H404" i="4"/>
  <c r="I403" i="4"/>
  <c r="H403" i="4"/>
  <c r="I402" i="4"/>
  <c r="H402" i="4"/>
  <c r="I401" i="4"/>
  <c r="H401" i="4"/>
  <c r="I400" i="4"/>
  <c r="H400" i="4"/>
  <c r="I399" i="4"/>
  <c r="H399" i="4"/>
  <c r="I398" i="4"/>
  <c r="H398" i="4"/>
  <c r="I397" i="4"/>
  <c r="H397" i="4"/>
  <c r="I396" i="4"/>
  <c r="H396" i="4"/>
  <c r="I395" i="4"/>
  <c r="H395" i="4"/>
  <c r="I394" i="4"/>
  <c r="H394" i="4"/>
  <c r="I393" i="4"/>
  <c r="H393" i="4"/>
  <c r="I392" i="4"/>
  <c r="H392" i="4"/>
  <c r="I391" i="4"/>
  <c r="H391" i="4"/>
  <c r="I390" i="4"/>
  <c r="H390" i="4"/>
  <c r="I389" i="4"/>
  <c r="H389" i="4"/>
  <c r="I388" i="4"/>
  <c r="H388" i="4"/>
  <c r="I387" i="4"/>
  <c r="I386" i="4"/>
  <c r="I385" i="4"/>
  <c r="I384" i="4"/>
  <c r="I383" i="4"/>
  <c r="I382" i="4"/>
  <c r="I381" i="4"/>
  <c r="I380" i="4"/>
  <c r="I379" i="4"/>
  <c r="I378" i="4"/>
  <c r="I377" i="4"/>
  <c r="I376" i="4"/>
  <c r="I375" i="4"/>
  <c r="I374" i="4"/>
  <c r="I373" i="4"/>
  <c r="I372" i="4"/>
  <c r="I491" i="4"/>
  <c r="H491" i="4"/>
  <c r="I490" i="4"/>
  <c r="H490" i="4"/>
  <c r="I489" i="4"/>
  <c r="H489" i="4"/>
  <c r="I488" i="4"/>
  <c r="H488" i="4"/>
  <c r="I487" i="4"/>
  <c r="H487" i="4"/>
  <c r="I486" i="4"/>
  <c r="H486" i="4"/>
  <c r="I485" i="4"/>
  <c r="H485" i="4"/>
  <c r="I484" i="4"/>
  <c r="H484" i="4"/>
  <c r="I483" i="4"/>
  <c r="H483" i="4"/>
  <c r="I482" i="4"/>
  <c r="H482" i="4"/>
  <c r="I481" i="4"/>
  <c r="H481" i="4"/>
  <c r="I480" i="4"/>
  <c r="H480" i="4"/>
  <c r="I479" i="4"/>
  <c r="H479" i="4"/>
  <c r="I478" i="4"/>
  <c r="H478" i="4"/>
  <c r="I477" i="4"/>
  <c r="H477" i="4"/>
  <c r="I476" i="4"/>
  <c r="H476" i="4"/>
  <c r="I475" i="4"/>
  <c r="H475" i="4"/>
  <c r="I474" i="4"/>
  <c r="H474" i="4"/>
  <c r="I473" i="4"/>
  <c r="H473" i="4"/>
  <c r="I472" i="4"/>
  <c r="H472" i="4"/>
  <c r="I471" i="4"/>
  <c r="H471" i="4"/>
  <c r="I470" i="4"/>
  <c r="H470" i="4"/>
  <c r="I469" i="4"/>
  <c r="H469" i="4"/>
  <c r="I468" i="4"/>
  <c r="H468" i="4"/>
  <c r="I467" i="4"/>
  <c r="H467" i="4"/>
  <c r="I466" i="4"/>
  <c r="H466" i="4"/>
  <c r="I465" i="4"/>
  <c r="H465" i="4"/>
  <c r="I464" i="4"/>
  <c r="H464" i="4"/>
  <c r="I463" i="4"/>
  <c r="H463" i="4"/>
  <c r="I462" i="4"/>
  <c r="H462" i="4"/>
  <c r="I461" i="4"/>
  <c r="H461" i="4"/>
  <c r="I460" i="4"/>
  <c r="H460" i="4"/>
  <c r="I459" i="4"/>
  <c r="H459" i="4"/>
  <c r="I458" i="4"/>
  <c r="H458" i="4"/>
  <c r="I457" i="4"/>
  <c r="H457" i="4"/>
  <c r="I456" i="4"/>
  <c r="H456" i="4"/>
  <c r="I455" i="4"/>
  <c r="H455" i="4"/>
  <c r="I454" i="4"/>
  <c r="H454" i="4"/>
  <c r="I453" i="4"/>
  <c r="H453" i="4"/>
  <c r="I452" i="4"/>
  <c r="H452" i="4"/>
  <c r="I451" i="4"/>
  <c r="H451" i="4"/>
  <c r="I450" i="4"/>
  <c r="H450" i="4"/>
  <c r="I449" i="4"/>
  <c r="H449" i="4"/>
  <c r="I448" i="4"/>
  <c r="H448" i="4"/>
  <c r="I447" i="4"/>
  <c r="H447" i="4"/>
  <c r="I446" i="4"/>
  <c r="H446" i="4"/>
  <c r="I445" i="4"/>
  <c r="H445" i="4"/>
  <c r="I444" i="4"/>
  <c r="H444" i="4"/>
  <c r="I443" i="4"/>
  <c r="H443" i="4"/>
  <c r="I442" i="4"/>
  <c r="H442" i="4"/>
  <c r="I441" i="4"/>
  <c r="H441" i="4"/>
  <c r="I440" i="4"/>
  <c r="H440" i="4"/>
  <c r="I439" i="4"/>
  <c r="H439" i="4"/>
  <c r="I438" i="4"/>
  <c r="H438" i="4"/>
  <c r="I437" i="4"/>
  <c r="H437" i="4"/>
  <c r="I436" i="4"/>
  <c r="H436" i="4"/>
  <c r="I435" i="4"/>
  <c r="H435" i="4"/>
  <c r="I434" i="4"/>
  <c r="H434" i="4"/>
  <c r="I433" i="4"/>
  <c r="H433" i="4"/>
  <c r="I432" i="4"/>
  <c r="H432" i="4"/>
  <c r="I551" i="4"/>
  <c r="H551" i="4"/>
  <c r="I550" i="4"/>
  <c r="H550" i="4"/>
  <c r="I549" i="4"/>
  <c r="H549" i="4"/>
  <c r="I548" i="4"/>
  <c r="H548" i="4"/>
  <c r="I547" i="4"/>
  <c r="H547" i="4"/>
  <c r="I546" i="4"/>
  <c r="H546" i="4"/>
  <c r="I545" i="4"/>
  <c r="H545" i="4"/>
  <c r="I544" i="4"/>
  <c r="H544" i="4"/>
  <c r="I543" i="4"/>
  <c r="H543" i="4"/>
  <c r="I542" i="4"/>
  <c r="H542" i="4"/>
  <c r="I541" i="4"/>
  <c r="H541" i="4"/>
  <c r="I540" i="4"/>
  <c r="H540" i="4"/>
  <c r="I539" i="4"/>
  <c r="H539" i="4"/>
  <c r="I538" i="4"/>
  <c r="H538" i="4"/>
  <c r="I537" i="4"/>
  <c r="H537" i="4"/>
  <c r="I536" i="4"/>
  <c r="H536" i="4"/>
  <c r="I535" i="4"/>
  <c r="H535" i="4"/>
  <c r="I534" i="4"/>
  <c r="H534" i="4"/>
  <c r="I533" i="4"/>
  <c r="H533" i="4"/>
  <c r="I532" i="4"/>
  <c r="H532" i="4"/>
  <c r="I531" i="4"/>
  <c r="H531" i="4"/>
  <c r="I530" i="4"/>
  <c r="H530" i="4"/>
  <c r="I529" i="4"/>
  <c r="H529" i="4"/>
  <c r="I528" i="4"/>
  <c r="H528" i="4"/>
  <c r="I527" i="4"/>
  <c r="H527" i="4"/>
  <c r="I526" i="4"/>
  <c r="H526" i="4"/>
  <c r="I525" i="4"/>
  <c r="H525" i="4"/>
  <c r="I524" i="4"/>
  <c r="H524" i="4"/>
  <c r="I523" i="4"/>
  <c r="H523" i="4"/>
  <c r="I522" i="4"/>
  <c r="H522" i="4"/>
  <c r="I521" i="4"/>
  <c r="H521" i="4"/>
  <c r="I520" i="4"/>
  <c r="H520" i="4"/>
  <c r="I519" i="4"/>
  <c r="H519" i="4"/>
  <c r="I518" i="4"/>
  <c r="H518" i="4"/>
  <c r="I517" i="4"/>
  <c r="H517" i="4"/>
  <c r="I516" i="4"/>
  <c r="H516" i="4"/>
  <c r="I515" i="4"/>
  <c r="H515" i="4"/>
  <c r="I514" i="4"/>
  <c r="H514" i="4"/>
  <c r="I513" i="4"/>
  <c r="H513" i="4"/>
  <c r="I512" i="4"/>
  <c r="H512" i="4"/>
  <c r="I511" i="4"/>
  <c r="H511" i="4"/>
  <c r="I510" i="4"/>
  <c r="H510" i="4"/>
  <c r="I509" i="4"/>
  <c r="H509" i="4"/>
  <c r="I508" i="4"/>
  <c r="H508" i="4"/>
  <c r="I507" i="4"/>
  <c r="H507" i="4"/>
  <c r="I506" i="4"/>
  <c r="H506" i="4"/>
  <c r="I505" i="4"/>
  <c r="H505" i="4"/>
  <c r="I504" i="4"/>
  <c r="H504" i="4"/>
  <c r="I503" i="4"/>
  <c r="H503" i="4"/>
  <c r="I502" i="4"/>
  <c r="H502" i="4"/>
  <c r="I501" i="4"/>
  <c r="H501" i="4"/>
  <c r="I500" i="4"/>
  <c r="H500" i="4"/>
  <c r="I499" i="4"/>
  <c r="H499" i="4"/>
  <c r="I498" i="4"/>
  <c r="H498" i="4"/>
  <c r="I497" i="4"/>
  <c r="H497" i="4"/>
  <c r="I496" i="4"/>
  <c r="H496" i="4"/>
  <c r="I495" i="4"/>
  <c r="H495" i="4"/>
  <c r="I494" i="4"/>
  <c r="H494" i="4"/>
  <c r="I493" i="4"/>
  <c r="H493" i="4"/>
  <c r="I492" i="4"/>
  <c r="H492" i="4"/>
  <c r="I563" i="4"/>
  <c r="H563" i="4"/>
  <c r="I562" i="4"/>
  <c r="H562" i="4"/>
  <c r="I561" i="4"/>
  <c r="H561" i="4"/>
  <c r="I560" i="4"/>
  <c r="H560" i="4"/>
  <c r="I559" i="4"/>
  <c r="H559" i="4"/>
  <c r="I558" i="4"/>
  <c r="H558" i="4"/>
  <c r="I557" i="4"/>
  <c r="H557" i="4"/>
  <c r="I556" i="4"/>
  <c r="H556" i="4"/>
  <c r="I555" i="4"/>
  <c r="H555" i="4"/>
  <c r="I554" i="4"/>
  <c r="H554" i="4"/>
  <c r="I553" i="4"/>
  <c r="H553" i="4"/>
  <c r="I552" i="4"/>
  <c r="H552" i="4"/>
  <c r="I575" i="4"/>
  <c r="H575" i="4"/>
  <c r="I574" i="4"/>
  <c r="H574" i="4"/>
  <c r="I573" i="4"/>
  <c r="H573" i="4"/>
  <c r="I572" i="4"/>
  <c r="H572" i="4"/>
  <c r="I571" i="4"/>
  <c r="H571" i="4"/>
  <c r="I570" i="4"/>
  <c r="H570" i="4"/>
  <c r="I569" i="4"/>
  <c r="H569" i="4"/>
  <c r="I568" i="4"/>
  <c r="H568" i="4"/>
  <c r="I567" i="4"/>
  <c r="H567" i="4"/>
  <c r="I566" i="4"/>
  <c r="H566" i="4"/>
  <c r="I565" i="4"/>
  <c r="H565" i="4"/>
  <c r="I564" i="4"/>
  <c r="H564" i="4"/>
  <c r="H576" i="4"/>
  <c r="I576" i="4"/>
  <c r="H577" i="4"/>
  <c r="I577" i="4"/>
  <c r="H578" i="4"/>
  <c r="I578" i="4"/>
  <c r="H579" i="4"/>
  <c r="I579" i="4"/>
  <c r="H580" i="4"/>
  <c r="I580" i="4"/>
  <c r="H581" i="4"/>
  <c r="I581" i="4"/>
  <c r="H582" i="4"/>
  <c r="I582" i="4"/>
  <c r="H583" i="4"/>
  <c r="I583" i="4"/>
  <c r="H584" i="4"/>
  <c r="I584" i="4"/>
  <c r="H585" i="4"/>
  <c r="I585" i="4"/>
  <c r="H586" i="4"/>
  <c r="I586" i="4"/>
  <c r="H587" i="4"/>
  <c r="I587" i="4"/>
  <c r="I599" i="4"/>
  <c r="H599" i="4"/>
  <c r="I598" i="4"/>
  <c r="H598" i="4"/>
  <c r="I597" i="4"/>
  <c r="H597" i="4"/>
  <c r="I596" i="4"/>
  <c r="H596" i="4"/>
  <c r="I595" i="4"/>
  <c r="H595" i="4"/>
  <c r="I594" i="4"/>
  <c r="H594" i="4"/>
  <c r="I593" i="4"/>
  <c r="H593" i="4"/>
  <c r="I592" i="4"/>
  <c r="H592" i="4"/>
  <c r="I591" i="4"/>
  <c r="H591" i="4"/>
  <c r="I590" i="4"/>
  <c r="H590" i="4"/>
  <c r="I589" i="4"/>
  <c r="H589" i="4"/>
  <c r="I588" i="4"/>
  <c r="H588" i="4"/>
  <c r="E135" i="1"/>
  <c r="G373" i="4" l="1"/>
  <c r="I336" i="4"/>
  <c r="E154" i="3"/>
  <c r="I348" i="4"/>
  <c r="H348" i="4"/>
  <c r="I347" i="4"/>
  <c r="H347" i="4"/>
  <c r="I346" i="4"/>
  <c r="H346" i="4"/>
  <c r="I345" i="4"/>
  <c r="H345" i="4"/>
  <c r="I344" i="4"/>
  <c r="H344" i="4"/>
  <c r="I343" i="4"/>
  <c r="H343" i="4"/>
  <c r="I342" i="4"/>
  <c r="H342" i="4"/>
  <c r="I341" i="4"/>
  <c r="H341" i="4"/>
  <c r="I340" i="4"/>
  <c r="H340" i="4"/>
  <c r="I339" i="4"/>
  <c r="H339" i="4"/>
  <c r="I338" i="4"/>
  <c r="H338" i="4"/>
  <c r="I337" i="4"/>
  <c r="H337" i="4"/>
  <c r="H336" i="4"/>
  <c r="I335" i="4"/>
  <c r="H335" i="4"/>
  <c r="I334" i="4"/>
  <c r="H334" i="4"/>
  <c r="I333" i="4"/>
  <c r="H333" i="4"/>
  <c r="I332" i="4"/>
  <c r="H332" i="4"/>
  <c r="I331" i="4"/>
  <c r="H331" i="4"/>
  <c r="I330" i="4"/>
  <c r="H330" i="4"/>
  <c r="I329" i="4"/>
  <c r="H329" i="4"/>
  <c r="I328" i="4"/>
  <c r="H328" i="4"/>
  <c r="I327" i="4"/>
  <c r="H327" i="4"/>
  <c r="I326" i="4"/>
  <c r="H326" i="4"/>
  <c r="I325" i="4"/>
  <c r="H325" i="4"/>
  <c r="I324" i="4"/>
  <c r="H324" i="4"/>
  <c r="I323" i="4"/>
  <c r="H323" i="4"/>
  <c r="I322" i="4"/>
  <c r="H322" i="4"/>
  <c r="I321" i="4"/>
  <c r="H321" i="4"/>
  <c r="I320" i="4"/>
  <c r="H320" i="4"/>
  <c r="I319" i="4"/>
  <c r="H319" i="4"/>
  <c r="I318" i="4"/>
  <c r="H318" i="4"/>
  <c r="I317" i="4"/>
  <c r="H317" i="4"/>
  <c r="I316" i="4"/>
  <c r="H316" i="4"/>
  <c r="I315" i="4"/>
  <c r="H315" i="4"/>
  <c r="I314" i="4"/>
  <c r="H314" i="4"/>
  <c r="I365" i="4"/>
  <c r="H365" i="4"/>
  <c r="I364" i="4"/>
  <c r="H364" i="4"/>
  <c r="I363" i="4"/>
  <c r="H363" i="4"/>
  <c r="I362" i="4"/>
  <c r="H362" i="4"/>
  <c r="I361" i="4"/>
  <c r="F185" i="3" s="1"/>
  <c r="H361" i="4"/>
  <c r="I360" i="4"/>
  <c r="H360" i="4"/>
  <c r="I359" i="4"/>
  <c r="H359" i="4"/>
  <c r="I358" i="4"/>
  <c r="H358" i="4"/>
  <c r="I357" i="4"/>
  <c r="H357" i="4"/>
  <c r="I356" i="4"/>
  <c r="H356" i="4"/>
  <c r="I355" i="4"/>
  <c r="H355" i="4"/>
  <c r="I354" i="4"/>
  <c r="H354" i="4"/>
  <c r="I353" i="4"/>
  <c r="H353" i="4"/>
  <c r="I352" i="4"/>
  <c r="H352" i="4"/>
  <c r="I351" i="4"/>
  <c r="H351" i="4"/>
  <c r="I350" i="4"/>
  <c r="H350" i="4"/>
  <c r="I349" i="4"/>
  <c r="H349" i="4"/>
  <c r="I602" i="4"/>
  <c r="H602" i="4"/>
  <c r="I601" i="4"/>
  <c r="H601" i="4"/>
  <c r="I600" i="4"/>
  <c r="H600" i="4"/>
  <c r="I371" i="4"/>
  <c r="H371" i="4"/>
  <c r="I370" i="4"/>
  <c r="H370" i="4"/>
  <c r="I369" i="4"/>
  <c r="H369" i="4"/>
  <c r="I368" i="4"/>
  <c r="H368" i="4"/>
  <c r="I367" i="4"/>
  <c r="H367" i="4"/>
  <c r="I366" i="4"/>
  <c r="H366" i="4"/>
  <c r="E116" i="3"/>
  <c r="R135" i="1" l="1"/>
  <c r="AC135" i="1" s="1"/>
  <c r="G374" i="4"/>
  <c r="H373" i="4"/>
  <c r="I262" i="4"/>
  <c r="E79" i="3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603" i="4"/>
  <c r="H604" i="4"/>
  <c r="H605" i="4"/>
  <c r="H606" i="4"/>
  <c r="H607" i="4"/>
  <c r="H608" i="4"/>
  <c r="H609" i="4"/>
  <c r="H610" i="4"/>
  <c r="H611" i="4"/>
  <c r="H612" i="4"/>
  <c r="I260" i="4"/>
  <c r="I261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603" i="4"/>
  <c r="I604" i="4"/>
  <c r="I605" i="4"/>
  <c r="I606" i="4"/>
  <c r="I607" i="4"/>
  <c r="I608" i="4"/>
  <c r="I609" i="4"/>
  <c r="I610" i="4"/>
  <c r="I611" i="4"/>
  <c r="I612" i="4"/>
  <c r="I253" i="4"/>
  <c r="I254" i="4"/>
  <c r="I255" i="4"/>
  <c r="I256" i="4"/>
  <c r="I257" i="4"/>
  <c r="I258" i="4"/>
  <c r="I259" i="4"/>
  <c r="I252" i="4"/>
  <c r="A252" i="4"/>
  <c r="H374" i="4" l="1"/>
  <c r="G375" i="4"/>
  <c r="A253" i="4"/>
  <c r="A254" i="4" s="1"/>
  <c r="A255" i="4" s="1"/>
  <c r="A256" i="4" s="1"/>
  <c r="A257" i="4" s="1"/>
  <c r="A258" i="4" s="1"/>
  <c r="A259" i="4" s="1"/>
  <c r="A260" i="4" s="1"/>
  <c r="A261" i="4" s="1"/>
  <c r="G236" i="4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H375" i="4" l="1"/>
  <c r="G376" i="4"/>
  <c r="A262" i="4"/>
  <c r="A263" i="4" s="1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33" i="4"/>
  <c r="H227" i="4"/>
  <c r="G377" i="4" l="1"/>
  <c r="H376" i="4"/>
  <c r="A264" i="4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H189" i="4"/>
  <c r="H5" i="4"/>
  <c r="H3" i="4"/>
  <c r="H179" i="4"/>
  <c r="H180" i="4"/>
  <c r="H181" i="4"/>
  <c r="H182" i="4"/>
  <c r="H183" i="4"/>
  <c r="H184" i="4"/>
  <c r="H185" i="4"/>
  <c r="H186" i="4"/>
  <c r="H187" i="4"/>
  <c r="H188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613" i="4"/>
  <c r="H4" i="4"/>
  <c r="H6" i="4"/>
  <c r="G378" i="4" l="1"/>
  <c r="H377" i="4"/>
  <c r="A276" i="4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H7" i="4"/>
  <c r="H2" i="4"/>
  <c r="H378" i="4" l="1"/>
  <c r="G379" i="4"/>
  <c r="A288" i="4"/>
  <c r="A289" i="4" s="1"/>
  <c r="A290" i="4" s="1"/>
  <c r="A291" i="4" s="1"/>
  <c r="A292" i="4" s="1"/>
  <c r="A293" i="4" s="1"/>
  <c r="A294" i="4" s="1"/>
  <c r="A295" i="4" s="1"/>
  <c r="A296" i="4" s="1"/>
  <c r="H190" i="4"/>
  <c r="H8" i="4"/>
  <c r="H379" i="4" l="1"/>
  <c r="G380" i="4"/>
  <c r="A297" i="4"/>
  <c r="A298" i="4" s="1"/>
  <c r="A299" i="4" s="1"/>
  <c r="H192" i="4"/>
  <c r="H191" i="4"/>
  <c r="H9" i="4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164" i="1"/>
  <c r="E165" i="1"/>
  <c r="E167" i="1"/>
  <c r="E168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141" i="1"/>
  <c r="E142" i="1"/>
  <c r="E143" i="1"/>
  <c r="E169" i="1"/>
  <c r="E124" i="1"/>
  <c r="E91" i="1"/>
  <c r="E122" i="1"/>
  <c r="E123" i="1"/>
  <c r="E92" i="1"/>
  <c r="E132" i="1"/>
  <c r="E93" i="1"/>
  <c r="E130" i="1"/>
  <c r="E94" i="1"/>
  <c r="E95" i="1"/>
  <c r="E148" i="1"/>
  <c r="E96" i="1"/>
  <c r="E129" i="1"/>
  <c r="E97" i="1"/>
  <c r="E98" i="1"/>
  <c r="E155" i="1"/>
  <c r="E150" i="1"/>
  <c r="E149" i="1"/>
  <c r="E99" i="1"/>
  <c r="E100" i="1"/>
  <c r="E166" i="1"/>
  <c r="E101" i="1"/>
  <c r="E163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46" i="1"/>
  <c r="E145" i="1"/>
  <c r="E125" i="1"/>
  <c r="E131" i="1"/>
  <c r="E147" i="1"/>
  <c r="E136" i="1"/>
  <c r="E154" i="1"/>
  <c r="E126" i="1"/>
  <c r="E118" i="1"/>
  <c r="E140" i="1"/>
  <c r="E139" i="1"/>
  <c r="E121" i="1"/>
  <c r="E119" i="1"/>
  <c r="E138" i="1"/>
  <c r="E120" i="1"/>
  <c r="E144" i="1"/>
  <c r="E127" i="1"/>
  <c r="E128" i="1"/>
  <c r="E137" i="1"/>
  <c r="E156" i="1"/>
  <c r="E157" i="1"/>
  <c r="E158" i="1"/>
  <c r="E153" i="1"/>
  <c r="E152" i="1"/>
  <c r="E151" i="1"/>
  <c r="E134" i="1"/>
  <c r="E133" i="1"/>
  <c r="E159" i="1"/>
  <c r="E160" i="1"/>
  <c r="E161" i="1"/>
  <c r="E162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6" i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G381" i="4" l="1"/>
  <c r="H380" i="4"/>
  <c r="A300" i="4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H10" i="4"/>
  <c r="E3" i="3"/>
  <c r="E5" i="1"/>
  <c r="E4" i="1"/>
  <c r="N574" i="1" l="1"/>
  <c r="R243" i="1"/>
  <c r="AC243" i="1" s="1"/>
  <c r="R259" i="1"/>
  <c r="AC259" i="1" s="1"/>
  <c r="R291" i="1"/>
  <c r="AC291" i="1" s="1"/>
  <c r="R323" i="1"/>
  <c r="AC323" i="1" s="1"/>
  <c r="R331" i="1"/>
  <c r="AC331" i="1" s="1"/>
  <c r="R339" i="1"/>
  <c r="AC339" i="1" s="1"/>
  <c r="R371" i="1"/>
  <c r="AC371" i="1" s="1"/>
  <c r="R395" i="1"/>
  <c r="AC395" i="1" s="1"/>
  <c r="R435" i="1"/>
  <c r="AC435" i="1" s="1"/>
  <c r="R459" i="1"/>
  <c r="AC459" i="1" s="1"/>
  <c r="R425" i="1"/>
  <c r="AC425" i="1" s="1"/>
  <c r="R473" i="1"/>
  <c r="AC473" i="1" s="1"/>
  <c r="R521" i="1"/>
  <c r="AC521" i="1" s="1"/>
  <c r="R545" i="1"/>
  <c r="AC545" i="1" s="1"/>
  <c r="R229" i="1"/>
  <c r="AC229" i="1" s="1"/>
  <c r="R237" i="1"/>
  <c r="AC237" i="1" s="1"/>
  <c r="R245" i="1"/>
  <c r="AC245" i="1" s="1"/>
  <c r="R253" i="1"/>
  <c r="AC253" i="1" s="1"/>
  <c r="R261" i="1"/>
  <c r="AC261" i="1" s="1"/>
  <c r="R269" i="1"/>
  <c r="AC269" i="1" s="1"/>
  <c r="R277" i="1"/>
  <c r="AC277" i="1" s="1"/>
  <c r="R285" i="1"/>
  <c r="AC285" i="1" s="1"/>
  <c r="R293" i="1"/>
  <c r="AC293" i="1" s="1"/>
  <c r="R301" i="1"/>
  <c r="AC301" i="1" s="1"/>
  <c r="R309" i="1"/>
  <c r="AC309" i="1" s="1"/>
  <c r="R317" i="1"/>
  <c r="AC317" i="1" s="1"/>
  <c r="R325" i="1"/>
  <c r="AC325" i="1" s="1"/>
  <c r="R333" i="1"/>
  <c r="AC333" i="1" s="1"/>
  <c r="R341" i="1"/>
  <c r="AC341" i="1" s="1"/>
  <c r="R349" i="1"/>
  <c r="AC349" i="1" s="1"/>
  <c r="R357" i="1"/>
  <c r="AC357" i="1" s="1"/>
  <c r="R413" i="1"/>
  <c r="AC413" i="1" s="1"/>
  <c r="R449" i="1"/>
  <c r="AC449" i="1" s="1"/>
  <c r="R497" i="1"/>
  <c r="AC497" i="1" s="1"/>
  <c r="R225" i="1"/>
  <c r="AC225" i="1" s="1"/>
  <c r="R241" i="1"/>
  <c r="AC241" i="1" s="1"/>
  <c r="R249" i="1"/>
  <c r="AC249" i="1" s="1"/>
  <c r="R257" i="1"/>
  <c r="AC257" i="1" s="1"/>
  <c r="R265" i="1"/>
  <c r="AC265" i="1" s="1"/>
  <c r="R281" i="1"/>
  <c r="AC281" i="1" s="1"/>
  <c r="R289" i="1"/>
  <c r="AC289" i="1" s="1"/>
  <c r="R297" i="1"/>
  <c r="AC297" i="1" s="1"/>
  <c r="R305" i="1"/>
  <c r="AC305" i="1" s="1"/>
  <c r="R313" i="1"/>
  <c r="AC313" i="1" s="1"/>
  <c r="R321" i="1"/>
  <c r="AC321" i="1" s="1"/>
  <c r="R329" i="1"/>
  <c r="AC329" i="1" s="1"/>
  <c r="R337" i="1"/>
  <c r="AC337" i="1" s="1"/>
  <c r="R345" i="1"/>
  <c r="AC345" i="1" s="1"/>
  <c r="R361" i="1"/>
  <c r="AC361" i="1" s="1"/>
  <c r="R369" i="1"/>
  <c r="AC369" i="1" s="1"/>
  <c r="R377" i="1"/>
  <c r="AC377" i="1" s="1"/>
  <c r="R499" i="1"/>
  <c r="AC499" i="1" s="1"/>
  <c r="R555" i="1"/>
  <c r="AC555" i="1" s="1"/>
  <c r="R563" i="1"/>
  <c r="AC563" i="1" s="1"/>
  <c r="R571" i="1"/>
  <c r="AC571" i="1" s="1"/>
  <c r="R433" i="1"/>
  <c r="AC433" i="1" s="1"/>
  <c r="R457" i="1"/>
  <c r="AC457" i="1" s="1"/>
  <c r="R481" i="1"/>
  <c r="AC481" i="1" s="1"/>
  <c r="R505" i="1"/>
  <c r="AC505" i="1" s="1"/>
  <c r="R549" i="1"/>
  <c r="AC549" i="1" s="1"/>
  <c r="R569" i="1"/>
  <c r="AC569" i="1" s="1"/>
  <c r="R280" i="1"/>
  <c r="AC280" i="1" s="1"/>
  <c r="R288" i="1"/>
  <c r="AC288" i="1" s="1"/>
  <c r="R296" i="1"/>
  <c r="AC296" i="1" s="1"/>
  <c r="R304" i="1"/>
  <c r="AC304" i="1" s="1"/>
  <c r="R312" i="1"/>
  <c r="AC312" i="1" s="1"/>
  <c r="R320" i="1"/>
  <c r="AC320" i="1" s="1"/>
  <c r="R336" i="1"/>
  <c r="AC336" i="1" s="1"/>
  <c r="R344" i="1"/>
  <c r="AC344" i="1" s="1"/>
  <c r="R352" i="1"/>
  <c r="AC352" i="1" s="1"/>
  <c r="R360" i="1"/>
  <c r="AC360" i="1" s="1"/>
  <c r="R368" i="1"/>
  <c r="AC368" i="1" s="1"/>
  <c r="R376" i="1"/>
  <c r="AC376" i="1" s="1"/>
  <c r="R384" i="1"/>
  <c r="AC384" i="1" s="1"/>
  <c r="R392" i="1"/>
  <c r="AC392" i="1" s="1"/>
  <c r="R400" i="1"/>
  <c r="AC400" i="1" s="1"/>
  <c r="R408" i="1"/>
  <c r="AC408" i="1" s="1"/>
  <c r="R416" i="1"/>
  <c r="AC416" i="1" s="1"/>
  <c r="R424" i="1"/>
  <c r="AC424" i="1" s="1"/>
  <c r="R432" i="1"/>
  <c r="AC432" i="1" s="1"/>
  <c r="R440" i="1"/>
  <c r="AC440" i="1" s="1"/>
  <c r="R448" i="1"/>
  <c r="AC448" i="1" s="1"/>
  <c r="R464" i="1"/>
  <c r="AC464" i="1" s="1"/>
  <c r="R472" i="1"/>
  <c r="AC472" i="1" s="1"/>
  <c r="R480" i="1"/>
  <c r="AC480" i="1" s="1"/>
  <c r="R488" i="1"/>
  <c r="AC488" i="1" s="1"/>
  <c r="R496" i="1"/>
  <c r="AC496" i="1" s="1"/>
  <c r="R504" i="1"/>
  <c r="AC504" i="1" s="1"/>
  <c r="R512" i="1"/>
  <c r="AC512" i="1" s="1"/>
  <c r="R520" i="1"/>
  <c r="AC520" i="1" s="1"/>
  <c r="R528" i="1"/>
  <c r="AC528" i="1" s="1"/>
  <c r="R536" i="1"/>
  <c r="AC536" i="1" s="1"/>
  <c r="R544" i="1"/>
  <c r="AC544" i="1" s="1"/>
  <c r="R552" i="1"/>
  <c r="AC552" i="1" s="1"/>
  <c r="R560" i="1"/>
  <c r="AC560" i="1" s="1"/>
  <c r="R568" i="1"/>
  <c r="AC568" i="1" s="1"/>
  <c r="R401" i="1"/>
  <c r="AC401" i="1" s="1"/>
  <c r="R417" i="1"/>
  <c r="AC417" i="1" s="1"/>
  <c r="R441" i="1"/>
  <c r="AC441" i="1" s="1"/>
  <c r="R465" i="1"/>
  <c r="AC465" i="1" s="1"/>
  <c r="R489" i="1"/>
  <c r="AC489" i="1" s="1"/>
  <c r="R517" i="1"/>
  <c r="AC517" i="1" s="1"/>
  <c r="R541" i="1"/>
  <c r="AC541" i="1" s="1"/>
  <c r="R565" i="1"/>
  <c r="AC565" i="1" s="1"/>
  <c r="R233" i="1"/>
  <c r="AC233" i="1" s="1"/>
  <c r="R205" i="1"/>
  <c r="AC205" i="1" s="1"/>
  <c r="R221" i="1"/>
  <c r="AC221" i="1" s="1"/>
  <c r="R99" i="1"/>
  <c r="AC99" i="1" s="1"/>
  <c r="R159" i="1"/>
  <c r="AC159" i="1" s="1"/>
  <c r="R137" i="1"/>
  <c r="AC137" i="1" s="1"/>
  <c r="R173" i="1"/>
  <c r="AC173" i="1" s="1"/>
  <c r="R189" i="1"/>
  <c r="AC189" i="1" s="1"/>
  <c r="R17" i="1"/>
  <c r="AC17" i="1" s="1"/>
  <c r="R49" i="1"/>
  <c r="AC49" i="1" s="1"/>
  <c r="R61" i="1"/>
  <c r="AC61" i="1" s="1"/>
  <c r="R77" i="1"/>
  <c r="AC77" i="1" s="1"/>
  <c r="R98" i="1"/>
  <c r="AC98" i="1" s="1"/>
  <c r="R109" i="1"/>
  <c r="AC109" i="1" s="1"/>
  <c r="R126" i="1"/>
  <c r="AC126" i="1" s="1"/>
  <c r="R156" i="1"/>
  <c r="AC156" i="1" s="1"/>
  <c r="R178" i="1"/>
  <c r="AC178" i="1" s="1"/>
  <c r="R190" i="1"/>
  <c r="AC190" i="1" s="1"/>
  <c r="R194" i="1"/>
  <c r="AC194" i="1" s="1"/>
  <c r="R206" i="1"/>
  <c r="AC206" i="1" s="1"/>
  <c r="R210" i="1"/>
  <c r="AC210" i="1" s="1"/>
  <c r="R230" i="1"/>
  <c r="AC230" i="1" s="1"/>
  <c r="R238" i="1"/>
  <c r="AC238" i="1" s="1"/>
  <c r="R302" i="1"/>
  <c r="AC302" i="1" s="1"/>
  <c r="R358" i="1"/>
  <c r="AC358" i="1" s="1"/>
  <c r="R382" i="1"/>
  <c r="AC382" i="1" s="1"/>
  <c r="R390" i="1"/>
  <c r="AC390" i="1" s="1"/>
  <c r="R398" i="1"/>
  <c r="AC398" i="1" s="1"/>
  <c r="R422" i="1"/>
  <c r="AC422" i="1" s="1"/>
  <c r="R446" i="1"/>
  <c r="AC446" i="1" s="1"/>
  <c r="R454" i="1"/>
  <c r="AC454" i="1" s="1"/>
  <c r="R462" i="1"/>
  <c r="AC462" i="1" s="1"/>
  <c r="R486" i="1"/>
  <c r="AC486" i="1" s="1"/>
  <c r="R510" i="1"/>
  <c r="AC510" i="1" s="1"/>
  <c r="R526" i="1"/>
  <c r="AC526" i="1" s="1"/>
  <c r="R558" i="1"/>
  <c r="AC558" i="1" s="1"/>
  <c r="R566" i="1"/>
  <c r="AC566" i="1" s="1"/>
  <c r="R405" i="1"/>
  <c r="AC405" i="1" s="1"/>
  <c r="R421" i="1"/>
  <c r="AC421" i="1" s="1"/>
  <c r="R437" i="1"/>
  <c r="AC437" i="1" s="1"/>
  <c r="R485" i="1"/>
  <c r="AC485" i="1" s="1"/>
  <c r="R509" i="1"/>
  <c r="AC509" i="1" s="1"/>
  <c r="R561" i="1"/>
  <c r="AC561" i="1" s="1"/>
  <c r="R14" i="1"/>
  <c r="AC14" i="1" s="1"/>
  <c r="R30" i="1"/>
  <c r="AC30" i="1" s="1"/>
  <c r="R58" i="1"/>
  <c r="AC58" i="1" s="1"/>
  <c r="R74" i="1"/>
  <c r="AC74" i="1" s="1"/>
  <c r="R90" i="1"/>
  <c r="AC90" i="1" s="1"/>
  <c r="R127" i="1"/>
  <c r="AC127" i="1" s="1"/>
  <c r="R107" i="1"/>
  <c r="AC107" i="1" s="1"/>
  <c r="R136" i="1"/>
  <c r="AC136" i="1" s="1"/>
  <c r="R176" i="1"/>
  <c r="AC176" i="1" s="1"/>
  <c r="R373" i="1"/>
  <c r="AC373" i="1" s="1"/>
  <c r="R157" i="1"/>
  <c r="AC157" i="1" s="1"/>
  <c r="R171" i="1"/>
  <c r="AC171" i="1" s="1"/>
  <c r="R187" i="1"/>
  <c r="AC187" i="1" s="1"/>
  <c r="R191" i="1"/>
  <c r="AC191" i="1" s="1"/>
  <c r="R219" i="1"/>
  <c r="AC219" i="1" s="1"/>
  <c r="R223" i="1"/>
  <c r="AC223" i="1" s="1"/>
  <c r="R231" i="1"/>
  <c r="AC231" i="1" s="1"/>
  <c r="R247" i="1"/>
  <c r="AC247" i="1" s="1"/>
  <c r="R295" i="1"/>
  <c r="AC295" i="1" s="1"/>
  <c r="R311" i="1"/>
  <c r="AC311" i="1" s="1"/>
  <c r="R359" i="1"/>
  <c r="AC359" i="1" s="1"/>
  <c r="R375" i="1"/>
  <c r="AC375" i="1" s="1"/>
  <c r="R423" i="1"/>
  <c r="AC423" i="1" s="1"/>
  <c r="R439" i="1"/>
  <c r="AC439" i="1" s="1"/>
  <c r="R487" i="1"/>
  <c r="AC487" i="1" s="1"/>
  <c r="R503" i="1"/>
  <c r="AC503" i="1" s="1"/>
  <c r="R519" i="1"/>
  <c r="AC519" i="1" s="1"/>
  <c r="R527" i="1"/>
  <c r="AC527" i="1" s="1"/>
  <c r="R543" i="1"/>
  <c r="AC543" i="1" s="1"/>
  <c r="R445" i="1"/>
  <c r="AC445" i="1" s="1"/>
  <c r="R469" i="1"/>
  <c r="AC469" i="1" s="1"/>
  <c r="R513" i="1"/>
  <c r="AC513" i="1" s="1"/>
  <c r="R537" i="1"/>
  <c r="AC537" i="1" s="1"/>
  <c r="R7" i="1"/>
  <c r="AC7" i="1" s="1"/>
  <c r="R11" i="1"/>
  <c r="AC11" i="1" s="1"/>
  <c r="R19" i="1"/>
  <c r="AC19" i="1" s="1"/>
  <c r="R27" i="1"/>
  <c r="AC27" i="1" s="1"/>
  <c r="R39" i="1"/>
  <c r="AC39" i="1" s="1"/>
  <c r="R87" i="1"/>
  <c r="AC87" i="1" s="1"/>
  <c r="R92" i="1"/>
  <c r="AC92" i="1" s="1"/>
  <c r="R94" i="1"/>
  <c r="AC94" i="1" s="1"/>
  <c r="R145" i="1"/>
  <c r="AC145" i="1" s="1"/>
  <c r="R184" i="1"/>
  <c r="AC184" i="1" s="1"/>
  <c r="R200" i="1"/>
  <c r="AC200" i="1" s="1"/>
  <c r="R216" i="1"/>
  <c r="AC216" i="1" s="1"/>
  <c r="R284" i="1"/>
  <c r="AC284" i="1" s="1"/>
  <c r="R300" i="1"/>
  <c r="AC300" i="1" s="1"/>
  <c r="R316" i="1"/>
  <c r="AC316" i="1" s="1"/>
  <c r="R332" i="1"/>
  <c r="AC332" i="1" s="1"/>
  <c r="R348" i="1"/>
  <c r="AC348" i="1" s="1"/>
  <c r="R364" i="1"/>
  <c r="AC364" i="1" s="1"/>
  <c r="R372" i="1"/>
  <c r="AC372" i="1" s="1"/>
  <c r="R380" i="1"/>
  <c r="AC380" i="1" s="1"/>
  <c r="R388" i="1"/>
  <c r="AC388" i="1" s="1"/>
  <c r="R396" i="1"/>
  <c r="AC396" i="1" s="1"/>
  <c r="R404" i="1"/>
  <c r="AC404" i="1" s="1"/>
  <c r="R412" i="1"/>
  <c r="AC412" i="1" s="1"/>
  <c r="R420" i="1"/>
  <c r="AC420" i="1" s="1"/>
  <c r="R428" i="1"/>
  <c r="AC428" i="1" s="1"/>
  <c r="R436" i="1"/>
  <c r="AC436" i="1" s="1"/>
  <c r="R444" i="1"/>
  <c r="AC444" i="1" s="1"/>
  <c r="R452" i="1"/>
  <c r="AC452" i="1" s="1"/>
  <c r="R460" i="1"/>
  <c r="AC460" i="1" s="1"/>
  <c r="R468" i="1"/>
  <c r="AC468" i="1" s="1"/>
  <c r="R476" i="1"/>
  <c r="AC476" i="1" s="1"/>
  <c r="R492" i="1"/>
  <c r="AC492" i="1" s="1"/>
  <c r="R500" i="1"/>
  <c r="AC500" i="1" s="1"/>
  <c r="R508" i="1"/>
  <c r="AC508" i="1" s="1"/>
  <c r="R516" i="1"/>
  <c r="AC516" i="1" s="1"/>
  <c r="R524" i="1"/>
  <c r="AC524" i="1" s="1"/>
  <c r="R532" i="1"/>
  <c r="AC532" i="1" s="1"/>
  <c r="R540" i="1"/>
  <c r="AC540" i="1" s="1"/>
  <c r="R548" i="1"/>
  <c r="AC548" i="1" s="1"/>
  <c r="R556" i="1"/>
  <c r="AC556" i="1" s="1"/>
  <c r="R564" i="1"/>
  <c r="AC564" i="1" s="1"/>
  <c r="R572" i="1"/>
  <c r="AC572" i="1" s="1"/>
  <c r="R409" i="1"/>
  <c r="AC409" i="1" s="1"/>
  <c r="R453" i="1"/>
  <c r="AC453" i="1" s="1"/>
  <c r="R477" i="1"/>
  <c r="AC477" i="1" s="1"/>
  <c r="R501" i="1"/>
  <c r="AC501" i="1" s="1"/>
  <c r="R529" i="1"/>
  <c r="AC529" i="1" s="1"/>
  <c r="R553" i="1"/>
  <c r="AC553" i="1" s="1"/>
  <c r="R8" i="1"/>
  <c r="AC8" i="1" s="1"/>
  <c r="R20" i="1"/>
  <c r="AC20" i="1" s="1"/>
  <c r="R24" i="1"/>
  <c r="AC24" i="1" s="1"/>
  <c r="R36" i="1"/>
  <c r="AC36" i="1" s="1"/>
  <c r="R40" i="1"/>
  <c r="AC40" i="1" s="1"/>
  <c r="R52" i="1"/>
  <c r="AC52" i="1" s="1"/>
  <c r="R80" i="1"/>
  <c r="AC80" i="1" s="1"/>
  <c r="R91" i="1"/>
  <c r="AC91" i="1" s="1"/>
  <c r="R192" i="1"/>
  <c r="AC192" i="1" s="1"/>
  <c r="R60" i="1"/>
  <c r="AC60" i="1" s="1"/>
  <c r="R72" i="1"/>
  <c r="AC72" i="1" s="1"/>
  <c r="R88" i="1"/>
  <c r="AC88" i="1" s="1"/>
  <c r="R164" i="1"/>
  <c r="AC164" i="1" s="1"/>
  <c r="R214" i="1"/>
  <c r="AC214" i="1" s="1"/>
  <c r="R226" i="1"/>
  <c r="AC226" i="1" s="1"/>
  <c r="R234" i="1"/>
  <c r="AC234" i="1" s="1"/>
  <c r="R242" i="1"/>
  <c r="AC242" i="1" s="1"/>
  <c r="R250" i="1"/>
  <c r="AC250" i="1" s="1"/>
  <c r="R258" i="1"/>
  <c r="AC258" i="1" s="1"/>
  <c r="R282" i="1"/>
  <c r="AC282" i="1" s="1"/>
  <c r="R290" i="1"/>
  <c r="AC290" i="1" s="1"/>
  <c r="R298" i="1"/>
  <c r="AC298" i="1" s="1"/>
  <c r="R306" i="1"/>
  <c r="AC306" i="1" s="1"/>
  <c r="R314" i="1"/>
  <c r="AC314" i="1" s="1"/>
  <c r="R322" i="1"/>
  <c r="AC322" i="1" s="1"/>
  <c r="R354" i="1"/>
  <c r="AC354" i="1" s="1"/>
  <c r="R362" i="1"/>
  <c r="AC362" i="1" s="1"/>
  <c r="R378" i="1"/>
  <c r="AC378" i="1" s="1"/>
  <c r="R386" i="1"/>
  <c r="AC386" i="1" s="1"/>
  <c r="R418" i="1"/>
  <c r="AC418" i="1" s="1"/>
  <c r="R426" i="1"/>
  <c r="AC426" i="1" s="1"/>
  <c r="R434" i="1"/>
  <c r="AC434" i="1" s="1"/>
  <c r="R442" i="1"/>
  <c r="AC442" i="1" s="1"/>
  <c r="R450" i="1"/>
  <c r="AC450" i="1" s="1"/>
  <c r="R482" i="1"/>
  <c r="AC482" i="1" s="1"/>
  <c r="R490" i="1"/>
  <c r="AC490" i="1" s="1"/>
  <c r="R498" i="1"/>
  <c r="AC498" i="1" s="1"/>
  <c r="R506" i="1"/>
  <c r="AC506" i="1" s="1"/>
  <c r="R514" i="1"/>
  <c r="AC514" i="1" s="1"/>
  <c r="R522" i="1"/>
  <c r="AC522" i="1" s="1"/>
  <c r="R530" i="1"/>
  <c r="AC530" i="1" s="1"/>
  <c r="R554" i="1"/>
  <c r="AC554" i="1" s="1"/>
  <c r="R562" i="1"/>
  <c r="AC562" i="1" s="1"/>
  <c r="R570" i="1"/>
  <c r="AC570" i="1" s="1"/>
  <c r="R18" i="1"/>
  <c r="AC18" i="1" s="1"/>
  <c r="R34" i="1"/>
  <c r="AC34" i="1" s="1"/>
  <c r="R50" i="1"/>
  <c r="AC50" i="1" s="1"/>
  <c r="R62" i="1"/>
  <c r="AC62" i="1" s="1"/>
  <c r="R78" i="1"/>
  <c r="AC78" i="1" s="1"/>
  <c r="R169" i="1"/>
  <c r="AC169" i="1" s="1"/>
  <c r="R110" i="1"/>
  <c r="AC110" i="1" s="1"/>
  <c r="R118" i="1"/>
  <c r="AC118" i="1" s="1"/>
  <c r="R179" i="1"/>
  <c r="AC179" i="1" s="1"/>
  <c r="R15" i="1"/>
  <c r="AC15" i="1" s="1"/>
  <c r="R47" i="1"/>
  <c r="AC47" i="1" s="1"/>
  <c r="R75" i="1"/>
  <c r="AC75" i="1" s="1"/>
  <c r="R141" i="1"/>
  <c r="AC141" i="1" s="1"/>
  <c r="R381" i="1"/>
  <c r="AC381" i="1" s="1"/>
  <c r="R389" i="1"/>
  <c r="AC389" i="1" s="1"/>
  <c r="R101" i="1"/>
  <c r="AC101" i="1" s="1"/>
  <c r="R112" i="1"/>
  <c r="AC112" i="1" s="1"/>
  <c r="R139" i="1"/>
  <c r="AC139" i="1" s="1"/>
  <c r="R393" i="1"/>
  <c r="AC393" i="1" s="1"/>
  <c r="R9" i="1"/>
  <c r="AC9" i="1" s="1"/>
  <c r="R25" i="1"/>
  <c r="AC25" i="1" s="1"/>
  <c r="R41" i="1"/>
  <c r="AC41" i="1" s="1"/>
  <c r="R53" i="1"/>
  <c r="AC53" i="1" s="1"/>
  <c r="R69" i="1"/>
  <c r="AC69" i="1" s="1"/>
  <c r="R85" i="1"/>
  <c r="AC85" i="1" s="1"/>
  <c r="R93" i="1"/>
  <c r="AC93" i="1" s="1"/>
  <c r="R163" i="1"/>
  <c r="AC163" i="1" s="1"/>
  <c r="R117" i="1"/>
  <c r="AC117" i="1" s="1"/>
  <c r="R170" i="1"/>
  <c r="AC170" i="1" s="1"/>
  <c r="R186" i="1"/>
  <c r="AC186" i="1" s="1"/>
  <c r="R202" i="1"/>
  <c r="AC202" i="1" s="1"/>
  <c r="R218" i="1"/>
  <c r="AC218" i="1" s="1"/>
  <c r="R266" i="1"/>
  <c r="AC266" i="1" s="1"/>
  <c r="R274" i="1"/>
  <c r="AC274" i="1" s="1"/>
  <c r="R330" i="1"/>
  <c r="AC330" i="1" s="1"/>
  <c r="R338" i="1"/>
  <c r="AC338" i="1" s="1"/>
  <c r="R346" i="1"/>
  <c r="AC346" i="1" s="1"/>
  <c r="R394" i="1"/>
  <c r="AC394" i="1" s="1"/>
  <c r="R402" i="1"/>
  <c r="AC402" i="1" s="1"/>
  <c r="R410" i="1"/>
  <c r="AC410" i="1" s="1"/>
  <c r="R458" i="1"/>
  <c r="AC458" i="1" s="1"/>
  <c r="R466" i="1"/>
  <c r="AC466" i="1" s="1"/>
  <c r="R474" i="1"/>
  <c r="AC474" i="1" s="1"/>
  <c r="R538" i="1"/>
  <c r="AC538" i="1" s="1"/>
  <c r="R546" i="1"/>
  <c r="AC546" i="1" s="1"/>
  <c r="R6" i="1"/>
  <c r="AC6" i="1" s="1"/>
  <c r="R22" i="1"/>
  <c r="AC22" i="1" s="1"/>
  <c r="R38" i="1"/>
  <c r="AC38" i="1" s="1"/>
  <c r="R165" i="1"/>
  <c r="AC165" i="1" s="1"/>
  <c r="R66" i="1"/>
  <c r="AC66" i="1" s="1"/>
  <c r="R82" i="1"/>
  <c r="AC82" i="1" s="1"/>
  <c r="R114" i="1"/>
  <c r="AC114" i="1" s="1"/>
  <c r="R147" i="1"/>
  <c r="AC147" i="1" s="1"/>
  <c r="R119" i="1"/>
  <c r="AC119" i="1" s="1"/>
  <c r="R151" i="1"/>
  <c r="AC151" i="1" s="1"/>
  <c r="R199" i="1"/>
  <c r="AC199" i="1" s="1"/>
  <c r="R31" i="1"/>
  <c r="AC31" i="1" s="1"/>
  <c r="R35" i="1"/>
  <c r="AC35" i="1" s="1"/>
  <c r="R51" i="1"/>
  <c r="AC51" i="1" s="1"/>
  <c r="R59" i="1"/>
  <c r="AC59" i="1" s="1"/>
  <c r="R150" i="1"/>
  <c r="AC150" i="1" s="1"/>
  <c r="R111" i="1"/>
  <c r="AC111" i="1" s="1"/>
  <c r="R134" i="1"/>
  <c r="AC134" i="1" s="1"/>
  <c r="R16" i="1"/>
  <c r="AC16" i="1" s="1"/>
  <c r="R32" i="1"/>
  <c r="AC32" i="1" s="1"/>
  <c r="R48" i="1"/>
  <c r="AC48" i="1" s="1"/>
  <c r="R142" i="1"/>
  <c r="AC142" i="1" s="1"/>
  <c r="R132" i="1"/>
  <c r="AC132" i="1" s="1"/>
  <c r="R97" i="1"/>
  <c r="AC97" i="1" s="1"/>
  <c r="R154" i="1"/>
  <c r="AC154" i="1" s="1"/>
  <c r="R153" i="1"/>
  <c r="AC153" i="1" s="1"/>
  <c r="R177" i="1"/>
  <c r="AC177" i="1" s="1"/>
  <c r="R193" i="1"/>
  <c r="AC193" i="1" s="1"/>
  <c r="R209" i="1"/>
  <c r="AC209" i="1" s="1"/>
  <c r="R365" i="1"/>
  <c r="AC365" i="1" s="1"/>
  <c r="R21" i="1"/>
  <c r="AC21" i="1" s="1"/>
  <c r="R37" i="1"/>
  <c r="AC37" i="1" s="1"/>
  <c r="R65" i="1"/>
  <c r="AC65" i="1" s="1"/>
  <c r="R81" i="1"/>
  <c r="AC81" i="1" s="1"/>
  <c r="R143" i="1"/>
  <c r="AC143" i="1" s="1"/>
  <c r="R122" i="1"/>
  <c r="AC122" i="1" s="1"/>
  <c r="R113" i="1"/>
  <c r="AC113" i="1" s="1"/>
  <c r="R131" i="1"/>
  <c r="AC131" i="1" s="1"/>
  <c r="R121" i="1"/>
  <c r="AC121" i="1" s="1"/>
  <c r="R152" i="1"/>
  <c r="AC152" i="1" s="1"/>
  <c r="R182" i="1"/>
  <c r="AC182" i="1" s="1"/>
  <c r="R198" i="1"/>
  <c r="AC198" i="1" s="1"/>
  <c r="R461" i="1"/>
  <c r="AC461" i="1" s="1"/>
  <c r="R96" i="1"/>
  <c r="AC96" i="1" s="1"/>
  <c r="R175" i="1"/>
  <c r="AC175" i="1" s="1"/>
  <c r="R207" i="1"/>
  <c r="AC207" i="1" s="1"/>
  <c r="R239" i="1"/>
  <c r="AC239" i="1" s="1"/>
  <c r="R255" i="1"/>
  <c r="AC255" i="1" s="1"/>
  <c r="R263" i="1"/>
  <c r="AC263" i="1" s="1"/>
  <c r="R271" i="1"/>
  <c r="AC271" i="1" s="1"/>
  <c r="R279" i="1"/>
  <c r="AC279" i="1" s="1"/>
  <c r="R287" i="1"/>
  <c r="AC287" i="1" s="1"/>
  <c r="R303" i="1"/>
  <c r="AC303" i="1" s="1"/>
  <c r="R319" i="1"/>
  <c r="AC319" i="1" s="1"/>
  <c r="R327" i="1"/>
  <c r="AC327" i="1" s="1"/>
  <c r="R335" i="1"/>
  <c r="AC335" i="1" s="1"/>
  <c r="R343" i="1"/>
  <c r="AC343" i="1" s="1"/>
  <c r="R351" i="1"/>
  <c r="AC351" i="1" s="1"/>
  <c r="R367" i="1"/>
  <c r="AC367" i="1" s="1"/>
  <c r="R383" i="1"/>
  <c r="AC383" i="1" s="1"/>
  <c r="R391" i="1"/>
  <c r="AC391" i="1" s="1"/>
  <c r="R399" i="1"/>
  <c r="AC399" i="1" s="1"/>
  <c r="R407" i="1"/>
  <c r="AC407" i="1" s="1"/>
  <c r="R415" i="1"/>
  <c r="AC415" i="1" s="1"/>
  <c r="R431" i="1"/>
  <c r="AC431" i="1" s="1"/>
  <c r="R447" i="1"/>
  <c r="AC447" i="1" s="1"/>
  <c r="R455" i="1"/>
  <c r="AC455" i="1" s="1"/>
  <c r="R463" i="1"/>
  <c r="AC463" i="1" s="1"/>
  <c r="R471" i="1"/>
  <c r="AC471" i="1" s="1"/>
  <c r="R479" i="1"/>
  <c r="AC479" i="1" s="1"/>
  <c r="R495" i="1"/>
  <c r="AC495" i="1" s="1"/>
  <c r="R511" i="1"/>
  <c r="AC511" i="1" s="1"/>
  <c r="R551" i="1"/>
  <c r="AC551" i="1" s="1"/>
  <c r="R559" i="1"/>
  <c r="AC559" i="1" s="1"/>
  <c r="R567" i="1"/>
  <c r="AC567" i="1" s="1"/>
  <c r="R397" i="1"/>
  <c r="AC397" i="1" s="1"/>
  <c r="R493" i="1"/>
  <c r="AC493" i="1" s="1"/>
  <c r="R557" i="1"/>
  <c r="AC557" i="1" s="1"/>
  <c r="R43" i="1"/>
  <c r="AC43" i="1" s="1"/>
  <c r="R55" i="1"/>
  <c r="AC55" i="1" s="1"/>
  <c r="R71" i="1"/>
  <c r="AC71" i="1" s="1"/>
  <c r="R83" i="1"/>
  <c r="AC83" i="1" s="1"/>
  <c r="R129" i="1"/>
  <c r="AC129" i="1" s="1"/>
  <c r="R103" i="1"/>
  <c r="AC103" i="1" s="1"/>
  <c r="R115" i="1"/>
  <c r="AC115" i="1" s="1"/>
  <c r="R128" i="1"/>
  <c r="AC128" i="1" s="1"/>
  <c r="R158" i="1"/>
  <c r="AC158" i="1" s="1"/>
  <c r="R172" i="1"/>
  <c r="AC172" i="1" s="1"/>
  <c r="R188" i="1"/>
  <c r="AC188" i="1" s="1"/>
  <c r="R204" i="1"/>
  <c r="AC204" i="1" s="1"/>
  <c r="R220" i="1"/>
  <c r="AC220" i="1" s="1"/>
  <c r="R228" i="1"/>
  <c r="AC228" i="1" s="1"/>
  <c r="R236" i="1"/>
  <c r="AC236" i="1" s="1"/>
  <c r="R244" i="1"/>
  <c r="AC244" i="1" s="1"/>
  <c r="R252" i="1"/>
  <c r="AC252" i="1" s="1"/>
  <c r="R260" i="1"/>
  <c r="AC260" i="1" s="1"/>
  <c r="R268" i="1"/>
  <c r="AC268" i="1" s="1"/>
  <c r="R276" i="1"/>
  <c r="AC276" i="1" s="1"/>
  <c r="R292" i="1"/>
  <c r="AC292" i="1" s="1"/>
  <c r="R308" i="1"/>
  <c r="AC308" i="1" s="1"/>
  <c r="R324" i="1"/>
  <c r="AC324" i="1" s="1"/>
  <c r="R340" i="1"/>
  <c r="AC340" i="1" s="1"/>
  <c r="R429" i="1"/>
  <c r="AC429" i="1" s="1"/>
  <c r="R12" i="1"/>
  <c r="AC12" i="1" s="1"/>
  <c r="R28" i="1"/>
  <c r="AC28" i="1" s="1"/>
  <c r="R44" i="1"/>
  <c r="AC44" i="1" s="1"/>
  <c r="R56" i="1"/>
  <c r="AC56" i="1" s="1"/>
  <c r="R68" i="1"/>
  <c r="AC68" i="1" s="1"/>
  <c r="R84" i="1"/>
  <c r="AC84" i="1" s="1"/>
  <c r="R95" i="1"/>
  <c r="AC95" i="1" s="1"/>
  <c r="R116" i="1"/>
  <c r="AC116" i="1" s="1"/>
  <c r="R125" i="1"/>
  <c r="AC125" i="1" s="1"/>
  <c r="R120" i="1"/>
  <c r="AC120" i="1" s="1"/>
  <c r="R162" i="1"/>
  <c r="AC162" i="1" s="1"/>
  <c r="R185" i="1"/>
  <c r="AC185" i="1" s="1"/>
  <c r="R201" i="1"/>
  <c r="AC201" i="1" s="1"/>
  <c r="R217" i="1"/>
  <c r="AC217" i="1" s="1"/>
  <c r="R13" i="1"/>
  <c r="AC13" i="1" s="1"/>
  <c r="R29" i="1"/>
  <c r="AC29" i="1" s="1"/>
  <c r="R45" i="1"/>
  <c r="AC45" i="1" s="1"/>
  <c r="R57" i="1"/>
  <c r="AC57" i="1" s="1"/>
  <c r="R73" i="1"/>
  <c r="AC73" i="1" s="1"/>
  <c r="R89" i="1"/>
  <c r="AC89" i="1" s="1"/>
  <c r="R105" i="1"/>
  <c r="AC105" i="1" s="1"/>
  <c r="R144" i="1"/>
  <c r="AC144" i="1" s="1"/>
  <c r="R174" i="1"/>
  <c r="AC174" i="1" s="1"/>
  <c r="R222" i="1"/>
  <c r="AC222" i="1" s="1"/>
  <c r="R246" i="1"/>
  <c r="AC246" i="1" s="1"/>
  <c r="R254" i="1"/>
  <c r="AC254" i="1" s="1"/>
  <c r="R262" i="1"/>
  <c r="AC262" i="1" s="1"/>
  <c r="R270" i="1"/>
  <c r="AC270" i="1" s="1"/>
  <c r="R278" i="1"/>
  <c r="AC278" i="1" s="1"/>
  <c r="R286" i="1"/>
  <c r="AC286" i="1" s="1"/>
  <c r="R310" i="1"/>
  <c r="AC310" i="1" s="1"/>
  <c r="R318" i="1"/>
  <c r="AC318" i="1" s="1"/>
  <c r="R326" i="1"/>
  <c r="AC326" i="1" s="1"/>
  <c r="R334" i="1"/>
  <c r="AC334" i="1" s="1"/>
  <c r="R342" i="1"/>
  <c r="AC342" i="1" s="1"/>
  <c r="R350" i="1"/>
  <c r="AC350" i="1" s="1"/>
  <c r="R366" i="1"/>
  <c r="AC366" i="1" s="1"/>
  <c r="R374" i="1"/>
  <c r="AC374" i="1" s="1"/>
  <c r="R406" i="1"/>
  <c r="AC406" i="1" s="1"/>
  <c r="R414" i="1"/>
  <c r="AC414" i="1" s="1"/>
  <c r="R430" i="1"/>
  <c r="AC430" i="1" s="1"/>
  <c r="R438" i="1"/>
  <c r="AC438" i="1" s="1"/>
  <c r="R470" i="1"/>
  <c r="AC470" i="1" s="1"/>
  <c r="R478" i="1"/>
  <c r="AC478" i="1" s="1"/>
  <c r="R494" i="1"/>
  <c r="AC494" i="1" s="1"/>
  <c r="R502" i="1"/>
  <c r="AC502" i="1" s="1"/>
  <c r="R518" i="1"/>
  <c r="AC518" i="1" s="1"/>
  <c r="R534" i="1"/>
  <c r="AC534" i="1" s="1"/>
  <c r="R542" i="1"/>
  <c r="AC542" i="1" s="1"/>
  <c r="R550" i="1"/>
  <c r="AC550" i="1" s="1"/>
  <c r="R573" i="1"/>
  <c r="AC573" i="1" s="1"/>
  <c r="R10" i="1"/>
  <c r="AC10" i="1" s="1"/>
  <c r="R26" i="1"/>
  <c r="AC26" i="1" s="1"/>
  <c r="R42" i="1"/>
  <c r="AC42" i="1" s="1"/>
  <c r="R54" i="1"/>
  <c r="AC54" i="1" s="1"/>
  <c r="R70" i="1"/>
  <c r="AC70" i="1" s="1"/>
  <c r="R86" i="1"/>
  <c r="AC86" i="1" s="1"/>
  <c r="R123" i="1"/>
  <c r="AC123" i="1" s="1"/>
  <c r="R130" i="1"/>
  <c r="AC130" i="1" s="1"/>
  <c r="R100" i="1"/>
  <c r="AC100" i="1" s="1"/>
  <c r="R102" i="1"/>
  <c r="AC102" i="1" s="1"/>
  <c r="R146" i="1"/>
  <c r="AC146" i="1" s="1"/>
  <c r="R160" i="1"/>
  <c r="AC160" i="1" s="1"/>
  <c r="R183" i="1"/>
  <c r="AC183" i="1" s="1"/>
  <c r="R203" i="1"/>
  <c r="AC203" i="1" s="1"/>
  <c r="R211" i="1"/>
  <c r="AC211" i="1" s="1"/>
  <c r="R215" i="1"/>
  <c r="AC215" i="1" s="1"/>
  <c r="R227" i="1"/>
  <c r="AC227" i="1" s="1"/>
  <c r="R235" i="1"/>
  <c r="AC235" i="1" s="1"/>
  <c r="R251" i="1"/>
  <c r="AC251" i="1" s="1"/>
  <c r="R275" i="1"/>
  <c r="AC275" i="1" s="1"/>
  <c r="R283" i="1"/>
  <c r="AC283" i="1" s="1"/>
  <c r="R299" i="1"/>
  <c r="AC299" i="1" s="1"/>
  <c r="R307" i="1"/>
  <c r="AC307" i="1" s="1"/>
  <c r="R315" i="1"/>
  <c r="AC315" i="1" s="1"/>
  <c r="R347" i="1"/>
  <c r="AC347" i="1" s="1"/>
  <c r="R355" i="1"/>
  <c r="AC355" i="1" s="1"/>
  <c r="R363" i="1"/>
  <c r="AC363" i="1" s="1"/>
  <c r="R379" i="1"/>
  <c r="AC379" i="1" s="1"/>
  <c r="R387" i="1"/>
  <c r="AC387" i="1" s="1"/>
  <c r="R403" i="1"/>
  <c r="AC403" i="1" s="1"/>
  <c r="R411" i="1"/>
  <c r="AC411" i="1" s="1"/>
  <c r="R419" i="1"/>
  <c r="AC419" i="1" s="1"/>
  <c r="R427" i="1"/>
  <c r="AC427" i="1" s="1"/>
  <c r="R443" i="1"/>
  <c r="AC443" i="1" s="1"/>
  <c r="R451" i="1"/>
  <c r="AC451" i="1" s="1"/>
  <c r="R467" i="1"/>
  <c r="AC467" i="1" s="1"/>
  <c r="R475" i="1"/>
  <c r="AC475" i="1" s="1"/>
  <c r="R483" i="1"/>
  <c r="AC483" i="1" s="1"/>
  <c r="R491" i="1"/>
  <c r="AC491" i="1" s="1"/>
  <c r="R507" i="1"/>
  <c r="AC507" i="1" s="1"/>
  <c r="R523" i="1"/>
  <c r="AC523" i="1" s="1"/>
  <c r="R531" i="1"/>
  <c r="AC531" i="1" s="1"/>
  <c r="R539" i="1"/>
  <c r="AC539" i="1" s="1"/>
  <c r="R547" i="1"/>
  <c r="AC547" i="1" s="1"/>
  <c r="R525" i="1"/>
  <c r="AC525" i="1" s="1"/>
  <c r="R23" i="1"/>
  <c r="AC23" i="1" s="1"/>
  <c r="R167" i="1"/>
  <c r="AC167" i="1" s="1"/>
  <c r="R63" i="1"/>
  <c r="AC63" i="1" s="1"/>
  <c r="R67" i="1"/>
  <c r="AC67" i="1" s="1"/>
  <c r="R79" i="1"/>
  <c r="AC79" i="1" s="1"/>
  <c r="R124" i="1"/>
  <c r="AC124" i="1" s="1"/>
  <c r="R166" i="1"/>
  <c r="AC166" i="1" s="1"/>
  <c r="R140" i="1"/>
  <c r="AC140" i="1" s="1"/>
  <c r="R138" i="1"/>
  <c r="AC138" i="1" s="1"/>
  <c r="R161" i="1"/>
  <c r="AC161" i="1" s="1"/>
  <c r="R180" i="1"/>
  <c r="AC180" i="1" s="1"/>
  <c r="R212" i="1"/>
  <c r="AC212" i="1" s="1"/>
  <c r="R224" i="1"/>
  <c r="AC224" i="1" s="1"/>
  <c r="R232" i="1"/>
  <c r="AC232" i="1" s="1"/>
  <c r="R240" i="1"/>
  <c r="AC240" i="1" s="1"/>
  <c r="R248" i="1"/>
  <c r="AC248" i="1" s="1"/>
  <c r="R256" i="1"/>
  <c r="AC256" i="1" s="1"/>
  <c r="R264" i="1"/>
  <c r="AC264" i="1" s="1"/>
  <c r="R272" i="1"/>
  <c r="AC272" i="1" s="1"/>
  <c r="R64" i="1"/>
  <c r="AC64" i="1" s="1"/>
  <c r="R76" i="1"/>
  <c r="AC76" i="1" s="1"/>
  <c r="R149" i="1"/>
  <c r="AC149" i="1" s="1"/>
  <c r="R108" i="1"/>
  <c r="AC108" i="1" s="1"/>
  <c r="R133" i="1"/>
  <c r="AC133" i="1" s="1"/>
  <c r="R181" i="1"/>
  <c r="AC181" i="1" s="1"/>
  <c r="R197" i="1"/>
  <c r="AC197" i="1" s="1"/>
  <c r="R213" i="1"/>
  <c r="AC213" i="1" s="1"/>
  <c r="G382" i="4"/>
  <c r="H381" i="4"/>
  <c r="R515" i="1"/>
  <c r="AC515" i="1" s="1"/>
  <c r="R370" i="1"/>
  <c r="AC370" i="1" s="1"/>
  <c r="R104" i="1"/>
  <c r="AC104" i="1" s="1"/>
  <c r="R148" i="1"/>
  <c r="AC148" i="1" s="1"/>
  <c r="R353" i="1"/>
  <c r="AC353" i="1" s="1"/>
  <c r="R196" i="1"/>
  <c r="AC196" i="1" s="1"/>
  <c r="R356" i="1"/>
  <c r="AC356" i="1" s="1"/>
  <c r="R484" i="1"/>
  <c r="AC484" i="1" s="1"/>
  <c r="R46" i="1"/>
  <c r="AC46" i="1" s="1"/>
  <c r="R535" i="1"/>
  <c r="AC535" i="1" s="1"/>
  <c r="R155" i="1"/>
  <c r="AC155" i="1" s="1"/>
  <c r="R195" i="1"/>
  <c r="AC195" i="1" s="1"/>
  <c r="R267" i="1"/>
  <c r="AC267" i="1" s="1"/>
  <c r="R294" i="1"/>
  <c r="AC294" i="1" s="1"/>
  <c r="R106" i="1"/>
  <c r="AC106" i="1" s="1"/>
  <c r="R168" i="1"/>
  <c r="AC168" i="1" s="1"/>
  <c r="R273" i="1"/>
  <c r="AC273" i="1" s="1"/>
  <c r="R208" i="1"/>
  <c r="AC208" i="1" s="1"/>
  <c r="R328" i="1"/>
  <c r="AC328" i="1" s="1"/>
  <c r="R456" i="1"/>
  <c r="AC456" i="1" s="1"/>
  <c r="R385" i="1"/>
  <c r="AC385" i="1" s="1"/>
  <c r="R533" i="1"/>
  <c r="AC533" i="1" s="1"/>
  <c r="R33" i="1"/>
  <c r="AC33" i="1" s="1"/>
  <c r="A312" i="4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G169" i="1"/>
  <c r="H11" i="4"/>
  <c r="R4" i="1" l="1"/>
  <c r="AC4" i="1" s="1"/>
  <c r="R5" i="1"/>
  <c r="AC5" i="1" s="1"/>
  <c r="H382" i="4"/>
  <c r="G383" i="4"/>
  <c r="A348" i="4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H12" i="4"/>
  <c r="H383" i="4" l="1"/>
  <c r="G384" i="4"/>
  <c r="A360" i="4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H13" i="4"/>
  <c r="H384" i="4" l="1"/>
  <c r="G385" i="4"/>
  <c r="H14" i="4"/>
  <c r="G386" i="4" l="1"/>
  <c r="H385" i="4"/>
  <c r="H15" i="4"/>
  <c r="H386" i="4" l="1"/>
  <c r="G387" i="4"/>
  <c r="H387" i="4" s="1"/>
  <c r="H16" i="4"/>
  <c r="H17" i="4" l="1"/>
  <c r="H18" i="4" l="1"/>
  <c r="H19" i="4" l="1"/>
  <c r="H20" i="4" l="1"/>
  <c r="H21" i="4" l="1"/>
  <c r="H22" i="4" l="1"/>
  <c r="H23" i="4" l="1"/>
  <c r="H24" i="4" l="1"/>
  <c r="H25" i="4" l="1"/>
  <c r="H26" i="4" l="1"/>
  <c r="H27" i="4" l="1"/>
  <c r="H28" i="4" l="1"/>
  <c r="H29" i="4" l="1"/>
  <c r="H30" i="4" l="1"/>
  <c r="H31" i="4" l="1"/>
  <c r="H32" i="4" l="1"/>
  <c r="H33" i="4" l="1"/>
  <c r="H34" i="4" l="1"/>
  <c r="H35" i="4" l="1"/>
  <c r="H36" i="4" l="1"/>
  <c r="H37" i="4" l="1"/>
  <c r="H38" i="4" l="1"/>
  <c r="H39" i="4" l="1"/>
  <c r="H40" i="4" l="1"/>
  <c r="H41" i="4" l="1"/>
  <c r="H42" i="4" l="1"/>
  <c r="H43" i="4" l="1"/>
  <c r="H44" i="4" l="1"/>
  <c r="H45" i="4" l="1"/>
  <c r="H46" i="4" l="1"/>
  <c r="H47" i="4" l="1"/>
  <c r="H48" i="4" l="1"/>
  <c r="H49" i="4" l="1"/>
  <c r="H50" i="4" l="1"/>
  <c r="H51" i="4" l="1"/>
  <c r="H52" i="4" l="1"/>
  <c r="H53" i="4" l="1"/>
  <c r="H54" i="4" l="1"/>
  <c r="H55" i="4" l="1"/>
  <c r="H56" i="4" l="1"/>
  <c r="H57" i="4" l="1"/>
  <c r="H58" i="4" l="1"/>
  <c r="H59" i="4" l="1"/>
  <c r="H60" i="4" l="1"/>
  <c r="H61" i="4" l="1"/>
  <c r="H62" i="4" l="1"/>
  <c r="H63" i="4" l="1"/>
  <c r="H64" i="4" l="1"/>
  <c r="H65" i="4" l="1"/>
  <c r="H66" i="4" l="1"/>
  <c r="H67" i="4" l="1"/>
  <c r="H68" i="4" l="1"/>
  <c r="H69" i="4" l="1"/>
  <c r="H70" i="4" l="1"/>
  <c r="H71" i="4" l="1"/>
  <c r="H72" i="4" l="1"/>
  <c r="H73" i="4" l="1"/>
  <c r="H74" i="4" l="1"/>
  <c r="H75" i="4" l="1"/>
  <c r="H76" i="4" l="1"/>
  <c r="H77" i="4" l="1"/>
  <c r="H78" i="4" l="1"/>
  <c r="H79" i="4" l="1"/>
  <c r="H80" i="4" l="1"/>
  <c r="H81" i="4" l="1"/>
  <c r="H82" i="4" l="1"/>
  <c r="H83" i="4" l="1"/>
  <c r="H84" i="4" l="1"/>
  <c r="H85" i="4" l="1"/>
  <c r="H86" i="4" l="1"/>
  <c r="H87" i="4" l="1"/>
  <c r="H88" i="4" l="1"/>
  <c r="H89" i="4" l="1"/>
  <c r="H90" i="4" l="1"/>
  <c r="H91" i="4" l="1"/>
  <c r="H92" i="4" l="1"/>
  <c r="H93" i="4" l="1"/>
  <c r="H94" i="4" l="1"/>
  <c r="H95" i="4" l="1"/>
  <c r="H96" i="4" l="1"/>
  <c r="H97" i="4" l="1"/>
  <c r="H98" i="4" l="1"/>
  <c r="H99" i="4" l="1"/>
  <c r="H100" i="4" l="1"/>
  <c r="H101" i="4" l="1"/>
  <c r="H102" i="4" l="1"/>
  <c r="H103" i="4" l="1"/>
  <c r="H104" i="4" l="1"/>
  <c r="H105" i="4" l="1"/>
  <c r="H106" i="4" l="1"/>
  <c r="H107" i="4" l="1"/>
  <c r="H108" i="4" l="1"/>
  <c r="H109" i="4" l="1"/>
  <c r="H110" i="4" l="1"/>
  <c r="H111" i="4" l="1"/>
  <c r="H112" i="4" l="1"/>
  <c r="H113" i="4" l="1"/>
  <c r="H114" i="4" l="1"/>
  <c r="H115" i="4" l="1"/>
  <c r="H116" i="4" l="1"/>
  <c r="H117" i="4" l="1"/>
  <c r="H118" i="4" l="1"/>
  <c r="H119" i="4" l="1"/>
  <c r="H120" i="4" l="1"/>
  <c r="H121" i="4" l="1"/>
  <c r="H122" i="4" l="1"/>
  <c r="H123" i="4" l="1"/>
  <c r="H124" i="4" l="1"/>
  <c r="H125" i="4" l="1"/>
  <c r="H126" i="4" l="1"/>
  <c r="H127" i="4" l="1"/>
  <c r="H128" i="4" l="1"/>
  <c r="H129" i="4" l="1"/>
  <c r="H130" i="4" l="1"/>
  <c r="H131" i="4" l="1"/>
  <c r="H132" i="4" l="1"/>
  <c r="H133" i="4" l="1"/>
  <c r="H134" i="4" l="1"/>
  <c r="H135" i="4" l="1"/>
  <c r="H136" i="4" l="1"/>
  <c r="H137" i="4" l="1"/>
  <c r="H138" i="4" l="1"/>
  <c r="H139" i="4" l="1"/>
  <c r="H140" i="4" l="1"/>
  <c r="H141" i="4" l="1"/>
  <c r="H142" i="4" l="1"/>
  <c r="H143" i="4" l="1"/>
  <c r="H144" i="4" l="1"/>
  <c r="H145" i="4" l="1"/>
  <c r="H146" i="4" l="1"/>
  <c r="H147" i="4" l="1"/>
  <c r="H148" i="4" l="1"/>
  <c r="H149" i="4" l="1"/>
  <c r="H150" i="4" l="1"/>
  <c r="H151" i="4" l="1"/>
  <c r="H152" i="4" l="1"/>
  <c r="H153" i="4" l="1"/>
  <c r="H154" i="4" l="1"/>
  <c r="H155" i="4" l="1"/>
  <c r="H156" i="4" l="1"/>
  <c r="H157" i="4" l="1"/>
  <c r="H158" i="4" l="1"/>
  <c r="H159" i="4" l="1"/>
  <c r="H160" i="4" l="1"/>
  <c r="H161" i="4" l="1"/>
  <c r="H162" i="4" l="1"/>
  <c r="H163" i="4" l="1"/>
  <c r="H164" i="4" l="1"/>
  <c r="H165" i="4" l="1"/>
  <c r="H166" i="4" l="1"/>
  <c r="H167" i="4" l="1"/>
  <c r="H168" i="4" l="1"/>
  <c r="H169" i="4" l="1"/>
  <c r="H170" i="4" l="1"/>
  <c r="H171" i="4" l="1"/>
  <c r="H172" i="4" l="1"/>
  <c r="H173" i="4" l="1"/>
  <c r="H174" i="4" l="1"/>
  <c r="H175" i="4" l="1"/>
  <c r="H176" i="4" l="1"/>
  <c r="H177" i="4" l="1"/>
  <c r="H178" i="4"/>
  <c r="F228" i="3" s="1"/>
  <c r="F415" i="6" l="1"/>
  <c r="F110" i="3"/>
  <c r="H169" i="3"/>
  <c r="F116" i="3"/>
  <c r="H159" i="3"/>
  <c r="H35" i="3"/>
  <c r="H730" i="3"/>
  <c r="H5" i="3"/>
  <c r="H850" i="3"/>
  <c r="H482" i="3"/>
  <c r="H599" i="3"/>
  <c r="H174" i="3"/>
  <c r="H674" i="3"/>
  <c r="H264" i="3"/>
  <c r="H565" i="3"/>
  <c r="H533" i="3"/>
  <c r="H115" i="3"/>
  <c r="H374" i="3"/>
  <c r="H105" i="3"/>
  <c r="H201" i="3"/>
  <c r="H760" i="3"/>
  <c r="H336" i="3"/>
  <c r="H235" i="3"/>
  <c r="H686" i="3"/>
  <c r="H536" i="3"/>
  <c r="H365" i="3"/>
  <c r="H162" i="3"/>
  <c r="H602" i="3"/>
  <c r="H724" i="3"/>
  <c r="H544" i="3"/>
  <c r="H846" i="3"/>
  <c r="H654" i="3"/>
  <c r="H118" i="3"/>
  <c r="H40" i="3"/>
  <c r="H366" i="3"/>
  <c r="H814" i="3"/>
  <c r="H273" i="3"/>
  <c r="H228" i="3"/>
  <c r="H497" i="3"/>
  <c r="H759" i="3"/>
  <c r="H623" i="3"/>
  <c r="H48" i="3"/>
  <c r="H310" i="3"/>
  <c r="H589" i="3"/>
  <c r="H122" i="3"/>
  <c r="H353" i="3"/>
  <c r="H590" i="3"/>
  <c r="H294" i="3"/>
  <c r="H750" i="3"/>
  <c r="H504" i="3"/>
  <c r="H191" i="3"/>
  <c r="H304" i="3"/>
  <c r="H756" i="3"/>
  <c r="H23" i="3"/>
  <c r="H534" i="3"/>
  <c r="H489" i="3"/>
  <c r="H376" i="3"/>
  <c r="H709" i="3"/>
  <c r="H200" i="3"/>
  <c r="H179" i="3"/>
  <c r="H77" i="3"/>
  <c r="H333" i="3"/>
  <c r="H319" i="3"/>
  <c r="H801" i="3"/>
  <c r="H358" i="3"/>
  <c r="H361" i="3"/>
  <c r="H742" i="3"/>
  <c r="H500" i="3"/>
  <c r="H326" i="3"/>
  <c r="H466" i="3"/>
  <c r="H16" i="3"/>
  <c r="H537" i="3"/>
  <c r="H22" i="3"/>
  <c r="H837" i="3"/>
  <c r="H665" i="3"/>
  <c r="H181" i="3"/>
  <c r="H714" i="3"/>
  <c r="H369" i="3"/>
  <c r="H405" i="3"/>
  <c r="H637" i="3"/>
  <c r="H111" i="3"/>
  <c r="H820" i="3"/>
  <c r="H137" i="3"/>
  <c r="H389" i="3"/>
  <c r="H81" i="3"/>
  <c r="H728" i="3"/>
  <c r="H171" i="3"/>
  <c r="H564" i="3"/>
  <c r="H36" i="3"/>
  <c r="H275" i="3"/>
  <c r="H763" i="3"/>
  <c r="H456" i="3"/>
  <c r="H342" i="3"/>
  <c r="H643" i="3"/>
  <c r="H378" i="3"/>
  <c r="H650" i="3"/>
  <c r="H54" i="3"/>
  <c r="H289" i="3"/>
  <c r="H441" i="3"/>
  <c r="H220" i="3"/>
  <c r="H766" i="3"/>
  <c r="H85" i="3"/>
  <c r="H375" i="3"/>
  <c r="H19" i="3"/>
  <c r="H413" i="3"/>
  <c r="H93" i="3"/>
  <c r="H351" i="3"/>
  <c r="H296" i="3"/>
  <c r="H707" i="3"/>
  <c r="H770" i="3"/>
  <c r="H461" i="3"/>
  <c r="H792" i="3"/>
  <c r="H487" i="3"/>
  <c r="H813" i="3"/>
  <c r="H684" i="3"/>
  <c r="H484" i="3"/>
  <c r="H708" i="3"/>
  <c r="H420" i="3"/>
  <c r="H247" i="3"/>
  <c r="H463" i="3"/>
  <c r="H748" i="3"/>
  <c r="H873" i="3"/>
  <c r="H364" i="3"/>
  <c r="H751" i="3"/>
  <c r="H777" i="3"/>
  <c r="H168" i="3"/>
  <c r="H800" i="3"/>
  <c r="H103" i="3"/>
  <c r="H299" i="3"/>
  <c r="H107" i="3"/>
  <c r="H741" i="3"/>
  <c r="F4" i="3"/>
  <c r="H43" i="3"/>
  <c r="H63" i="3"/>
  <c r="H252" i="3"/>
  <c r="H409" i="3"/>
  <c r="H323" i="3"/>
  <c r="H761" i="3"/>
  <c r="H312" i="3"/>
  <c r="H147" i="3"/>
  <c r="H506" i="3"/>
  <c r="H658" i="3"/>
  <c r="H39" i="3"/>
  <c r="H10" i="3"/>
  <c r="H696" i="3"/>
  <c r="H84" i="3"/>
  <c r="H783" i="3"/>
  <c r="H822" i="3"/>
  <c r="H50" i="3"/>
  <c r="H835" i="3"/>
  <c r="H471" i="3"/>
  <c r="H570" i="3"/>
  <c r="H240" i="3"/>
  <c r="H199" i="3"/>
  <c r="H857" i="3"/>
  <c r="H182" i="3"/>
  <c r="H189" i="3"/>
  <c r="H129" i="3"/>
  <c r="H872" i="3"/>
  <c r="H21" i="3"/>
  <c r="H454" i="3"/>
  <c r="H316" i="3"/>
  <c r="H325" i="3"/>
  <c r="H207" i="3"/>
  <c r="H259" i="3"/>
  <c r="H165" i="3"/>
  <c r="H522" i="3"/>
  <c r="H424" i="3"/>
  <c r="H131" i="3"/>
  <c r="H166" i="3"/>
  <c r="H101" i="3"/>
  <c r="H132" i="3"/>
  <c r="H691" i="3"/>
  <c r="H198" i="3"/>
  <c r="H503" i="3"/>
  <c r="H593" i="3"/>
  <c r="H695" i="3"/>
  <c r="H363" i="3"/>
  <c r="H451" i="3"/>
  <c r="H340" i="3"/>
  <c r="H485" i="3"/>
  <c r="H155" i="3"/>
  <c r="H421" i="3"/>
  <c r="H297" i="3"/>
  <c r="H575" i="3"/>
  <c r="H438" i="3"/>
  <c r="H89" i="3"/>
  <c r="F3" i="3"/>
  <c r="H562" i="3"/>
  <c r="H307" i="3"/>
  <c r="H720" i="3"/>
  <c r="H385" i="3"/>
  <c r="H206" i="3"/>
  <c r="H651" i="3"/>
  <c r="H274" i="3"/>
  <c r="H655" i="3"/>
  <c r="H55" i="3"/>
  <c r="H627" i="3"/>
  <c r="H124" i="3"/>
  <c r="H26" i="3"/>
  <c r="H619" i="3"/>
  <c r="H290" i="3"/>
  <c r="H810" i="3"/>
  <c r="H754" i="3"/>
  <c r="H600" i="3"/>
  <c r="H831" i="3"/>
  <c r="H683" i="3"/>
  <c r="H163" i="3"/>
  <c r="H164" i="3"/>
  <c r="H798" i="3"/>
  <c r="H331" i="3"/>
  <c r="H636" i="3"/>
  <c r="H287" i="3"/>
  <c r="H505" i="3"/>
  <c r="H578" i="3"/>
  <c r="H271" i="3"/>
  <c r="H555" i="3"/>
  <c r="H874" i="3"/>
  <c r="H49" i="3"/>
  <c r="H86" i="3"/>
  <c r="H587" i="3"/>
  <c r="H523" i="3"/>
  <c r="H473" i="3"/>
  <c r="H154" i="3"/>
  <c r="H32" i="3"/>
  <c r="H860" i="3"/>
  <c r="H3" i="3"/>
  <c r="H253" i="3"/>
  <c r="H367" i="3"/>
  <c r="H662" i="3"/>
  <c r="H639" i="3"/>
  <c r="H407" i="3"/>
  <c r="H33" i="3"/>
  <c r="H150" i="3"/>
  <c r="H858" i="3"/>
  <c r="H530" i="3"/>
  <c r="H221" i="3"/>
  <c r="H329" i="3"/>
  <c r="H851" i="3"/>
  <c r="H286" i="3"/>
  <c r="H478" i="3"/>
  <c r="H701" i="3"/>
  <c r="H214" i="3"/>
  <c r="H803" i="3"/>
  <c r="H779" i="3"/>
  <c r="H327" i="3"/>
  <c r="H445" i="3"/>
  <c r="H869" i="3"/>
  <c r="H515" i="3"/>
  <c r="H749" i="3"/>
  <c r="H513" i="3"/>
  <c r="H61" i="3"/>
  <c r="H786" i="3"/>
  <c r="H146" i="3"/>
  <c r="H789" i="3"/>
  <c r="H595" i="3"/>
  <c r="H136" i="3"/>
  <c r="H254" i="3"/>
  <c r="H362" i="3"/>
  <c r="H404" i="3"/>
  <c r="H721" i="3"/>
  <c r="H152" i="3"/>
  <c r="H867" i="3"/>
  <c r="H585" i="3"/>
  <c r="H28" i="3"/>
  <c r="H388" i="3"/>
  <c r="H67" i="3"/>
  <c r="H62" i="3"/>
  <c r="H158" i="3"/>
  <c r="H119" i="3"/>
  <c r="H204" i="3"/>
  <c r="H781" i="3"/>
  <c r="H444" i="3"/>
  <c r="H669" i="3"/>
  <c r="H551" i="3"/>
  <c r="H685" i="3"/>
  <c r="H776" i="3"/>
  <c r="H285" i="3"/>
  <c r="H573" i="3"/>
  <c r="H42" i="3"/>
  <c r="H664" i="3"/>
  <c r="H160" i="3"/>
  <c r="H75" i="3"/>
  <c r="H24" i="3"/>
  <c r="H667" i="3"/>
  <c r="H660" i="3"/>
  <c r="H480" i="3"/>
  <c r="H37" i="3"/>
  <c r="H596" i="3"/>
  <c r="H370" i="3"/>
  <c r="H502" i="3"/>
  <c r="H126" i="3"/>
  <c r="H195" i="3"/>
  <c r="H368" i="3"/>
  <c r="H309" i="3"/>
  <c r="H186" i="3"/>
  <c r="H295" i="3"/>
  <c r="H47" i="3"/>
  <c r="H357" i="3"/>
  <c r="H653" i="3"/>
  <c r="H673" i="3"/>
  <c r="H127" i="3"/>
  <c r="H192" i="3"/>
  <c r="H848" i="3"/>
  <c r="H460" i="3"/>
  <c r="H18" i="3"/>
  <c r="H74" i="3"/>
  <c r="H681" i="3"/>
  <c r="H723" i="3"/>
  <c r="H419" i="3"/>
  <c r="H796" i="3"/>
  <c r="H620" i="3"/>
  <c r="H807" i="3"/>
  <c r="H354" i="3"/>
  <c r="H550" i="3"/>
  <c r="H561" i="3"/>
  <c r="H80" i="3"/>
  <c r="H519" i="3"/>
  <c r="H676" i="3"/>
  <c r="H866" i="3"/>
  <c r="H731" i="3"/>
  <c r="H95" i="3"/>
  <c r="H371" i="3"/>
  <c r="H490" i="3"/>
  <c r="H566" i="3"/>
  <c r="H218" i="3"/>
  <c r="H279" i="3"/>
  <c r="H222" i="3"/>
  <c r="H172" i="3"/>
  <c r="H739" i="3"/>
  <c r="H211" i="3"/>
  <c r="H787" i="3"/>
  <c r="H344" i="3"/>
  <c r="H17" i="3"/>
  <c r="H416" i="3"/>
  <c r="H527" i="3"/>
  <c r="H705" i="3"/>
  <c r="H518" i="3"/>
  <c r="H14" i="3"/>
  <c r="H661" i="3"/>
  <c r="H133" i="3"/>
  <c r="H65" i="3"/>
  <c r="H790" i="3"/>
  <c r="H223" i="3"/>
  <c r="H398" i="3"/>
  <c r="H291" i="3"/>
  <c r="H431" i="3"/>
  <c r="H549" i="3"/>
  <c r="H268" i="3"/>
  <c r="H452" i="3"/>
  <c r="H581" i="3"/>
  <c r="H403" i="3"/>
  <c r="H443" i="3"/>
  <c r="H7" i="3"/>
  <c r="H548" i="3"/>
  <c r="H671" i="3"/>
  <c r="H34" i="3"/>
  <c r="H864" i="3"/>
  <c r="H87" i="3"/>
  <c r="H167" i="3"/>
  <c r="H68" i="3"/>
  <c r="H486" i="3"/>
  <c r="H496" i="3"/>
  <c r="H187" i="3"/>
  <c r="H647" i="3"/>
  <c r="H592" i="3"/>
  <c r="H618" i="3"/>
  <c r="H25" i="3"/>
  <c r="H744" i="3"/>
  <c r="H468" i="3"/>
  <c r="H157" i="3"/>
  <c r="H826" i="3"/>
  <c r="H244" i="3"/>
  <c r="H112" i="3"/>
  <c r="H616" i="3"/>
  <c r="H706" i="3"/>
  <c r="H746" i="3"/>
  <c r="H143" i="3"/>
  <c r="H30" i="3"/>
  <c r="H447" i="3"/>
  <c r="H521" i="3"/>
  <c r="H210" i="3"/>
  <c r="H633" i="3"/>
  <c r="H645" i="3"/>
  <c r="H117" i="3"/>
  <c r="H142" i="3"/>
  <c r="H379" i="3"/>
  <c r="H102" i="3"/>
  <c r="H230" i="3"/>
  <c r="H472" i="3"/>
  <c r="H249" i="3"/>
  <c r="H675" i="3"/>
  <c r="H90" i="3"/>
  <c r="H457" i="3"/>
  <c r="H699" i="3"/>
  <c r="H569" i="3"/>
  <c r="H718" i="3"/>
  <c r="H467" i="3"/>
  <c r="H762" i="3"/>
  <c r="H88" i="3"/>
  <c r="H432" i="3"/>
  <c r="H356" i="3"/>
  <c r="H659" i="3"/>
  <c r="H613" i="3"/>
  <c r="H586" i="3"/>
  <c r="H612" i="3"/>
  <c r="H732" i="3"/>
  <c r="H784" i="3"/>
  <c r="H263" i="3"/>
  <c r="H727" i="3"/>
  <c r="H802" i="3"/>
  <c r="H332" i="3"/>
  <c r="H439" i="3"/>
  <c r="H833" i="3"/>
  <c r="H688" i="3"/>
  <c r="H349" i="3"/>
  <c r="H395" i="3"/>
  <c r="H330" i="3"/>
  <c r="H862" i="3"/>
  <c r="H778" i="3"/>
  <c r="H113" i="3"/>
  <c r="H764" i="3"/>
  <c r="H477" i="3"/>
  <c r="H535" i="3"/>
  <c r="H666" i="3"/>
  <c r="H446" i="3"/>
  <c r="H769" i="3"/>
  <c r="H806" i="3"/>
  <c r="H250" i="3"/>
  <c r="H343" i="3"/>
  <c r="H151" i="3"/>
  <c r="H139" i="3"/>
  <c r="H753" i="3"/>
  <c r="H614" i="3"/>
  <c r="H509" i="3"/>
  <c r="H716" i="3"/>
  <c r="H69" i="3"/>
  <c r="H203" i="3"/>
  <c r="H733" i="3"/>
  <c r="H11" i="3"/>
  <c r="H735" i="3"/>
  <c r="H298" i="3"/>
  <c r="H98" i="3"/>
  <c r="H314" i="3"/>
  <c r="H678" i="3"/>
  <c r="H745" i="3"/>
  <c r="H449" i="3"/>
  <c r="H631" i="3"/>
  <c r="H183" i="3"/>
  <c r="H205" i="3"/>
  <c r="H217" i="3"/>
  <c r="H808" i="3"/>
  <c r="H594" i="3"/>
  <c r="H697" i="3"/>
  <c r="H609" i="3"/>
  <c r="H722" i="3"/>
  <c r="H797" i="3"/>
  <c r="H470" i="3"/>
  <c r="H481" i="3"/>
  <c r="H713" i="3"/>
  <c r="H517" i="3"/>
  <c r="H237" i="3"/>
  <c r="H646" i="3"/>
  <c r="H321" i="3"/>
  <c r="H829" i="3"/>
  <c r="H380" i="3"/>
  <c r="H611" i="3"/>
  <c r="H571" i="3"/>
  <c r="H241" i="3"/>
  <c r="H72" i="3"/>
  <c r="H175" i="3"/>
  <c r="H606" i="3"/>
  <c r="H148" i="3"/>
  <c r="H567" i="3"/>
  <c r="H608" i="3"/>
  <c r="H45" i="3"/>
  <c r="H757" i="3"/>
  <c r="H577" i="3"/>
  <c r="H856" i="3"/>
  <c r="H434" i="3"/>
  <c r="H511" i="3"/>
  <c r="H865" i="3"/>
  <c r="H734" i="3"/>
  <c r="H494" i="3"/>
  <c r="H859" i="3"/>
  <c r="H402" i="3"/>
  <c r="H64" i="3"/>
  <c r="H97" i="3"/>
  <c r="H774" i="3"/>
  <c r="H173" i="3"/>
  <c r="H626" i="3"/>
  <c r="H474" i="3"/>
  <c r="H227" i="3"/>
  <c r="H703" i="3"/>
  <c r="H634" i="3"/>
  <c r="H415" i="3"/>
  <c r="H41" i="3"/>
  <c r="H71" i="3"/>
  <c r="H437" i="3"/>
  <c r="H465" i="3"/>
  <c r="H346" i="3"/>
  <c r="H845" i="3"/>
  <c r="H493" i="3"/>
  <c r="H854" i="3"/>
  <c r="H52" i="3"/>
  <c r="H440" i="3"/>
  <c r="H12" i="3"/>
  <c r="H560" i="3"/>
  <c r="H427" i="3"/>
  <c r="H752" i="3"/>
  <c r="H780" i="3"/>
  <c r="H144" i="3"/>
  <c r="H455" i="3"/>
  <c r="H311" i="3"/>
  <c r="H239" i="3"/>
  <c r="H702" i="3"/>
  <c r="H767" i="3"/>
  <c r="H373" i="3"/>
  <c r="H729" i="3"/>
  <c r="H251" i="3"/>
  <c r="H775" i="3"/>
  <c r="H138" i="3"/>
  <c r="H13" i="3"/>
  <c r="H128" i="3"/>
  <c r="H559" i="3"/>
  <c r="H755" i="3"/>
  <c r="H453" i="3"/>
  <c r="H464" i="3"/>
  <c r="H317" i="3"/>
  <c r="H743" i="3"/>
  <c r="H852" i="3"/>
  <c r="H670" i="3"/>
  <c r="H847" i="3"/>
  <c r="H510" i="3"/>
  <c r="H411" i="3"/>
  <c r="H348" i="3"/>
  <c r="H868" i="3"/>
  <c r="H772" i="3"/>
  <c r="H9" i="3"/>
  <c r="H785" i="3"/>
  <c r="H408" i="3"/>
  <c r="H512" i="3"/>
  <c r="H625" i="3"/>
  <c r="H588" i="3"/>
  <c r="H92" i="3"/>
  <c r="H397" i="3"/>
  <c r="H229" i="3"/>
  <c r="H771" i="3"/>
  <c r="H528" i="3"/>
  <c r="H288" i="3"/>
  <c r="H435" i="3"/>
  <c r="H782" i="3"/>
  <c r="H255" i="3"/>
  <c r="H391" i="3"/>
  <c r="H839" i="3"/>
  <c r="H488" i="3"/>
  <c r="H341" i="3"/>
  <c r="H649" i="3"/>
  <c r="H507" i="3"/>
  <c r="H324" i="3"/>
  <c r="H795" i="3"/>
  <c r="H726" i="3"/>
  <c r="H737" i="3"/>
  <c r="H213" i="3"/>
  <c r="H842" i="3"/>
  <c r="H225" i="3"/>
  <c r="H266" i="3"/>
  <c r="H853" i="3"/>
  <c r="H541" i="3"/>
  <c r="H648" i="3"/>
  <c r="H433" i="3"/>
  <c r="H838" i="3"/>
  <c r="H840" i="3"/>
  <c r="H698" i="3"/>
  <c r="H641" i="3"/>
  <c r="H46" i="3"/>
  <c r="H430" i="3"/>
  <c r="H824" i="3"/>
  <c r="H360" i="3"/>
  <c r="H282" i="3"/>
  <c r="H232" i="3"/>
  <c r="H607" i="3"/>
  <c r="H318" i="3"/>
  <c r="H216" i="3"/>
  <c r="H638" i="3"/>
  <c r="H20" i="3"/>
  <c r="H605" i="3"/>
  <c r="H501" i="3"/>
  <c r="H338" i="3"/>
  <c r="H6" i="3"/>
  <c r="H765" i="3"/>
  <c r="H817" i="3"/>
  <c r="H557" i="3"/>
  <c r="H400" i="3"/>
  <c r="H458" i="3"/>
  <c r="H539" i="3"/>
  <c r="H556" i="3"/>
  <c r="H591" i="3"/>
  <c r="H679" i="3"/>
  <c r="H870" i="3"/>
  <c r="H51" i="3"/>
  <c r="H812" i="3"/>
  <c r="H188" i="3"/>
  <c r="H38" i="3"/>
  <c r="H4" i="3"/>
  <c r="H855" i="3"/>
  <c r="H483" i="3"/>
  <c r="H233" i="3"/>
  <c r="H396" i="3"/>
  <c r="H180" i="3"/>
  <c r="H209" i="3"/>
  <c r="H384" i="3"/>
  <c r="H563" i="3"/>
  <c r="H83" i="3"/>
  <c r="H663" i="3"/>
  <c r="H832" i="3"/>
  <c r="H301" i="3"/>
  <c r="H805" i="3"/>
  <c r="H185" i="3"/>
  <c r="H849" i="3"/>
  <c r="H281" i="3"/>
  <c r="H161" i="3"/>
  <c r="H145" i="3"/>
  <c r="H196" i="3"/>
  <c r="H392" i="3"/>
  <c r="H406" i="3"/>
  <c r="H383" i="3"/>
  <c r="H177" i="3"/>
  <c r="H56" i="3"/>
  <c r="H104" i="3"/>
  <c r="H8" i="3"/>
  <c r="H176" i="3"/>
  <c r="H834" i="3"/>
  <c r="H184" i="3"/>
  <c r="H44" i="3"/>
  <c r="H554" i="3"/>
  <c r="H635" i="3"/>
  <c r="H243" i="3"/>
  <c r="H58" i="3"/>
  <c r="H386" i="3"/>
  <c r="H320" i="3"/>
  <c r="H215" i="3"/>
  <c r="H121" i="3"/>
  <c r="H836" i="3"/>
  <c r="H525" i="3"/>
  <c r="H580" i="3"/>
  <c r="H819" i="3"/>
  <c r="H656" i="3"/>
  <c r="H224" i="3"/>
  <c r="H91" i="3"/>
  <c r="H799" i="3"/>
  <c r="H628" i="3"/>
  <c r="H827" i="3"/>
  <c r="H514" i="3"/>
  <c r="H234" i="3"/>
  <c r="H558" i="3"/>
  <c r="H306" i="3"/>
  <c r="H804" i="3"/>
  <c r="H546" i="3"/>
  <c r="H615" i="3"/>
  <c r="H425" i="3"/>
  <c r="H689" i="3"/>
  <c r="H393" i="3"/>
  <c r="H429" i="3"/>
  <c r="H738" i="3"/>
  <c r="H491" i="3"/>
  <c r="H610" i="3"/>
  <c r="H830" i="3"/>
  <c r="H568" i="3"/>
  <c r="H231" i="3"/>
  <c r="H390" i="3"/>
  <c r="H339" i="3"/>
  <c r="H428" i="3"/>
  <c r="H149" i="3"/>
  <c r="H538" i="3"/>
  <c r="H469" i="3"/>
  <c r="H15" i="3"/>
  <c r="H283" i="3"/>
  <c r="H100" i="3"/>
  <c r="H267" i="3"/>
  <c r="H583" i="3"/>
  <c r="H680" i="3"/>
  <c r="H516" i="3"/>
  <c r="H604" i="3"/>
  <c r="H73" i="3"/>
  <c r="H110" i="3"/>
  <c r="H76" i="3"/>
  <c r="H710" i="3"/>
  <c r="H335" i="3"/>
  <c r="H598" i="3"/>
  <c r="H202" i="3"/>
  <c r="H543" i="3"/>
  <c r="H272" i="3"/>
  <c r="H106" i="3"/>
  <c r="H448" i="3"/>
  <c r="H387" i="3"/>
  <c r="H818" i="3"/>
  <c r="H436" i="3"/>
  <c r="H495" i="3"/>
  <c r="H134" i="3"/>
  <c r="H418" i="3"/>
  <c r="H193" i="3"/>
  <c r="H422" i="3"/>
  <c r="H768" i="3"/>
  <c r="H59" i="3"/>
  <c r="H603" i="3"/>
  <c r="H377" i="3"/>
  <c r="H547" i="3"/>
  <c r="H238" i="3"/>
  <c r="H815" i="3"/>
  <c r="H524" i="3"/>
  <c r="H841" i="3"/>
  <c r="H410" i="3"/>
  <c r="H642" i="3"/>
  <c r="H692" i="3"/>
  <c r="H821" i="3"/>
  <c r="H545" i="3"/>
  <c r="H265" i="3"/>
  <c r="H704" i="3"/>
  <c r="H322" i="3"/>
  <c r="H624" i="3"/>
  <c r="H109" i="3"/>
  <c r="H417" i="3"/>
  <c r="H219" i="3"/>
  <c r="H315" i="3"/>
  <c r="H529" i="3"/>
  <c r="H94" i="3"/>
  <c r="H414" i="3"/>
  <c r="H572" i="3"/>
  <c r="H53" i="3"/>
  <c r="H582" i="3"/>
  <c r="H459" i="3"/>
  <c r="H700" i="3"/>
  <c r="H540" i="3"/>
  <c r="H31" i="3"/>
  <c r="H630" i="3"/>
  <c r="H644" i="3"/>
  <c r="H475" i="3"/>
  <c r="H394" i="3"/>
  <c r="H712" i="3"/>
  <c r="H793" i="3"/>
  <c r="H141" i="3"/>
  <c r="H170" i="3"/>
  <c r="H82" i="3"/>
  <c r="H629" i="3"/>
  <c r="H574" i="3"/>
  <c r="H617" i="3"/>
  <c r="H156" i="3"/>
  <c r="H293" i="3"/>
  <c r="H828" i="3"/>
  <c r="H621" i="3"/>
  <c r="H520" i="3"/>
  <c r="H300" i="3"/>
  <c r="H597" i="3"/>
  <c r="H140" i="3"/>
  <c r="H256" i="3"/>
  <c r="H334" i="3"/>
  <c r="H736" i="3"/>
  <c r="H672" i="3"/>
  <c r="H861" i="3"/>
  <c r="H96" i="3"/>
  <c r="H811" i="3"/>
  <c r="H248" i="3"/>
  <c r="H236" i="3"/>
  <c r="H553" i="3"/>
  <c r="H135" i="3"/>
  <c r="H153" i="3"/>
  <c r="H508" i="3"/>
  <c r="H284" i="3"/>
  <c r="H740" i="3"/>
  <c r="H66" i="3"/>
  <c r="H401" i="3"/>
  <c r="H313" i="3"/>
  <c r="H687" i="3"/>
  <c r="H258" i="3"/>
  <c r="H308" i="3"/>
  <c r="H479" i="3"/>
  <c r="H682" i="3"/>
  <c r="H79" i="3"/>
  <c r="H337" i="3"/>
  <c r="H276" i="3"/>
  <c r="H60" i="3"/>
  <c r="H78" i="3"/>
  <c r="H719" i="3"/>
  <c r="H579" i="3"/>
  <c r="H442" i="3"/>
  <c r="H747" i="3"/>
  <c r="H462" i="3"/>
  <c r="H359" i="3"/>
  <c r="H277" i="3"/>
  <c r="H399" i="3"/>
  <c r="H123" i="3"/>
  <c r="H823" i="3"/>
  <c r="H871" i="3"/>
  <c r="H120" i="3"/>
  <c r="H302" i="3"/>
  <c r="H657" i="3"/>
  <c r="H382" i="3"/>
  <c r="H690" i="3"/>
  <c r="H843" i="3"/>
  <c r="H372" i="3"/>
  <c r="H292" i="3"/>
  <c r="H693" i="3"/>
  <c r="H576" i="3"/>
  <c r="H711" i="3"/>
  <c r="H758" i="3"/>
  <c r="H355" i="3"/>
  <c r="H492" i="3"/>
  <c r="H412" i="3"/>
  <c r="H197" i="3"/>
  <c r="H677" i="3"/>
  <c r="H347" i="3"/>
  <c r="H70" i="3"/>
  <c r="H476" i="3"/>
  <c r="H809" i="3"/>
  <c r="H694" i="3"/>
  <c r="H190" i="3"/>
  <c r="H531" i="3"/>
  <c r="H269" i="3"/>
  <c r="H450" i="3"/>
  <c r="H108" i="3"/>
  <c r="H130" i="3"/>
  <c r="H261" i="3"/>
  <c r="H499" i="3"/>
  <c r="H601" i="3"/>
  <c r="H532" i="3"/>
  <c r="H381" i="3"/>
  <c r="H816" i="3"/>
  <c r="H622" i="3"/>
  <c r="H526" i="3"/>
  <c r="H305" i="3"/>
  <c r="H668" i="3"/>
  <c r="H116" i="3"/>
  <c r="H226" i="3"/>
  <c r="H114" i="3"/>
  <c r="H270" i="3"/>
  <c r="H242" i="3"/>
  <c r="H260" i="3"/>
  <c r="H725" i="3"/>
  <c r="H99" i="3"/>
  <c r="H652" i="3"/>
  <c r="H863" i="3"/>
  <c r="H29" i="3"/>
  <c r="H542" i="3"/>
  <c r="H584" i="3"/>
  <c r="H262" i="3"/>
  <c r="H773" i="3"/>
  <c r="H825" i="3"/>
  <c r="H257" i="3"/>
  <c r="H245" i="3"/>
  <c r="H246" i="3"/>
  <c r="H632" i="3"/>
  <c r="H498" i="3"/>
  <c r="H278" i="3"/>
  <c r="H350" i="3"/>
  <c r="H57" i="3"/>
  <c r="H345" i="3"/>
  <c r="H844" i="3"/>
  <c r="H426" i="3"/>
  <c r="H125" i="3"/>
  <c r="H194" i="3"/>
  <c r="H178" i="3"/>
  <c r="H717" i="3"/>
  <c r="H328" i="3"/>
  <c r="H352" i="3"/>
  <c r="H423" i="3"/>
  <c r="H552" i="3"/>
  <c r="H715" i="3"/>
  <c r="H791" i="3"/>
  <c r="H27" i="3"/>
  <c r="H303" i="3"/>
  <c r="H794" i="3"/>
  <c r="H640" i="3"/>
  <c r="H280" i="3"/>
  <c r="H208" i="3"/>
  <c r="H788" i="3"/>
  <c r="H212" i="3"/>
  <c r="G226" i="3"/>
  <c r="G202" i="3"/>
  <c r="F300" i="3"/>
  <c r="G151" i="3"/>
  <c r="G796" i="3"/>
  <c r="F494" i="3"/>
  <c r="G43" i="3"/>
  <c r="G104" i="3"/>
  <c r="G123" i="1" s="1"/>
  <c r="G733" i="3"/>
  <c r="F629" i="3"/>
  <c r="F281" i="3"/>
  <c r="F548" i="3"/>
  <c r="F646" i="3"/>
  <c r="G231" i="3"/>
  <c r="G142" i="3"/>
  <c r="F381" i="3"/>
  <c r="G723" i="3"/>
  <c r="G115" i="3"/>
  <c r="F282" i="3"/>
  <c r="G206" i="3"/>
  <c r="G549" i="3"/>
  <c r="G264" i="3"/>
  <c r="G566" i="3"/>
  <c r="G225" i="3"/>
  <c r="F231" i="3"/>
  <c r="F18" i="3"/>
  <c r="F400" i="3"/>
  <c r="G415" i="3"/>
  <c r="G690" i="3"/>
  <c r="G527" i="3"/>
  <c r="G10" i="3"/>
  <c r="G756" i="3"/>
  <c r="G751" i="3"/>
  <c r="F31" i="3"/>
  <c r="G378" i="3"/>
  <c r="G493" i="3"/>
  <c r="G382" i="3"/>
  <c r="F736" i="3"/>
  <c r="F435" i="3"/>
  <c r="G55" i="3"/>
  <c r="G705" i="3"/>
  <c r="G192" i="3"/>
  <c r="F309" i="3"/>
  <c r="G606" i="3"/>
  <c r="G358" i="3"/>
  <c r="F452" i="3"/>
  <c r="G156" i="3"/>
  <c r="G28" i="3"/>
  <c r="F97" i="3"/>
  <c r="F730" i="3"/>
  <c r="G786" i="3"/>
  <c r="F589" i="3"/>
  <c r="G325" i="3"/>
  <c r="F262" i="3"/>
  <c r="F295" i="3"/>
  <c r="G504" i="3"/>
  <c r="G859" i="3"/>
  <c r="G791" i="3"/>
  <c r="F684" i="3"/>
  <c r="F723" i="3"/>
  <c r="F188" i="3"/>
  <c r="G592" i="3"/>
  <c r="F177" i="3"/>
  <c r="G618" i="3"/>
  <c r="G682" i="3"/>
  <c r="G80" i="3"/>
  <c r="F361" i="3"/>
  <c r="G825" i="3"/>
  <c r="G50" i="3"/>
  <c r="G394" i="3"/>
  <c r="F49" i="3"/>
  <c r="G218" i="3"/>
  <c r="G402" i="3"/>
  <c r="G20" i="3"/>
  <c r="G787" i="3"/>
  <c r="G702" i="3"/>
  <c r="G127" i="3"/>
  <c r="G669" i="3"/>
  <c r="F296" i="3"/>
  <c r="G619" i="3"/>
  <c r="G276" i="3"/>
  <c r="F211" i="3"/>
  <c r="G283" i="3"/>
  <c r="F585" i="3"/>
  <c r="G89" i="3"/>
  <c r="G282" i="3"/>
  <c r="F715" i="3"/>
  <c r="G597" i="3"/>
  <c r="G92" i="3"/>
  <c r="G711" i="3"/>
  <c r="G176" i="3"/>
  <c r="G442" i="3"/>
  <c r="G64" i="3"/>
  <c r="G23" i="7" s="1"/>
  <c r="G761" i="3"/>
  <c r="G400" i="3"/>
  <c r="F52" i="3"/>
  <c r="G792" i="3"/>
  <c r="F398" i="3"/>
  <c r="F99" i="3"/>
  <c r="G632" i="3"/>
  <c r="G433" i="3"/>
  <c r="G635" i="3"/>
  <c r="F612" i="3"/>
  <c r="G383" i="3"/>
  <c r="G747" i="3"/>
  <c r="G328" i="3"/>
  <c r="F209" i="3"/>
  <c r="G169" i="3"/>
  <c r="G274" i="3"/>
  <c r="G12" i="3"/>
  <c r="F676" i="3"/>
  <c r="G195" i="3"/>
  <c r="F299" i="3"/>
  <c r="G17" i="3"/>
  <c r="G8" i="3"/>
  <c r="G22" i="3"/>
  <c r="G193" i="3"/>
  <c r="G414" i="3"/>
  <c r="F248" i="3"/>
  <c r="F21" i="7" s="1"/>
  <c r="F682" i="3"/>
  <c r="G197" i="3"/>
  <c r="F827" i="3"/>
  <c r="G845" i="3"/>
  <c r="G30" i="3"/>
  <c r="G330" i="3"/>
  <c r="G148" i="3"/>
  <c r="G164" i="3"/>
  <c r="F69" i="3"/>
  <c r="F25" i="7" s="1"/>
  <c r="G253" i="3"/>
  <c r="F675" i="3"/>
  <c r="F806" i="3"/>
  <c r="G25" i="3"/>
  <c r="G620" i="3"/>
  <c r="F448" i="3"/>
  <c r="G207" i="3"/>
  <c r="F271" i="3"/>
  <c r="G29" i="3"/>
  <c r="F611" i="3"/>
  <c r="G540" i="3"/>
  <c r="G425" i="3"/>
  <c r="G154" i="3"/>
  <c r="F721" i="3"/>
  <c r="G69" i="3"/>
  <c r="G25" i="7" s="1"/>
  <c r="F190" i="3"/>
  <c r="F57" i="3"/>
  <c r="F821" i="3"/>
  <c r="F588" i="3"/>
  <c r="G640" i="3"/>
  <c r="G447" i="3"/>
  <c r="G395" i="3"/>
  <c r="F112" i="3"/>
  <c r="G35" i="3"/>
  <c r="G483" i="3"/>
  <c r="G819" i="3"/>
  <c r="G505" i="3"/>
  <c r="G868" i="3"/>
  <c r="G66" i="3"/>
  <c r="G16" i="7" s="1"/>
  <c r="F671" i="3"/>
  <c r="G459" i="3"/>
  <c r="G200" i="3"/>
  <c r="G626" i="3"/>
  <c r="G81" i="3"/>
  <c r="G304" i="3"/>
  <c r="G204" i="3"/>
  <c r="G15" i="3"/>
  <c r="G784" i="3"/>
  <c r="F106" i="3"/>
  <c r="F858" i="3"/>
  <c r="G706" i="3"/>
  <c r="G628" i="3"/>
  <c r="G112" i="3"/>
  <c r="G449" i="3"/>
  <c r="F501" i="3"/>
  <c r="G332" i="3"/>
  <c r="G155" i="3"/>
  <c r="G432" i="6" s="1"/>
  <c r="F714" i="3"/>
  <c r="F797" i="3"/>
  <c r="G139" i="3"/>
  <c r="F647" i="3"/>
  <c r="G317" i="3"/>
  <c r="F518" i="3"/>
  <c r="G162" i="3"/>
  <c r="F56" i="3"/>
  <c r="G9" i="3"/>
  <c r="G486" i="3"/>
  <c r="G436" i="3"/>
  <c r="G717" i="3"/>
  <c r="G440" i="3"/>
  <c r="F524" i="3"/>
  <c r="G146" i="3"/>
  <c r="G414" i="6" s="1"/>
  <c r="F523" i="3"/>
  <c r="G422" i="3"/>
  <c r="G372" i="3"/>
  <c r="F622" i="3"/>
  <c r="G860" i="3"/>
  <c r="G364" i="3"/>
  <c r="G489" i="3"/>
  <c r="F222" i="3"/>
  <c r="G821" i="3"/>
  <c r="G649" i="3"/>
  <c r="G510" i="3"/>
  <c r="F870" i="3"/>
  <c r="F127" i="3"/>
  <c r="G27" i="3"/>
  <c r="G126" i="3"/>
  <c r="G712" i="3"/>
  <c r="G287" i="3"/>
  <c r="F794" i="3"/>
  <c r="G562" i="3"/>
  <c r="F737" i="3"/>
  <c r="F13" i="3"/>
  <c r="G477" i="3"/>
  <c r="G829" i="3"/>
  <c r="F651" i="3"/>
  <c r="G290" i="3"/>
  <c r="F277" i="3"/>
  <c r="G444" i="3"/>
  <c r="G526" i="3"/>
  <c r="F587" i="3"/>
  <c r="G150" i="3"/>
  <c r="G73" i="3"/>
  <c r="G14" i="7" s="1"/>
  <c r="F301" i="3"/>
  <c r="G374" i="3"/>
  <c r="G254" i="3"/>
  <c r="F267" i="3"/>
  <c r="F359" i="3"/>
  <c r="F237" i="3"/>
  <c r="G750" i="3"/>
  <c r="G76" i="3"/>
  <c r="F155" i="3"/>
  <c r="F432" i="6" s="1"/>
  <c r="G704" i="3"/>
  <c r="G240" i="3"/>
  <c r="G866" i="3"/>
  <c r="F423" i="3"/>
  <c r="G334" i="3"/>
  <c r="G659" i="3"/>
  <c r="G375" i="3"/>
  <c r="F742" i="3"/>
  <c r="F805" i="3"/>
  <c r="F383" i="3"/>
  <c r="F94" i="3"/>
  <c r="G802" i="3"/>
  <c r="F323" i="3"/>
  <c r="G357" i="3"/>
  <c r="G840" i="3"/>
  <c r="F453" i="3"/>
  <c r="G270" i="3"/>
  <c r="G318" i="3"/>
  <c r="F348" i="3"/>
  <c r="G664" i="3"/>
  <c r="G528" i="3"/>
  <c r="G266" i="3"/>
  <c r="G818" i="3"/>
  <c r="F522" i="3"/>
  <c r="F519" i="3"/>
  <c r="F37" i="3"/>
  <c r="F368" i="3"/>
  <c r="F24" i="3"/>
  <c r="G781" i="3"/>
  <c r="G78" i="3"/>
  <c r="G138" i="3"/>
  <c r="F547" i="3"/>
  <c r="F138" i="3"/>
  <c r="F78" i="3"/>
  <c r="G453" i="3"/>
  <c r="F144" i="3"/>
  <c r="F95" i="3"/>
  <c r="F411" i="3"/>
  <c r="G241" i="3"/>
  <c r="G469" i="3"/>
  <c r="G49" i="3"/>
  <c r="G523" i="3"/>
  <c r="F197" i="3"/>
  <c r="G53" i="3"/>
  <c r="G808" i="3"/>
  <c r="F768" i="3"/>
  <c r="F167" i="3"/>
  <c r="F483" i="3"/>
  <c r="F799" i="3"/>
  <c r="G299" i="3"/>
  <c r="G801" i="3"/>
  <c r="F557" i="3"/>
  <c r="G687" i="3"/>
  <c r="F253" i="3"/>
  <c r="F484" i="3"/>
  <c r="F633" i="3"/>
  <c r="G171" i="3"/>
  <c r="F480" i="3"/>
  <c r="G256" i="3"/>
  <c r="G376" i="3"/>
  <c r="G281" i="3"/>
  <c r="G307" i="3"/>
  <c r="F55" i="3"/>
  <c r="G5" i="3"/>
  <c r="G210" i="3"/>
  <c r="F417" i="3"/>
  <c r="G529" i="3"/>
  <c r="F366" i="3"/>
  <c r="F393" i="3"/>
  <c r="G246" i="3"/>
  <c r="G360" i="6" s="1"/>
  <c r="G262" i="3"/>
  <c r="G564" i="3"/>
  <c r="G582" i="3"/>
  <c r="G438" i="3"/>
  <c r="G557" i="3"/>
  <c r="G613" i="3"/>
  <c r="F335" i="3"/>
  <c r="G159" i="3"/>
  <c r="G143" i="3"/>
  <c r="F804" i="3"/>
  <c r="F467" i="3"/>
  <c r="F543" i="3"/>
  <c r="F196" i="3"/>
  <c r="G455" i="3"/>
  <c r="G732" i="3"/>
  <c r="G450" i="3"/>
  <c r="G663" i="3"/>
  <c r="G693" i="3"/>
  <c r="G190" i="3"/>
  <c r="G11" i="3"/>
  <c r="F6" i="3"/>
  <c r="F855" i="3"/>
  <c r="G74" i="3"/>
  <c r="F733" i="3"/>
  <c r="G279" i="3"/>
  <c r="G36" i="3"/>
  <c r="G149" i="3"/>
  <c r="G446" i="3"/>
  <c r="G320" i="3"/>
  <c r="G16" i="3"/>
  <c r="G84" i="3"/>
  <c r="F142" i="3"/>
  <c r="G607" i="3"/>
  <c r="G594" i="3"/>
  <c r="G103" i="3"/>
  <c r="G122" i="1" s="1"/>
  <c r="G708" i="3"/>
  <c r="F831" i="3"/>
  <c r="G196" i="3"/>
  <c r="F313" i="3"/>
  <c r="G343" i="3"/>
  <c r="G187" i="3"/>
  <c r="F608" i="3"/>
  <c r="G284" i="3"/>
  <c r="G245" i="3"/>
  <c r="F584" i="3"/>
  <c r="F179" i="3"/>
  <c r="F440" i="3"/>
  <c r="F314" i="3"/>
  <c r="G500" i="3"/>
  <c r="F351" i="3"/>
  <c r="F689" i="3"/>
  <c r="G136" i="3"/>
  <c r="F321" i="3"/>
  <c r="F428" i="3"/>
  <c r="G568" i="3"/>
  <c r="F229" i="3"/>
  <c r="F428" i="6" s="1"/>
  <c r="G131" i="3"/>
  <c r="G762" i="3"/>
  <c r="G65" i="3"/>
  <c r="G19" i="7" s="1"/>
  <c r="G541" i="3"/>
  <c r="G128" i="3"/>
  <c r="G519" i="3"/>
  <c r="F239" i="3"/>
  <c r="G211" i="3"/>
  <c r="F14" i="3"/>
  <c r="G251" i="3"/>
  <c r="G614" i="3"/>
  <c r="G512" i="3"/>
  <c r="G668" i="3"/>
  <c r="G464" i="3"/>
  <c r="G465" i="3"/>
  <c r="F432" i="3"/>
  <c r="G85" i="3"/>
  <c r="F708" i="3"/>
  <c r="G416" i="3"/>
  <c r="F375" i="3"/>
  <c r="G452" i="3"/>
  <c r="F544" i="3"/>
  <c r="G379" i="3"/>
  <c r="F83" i="3"/>
  <c r="G381" i="3"/>
  <c r="G102" i="3"/>
  <c r="G793" i="3"/>
  <c r="G121" i="3"/>
  <c r="G811" i="3"/>
  <c r="F816" i="3"/>
  <c r="G135" i="3"/>
  <c r="G502" i="3"/>
  <c r="G544" i="3"/>
  <c r="F451" i="3"/>
  <c r="G715" i="3"/>
  <c r="G403" i="3"/>
  <c r="G851" i="3"/>
  <c r="F34" i="3"/>
  <c r="F627" i="3"/>
  <c r="F311" i="3"/>
  <c r="F500" i="3"/>
  <c r="F123" i="3"/>
  <c r="G822" i="3"/>
  <c r="G272" i="3"/>
  <c r="F149" i="3"/>
  <c r="G4" i="3"/>
  <c r="F637" i="3"/>
  <c r="G533" i="3"/>
  <c r="G98" i="3"/>
  <c r="G700" i="3"/>
  <c r="G296" i="3"/>
  <c r="F119" i="3"/>
  <c r="G48" i="3"/>
  <c r="F796" i="3"/>
  <c r="G588" i="3"/>
  <c r="G347" i="3"/>
  <c r="F502" i="3"/>
  <c r="G768" i="3"/>
  <c r="F604" i="3"/>
  <c r="G714" i="3"/>
  <c r="F77" i="3"/>
  <c r="F164" i="3"/>
  <c r="F569" i="3"/>
  <c r="F53" i="3"/>
  <c r="G694" i="3"/>
  <c r="F98" i="3"/>
  <c r="F674" i="3"/>
  <c r="F44" i="3"/>
  <c r="F582" i="3"/>
  <c r="G13" i="3"/>
  <c r="G316" i="3"/>
  <c r="F170" i="3"/>
  <c r="G410" i="3"/>
  <c r="F425" i="3"/>
  <c r="F836" i="3"/>
  <c r="F702" i="3"/>
  <c r="G214" i="3"/>
  <c r="F404" i="3"/>
  <c r="F477" i="3"/>
  <c r="G212" i="3"/>
  <c r="F719" i="3"/>
  <c r="F225" i="3"/>
  <c r="F705" i="3"/>
  <c r="G861" i="3"/>
  <c r="G867" i="3"/>
  <c r="G93" i="3"/>
  <c r="F246" i="3"/>
  <c r="F360" i="6" s="1"/>
  <c r="G91" i="3"/>
  <c r="G599" i="3"/>
  <c r="G144" i="3"/>
  <c r="F819" i="3"/>
  <c r="G392" i="3"/>
  <c r="F837" i="3"/>
  <c r="G498" i="3"/>
  <c r="G601" i="3"/>
  <c r="G764" i="3"/>
  <c r="F133" i="3"/>
  <c r="F399" i="3"/>
  <c r="G576" i="3"/>
  <c r="F430" i="3"/>
  <c r="F617" i="3"/>
  <c r="G738" i="3"/>
  <c r="G565" i="3"/>
  <c r="G740" i="3"/>
  <c r="F427" i="3"/>
  <c r="G518" i="3"/>
  <c r="F670" i="3"/>
  <c r="F565" i="3"/>
  <c r="G485" i="3"/>
  <c r="G295" i="3"/>
  <c r="F815" i="3"/>
  <c r="G67" i="3"/>
  <c r="G20" i="7" s="1"/>
  <c r="G152" i="3"/>
  <c r="F655" i="3"/>
  <c r="F279" i="3"/>
  <c r="G288" i="3"/>
  <c r="G199" i="3"/>
  <c r="G844" i="3"/>
  <c r="G166" i="3"/>
  <c r="G839" i="3"/>
  <c r="G63" i="3"/>
  <c r="G9" i="7" s="1"/>
  <c r="G481" i="3"/>
  <c r="F533" i="3"/>
  <c r="F869" i="3"/>
  <c r="G536" i="3"/>
  <c r="F330" i="3"/>
  <c r="F767" i="3"/>
  <c r="F830" i="3"/>
  <c r="G291" i="3"/>
  <c r="F43" i="3"/>
  <c r="F838" i="3"/>
  <c r="F213" i="3"/>
  <c r="F22" i="3"/>
  <c r="F268" i="3"/>
  <c r="F276" i="3"/>
  <c r="G646" i="3"/>
  <c r="F757" i="3"/>
  <c r="G666" i="3"/>
  <c r="F598" i="3"/>
  <c r="F601" i="3"/>
  <c r="F121" i="3"/>
  <c r="F165" i="3"/>
  <c r="F39" i="3"/>
  <c r="F91" i="3"/>
  <c r="F860" i="3"/>
  <c r="G119" i="3"/>
  <c r="F643" i="3"/>
  <c r="F439" i="3"/>
  <c r="F307" i="3"/>
  <c r="F854" i="3"/>
  <c r="F29" i="3"/>
  <c r="F835" i="3"/>
  <c r="F746" i="3"/>
  <c r="F638" i="3"/>
  <c r="F654" i="3"/>
  <c r="F256" i="3"/>
  <c r="G42" i="3"/>
  <c r="F175" i="3"/>
  <c r="G495" i="3"/>
  <c r="F163" i="3"/>
  <c r="G709" i="3"/>
  <c r="G297" i="3"/>
  <c r="G258" i="3"/>
  <c r="F159" i="3"/>
  <c r="F356" i="3"/>
  <c r="F857" i="3"/>
  <c r="F624" i="3"/>
  <c r="F62" i="3"/>
  <c r="F15" i="7" s="1"/>
  <c r="G497" i="3"/>
  <c r="G456" i="3"/>
  <c r="G806" i="3"/>
  <c r="F407" i="3"/>
  <c r="G301" i="3"/>
  <c r="F572" i="3"/>
  <c r="G219" i="3"/>
  <c r="F709" i="3"/>
  <c r="G799" i="3"/>
  <c r="F384" i="3"/>
  <c r="G153" i="3"/>
  <c r="G405" i="6" s="1"/>
  <c r="F153" i="3"/>
  <c r="F405" i="6" s="1"/>
  <c r="G203" i="3"/>
  <c r="F814" i="3"/>
  <c r="G79" i="3"/>
  <c r="G326" i="3"/>
  <c r="F700" i="3"/>
  <c r="G513" i="3"/>
  <c r="F260" i="3"/>
  <c r="F468" i="3"/>
  <c r="F329" i="3"/>
  <c r="F479" i="3"/>
  <c r="F752" i="3"/>
  <c r="F514" i="3"/>
  <c r="G75" i="3"/>
  <c r="G18" i="7" s="1"/>
  <c r="G556" i="3"/>
  <c r="G537" i="3"/>
  <c r="G577" i="3"/>
  <c r="F692" i="3"/>
  <c r="G652" i="3"/>
  <c r="F828" i="3"/>
  <c r="F195" i="3"/>
  <c r="G263" i="3"/>
  <c r="F278" i="3"/>
  <c r="G116" i="3"/>
  <c r="G671" i="3"/>
  <c r="G412" i="3"/>
  <c r="F817" i="3"/>
  <c r="G356" i="3"/>
  <c r="G462" i="3"/>
  <c r="F842" i="3"/>
  <c r="G507" i="3"/>
  <c r="G389" i="3"/>
  <c r="G441" i="3"/>
  <c r="G339" i="3"/>
  <c r="F90" i="3"/>
  <c r="F65" i="3"/>
  <c r="F19" i="7" s="1"/>
  <c r="F286" i="3"/>
  <c r="G739" i="3"/>
  <c r="F92" i="3"/>
  <c r="G846" i="3"/>
  <c r="G255" i="3"/>
  <c r="G561" i="3"/>
  <c r="G429" i="3"/>
  <c r="G249" i="3"/>
  <c r="F254" i="3"/>
  <c r="F174" i="3"/>
  <c r="G695" i="3"/>
  <c r="G6" i="3"/>
  <c r="F426" i="3"/>
  <c r="G610" i="3"/>
  <c r="F184" i="3"/>
  <c r="F492" i="3"/>
  <c r="G551" i="3"/>
  <c r="F354" i="3"/>
  <c r="G689" i="3"/>
  <c r="F201" i="3"/>
  <c r="G179" i="3"/>
  <c r="F745" i="3"/>
  <c r="G779" i="3"/>
  <c r="G19" i="3"/>
  <c r="F685" i="3"/>
  <c r="G559" i="3"/>
  <c r="G648" i="3"/>
  <c r="G823" i="3"/>
  <c r="F50" i="3"/>
  <c r="F616" i="3"/>
  <c r="F495" i="3"/>
  <c r="F181" i="3"/>
  <c r="F257" i="3"/>
  <c r="G110" i="3"/>
  <c r="F829" i="3"/>
  <c r="F536" i="3"/>
  <c r="G71" i="3"/>
  <c r="G17" i="7" s="1"/>
  <c r="G766" i="3"/>
  <c r="F673" i="3"/>
  <c r="F234" i="3"/>
  <c r="G406" i="3"/>
  <c r="F258" i="3"/>
  <c r="F319" i="3"/>
  <c r="F103" i="3"/>
  <c r="F122" i="1" s="1"/>
  <c r="G352" i="3"/>
  <c r="F686" i="3"/>
  <c r="G567" i="3"/>
  <c r="F632" i="3"/>
  <c r="F236" i="3"/>
  <c r="F407" i="6" s="1"/>
  <c r="F621" i="3"/>
  <c r="G221" i="3"/>
  <c r="G674" i="3"/>
  <c r="F807" i="3"/>
  <c r="F84" i="3"/>
  <c r="F270" i="3"/>
  <c r="G862" i="3"/>
  <c r="G475" i="3"/>
  <c r="F87" i="3"/>
  <c r="F516" i="3"/>
  <c r="G333" i="3"/>
  <c r="F653" i="3"/>
  <c r="F74" i="3"/>
  <c r="G820" i="3"/>
  <c r="G293" i="3"/>
  <c r="G346" i="3"/>
  <c r="F233" i="3"/>
  <c r="F203" i="3"/>
  <c r="F628" i="3"/>
  <c r="F274" i="3"/>
  <c r="F244" i="3"/>
  <c r="F615" i="3"/>
  <c r="F576" i="3"/>
  <c r="F823" i="3"/>
  <c r="F787" i="3"/>
  <c r="G208" i="3"/>
  <c r="G644" i="3"/>
  <c r="G243" i="3"/>
  <c r="G371" i="3"/>
  <c r="G321" i="3"/>
  <c r="F168" i="3"/>
  <c r="F396" i="3"/>
  <c r="F677" i="3"/>
  <c r="G838" i="3"/>
  <c r="G137" i="3"/>
  <c r="G547" i="3"/>
  <c r="F849" i="3"/>
  <c r="G785" i="3"/>
  <c r="F603" i="3"/>
  <c r="G386" i="3"/>
  <c r="G34" i="3"/>
  <c r="G864" i="3"/>
  <c r="G522" i="3"/>
  <c r="G313" i="3"/>
  <c r="F66" i="3"/>
  <c r="F16" i="7" s="1"/>
  <c r="G775" i="3"/>
  <c r="F344" i="3"/>
  <c r="F475" i="3"/>
  <c r="F466" i="3"/>
  <c r="F362" i="3"/>
  <c r="G354" i="3"/>
  <c r="G18" i="3"/>
  <c r="G267" i="3"/>
  <c r="G310" i="3"/>
  <c r="G180" i="3"/>
  <c r="F688" i="3"/>
  <c r="G331" i="3"/>
  <c r="G165" i="3"/>
  <c r="F405" i="3"/>
  <c r="F770" i="3"/>
  <c r="G790" i="3"/>
  <c r="F172" i="3"/>
  <c r="G634" i="3"/>
  <c r="F703" i="3"/>
  <c r="F374" i="3"/>
  <c r="F388" i="3"/>
  <c r="G408" i="3"/>
  <c r="F199" i="3"/>
  <c r="F424" i="3"/>
  <c r="G654" i="3"/>
  <c r="G309" i="3"/>
  <c r="F334" i="3"/>
  <c r="G600" i="3"/>
  <c r="F418" i="3"/>
  <c r="G397" i="3"/>
  <c r="G366" i="3"/>
  <c r="F38" i="3"/>
  <c r="F102" i="3"/>
  <c r="G849" i="3"/>
  <c r="G323" i="3"/>
  <c r="F759" i="3"/>
  <c r="G581" i="3"/>
  <c r="F182" i="3"/>
  <c r="G604" i="3"/>
  <c r="F472" i="3"/>
  <c r="F208" i="3"/>
  <c r="F485" i="3"/>
  <c r="G813" i="3"/>
  <c r="G428" i="3"/>
  <c r="G230" i="3"/>
  <c r="F242" i="3"/>
  <c r="G870" i="3"/>
  <c r="F591" i="3"/>
  <c r="G763" i="3"/>
  <c r="G622" i="3"/>
  <c r="G780" i="3"/>
  <c r="F63" i="3"/>
  <c r="F9" i="7" s="1"/>
  <c r="F345" i="3"/>
  <c r="F16" i="3"/>
  <c r="G609" i="3"/>
  <c r="G584" i="3"/>
  <c r="F352" i="3"/>
  <c r="F147" i="3"/>
  <c r="F614" i="3"/>
  <c r="F324" i="3"/>
  <c r="F105" i="3"/>
  <c r="G770" i="3"/>
  <c r="G201" i="3"/>
  <c r="F378" i="3"/>
  <c r="G305" i="3"/>
  <c r="F693" i="3"/>
  <c r="G655" i="3"/>
  <c r="F369" i="3"/>
  <c r="G26" i="3"/>
  <c r="F416" i="3"/>
  <c r="G570" i="3"/>
  <c r="F531" i="3"/>
  <c r="G665" i="3"/>
  <c r="G161" i="3"/>
  <c r="F808" i="3"/>
  <c r="G691" i="3"/>
  <c r="F100" i="3"/>
  <c r="F194" i="3"/>
  <c r="F146" i="3"/>
  <c r="F414" i="6" s="1"/>
  <c r="F726" i="3"/>
  <c r="G641" i="3"/>
  <c r="F642" i="3"/>
  <c r="F30" i="3"/>
  <c r="F662" i="3"/>
  <c r="F27" i="3"/>
  <c r="G470" i="3"/>
  <c r="G88" i="3"/>
  <c r="G384" i="3"/>
  <c r="G324" i="3"/>
  <c r="F93" i="3"/>
  <c r="F54" i="3"/>
  <c r="G841" i="3"/>
  <c r="F289" i="3"/>
  <c r="G399" i="3"/>
  <c r="G175" i="3"/>
  <c r="F401" i="3"/>
  <c r="F283" i="3"/>
  <c r="F486" i="3"/>
  <c r="F863" i="3"/>
  <c r="F874" i="3"/>
  <c r="G59" i="3"/>
  <c r="G13" i="7" s="1"/>
  <c r="G856" i="3"/>
  <c r="F45" i="3"/>
  <c r="G631" i="3"/>
  <c r="G122" i="3"/>
  <c r="G409" i="6" s="1"/>
  <c r="F592" i="3"/>
  <c r="F567" i="3"/>
  <c r="G83" i="3"/>
  <c r="F872" i="3"/>
  <c r="G21" i="3"/>
  <c r="G111" i="3"/>
  <c r="F303" i="3"/>
  <c r="F649" i="3"/>
  <c r="G834" i="3"/>
  <c r="G824" i="3"/>
  <c r="F561" i="3"/>
  <c r="G701" i="3"/>
  <c r="G236" i="3"/>
  <c r="G407" i="6" s="1"/>
  <c r="F386" i="3"/>
  <c r="G130" i="3"/>
  <c r="G467" i="3"/>
  <c r="F151" i="3"/>
  <c r="F620" i="3"/>
  <c r="G300" i="3"/>
  <c r="F461" i="3"/>
  <c r="G108" i="3"/>
  <c r="G636" i="3"/>
  <c r="F618" i="3"/>
  <c r="F751" i="3"/>
  <c r="F564" i="3"/>
  <c r="F33" i="3"/>
  <c r="F833" i="3"/>
  <c r="F122" i="3"/>
  <c r="F409" i="6" s="1"/>
  <c r="F421" i="3"/>
  <c r="G348" i="3"/>
  <c r="F446" i="3"/>
  <c r="G367" i="3"/>
  <c r="G637" i="3"/>
  <c r="G44" i="3"/>
  <c r="F851" i="3"/>
  <c r="G350" i="3"/>
  <c r="F391" i="3"/>
  <c r="F513" i="3"/>
  <c r="G344" i="3"/>
  <c r="F812" i="3"/>
  <c r="F459" i="3"/>
  <c r="F650" i="3"/>
  <c r="F562" i="3"/>
  <c r="G625" i="3"/>
  <c r="F594" i="3"/>
  <c r="G129" i="3"/>
  <c r="F245" i="3"/>
  <c r="F433" i="3"/>
  <c r="F556" i="3"/>
  <c r="F853" i="3"/>
  <c r="G788" i="3"/>
  <c r="G828" i="3"/>
  <c r="F178" i="3"/>
  <c r="G817" i="3"/>
  <c r="G748" i="3"/>
  <c r="G833" i="3"/>
  <c r="F845" i="3"/>
  <c r="G312" i="3"/>
  <c r="G174" i="3"/>
  <c r="G336" i="3"/>
  <c r="G479" i="3"/>
  <c r="G707" i="3"/>
  <c r="F434" i="3"/>
  <c r="F193" i="3"/>
  <c r="G624" i="3"/>
  <c r="G753" i="3"/>
  <c r="G24" i="3"/>
  <c r="F371" i="3"/>
  <c r="G58" i="3"/>
  <c r="F834" i="3"/>
  <c r="G97" i="3"/>
  <c r="G603" i="3"/>
  <c r="F497" i="3"/>
  <c r="G319" i="3"/>
  <c r="F331" i="3"/>
  <c r="F657" i="3"/>
  <c r="F866" i="3"/>
  <c r="G872" i="3"/>
  <c r="F59" i="3"/>
  <c r="F13" i="7" s="1"/>
  <c r="F535" i="3"/>
  <c r="F8" i="3"/>
  <c r="F431" i="3"/>
  <c r="G573" i="3"/>
  <c r="G308" i="3"/>
  <c r="G755" i="3"/>
  <c r="F294" i="3"/>
  <c r="G639" i="3"/>
  <c r="F694" i="3"/>
  <c r="G439" i="3"/>
  <c r="G113" i="3"/>
  <c r="F506" i="3"/>
  <c r="G271" i="3"/>
  <c r="F15" i="3"/>
  <c r="F809" i="3"/>
  <c r="G46" i="3"/>
  <c r="G696" i="3"/>
  <c r="G501" i="3"/>
  <c r="F72" i="3"/>
  <c r="F24" i="7" s="1"/>
  <c r="F862" i="3"/>
  <c r="F238" i="3"/>
  <c r="F848" i="3"/>
  <c r="G289" i="3"/>
  <c r="F747" i="3"/>
  <c r="G292" i="3"/>
  <c r="F85" i="3"/>
  <c r="F235" i="3"/>
  <c r="F850" i="3"/>
  <c r="F713" i="3"/>
  <c r="F789" i="3"/>
  <c r="F347" i="3"/>
  <c r="F436" i="3"/>
  <c r="F115" i="3"/>
  <c r="G114" i="3"/>
  <c r="F139" i="3"/>
  <c r="G496" i="3"/>
  <c r="G555" i="3"/>
  <c r="F825" i="3"/>
  <c r="G683" i="3"/>
  <c r="F740" i="3"/>
  <c r="F774" i="3"/>
  <c r="G542" i="3"/>
  <c r="G617" i="3"/>
  <c r="G719" i="3"/>
  <c r="G473" i="3"/>
  <c r="F11" i="3"/>
  <c r="G413" i="3"/>
  <c r="F731" i="3"/>
  <c r="G117" i="3"/>
  <c r="G82" i="3"/>
  <c r="G461" i="3"/>
  <c r="F660" i="3"/>
  <c r="F272" i="3"/>
  <c r="F205" i="3"/>
  <c r="F269" i="3"/>
  <c r="G96" i="3"/>
  <c r="G650" i="3"/>
  <c r="G783" i="3"/>
  <c r="F481" i="3"/>
  <c r="G213" i="3"/>
  <c r="G807" i="3"/>
  <c r="G133" i="3"/>
  <c r="F679" i="3"/>
  <c r="G727" i="3"/>
  <c r="F232" i="3"/>
  <c r="G831" i="3"/>
  <c r="F367" i="3"/>
  <c r="G578" i="3"/>
  <c r="F445" i="3"/>
  <c r="F803" i="3"/>
  <c r="G612" i="3"/>
  <c r="F454" i="3"/>
  <c r="G698" i="3"/>
  <c r="G548" i="3"/>
  <c r="F687" i="3"/>
  <c r="G233" i="3"/>
  <c r="G560" i="3"/>
  <c r="F456" i="3"/>
  <c r="F372" i="3"/>
  <c r="G173" i="3"/>
  <c r="F58" i="3"/>
  <c r="G503" i="3"/>
  <c r="F636" i="3"/>
  <c r="G124" i="3"/>
  <c r="G410" i="6" s="1"/>
  <c r="G220" i="3"/>
  <c r="F672" i="3"/>
  <c r="G188" i="3"/>
  <c r="G468" i="3"/>
  <c r="F665" i="3"/>
  <c r="G621" i="3"/>
  <c r="G182" i="3"/>
  <c r="F47" i="3"/>
  <c r="F738" i="3"/>
  <c r="F841" i="3"/>
  <c r="F593" i="3"/>
  <c r="G803" i="3"/>
  <c r="F602" i="3"/>
  <c r="G804" i="3"/>
  <c r="F766" i="3"/>
  <c r="F574" i="3"/>
  <c r="F67" i="3"/>
  <c r="F20" i="7" s="1"/>
  <c r="F9" i="3"/>
  <c r="F861" i="3"/>
  <c r="F810" i="3"/>
  <c r="G661" i="3"/>
  <c r="G494" i="3"/>
  <c r="G56" i="3"/>
  <c r="G68" i="3"/>
  <c r="G11" i="7" s="1"/>
  <c r="G457" i="3"/>
  <c r="G815" i="3"/>
  <c r="G141" i="3"/>
  <c r="F832" i="3"/>
  <c r="G586" i="3"/>
  <c r="G611" i="3"/>
  <c r="G329" i="3"/>
  <c r="F125" i="3"/>
  <c r="F683" i="3"/>
  <c r="G543" i="3"/>
  <c r="F696" i="3"/>
  <c r="G850" i="3"/>
  <c r="F360" i="3"/>
  <c r="F539" i="3"/>
  <c r="F668" i="3"/>
  <c r="G810" i="3"/>
  <c r="F315" i="3"/>
  <c r="F340" i="3"/>
  <c r="F19" i="3"/>
  <c r="F570" i="3"/>
  <c r="G515" i="3"/>
  <c r="G390" i="3"/>
  <c r="G268" i="3"/>
  <c r="G285" i="3"/>
  <c r="G487" i="3"/>
  <c r="F734" i="3"/>
  <c r="G432" i="3"/>
  <c r="G499" i="3"/>
  <c r="F761" i="3"/>
  <c r="G685" i="3"/>
  <c r="F214" i="3"/>
  <c r="F140" i="3"/>
  <c r="G443" i="3"/>
  <c r="G359" i="3"/>
  <c r="G737" i="3"/>
  <c r="F840" i="3"/>
  <c r="F801" i="3"/>
  <c r="F312" i="3"/>
  <c r="G627" i="3"/>
  <c r="G681" i="3"/>
  <c r="F659" i="3"/>
  <c r="G835" i="3"/>
  <c r="G39" i="3"/>
  <c r="G531" i="3"/>
  <c r="F553" i="3"/>
  <c r="G145" i="3"/>
  <c r="F160" i="3"/>
  <c r="F266" i="3"/>
  <c r="F678" i="3"/>
  <c r="F20" i="3"/>
  <c r="F669" i="3"/>
  <c r="F219" i="3"/>
  <c r="F241" i="3"/>
  <c r="F310" i="3"/>
  <c r="G478" i="3"/>
  <c r="F171" i="3"/>
  <c r="F61" i="3"/>
  <c r="F10" i="7" s="1"/>
  <c r="F491" i="3"/>
  <c r="G660" i="3"/>
  <c r="F520" i="3"/>
  <c r="G778" i="3"/>
  <c r="G387" i="3"/>
  <c r="G800" i="3"/>
  <c r="F350" i="3"/>
  <c r="G227" i="3"/>
  <c r="G298" i="3"/>
  <c r="G398" i="3"/>
  <c r="G734" i="3"/>
  <c r="G873" i="3"/>
  <c r="G869" i="3"/>
  <c r="F173" i="3"/>
  <c r="G435" i="3"/>
  <c r="F42" i="3"/>
  <c r="F490" i="3"/>
  <c r="G741" i="3"/>
  <c r="F716" i="3"/>
  <c r="F530" i="3"/>
  <c r="G538" i="3"/>
  <c r="G306" i="3"/>
  <c r="G157" i="3"/>
  <c r="G70" i="3"/>
  <c r="G22" i="7" s="1"/>
  <c r="G140" i="3"/>
  <c r="G657" i="3"/>
  <c r="G805" i="3"/>
  <c r="F499" i="3"/>
  <c r="F777" i="3"/>
  <c r="G724" i="3"/>
  <c r="F727" i="3"/>
  <c r="F216" i="3"/>
  <c r="G38" i="3"/>
  <c r="G571" i="3"/>
  <c r="F756" i="3"/>
  <c r="F322" i="3"/>
  <c r="G765" i="3"/>
  <c r="F338" i="3"/>
  <c r="F586" i="3"/>
  <c r="F635" i="3"/>
  <c r="F148" i="3"/>
  <c r="G194" i="3"/>
  <c r="F559" i="3"/>
  <c r="G558" i="3"/>
  <c r="G814" i="3"/>
  <c r="G590" i="3"/>
  <c r="F600" i="3"/>
  <c r="F363" i="3"/>
  <c r="G198" i="3"/>
  <c r="F788" i="3"/>
  <c r="G405" i="3"/>
  <c r="G744" i="3"/>
  <c r="F871" i="3"/>
  <c r="G167" i="3"/>
  <c r="F189" i="3"/>
  <c r="F113" i="3"/>
  <c r="F529" i="3"/>
  <c r="F711" i="3"/>
  <c r="F549" i="3"/>
  <c r="G377" i="3"/>
  <c r="F306" i="3"/>
  <c r="F755" i="3"/>
  <c r="G322" i="3"/>
  <c r="G608" i="3"/>
  <c r="G134" i="3"/>
  <c r="G172" i="3"/>
  <c r="G337" i="3"/>
  <c r="F79" i="3"/>
  <c r="G516" i="3"/>
  <c r="F493" i="3"/>
  <c r="F394" i="3"/>
  <c r="G697" i="3"/>
  <c r="G837" i="3"/>
  <c r="G521" i="3"/>
  <c r="F526" i="3"/>
  <c r="G259" i="3"/>
  <c r="G491" i="3"/>
  <c r="F512" i="3"/>
  <c r="G605" i="3"/>
  <c r="F691" i="3"/>
  <c r="G163" i="3"/>
  <c r="F215" i="3"/>
  <c r="G847" i="3"/>
  <c r="F408" i="3"/>
  <c r="G651" i="3"/>
  <c r="F280" i="3"/>
  <c r="G858" i="3"/>
  <c r="F389" i="3"/>
  <c r="G757" i="3"/>
  <c r="G774" i="3"/>
  <c r="F773" i="3"/>
  <c r="F450" i="3"/>
  <c r="F626" i="3"/>
  <c r="G424" i="3"/>
  <c r="G229" i="3"/>
  <c r="G428" i="6" s="1"/>
  <c r="G836" i="3"/>
  <c r="G228" i="3"/>
  <c r="G672" i="3"/>
  <c r="F180" i="3"/>
  <c r="G222" i="3"/>
  <c r="G642" i="3"/>
  <c r="F623" i="3"/>
  <c r="F625" i="3"/>
  <c r="F577" i="3"/>
  <c r="F420" i="3"/>
  <c r="G37" i="3"/>
  <c r="F166" i="3"/>
  <c r="F645" i="3"/>
  <c r="F609" i="3"/>
  <c r="F364" i="3"/>
  <c r="G158" i="3"/>
  <c r="G311" i="3"/>
  <c r="F109" i="3"/>
  <c r="G848" i="3"/>
  <c r="G852" i="3"/>
  <c r="F382" i="3"/>
  <c r="G638" i="3"/>
  <c r="G105" i="3"/>
  <c r="F126" i="3"/>
  <c r="G827" i="3"/>
  <c r="F792" i="3"/>
  <c r="F410" i="3"/>
  <c r="F474" i="3"/>
  <c r="F527" i="3"/>
  <c r="F706" i="3"/>
  <c r="G816" i="3"/>
  <c r="G771" i="3"/>
  <c r="F325" i="3"/>
  <c r="F25" i="3"/>
  <c r="G854" i="3"/>
  <c r="F818" i="3"/>
  <c r="F320" i="3"/>
  <c r="G95" i="3"/>
  <c r="G60" i="3"/>
  <c r="G12" i="7" s="1"/>
  <c r="G474" i="3"/>
  <c r="F128" i="3"/>
  <c r="G488" i="3"/>
  <c r="F718" i="3"/>
  <c r="F552" i="3"/>
  <c r="G177" i="3"/>
  <c r="G720" i="3"/>
  <c r="G725" i="3"/>
  <c r="F824" i="3"/>
  <c r="G47" i="3"/>
  <c r="G517" i="3"/>
  <c r="F735" i="3"/>
  <c r="F192" i="3"/>
  <c r="G355" i="3"/>
  <c r="F820" i="3"/>
  <c r="G280" i="3"/>
  <c r="G677" i="3"/>
  <c r="F760" i="3"/>
  <c r="G244" i="3"/>
  <c r="F765" i="3"/>
  <c r="F725" i="3"/>
  <c r="F720" i="3"/>
  <c r="F220" i="3"/>
  <c r="F373" i="3"/>
  <c r="F332" i="3"/>
  <c r="G857" i="3"/>
  <c r="G101" i="3"/>
  <c r="F482" i="3"/>
  <c r="F80" i="3"/>
  <c r="F644" i="3"/>
  <c r="G417" i="3"/>
  <c r="F226" i="3"/>
  <c r="F402" i="3"/>
  <c r="G454" i="3"/>
  <c r="G629" i="3"/>
  <c r="F23" i="3"/>
  <c r="F40" i="3"/>
  <c r="G713" i="3"/>
  <c r="F583" i="3"/>
  <c r="G492" i="3"/>
  <c r="F250" i="3"/>
  <c r="F101" i="3"/>
  <c r="F291" i="3"/>
  <c r="F487" i="3"/>
  <c r="G535" i="3"/>
  <c r="F630" i="3"/>
  <c r="G118" i="3"/>
  <c r="G183" i="3"/>
  <c r="F223" i="3"/>
  <c r="F252" i="3"/>
  <c r="G809" i="3"/>
  <c r="F442" i="3"/>
  <c r="F476" i="3"/>
  <c r="G855" i="3"/>
  <c r="F748" i="3"/>
  <c r="F717" i="3"/>
  <c r="F117" i="3"/>
  <c r="G239" i="3"/>
  <c r="F60" i="3"/>
  <c r="F12" i="7" s="1"/>
  <c r="G106" i="3"/>
  <c r="G643" i="3"/>
  <c r="G752" i="3"/>
  <c r="G676" i="3"/>
  <c r="G772" i="3"/>
  <c r="G591" i="3"/>
  <c r="G579" i="3"/>
  <c r="F658" i="3"/>
  <c r="G109" i="3"/>
  <c r="F455" i="3"/>
  <c r="F157" i="3"/>
  <c r="F357" i="3"/>
  <c r="G269" i="3"/>
  <c r="G795" i="3"/>
  <c r="F51" i="3"/>
  <c r="F802" i="3"/>
  <c r="G31" i="3"/>
  <c r="F26" i="3"/>
  <c r="F5" i="3"/>
  <c r="G418" i="3"/>
  <c r="F517" i="3"/>
  <c r="F521" i="3"/>
  <c r="G62" i="3"/>
  <c r="G15" i="7" s="1"/>
  <c r="F534" i="3"/>
  <c r="G107" i="3"/>
  <c r="F96" i="3"/>
  <c r="G86" i="3"/>
  <c r="G471" i="3"/>
  <c r="F859" i="3"/>
  <c r="G421" i="3"/>
  <c r="F183" i="3"/>
  <c r="F783" i="3"/>
  <c r="G580" i="3"/>
  <c r="G703" i="3"/>
  <c r="F200" i="3"/>
  <c r="G14" i="3"/>
  <c r="G729" i="3"/>
  <c r="F597" i="3"/>
  <c r="F131" i="3"/>
  <c r="G160" i="3"/>
  <c r="F573" i="3"/>
  <c r="F599" i="3"/>
  <c r="F10" i="3"/>
  <c r="F793" i="3"/>
  <c r="G735" i="3"/>
  <c r="G57" i="3"/>
  <c r="G373" i="3"/>
  <c r="F458" i="3"/>
  <c r="G342" i="3"/>
  <c r="G278" i="3"/>
  <c r="F443" i="3"/>
  <c r="F341" i="3"/>
  <c r="F288" i="3"/>
  <c r="G782" i="3"/>
  <c r="F297" i="3"/>
  <c r="F563" i="3"/>
  <c r="G186" i="3"/>
  <c r="G525" i="3"/>
  <c r="G423" i="3"/>
  <c r="F207" i="3"/>
  <c r="F317" i="3"/>
  <c r="F422" i="3"/>
  <c r="F847" i="3"/>
  <c r="F754" i="3"/>
  <c r="F753" i="3"/>
  <c r="G216" i="3"/>
  <c r="G247" i="3"/>
  <c r="G863" i="3"/>
  <c r="G277" i="3"/>
  <c r="F554" i="3"/>
  <c r="F154" i="3"/>
  <c r="F17" i="3"/>
  <c r="F397" i="3"/>
  <c r="F339" i="3"/>
  <c r="F212" i="3"/>
  <c r="F204" i="3"/>
  <c r="F473" i="3"/>
  <c r="F698" i="3"/>
  <c r="F390" i="3"/>
  <c r="F136" i="3"/>
  <c r="G563" i="3"/>
  <c r="G767" i="3"/>
  <c r="F114" i="3"/>
  <c r="F377" i="3"/>
  <c r="F429" i="3"/>
  <c r="F118" i="3"/>
  <c r="F161" i="3"/>
  <c r="F540" i="3"/>
  <c r="G232" i="3"/>
  <c r="F413" i="3"/>
  <c r="F343" i="3"/>
  <c r="F784" i="3"/>
  <c r="F409" i="3"/>
  <c r="F251" i="3"/>
  <c r="G351" i="3"/>
  <c r="F786" i="3"/>
  <c r="F107" i="3"/>
  <c r="F12" i="3"/>
  <c r="F70" i="3"/>
  <c r="F22" i="7" s="1"/>
  <c r="G602" i="3"/>
  <c r="G865" i="3"/>
  <c r="G794" i="3"/>
  <c r="F130" i="3"/>
  <c r="G678" i="3"/>
  <c r="F867" i="3"/>
  <c r="F265" i="3"/>
  <c r="F813" i="3"/>
  <c r="G72" i="3"/>
  <c r="G24" i="7" s="1"/>
  <c r="F555" i="3"/>
  <c r="F156" i="3"/>
  <c r="F158" i="3"/>
  <c r="F739" i="3"/>
  <c r="F387" i="3"/>
  <c r="G743" i="3"/>
  <c r="F508" i="3"/>
  <c r="F510" i="3"/>
  <c r="G365" i="3"/>
  <c r="F750" i="3"/>
  <c r="G420" i="3"/>
  <c r="F41" i="3"/>
  <c r="F414" i="3"/>
  <c r="G205" i="3"/>
  <c r="F415" i="3"/>
  <c r="F137" i="3"/>
  <c r="F365" i="3"/>
  <c r="G508" i="3"/>
  <c r="F496" i="3"/>
  <c r="F571" i="3"/>
  <c r="F333" i="3"/>
  <c r="G463" i="3"/>
  <c r="G480" i="3"/>
  <c r="G658" i="3"/>
  <c r="F690" i="3"/>
  <c r="F656" i="3"/>
  <c r="F551" i="3"/>
  <c r="G396" i="3"/>
  <c r="G338" i="3"/>
  <c r="G777" i="3"/>
  <c r="G692" i="3"/>
  <c r="F664" i="3"/>
  <c r="G546" i="3"/>
  <c r="G769" i="3"/>
  <c r="G189" i="3"/>
  <c r="F221" i="3"/>
  <c r="G448" i="3"/>
  <c r="G458" i="3"/>
  <c r="F579" i="3"/>
  <c r="G575" i="3"/>
  <c r="F108" i="3"/>
  <c r="F749" i="3"/>
  <c r="G853" i="3"/>
  <c r="G170" i="3"/>
  <c r="F873" i="3"/>
  <c r="G248" i="3"/>
  <c r="G21" i="7" s="1"/>
  <c r="F699" i="3"/>
  <c r="G532" i="3"/>
  <c r="F358" i="3"/>
  <c r="F782" i="3"/>
  <c r="G524" i="3"/>
  <c r="F811" i="3"/>
  <c r="F88" i="3"/>
  <c r="F134" i="3"/>
  <c r="G842" i="3"/>
  <c r="G434" i="3"/>
  <c r="F545" i="3"/>
  <c r="G3" i="3"/>
  <c r="F798" i="3"/>
  <c r="F780" i="3"/>
  <c r="G574" i="3"/>
  <c r="F590" i="3"/>
  <c r="F781" i="3"/>
  <c r="F449" i="3"/>
  <c r="F844" i="3"/>
  <c r="G261" i="3"/>
  <c r="F507" i="3"/>
  <c r="G742" i="3"/>
  <c r="G361" i="3"/>
  <c r="F465" i="3"/>
  <c r="G730" i="3"/>
  <c r="G593" i="3"/>
  <c r="G656" i="3"/>
  <c r="G550" i="3"/>
  <c r="F224" i="3"/>
  <c r="G33" i="3"/>
  <c r="G758" i="3"/>
  <c r="G437" i="3"/>
  <c r="G235" i="3"/>
  <c r="G260" i="3"/>
  <c r="G123" i="3"/>
  <c r="F641" i="3"/>
  <c r="F328" i="3"/>
  <c r="F206" i="3"/>
  <c r="F36" i="3"/>
  <c r="F515" i="3"/>
  <c r="F795" i="3"/>
  <c r="G460" i="3"/>
  <c r="F111" i="3"/>
  <c r="F355" i="3"/>
  <c r="G314" i="3"/>
  <c r="F346" i="3"/>
  <c r="G286" i="3"/>
  <c r="G830" i="3"/>
  <c r="F640" i="3"/>
  <c r="F800" i="3"/>
  <c r="F437" i="3"/>
  <c r="G472" i="3"/>
  <c r="G553" i="3"/>
  <c r="F868" i="3"/>
  <c r="G217" i="3"/>
  <c r="F634" i="3"/>
  <c r="F652" i="3"/>
  <c r="G534" i="3"/>
  <c r="G407" i="3"/>
  <c r="F186" i="3"/>
  <c r="G746" i="3"/>
  <c r="F478" i="3"/>
  <c r="F176" i="3"/>
  <c r="G773" i="3"/>
  <c r="F532" i="3"/>
  <c r="G191" i="3"/>
  <c r="G645" i="3"/>
  <c r="F775" i="3"/>
  <c r="G242" i="3"/>
  <c r="F444" i="3"/>
  <c r="F619" i="3"/>
  <c r="G583" i="3"/>
  <c r="F728" i="3"/>
  <c r="F292" i="3"/>
  <c r="F542" i="3"/>
  <c r="G7" i="3"/>
  <c r="F457" i="3"/>
  <c r="F32" i="3"/>
  <c r="G385" i="3"/>
  <c r="F380" i="3"/>
  <c r="F546" i="3"/>
  <c r="F663" i="3"/>
  <c r="F776" i="3"/>
  <c r="G673" i="3"/>
  <c r="F441" i="3"/>
  <c r="F73" i="3"/>
  <c r="F14" i="7" s="1"/>
  <c r="G380" i="3"/>
  <c r="G409" i="3"/>
  <c r="G265" i="3"/>
  <c r="F489" i="3"/>
  <c r="F198" i="3"/>
  <c r="G596" i="3"/>
  <c r="G797" i="3"/>
  <c r="F772" i="3"/>
  <c r="F145" i="3"/>
  <c r="G250" i="3"/>
  <c r="F438" i="3"/>
  <c r="G341" i="3"/>
  <c r="G598" i="3"/>
  <c r="F826" i="3"/>
  <c r="G303" i="3"/>
  <c r="G40" i="3"/>
  <c r="F104" i="3"/>
  <c r="F123" i="1" s="1"/>
  <c r="G99" i="3"/>
  <c r="F337" i="3"/>
  <c r="F353" i="3"/>
  <c r="F856" i="3"/>
  <c r="F89" i="3"/>
  <c r="F701" i="3"/>
  <c r="G759" i="3"/>
  <c r="G125" i="3"/>
  <c r="F379" i="3"/>
  <c r="G391" i="3"/>
  <c r="F249" i="3"/>
  <c r="F558" i="3"/>
  <c r="F406" i="3"/>
  <c r="F447" i="3"/>
  <c r="F605" i="3"/>
  <c r="F419" i="3"/>
  <c r="G490" i="3"/>
  <c r="G41" i="3"/>
  <c r="F578" i="3"/>
  <c r="G252" i="3"/>
  <c r="F376" i="3"/>
  <c r="G451" i="3"/>
  <c r="G340" i="3"/>
  <c r="F648" i="3"/>
  <c r="F550" i="3"/>
  <c r="G670" i="3"/>
  <c r="F463" i="3"/>
  <c r="F695" i="3"/>
  <c r="F285" i="3"/>
  <c r="G257" i="3"/>
  <c r="F342" i="3"/>
  <c r="G426" i="3"/>
  <c r="G349" i="3"/>
  <c r="G731" i="3"/>
  <c r="G530" i="3"/>
  <c r="G789" i="3"/>
  <c r="G728" i="3"/>
  <c r="F247" i="3"/>
  <c r="G51" i="3"/>
  <c r="G572" i="3"/>
  <c r="G630" i="3"/>
  <c r="G302" i="3"/>
  <c r="F308" i="3"/>
  <c r="G275" i="3"/>
  <c r="F791" i="3"/>
  <c r="F724" i="3"/>
  <c r="F778" i="3"/>
  <c r="F764" i="3"/>
  <c r="G826" i="3"/>
  <c r="F822" i="3"/>
  <c r="F412" i="3"/>
  <c r="G675" i="3"/>
  <c r="F132" i="3"/>
  <c r="F464" i="3"/>
  <c r="F460" i="3"/>
  <c r="F613" i="3"/>
  <c r="G749" i="3"/>
  <c r="G616" i="3"/>
  <c r="F667" i="3"/>
  <c r="F469" i="3"/>
  <c r="G345" i="3"/>
  <c r="G699" i="3"/>
  <c r="G362" i="3"/>
  <c r="F243" i="3"/>
  <c r="F779" i="3"/>
  <c r="F471" i="3"/>
  <c r="F64" i="3"/>
  <c r="F23" i="7" s="1"/>
  <c r="F263" i="3"/>
  <c r="F505" i="3"/>
  <c r="G552" i="3"/>
  <c r="G315" i="3"/>
  <c r="F28" i="3"/>
  <c r="F273" i="3"/>
  <c r="G388" i="3"/>
  <c r="F75" i="3"/>
  <c r="F18" i="7" s="1"/>
  <c r="G482" i="3"/>
  <c r="G798" i="3"/>
  <c r="F568" i="3"/>
  <c r="G215" i="3"/>
  <c r="G589" i="3"/>
  <c r="F666" i="3"/>
  <c r="F769" i="3"/>
  <c r="G132" i="3"/>
  <c r="F498" i="3"/>
  <c r="G185" i="3"/>
  <c r="F275" i="3"/>
  <c r="G484" i="3"/>
  <c r="F227" i="3"/>
  <c r="F580" i="3"/>
  <c r="G623" i="3"/>
  <c r="F287" i="3"/>
  <c r="G554" i="3"/>
  <c r="F537" i="3"/>
  <c r="F744" i="3"/>
  <c r="F528" i="3"/>
  <c r="F318" i="3"/>
  <c r="F581" i="3"/>
  <c r="F762" i="3"/>
  <c r="F846" i="3"/>
  <c r="G721" i="3"/>
  <c r="G181" i="3"/>
  <c r="F150" i="3"/>
  <c r="G168" i="3"/>
  <c r="G686" i="3"/>
  <c r="G718" i="3"/>
  <c r="F124" i="3"/>
  <c r="F410" i="6" s="1"/>
  <c r="F264" i="3"/>
  <c r="F839" i="3"/>
  <c r="F865" i="3"/>
  <c r="F511" i="3"/>
  <c r="F758" i="3"/>
  <c r="F35" i="3"/>
  <c r="G520" i="3"/>
  <c r="G633" i="3"/>
  <c r="G615" i="3"/>
  <c r="G353" i="3"/>
  <c r="F7" i="3"/>
  <c r="F284" i="3"/>
  <c r="F631" i="3"/>
  <c r="F210" i="3"/>
  <c r="F704" i="3"/>
  <c r="F187" i="3"/>
  <c r="F864" i="3"/>
  <c r="G147" i="3"/>
  <c r="F290" i="3"/>
  <c r="F82" i="3"/>
  <c r="G45" i="3"/>
  <c r="F202" i="3"/>
  <c r="F392" i="3"/>
  <c r="G335" i="3"/>
  <c r="G90" i="3"/>
  <c r="G539" i="3"/>
  <c r="F538" i="3"/>
  <c r="G120" i="3"/>
  <c r="F305" i="3"/>
  <c r="F729" i="3"/>
  <c r="G647" i="3"/>
  <c r="F707" i="3"/>
  <c r="F298" i="3"/>
  <c r="G77" i="3"/>
  <c r="G234" i="3"/>
  <c r="F509" i="3"/>
  <c r="G506" i="3"/>
  <c r="F785" i="3"/>
  <c r="G404" i="3"/>
  <c r="G23" i="3"/>
  <c r="G32" i="3"/>
  <c r="F697" i="3"/>
  <c r="F255" i="3"/>
  <c r="F143" i="3"/>
  <c r="G360" i="3"/>
  <c r="G393" i="3"/>
  <c r="F327" i="3"/>
  <c r="G680" i="3"/>
  <c r="F606" i="3"/>
  <c r="F68" i="3"/>
  <c r="F11" i="7" s="1"/>
  <c r="F261" i="3"/>
  <c r="F504" i="3"/>
  <c r="G662" i="3"/>
  <c r="G595" i="3"/>
  <c r="G509" i="3"/>
  <c r="G369" i="3"/>
  <c r="F259" i="3"/>
  <c r="F732" i="3"/>
  <c r="F843" i="3"/>
  <c r="F141" i="3"/>
  <c r="G587" i="3"/>
  <c r="F722" i="3"/>
  <c r="F610" i="3"/>
  <c r="G726" i="3"/>
  <c r="G237" i="3"/>
  <c r="G722" i="3"/>
  <c r="F488" i="3"/>
  <c r="G273" i="3"/>
  <c r="F46" i="3"/>
  <c r="G419" i="3"/>
  <c r="G223" i="3"/>
  <c r="F302" i="3"/>
  <c r="G294" i="3"/>
  <c r="F771" i="3"/>
  <c r="F852" i="3"/>
  <c r="G401" i="3"/>
  <c r="G812" i="3"/>
  <c r="F21" i="3"/>
  <c r="G52" i="3"/>
  <c r="F293" i="3"/>
  <c r="G431" i="3"/>
  <c r="F240" i="3"/>
  <c r="F86" i="3"/>
  <c r="G754" i="3"/>
  <c r="F503" i="3"/>
  <c r="G514" i="3"/>
  <c r="F403" i="3"/>
  <c r="G476" i="3"/>
  <c r="F607" i="3"/>
  <c r="F304" i="3"/>
  <c r="F152" i="3"/>
  <c r="F349" i="3"/>
  <c r="G585" i="3"/>
  <c r="F596" i="3"/>
  <c r="G511" i="3"/>
  <c r="F169" i="3"/>
  <c r="F712" i="3"/>
  <c r="G363" i="3"/>
  <c r="G427" i="3"/>
  <c r="G776" i="3"/>
  <c r="F129" i="3"/>
  <c r="G545" i="3"/>
  <c r="G679" i="3"/>
  <c r="F370" i="3"/>
  <c r="G667" i="3"/>
  <c r="F741" i="3"/>
  <c r="G716" i="3"/>
  <c r="F575" i="3"/>
  <c r="G569" i="3"/>
  <c r="F217" i="3"/>
  <c r="F316" i="3"/>
  <c r="G736" i="3"/>
  <c r="G94" i="3"/>
  <c r="F395" i="3"/>
  <c r="F595" i="3"/>
  <c r="F710" i="3"/>
  <c r="G224" i="3"/>
  <c r="G411" i="3"/>
  <c r="G684" i="3"/>
  <c r="F218" i="3"/>
  <c r="G178" i="3"/>
  <c r="G874" i="3"/>
  <c r="G184" i="3"/>
  <c r="G87" i="3"/>
  <c r="F680" i="3"/>
  <c r="F525" i="3"/>
  <c r="G843" i="3"/>
  <c r="G209" i="3"/>
  <c r="F76" i="3"/>
  <c r="F462" i="3"/>
  <c r="G430" i="3"/>
  <c r="F120" i="3"/>
  <c r="G54" i="3"/>
  <c r="F541" i="3"/>
  <c r="F71" i="3"/>
  <c r="F17" i="7" s="1"/>
  <c r="F639" i="3"/>
  <c r="G368" i="3"/>
  <c r="G327" i="3"/>
  <c r="F336" i="3"/>
  <c r="G445" i="3"/>
  <c r="G832" i="3"/>
  <c r="G370" i="3"/>
  <c r="F470" i="3"/>
  <c r="F162" i="3"/>
  <c r="G688" i="3"/>
  <c r="F790" i="3"/>
  <c r="F230" i="3"/>
  <c r="G871" i="3"/>
  <c r="F681" i="3"/>
  <c r="G745" i="3"/>
  <c r="F385" i="3"/>
  <c r="F560" i="3"/>
  <c r="F191" i="3"/>
  <c r="G238" i="3"/>
  <c r="F566" i="3"/>
  <c r="F326" i="3"/>
  <c r="F135" i="3"/>
  <c r="F743" i="3"/>
  <c r="F661" i="3"/>
  <c r="G61" i="3"/>
  <c r="G10" i="7" s="1"/>
  <c r="F763" i="3"/>
  <c r="G760" i="3"/>
  <c r="F48" i="3"/>
  <c r="G653" i="3"/>
  <c r="G710" i="3"/>
  <c r="G466" i="3"/>
  <c r="F81" i="3"/>
  <c r="F390" i="6" l="1"/>
  <c r="F477" i="6"/>
  <c r="F370" i="6"/>
  <c r="F510" i="6"/>
  <c r="F458" i="6"/>
  <c r="G40" i="1"/>
  <c r="G423" i="6"/>
  <c r="G475" i="6"/>
  <c r="F436" i="6"/>
  <c r="G502" i="6"/>
  <c r="F382" i="6"/>
  <c r="F514" i="6"/>
  <c r="F434" i="6"/>
  <c r="F508" i="6"/>
  <c r="G513" i="6"/>
  <c r="G46" i="1"/>
  <c r="G478" i="6"/>
  <c r="G460" i="6"/>
  <c r="F374" i="6"/>
  <c r="F41" i="1"/>
  <c r="G376" i="6"/>
  <c r="F470" i="6"/>
  <c r="G461" i="6"/>
  <c r="F337" i="6"/>
  <c r="G511" i="6"/>
  <c r="F435" i="6"/>
  <c r="F367" i="6"/>
  <c r="F507" i="6"/>
  <c r="G359" i="6"/>
  <c r="G6" i="7"/>
  <c r="F373" i="6"/>
  <c r="F91" i="1"/>
  <c r="F455" i="6"/>
  <c r="G484" i="6"/>
  <c r="G373" i="6"/>
  <c r="G462" i="6"/>
  <c r="F353" i="6"/>
  <c r="F397" i="6"/>
  <c r="F484" i="6"/>
  <c r="F42" i="1"/>
  <c r="F336" i="6"/>
  <c r="F485" i="6"/>
  <c r="G91" i="1"/>
  <c r="F480" i="6"/>
  <c r="G35" i="1"/>
  <c r="F460" i="6"/>
  <c r="G387" i="6"/>
  <c r="F487" i="6"/>
  <c r="G506" i="6"/>
  <c r="G435" i="6"/>
  <c r="G403" i="6"/>
  <c r="F463" i="6"/>
  <c r="F488" i="6"/>
  <c r="G368" i="6"/>
  <c r="G7" i="7"/>
  <c r="F472" i="6"/>
  <c r="F47" i="1"/>
  <c r="F359" i="6"/>
  <c r="F6" i="7"/>
  <c r="G353" i="6"/>
  <c r="G454" i="6"/>
  <c r="G334" i="6"/>
  <c r="G482" i="6"/>
  <c r="F509" i="6"/>
  <c r="F469" i="6"/>
  <c r="G374" i="6"/>
  <c r="F511" i="6"/>
  <c r="F454" i="6"/>
  <c r="F39" i="1"/>
  <c r="F506" i="6"/>
  <c r="F371" i="6"/>
  <c r="F396" i="6"/>
  <c r="F481" i="6"/>
  <c r="F502" i="6"/>
  <c r="F425" i="6"/>
  <c r="F400" i="6"/>
  <c r="F102" i="1"/>
  <c r="F46" i="1"/>
  <c r="G459" i="6"/>
  <c r="G494" i="6"/>
  <c r="G335" i="6"/>
  <c r="G45" i="1"/>
  <c r="G457" i="6"/>
  <c r="F365" i="6"/>
  <c r="F37" i="1"/>
  <c r="F427" i="6"/>
  <c r="F494" i="6"/>
  <c r="F457" i="6"/>
  <c r="G41" i="1"/>
  <c r="F357" i="6"/>
  <c r="F3" i="7"/>
  <c r="G356" i="6"/>
  <c r="G489" i="6"/>
  <c r="G47" i="1"/>
  <c r="F358" i="6"/>
  <c r="F5" i="7"/>
  <c r="G510" i="6"/>
  <c r="G370" i="6"/>
  <c r="F395" i="6"/>
  <c r="G470" i="6"/>
  <c r="G404" i="6"/>
  <c r="G371" i="6"/>
  <c r="G434" i="6"/>
  <c r="G507" i="6"/>
  <c r="F503" i="6"/>
  <c r="F403" i="6"/>
  <c r="G394" i="6"/>
  <c r="G367" i="6"/>
  <c r="F476" i="6"/>
  <c r="G463" i="6"/>
  <c r="F148" i="1"/>
  <c r="F35" i="1"/>
  <c r="F93" i="1"/>
  <c r="G337" i="6"/>
  <c r="G509" i="6"/>
  <c r="G93" i="1"/>
  <c r="G132" i="1"/>
  <c r="G508" i="6"/>
  <c r="F394" i="6"/>
  <c r="G36" i="1"/>
  <c r="F364" i="6"/>
  <c r="G455" i="6"/>
  <c r="G395" i="6"/>
  <c r="F459" i="6"/>
  <c r="F381" i="6"/>
  <c r="G38" i="1"/>
  <c r="F489" i="6"/>
  <c r="G472" i="6"/>
  <c r="G483" i="6"/>
  <c r="G503" i="6"/>
  <c r="F475" i="6"/>
  <c r="G43" i="1"/>
  <c r="G148" i="1"/>
  <c r="F44" i="1"/>
  <c r="G397" i="6"/>
  <c r="G366" i="6"/>
  <c r="G480" i="6"/>
  <c r="F430" i="6"/>
  <c r="F420" i="6"/>
  <c r="F486" i="6"/>
  <c r="F335" i="6"/>
  <c r="G514" i="6"/>
  <c r="F424" i="6"/>
  <c r="F43" i="1"/>
  <c r="G357" i="6"/>
  <c r="G3" i="7"/>
  <c r="G487" i="6"/>
  <c r="G365" i="6"/>
  <c r="F471" i="6"/>
  <c r="G420" i="6"/>
  <c r="F36" i="1"/>
  <c r="G488" i="6"/>
  <c r="G458" i="6"/>
  <c r="G34" i="1"/>
  <c r="F505" i="6"/>
  <c r="G430" i="6"/>
  <c r="G477" i="6"/>
  <c r="G390" i="6"/>
  <c r="G336" i="6"/>
  <c r="G456" i="6"/>
  <c r="G495" i="6"/>
  <c r="F34" i="1"/>
  <c r="F376" i="6"/>
  <c r="F366" i="6"/>
  <c r="F504" i="6"/>
  <c r="G479" i="6"/>
  <c r="G436" i="6"/>
  <c r="F45" i="1"/>
  <c r="G44" i="1"/>
  <c r="G421" i="6"/>
  <c r="G364" i="6"/>
  <c r="G39" i="1"/>
  <c r="G504" i="6"/>
  <c r="G424" i="6"/>
  <c r="F462" i="6"/>
  <c r="F40" i="1"/>
  <c r="F372" i="6"/>
  <c r="G381" i="6"/>
  <c r="F461" i="6"/>
  <c r="G427" i="6"/>
  <c r="G415" i="6"/>
  <c r="G486" i="6"/>
  <c r="F387" i="6"/>
  <c r="G37" i="1"/>
  <c r="F479" i="6"/>
  <c r="G382" i="6"/>
  <c r="F495" i="6"/>
  <c r="F423" i="6"/>
  <c r="F483" i="6"/>
  <c r="G481" i="6"/>
  <c r="F421" i="6"/>
  <c r="F334" i="6"/>
  <c r="F482" i="6"/>
  <c r="G400" i="6"/>
  <c r="F38" i="1"/>
  <c r="G396" i="6"/>
  <c r="F513" i="6"/>
  <c r="G358" i="6"/>
  <c r="G5" i="7"/>
  <c r="G505" i="6"/>
  <c r="G476" i="6"/>
  <c r="G425" i="6"/>
  <c r="F404" i="6"/>
  <c r="G412" i="6"/>
  <c r="G8" i="7"/>
  <c r="F132" i="1"/>
  <c r="F412" i="6"/>
  <c r="F8" i="7"/>
  <c r="G372" i="6"/>
  <c r="G485" i="6"/>
  <c r="F368" i="6"/>
  <c r="F7" i="7"/>
  <c r="F478" i="6"/>
  <c r="G469" i="6"/>
  <c r="G471" i="6"/>
  <c r="G42" i="1"/>
  <c r="F121" i="1"/>
  <c r="F356" i="6"/>
  <c r="F81" i="1"/>
  <c r="F416" i="6"/>
  <c r="G51" i="1"/>
  <c r="G429" i="6"/>
  <c r="F6" i="1"/>
  <c r="F362" i="6"/>
  <c r="F84" i="1"/>
  <c r="F350" i="6"/>
  <c r="G143" i="1"/>
  <c r="G466" i="6"/>
  <c r="G168" i="1"/>
  <c r="G413" i="6"/>
  <c r="F135" i="1"/>
  <c r="F399" i="6"/>
  <c r="F20" i="1"/>
  <c r="F401" i="6"/>
  <c r="F63" i="1"/>
  <c r="F439" i="6"/>
  <c r="G72" i="1"/>
  <c r="G500" i="6"/>
  <c r="F27" i="1"/>
  <c r="F352" i="6"/>
  <c r="F83" i="1"/>
  <c r="F418" i="6"/>
  <c r="F130" i="1"/>
  <c r="F388" i="6"/>
  <c r="G30" i="1"/>
  <c r="G333" i="6"/>
  <c r="G94" i="1"/>
  <c r="G402" i="6"/>
  <c r="F22" i="1"/>
  <c r="F498" i="6"/>
  <c r="G55" i="1"/>
  <c r="G440" i="6"/>
  <c r="G92" i="1"/>
  <c r="G422" i="6"/>
  <c r="F18" i="1"/>
  <c r="F344" i="6"/>
  <c r="G167" i="1"/>
  <c r="G389" i="6"/>
  <c r="F67" i="1"/>
  <c r="F451" i="6"/>
  <c r="G96" i="1"/>
  <c r="G467" i="6"/>
  <c r="F32" i="1"/>
  <c r="F493" i="6"/>
  <c r="F164" i="1"/>
  <c r="F411" i="6"/>
  <c r="G83" i="1"/>
  <c r="G418" i="6"/>
  <c r="F29" i="1"/>
  <c r="F490" i="6"/>
  <c r="G17" i="1"/>
  <c r="G398" i="6"/>
  <c r="G66" i="1"/>
  <c r="G445" i="6"/>
  <c r="F49" i="1"/>
  <c r="F392" i="6"/>
  <c r="F57" i="1"/>
  <c r="F443" i="6"/>
  <c r="F86" i="1"/>
  <c r="F512" i="6"/>
  <c r="G62" i="1"/>
  <c r="G448" i="6"/>
  <c r="G86" i="1"/>
  <c r="G512" i="6"/>
  <c r="F52" i="1"/>
  <c r="F426" i="6"/>
  <c r="F78" i="1"/>
  <c r="F348" i="6"/>
  <c r="G10" i="1"/>
  <c r="G384" i="6"/>
  <c r="F73" i="1"/>
  <c r="F343" i="6"/>
  <c r="G73" i="1"/>
  <c r="G343" i="6"/>
  <c r="G26" i="1"/>
  <c r="G501" i="6"/>
  <c r="G8" i="1"/>
  <c r="G361" i="6"/>
  <c r="G24" i="1"/>
  <c r="G345" i="6"/>
  <c r="F64" i="1"/>
  <c r="F453" i="6"/>
  <c r="G29" i="1"/>
  <c r="G490" i="6"/>
  <c r="G21" i="1"/>
  <c r="G496" i="6"/>
  <c r="F51" i="1"/>
  <c r="F429" i="6"/>
  <c r="G27" i="1"/>
  <c r="G352" i="6"/>
  <c r="G165" i="1"/>
  <c r="G406" i="6"/>
  <c r="F66" i="1"/>
  <c r="F445" i="6"/>
  <c r="G6" i="1"/>
  <c r="G362" i="6"/>
  <c r="G164" i="1"/>
  <c r="G411" i="6"/>
  <c r="F71" i="1"/>
  <c r="F375" i="6"/>
  <c r="G31" i="1"/>
  <c r="G433" i="6"/>
  <c r="G85" i="1"/>
  <c r="G349" i="6"/>
  <c r="F70" i="1"/>
  <c r="F446" i="6"/>
  <c r="F59" i="1"/>
  <c r="F450" i="6"/>
  <c r="G50" i="1"/>
  <c r="G393" i="6"/>
  <c r="F68" i="1"/>
  <c r="F442" i="6"/>
  <c r="F31" i="1"/>
  <c r="F433" i="6"/>
  <c r="G32" i="1"/>
  <c r="G493" i="6"/>
  <c r="G67" i="1"/>
  <c r="G451" i="6"/>
  <c r="F16" i="1"/>
  <c r="F377" i="6"/>
  <c r="G13" i="1"/>
  <c r="G378" i="6"/>
  <c r="F55" i="1"/>
  <c r="F440" i="6"/>
  <c r="G124" i="1"/>
  <c r="G369" i="6"/>
  <c r="G90" i="1"/>
  <c r="G354" i="6"/>
  <c r="F24" i="1"/>
  <c r="F345" i="6"/>
  <c r="F94" i="1"/>
  <c r="F402" i="6"/>
  <c r="F19" i="1"/>
  <c r="F338" i="6"/>
  <c r="F8" i="1"/>
  <c r="F361" i="6"/>
  <c r="G77" i="1"/>
  <c r="G340" i="6"/>
  <c r="F10" i="1"/>
  <c r="F384" i="6"/>
  <c r="F80" i="1"/>
  <c r="F417" i="6"/>
  <c r="F14" i="1"/>
  <c r="F379" i="6"/>
  <c r="F7" i="1"/>
  <c r="F363" i="6"/>
  <c r="G53" i="1"/>
  <c r="G468" i="6"/>
  <c r="G130" i="1"/>
  <c r="G388" i="6"/>
  <c r="F139" i="1"/>
  <c r="F456" i="6"/>
  <c r="G20" i="1"/>
  <c r="G401" i="6"/>
  <c r="F88" i="1"/>
  <c r="F355" i="6"/>
  <c r="F15" i="1"/>
  <c r="F383" i="6"/>
  <c r="G18" i="1"/>
  <c r="G344" i="6"/>
  <c r="G5" i="1"/>
  <c r="G474" i="6"/>
  <c r="F60" i="1"/>
  <c r="F447" i="6"/>
  <c r="G74" i="1"/>
  <c r="G341" i="6"/>
  <c r="F28" i="1"/>
  <c r="F491" i="6"/>
  <c r="G60" i="1"/>
  <c r="G447" i="6"/>
  <c r="G79" i="1"/>
  <c r="G347" i="6"/>
  <c r="G69" i="1"/>
  <c r="G452" i="6"/>
  <c r="G48" i="1"/>
  <c r="G391" i="6"/>
  <c r="F90" i="1"/>
  <c r="F354" i="6"/>
  <c r="F12" i="1"/>
  <c r="F385" i="6"/>
  <c r="F167" i="1"/>
  <c r="F389" i="6"/>
  <c r="G64" i="1"/>
  <c r="G453" i="6"/>
  <c r="G7" i="1"/>
  <c r="G363" i="6"/>
  <c r="F143" i="1"/>
  <c r="F466" i="6"/>
  <c r="F48" i="1"/>
  <c r="F391" i="6"/>
  <c r="G9" i="1"/>
  <c r="G380" i="6"/>
  <c r="G89" i="1"/>
  <c r="G431" i="6"/>
  <c r="G56" i="1"/>
  <c r="G438" i="6"/>
  <c r="G82" i="1"/>
  <c r="G351" i="6"/>
  <c r="G22" i="1"/>
  <c r="G498" i="6"/>
  <c r="F77" i="1"/>
  <c r="F340" i="6"/>
  <c r="F303" i="6"/>
  <c r="F192" i="6"/>
  <c r="F308" i="6"/>
  <c r="F239" i="6"/>
  <c r="F255" i="6"/>
  <c r="F112" i="6"/>
  <c r="F65" i="6"/>
  <c r="F63" i="6"/>
  <c r="F143" i="6"/>
  <c r="F144" i="6"/>
  <c r="F26" i="6"/>
  <c r="F10" i="6"/>
  <c r="F18" i="6"/>
  <c r="F34" i="6"/>
  <c r="F130" i="6"/>
  <c r="F100" i="6"/>
  <c r="F22" i="6"/>
  <c r="F62" i="6"/>
  <c r="F74" i="6"/>
  <c r="F84" i="6"/>
  <c r="F170" i="6"/>
  <c r="F206" i="6"/>
  <c r="F263" i="6"/>
  <c r="F134" i="6"/>
  <c r="F146" i="6"/>
  <c r="F178" i="6"/>
  <c r="F186" i="6"/>
  <c r="F210" i="6"/>
  <c r="F250" i="6"/>
  <c r="F283" i="6"/>
  <c r="F99" i="6"/>
  <c r="F107" i="6"/>
  <c r="F148" i="6"/>
  <c r="F166" i="6"/>
  <c r="F66" i="6"/>
  <c r="F98" i="6"/>
  <c r="F247" i="6"/>
  <c r="F268" i="6"/>
  <c r="F19" i="6"/>
  <c r="F30" i="6"/>
  <c r="F36" i="6"/>
  <c r="F52" i="6"/>
  <c r="F102" i="6"/>
  <c r="F67" i="6"/>
  <c r="F86" i="6"/>
  <c r="F223" i="6"/>
  <c r="F322" i="6"/>
  <c r="F222" i="6"/>
  <c r="F273" i="6"/>
  <c r="F46" i="6"/>
  <c r="F122" i="6"/>
  <c r="F150" i="6"/>
  <c r="F194" i="6"/>
  <c r="F226" i="6"/>
  <c r="F262" i="6"/>
  <c r="F35" i="6"/>
  <c r="F6" i="6"/>
  <c r="F14" i="6"/>
  <c r="F50" i="6"/>
  <c r="F123" i="6"/>
  <c r="F54" i="6"/>
  <c r="F132" i="6"/>
  <c r="F58" i="6"/>
  <c r="F70" i="6"/>
  <c r="F114" i="6"/>
  <c r="F199" i="6"/>
  <c r="F242" i="6"/>
  <c r="F138" i="6"/>
  <c r="F174" i="6"/>
  <c r="F182" i="6"/>
  <c r="F190" i="6"/>
  <c r="F214" i="6"/>
  <c r="F254" i="6"/>
  <c r="F275" i="6"/>
  <c r="F162" i="6"/>
  <c r="F59" i="6"/>
  <c r="F83" i="6"/>
  <c r="F91" i="6"/>
  <c r="F183" i="6"/>
  <c r="F207" i="6"/>
  <c r="F302" i="6"/>
  <c r="F38" i="6"/>
  <c r="F16" i="6"/>
  <c r="F27" i="6"/>
  <c r="F20" i="6"/>
  <c r="F43" i="6"/>
  <c r="F106" i="6"/>
  <c r="F15" i="6"/>
  <c r="F82" i="6"/>
  <c r="F90" i="6"/>
  <c r="F116" i="6"/>
  <c r="F155" i="6"/>
  <c r="F167" i="6"/>
  <c r="F259" i="6"/>
  <c r="F318" i="6"/>
  <c r="F246" i="6"/>
  <c r="F279" i="6"/>
  <c r="F326" i="6"/>
  <c r="F42" i="6"/>
  <c r="F51" i="6"/>
  <c r="F118" i="6"/>
  <c r="F154" i="6"/>
  <c r="F198" i="6"/>
  <c r="F230" i="6"/>
  <c r="F258" i="6"/>
  <c r="F75" i="6"/>
  <c r="F131" i="6"/>
  <c r="F139" i="6"/>
  <c r="F211" i="6"/>
  <c r="F243" i="6"/>
  <c r="F286" i="6"/>
  <c r="F316" i="6"/>
  <c r="F64" i="6"/>
  <c r="F227" i="6"/>
  <c r="F111" i="6"/>
  <c r="F256" i="6"/>
  <c r="F32" i="6"/>
  <c r="F231" i="6"/>
  <c r="F269" i="6"/>
  <c r="F176" i="6"/>
  <c r="F304" i="6"/>
  <c r="F4" i="6"/>
  <c r="F17" i="6"/>
  <c r="F128" i="6"/>
  <c r="F159" i="6"/>
  <c r="F33" i="6"/>
  <c r="F321" i="6"/>
  <c r="F71" i="6"/>
  <c r="F13" i="6"/>
  <c r="F61" i="6"/>
  <c r="F129" i="6"/>
  <c r="F45" i="6"/>
  <c r="F81" i="6"/>
  <c r="F113" i="6"/>
  <c r="F145" i="6"/>
  <c r="F29" i="6"/>
  <c r="F248" i="6"/>
  <c r="F87" i="6"/>
  <c r="F119" i="6"/>
  <c r="F151" i="6"/>
  <c r="F179" i="6"/>
  <c r="F287" i="6"/>
  <c r="F315" i="6"/>
  <c r="F238" i="6"/>
  <c r="F292" i="6"/>
  <c r="F203" i="6"/>
  <c r="F266" i="6"/>
  <c r="F115" i="6"/>
  <c r="F290" i="6"/>
  <c r="F187" i="6"/>
  <c r="F47" i="6"/>
  <c r="F232" i="6"/>
  <c r="F11" i="6"/>
  <c r="F160" i="6"/>
  <c r="F219" i="6"/>
  <c r="F301" i="6"/>
  <c r="F331" i="6"/>
  <c r="F142" i="6"/>
  <c r="F78" i="6"/>
  <c r="F94" i="6"/>
  <c r="F126" i="6"/>
  <c r="F158" i="6"/>
  <c r="F93" i="6"/>
  <c r="F125" i="6"/>
  <c r="F157" i="6"/>
  <c r="F215" i="6"/>
  <c r="F288" i="6"/>
  <c r="F325" i="6"/>
  <c r="F184" i="6"/>
  <c r="F291" i="6"/>
  <c r="F293" i="6"/>
  <c r="F311" i="6"/>
  <c r="F68" i="6"/>
  <c r="F317" i="6"/>
  <c r="F48" i="6"/>
  <c r="F79" i="6"/>
  <c r="F95" i="6"/>
  <c r="F171" i="6"/>
  <c r="F328" i="6"/>
  <c r="F319" i="6"/>
  <c r="F7" i="6"/>
  <c r="F97" i="6"/>
  <c r="F49" i="6"/>
  <c r="F39" i="6"/>
  <c r="F55" i="6"/>
  <c r="F23" i="6"/>
  <c r="F103" i="6"/>
  <c r="F135" i="6"/>
  <c r="F163" i="6"/>
  <c r="F195" i="6"/>
  <c r="F216" i="6"/>
  <c r="F224" i="6"/>
  <c r="F284" i="6"/>
  <c r="F235" i="6"/>
  <c r="F294" i="6"/>
  <c r="F127" i="6"/>
  <c r="F141" i="6"/>
  <c r="F267" i="6"/>
  <c r="F240" i="6"/>
  <c r="F234" i="6"/>
  <c r="F323" i="6"/>
  <c r="F104" i="6"/>
  <c r="F133" i="6"/>
  <c r="F270" i="6"/>
  <c r="F289" i="6"/>
  <c r="F309" i="6"/>
  <c r="F37" i="6"/>
  <c r="F9" i="6"/>
  <c r="F44" i="6"/>
  <c r="F73" i="6"/>
  <c r="F108" i="6"/>
  <c r="F137" i="6"/>
  <c r="F180" i="6"/>
  <c r="F212" i="6"/>
  <c r="F244" i="6"/>
  <c r="F274" i="6"/>
  <c r="F306" i="6"/>
  <c r="F300" i="6"/>
  <c r="F272" i="6"/>
  <c r="F282" i="6"/>
  <c r="F332" i="6"/>
  <c r="F298" i="6"/>
  <c r="F191" i="6"/>
  <c r="F31" i="6"/>
  <c r="F320" i="6"/>
  <c r="F295" i="6"/>
  <c r="F264" i="6"/>
  <c r="F296" i="6"/>
  <c r="F24" i="6"/>
  <c r="F72" i="6"/>
  <c r="F117" i="6"/>
  <c r="F152" i="6"/>
  <c r="F173" i="6"/>
  <c r="F189" i="6"/>
  <c r="F205" i="6"/>
  <c r="F221" i="6"/>
  <c r="F237" i="6"/>
  <c r="F253" i="6"/>
  <c r="F276" i="6"/>
  <c r="F8" i="6"/>
  <c r="F88" i="6"/>
  <c r="F28" i="6"/>
  <c r="F57" i="6"/>
  <c r="F92" i="6"/>
  <c r="F121" i="6"/>
  <c r="F156" i="6"/>
  <c r="F188" i="6"/>
  <c r="F220" i="6"/>
  <c r="F252" i="6"/>
  <c r="F147" i="6"/>
  <c r="F299" i="6"/>
  <c r="F175" i="6"/>
  <c r="F110" i="6"/>
  <c r="F77" i="6"/>
  <c r="F327" i="6"/>
  <c r="F168" i="6"/>
  <c r="F202" i="6"/>
  <c r="F285" i="6"/>
  <c r="F40" i="6"/>
  <c r="F85" i="6"/>
  <c r="F136" i="6"/>
  <c r="F313" i="6"/>
  <c r="F271" i="6"/>
  <c r="F21" i="6"/>
  <c r="F56" i="6"/>
  <c r="F101" i="6"/>
  <c r="F12" i="6"/>
  <c r="F41" i="6"/>
  <c r="F76" i="6"/>
  <c r="F105" i="6"/>
  <c r="F140" i="6"/>
  <c r="F164" i="6"/>
  <c r="F307" i="6"/>
  <c r="F181" i="6"/>
  <c r="F245" i="6"/>
  <c r="F89" i="6"/>
  <c r="F172" i="6"/>
  <c r="F236" i="6"/>
  <c r="F280" i="6"/>
  <c r="F177" i="6"/>
  <c r="F217" i="6"/>
  <c r="F241" i="6"/>
  <c r="F330" i="6"/>
  <c r="F297" i="6"/>
  <c r="F329" i="6"/>
  <c r="F314" i="6"/>
  <c r="F165" i="6"/>
  <c r="F60" i="6"/>
  <c r="F278" i="6"/>
  <c r="F200" i="6"/>
  <c r="F120" i="6"/>
  <c r="F197" i="6"/>
  <c r="F261" i="6"/>
  <c r="F25" i="6"/>
  <c r="F196" i="6"/>
  <c r="F260" i="6"/>
  <c r="F277" i="6"/>
  <c r="F161" i="6"/>
  <c r="F201" i="6"/>
  <c r="F225" i="6"/>
  <c r="F265" i="6"/>
  <c r="F305" i="6"/>
  <c r="F69" i="6"/>
  <c r="F228" i="6"/>
  <c r="F169" i="6"/>
  <c r="F257" i="6"/>
  <c r="F251" i="6"/>
  <c r="F96" i="6"/>
  <c r="F109" i="6"/>
  <c r="F149" i="6"/>
  <c r="F213" i="6"/>
  <c r="F281" i="6"/>
  <c r="F124" i="6"/>
  <c r="F204" i="6"/>
  <c r="F312" i="6"/>
  <c r="F185" i="6"/>
  <c r="F209" i="6"/>
  <c r="F249" i="6"/>
  <c r="F310" i="6"/>
  <c r="F324" i="6"/>
  <c r="F80" i="6"/>
  <c r="F218" i="6"/>
  <c r="F208" i="6"/>
  <c r="F53" i="6"/>
  <c r="F229" i="6"/>
  <c r="F153" i="6"/>
  <c r="F5" i="6"/>
  <c r="F193" i="6"/>
  <c r="F233" i="6"/>
  <c r="F65" i="1"/>
  <c r="F449" i="6"/>
  <c r="G222" i="6"/>
  <c r="G116" i="6"/>
  <c r="G35" i="6"/>
  <c r="G263" i="6"/>
  <c r="G242" i="6"/>
  <c r="G206" i="6"/>
  <c r="G199" i="6"/>
  <c r="G170" i="6"/>
  <c r="G167" i="6"/>
  <c r="G144" i="6"/>
  <c r="G143" i="6"/>
  <c r="G316" i="6"/>
  <c r="G147" i="6"/>
  <c r="G36" i="6"/>
  <c r="G130" i="6"/>
  <c r="G123" i="6"/>
  <c r="G98" i="6"/>
  <c r="G91" i="6"/>
  <c r="G68" i="6"/>
  <c r="G50" i="6"/>
  <c r="G34" i="6"/>
  <c r="G27" i="6"/>
  <c r="G20" i="6"/>
  <c r="G19" i="6"/>
  <c r="G9" i="6"/>
  <c r="G4" i="6"/>
  <c r="G119" i="6"/>
  <c r="G8" i="6"/>
  <c r="G31" i="6"/>
  <c r="G47" i="6"/>
  <c r="G108" i="6"/>
  <c r="G93" i="6"/>
  <c r="G149" i="6"/>
  <c r="G157" i="6"/>
  <c r="G235" i="6"/>
  <c r="G320" i="6"/>
  <c r="G220" i="6"/>
  <c r="G269" i="6"/>
  <c r="G301" i="6"/>
  <c r="G328" i="6"/>
  <c r="G44" i="6"/>
  <c r="G53" i="6"/>
  <c r="G120" i="6"/>
  <c r="G156" i="6"/>
  <c r="G203" i="6"/>
  <c r="G232" i="6"/>
  <c r="G260" i="6"/>
  <c r="G317" i="6"/>
  <c r="G77" i="6"/>
  <c r="G87" i="6"/>
  <c r="G133" i="6"/>
  <c r="G141" i="6"/>
  <c r="G175" i="6"/>
  <c r="G191" i="6"/>
  <c r="G215" i="6"/>
  <c r="G288" i="6"/>
  <c r="G327" i="6"/>
  <c r="G32" i="6"/>
  <c r="G40" i="6"/>
  <c r="G12" i="6"/>
  <c r="G21" i="6"/>
  <c r="G37" i="6"/>
  <c r="G121" i="6"/>
  <c r="G11" i="6"/>
  <c r="G112" i="6"/>
  <c r="G56" i="6"/>
  <c r="G76" i="6"/>
  <c r="G95" i="6"/>
  <c r="G151" i="6"/>
  <c r="G159" i="6"/>
  <c r="G195" i="6"/>
  <c r="G239" i="6"/>
  <c r="G304" i="6"/>
  <c r="G136" i="6"/>
  <c r="G172" i="6"/>
  <c r="G180" i="6"/>
  <c r="G188" i="6"/>
  <c r="G212" i="6"/>
  <c r="G252" i="6"/>
  <c r="G287" i="6"/>
  <c r="G303" i="6"/>
  <c r="G64" i="6"/>
  <c r="G101" i="6"/>
  <c r="G109" i="6"/>
  <c r="G160" i="6"/>
  <c r="G236" i="6"/>
  <c r="G319" i="6"/>
  <c r="G24" i="6"/>
  <c r="G25" i="6"/>
  <c r="G33" i="6"/>
  <c r="G5" i="6"/>
  <c r="G41" i="6"/>
  <c r="G104" i="6"/>
  <c r="G80" i="6"/>
  <c r="G88" i="6"/>
  <c r="G153" i="6"/>
  <c r="G163" i="6"/>
  <c r="G227" i="6"/>
  <c r="G308" i="6"/>
  <c r="G324" i="6"/>
  <c r="G244" i="6"/>
  <c r="G289" i="6"/>
  <c r="G315" i="6"/>
  <c r="G48" i="6"/>
  <c r="G69" i="6"/>
  <c r="G103" i="6"/>
  <c r="G111" i="6"/>
  <c r="G125" i="6"/>
  <c r="G152" i="6"/>
  <c r="G196" i="6"/>
  <c r="G228" i="6"/>
  <c r="G256" i="6"/>
  <c r="G305" i="6"/>
  <c r="G321" i="6"/>
  <c r="G73" i="6"/>
  <c r="G124" i="6"/>
  <c r="G137" i="6"/>
  <c r="G168" i="6"/>
  <c r="G240" i="6"/>
  <c r="G255" i="6"/>
  <c r="G276" i="6"/>
  <c r="G99" i="6"/>
  <c r="G198" i="6"/>
  <c r="G66" i="6"/>
  <c r="G17" i="6"/>
  <c r="G28" i="6"/>
  <c r="G117" i="6"/>
  <c r="G128" i="6"/>
  <c r="G49" i="6"/>
  <c r="G65" i="6"/>
  <c r="G60" i="6"/>
  <c r="G72" i="6"/>
  <c r="G204" i="6"/>
  <c r="G231" i="6"/>
  <c r="G140" i="6"/>
  <c r="G176" i="6"/>
  <c r="G184" i="6"/>
  <c r="G192" i="6"/>
  <c r="G216" i="6"/>
  <c r="G267" i="6"/>
  <c r="G299" i="6"/>
  <c r="G92" i="6"/>
  <c r="G105" i="6"/>
  <c r="G127" i="6"/>
  <c r="G164" i="6"/>
  <c r="G307" i="6"/>
  <c r="G325" i="6"/>
  <c r="G63" i="6"/>
  <c r="G85" i="6"/>
  <c r="G96" i="6"/>
  <c r="G171" i="6"/>
  <c r="G187" i="6"/>
  <c r="G264" i="6"/>
  <c r="G89" i="6"/>
  <c r="G179" i="6"/>
  <c r="G270" i="6"/>
  <c r="G59" i="6"/>
  <c r="G83" i="6"/>
  <c r="G183" i="6"/>
  <c r="G75" i="6"/>
  <c r="G100" i="6"/>
  <c r="G182" i="6"/>
  <c r="G302" i="6"/>
  <c r="G110" i="6"/>
  <c r="G210" i="6"/>
  <c r="G218" i="6"/>
  <c r="G178" i="6"/>
  <c r="G247" i="6"/>
  <c r="G291" i="6"/>
  <c r="G57" i="6"/>
  <c r="G200" i="6"/>
  <c r="G115" i="6"/>
  <c r="G230" i="6"/>
  <c r="G279" i="6"/>
  <c r="G62" i="6"/>
  <c r="G131" i="6"/>
  <c r="G186" i="6"/>
  <c r="G273" i="6"/>
  <c r="G258" i="6"/>
  <c r="G318" i="6"/>
  <c r="G14" i="6"/>
  <c r="G43" i="6"/>
  <c r="G82" i="6"/>
  <c r="G107" i="6"/>
  <c r="G132" i="6"/>
  <c r="G322" i="6"/>
  <c r="G7" i="6"/>
  <c r="G97" i="6"/>
  <c r="G46" i="6"/>
  <c r="G39" i="6"/>
  <c r="G55" i="6"/>
  <c r="G23" i="6"/>
  <c r="G190" i="6"/>
  <c r="G224" i="6"/>
  <c r="G238" i="6"/>
  <c r="G292" i="6"/>
  <c r="G214" i="6"/>
  <c r="G250" i="6"/>
  <c r="G266" i="6"/>
  <c r="G202" i="6"/>
  <c r="G234" i="6"/>
  <c r="G135" i="6"/>
  <c r="G219" i="6"/>
  <c r="G331" i="6"/>
  <c r="G148" i="6"/>
  <c r="G211" i="6"/>
  <c r="G155" i="6"/>
  <c r="G223" i="6"/>
  <c r="G259" i="6"/>
  <c r="G290" i="6"/>
  <c r="G275" i="6"/>
  <c r="G18" i="6"/>
  <c r="G15" i="6"/>
  <c r="G51" i="6"/>
  <c r="G114" i="6"/>
  <c r="G139" i="6"/>
  <c r="G243" i="6"/>
  <c r="G142" i="6"/>
  <c r="G78" i="6"/>
  <c r="G94" i="6"/>
  <c r="G126" i="6"/>
  <c r="G158" i="6"/>
  <c r="G295" i="6"/>
  <c r="G326" i="6"/>
  <c r="G162" i="6"/>
  <c r="G194" i="6"/>
  <c r="G254" i="6"/>
  <c r="G283" i="6"/>
  <c r="G208" i="6"/>
  <c r="G166" i="6"/>
  <c r="G30" i="6"/>
  <c r="G61" i="6"/>
  <c r="G113" i="6"/>
  <c r="G296" i="6"/>
  <c r="G54" i="6"/>
  <c r="G150" i="6"/>
  <c r="G173" i="6"/>
  <c r="G189" i="6"/>
  <c r="G205" i="6"/>
  <c r="G221" i="6"/>
  <c r="G237" i="6"/>
  <c r="G253" i="6"/>
  <c r="G70" i="6"/>
  <c r="G26" i="6"/>
  <c r="G90" i="6"/>
  <c r="G154" i="6"/>
  <c r="G161" i="6"/>
  <c r="G177" i="6"/>
  <c r="G193" i="6"/>
  <c r="G209" i="6"/>
  <c r="G225" i="6"/>
  <c r="G241" i="6"/>
  <c r="G257" i="6"/>
  <c r="G79" i="6"/>
  <c r="G226" i="6"/>
  <c r="G16" i="6"/>
  <c r="G146" i="6"/>
  <c r="G71" i="6"/>
  <c r="G129" i="6"/>
  <c r="G145" i="6"/>
  <c r="G174" i="6"/>
  <c r="G284" i="6"/>
  <c r="G285" i="6"/>
  <c r="G134" i="6"/>
  <c r="G313" i="6"/>
  <c r="G271" i="6"/>
  <c r="G38" i="6"/>
  <c r="G10" i="6"/>
  <c r="G74" i="6"/>
  <c r="G138" i="6"/>
  <c r="G274" i="6"/>
  <c r="G306" i="6"/>
  <c r="G84" i="6"/>
  <c r="G52" i="6"/>
  <c r="G262" i="6"/>
  <c r="G67" i="6"/>
  <c r="G45" i="6"/>
  <c r="G29" i="6"/>
  <c r="G207" i="6"/>
  <c r="G286" i="6"/>
  <c r="G311" i="6"/>
  <c r="G118" i="6"/>
  <c r="G165" i="6"/>
  <c r="G181" i="6"/>
  <c r="G197" i="6"/>
  <c r="G213" i="6"/>
  <c r="G229" i="6"/>
  <c r="G245" i="6"/>
  <c r="G261" i="6"/>
  <c r="G281" i="6"/>
  <c r="G58" i="6"/>
  <c r="G122" i="6"/>
  <c r="G251" i="6"/>
  <c r="G81" i="6"/>
  <c r="G293" i="6"/>
  <c r="G86" i="6"/>
  <c r="G309" i="6"/>
  <c r="G102" i="6"/>
  <c r="G277" i="6"/>
  <c r="G6" i="6"/>
  <c r="G201" i="6"/>
  <c r="G265" i="6"/>
  <c r="G278" i="6"/>
  <c r="G332" i="6"/>
  <c r="G280" i="6"/>
  <c r="G217" i="6"/>
  <c r="G329" i="6"/>
  <c r="G248" i="6"/>
  <c r="G323" i="6"/>
  <c r="G106" i="6"/>
  <c r="G312" i="6"/>
  <c r="G185" i="6"/>
  <c r="G249" i="6"/>
  <c r="G282" i="6"/>
  <c r="G330" i="6"/>
  <c r="G314" i="6"/>
  <c r="G298" i="6"/>
  <c r="G294" i="6"/>
  <c r="G22" i="6"/>
  <c r="G42" i="6"/>
  <c r="G268" i="6"/>
  <c r="G300" i="6"/>
  <c r="G169" i="6"/>
  <c r="G233" i="6"/>
  <c r="G272" i="6"/>
  <c r="G246" i="6"/>
  <c r="G13" i="6"/>
  <c r="G310" i="6"/>
  <c r="G297" i="6"/>
  <c r="F9" i="1"/>
  <c r="F380" i="6"/>
  <c r="G81" i="1"/>
  <c r="G416" i="6"/>
  <c r="G57" i="1"/>
  <c r="G443" i="6"/>
  <c r="F4" i="1"/>
  <c r="F473" i="6"/>
  <c r="F50" i="1"/>
  <c r="F393" i="6"/>
  <c r="F124" i="1"/>
  <c r="F369" i="6"/>
  <c r="F74" i="1"/>
  <c r="F341" i="6"/>
  <c r="F96" i="1"/>
  <c r="F467" i="6"/>
  <c r="G65" i="1"/>
  <c r="G449" i="6"/>
  <c r="F56" i="1"/>
  <c r="F438" i="6"/>
  <c r="F62" i="1"/>
  <c r="F448" i="6"/>
  <c r="F53" i="1"/>
  <c r="F468" i="6"/>
  <c r="G54" i="1"/>
  <c r="G441" i="6"/>
  <c r="F26" i="1"/>
  <c r="F501" i="6"/>
  <c r="F169" i="1"/>
  <c r="F408" i="6"/>
  <c r="G25" i="1"/>
  <c r="G346" i="6"/>
  <c r="F92" i="1"/>
  <c r="F422" i="6"/>
  <c r="F87" i="1"/>
  <c r="F499" i="6"/>
  <c r="F85" i="1"/>
  <c r="F349" i="6"/>
  <c r="G88" i="1"/>
  <c r="G355" i="6"/>
  <c r="G12" i="1"/>
  <c r="G385" i="6"/>
  <c r="F142" i="1"/>
  <c r="F465" i="6"/>
  <c r="F33" i="1"/>
  <c r="F492" i="6"/>
  <c r="G15" i="1"/>
  <c r="G383" i="6"/>
  <c r="G4" i="1"/>
  <c r="G473" i="6"/>
  <c r="G52" i="1"/>
  <c r="G426" i="6"/>
  <c r="F23" i="1"/>
  <c r="F497" i="6"/>
  <c r="G76" i="1"/>
  <c r="G339" i="6"/>
  <c r="G16" i="1"/>
  <c r="G377" i="6"/>
  <c r="G11" i="1"/>
  <c r="G386" i="6"/>
  <c r="G19" i="1"/>
  <c r="G338" i="6"/>
  <c r="G75" i="1"/>
  <c r="G342" i="6"/>
  <c r="F30" i="1"/>
  <c r="F333" i="6"/>
  <c r="F17" i="1"/>
  <c r="F398" i="6"/>
  <c r="F76" i="1"/>
  <c r="F339" i="6"/>
  <c r="F11" i="1"/>
  <c r="F386" i="6"/>
  <c r="F25" i="1"/>
  <c r="F346" i="6"/>
  <c r="F75" i="1"/>
  <c r="F342" i="6"/>
  <c r="G63" i="1"/>
  <c r="G439" i="6"/>
  <c r="G135" i="1"/>
  <c r="G399" i="6"/>
  <c r="F54" i="1"/>
  <c r="F441" i="6"/>
  <c r="G141" i="1"/>
  <c r="G464" i="6"/>
  <c r="G23" i="1"/>
  <c r="G497" i="6"/>
  <c r="G78" i="1"/>
  <c r="G348" i="6"/>
  <c r="F58" i="1"/>
  <c r="F437" i="6"/>
  <c r="F61" i="1"/>
  <c r="F444" i="6"/>
  <c r="G33" i="1"/>
  <c r="G492" i="6"/>
  <c r="F69" i="1"/>
  <c r="F452" i="6"/>
  <c r="F82" i="1"/>
  <c r="F351" i="6"/>
  <c r="F79" i="1"/>
  <c r="F347" i="6"/>
  <c r="G95" i="1"/>
  <c r="G419" i="6"/>
  <c r="G70" i="1"/>
  <c r="G446" i="6"/>
  <c r="F21" i="1"/>
  <c r="F496" i="6"/>
  <c r="G58" i="1"/>
  <c r="G437" i="6"/>
  <c r="F72" i="1"/>
  <c r="F500" i="6"/>
  <c r="G142" i="1"/>
  <c r="G465" i="6"/>
  <c r="G80" i="1"/>
  <c r="G417" i="6"/>
  <c r="F13" i="1"/>
  <c r="F378" i="6"/>
  <c r="F5" i="1"/>
  <c r="F474" i="6"/>
  <c r="F165" i="1"/>
  <c r="F406" i="6"/>
  <c r="F89" i="1"/>
  <c r="F431" i="6"/>
  <c r="G71" i="1"/>
  <c r="G375" i="6"/>
  <c r="G68" i="1"/>
  <c r="G442" i="6"/>
  <c r="G14" i="1"/>
  <c r="G379" i="6"/>
  <c r="G61" i="1"/>
  <c r="G444" i="6"/>
  <c r="F168" i="1"/>
  <c r="F413" i="6"/>
  <c r="G28" i="1"/>
  <c r="G491" i="6"/>
  <c r="G59" i="1"/>
  <c r="G450" i="6"/>
  <c r="G87" i="1"/>
  <c r="G499" i="6"/>
  <c r="G84" i="1"/>
  <c r="G350" i="6"/>
  <c r="G49" i="1"/>
  <c r="G392" i="6"/>
  <c r="F141" i="1"/>
  <c r="F464" i="6"/>
  <c r="F95" i="1"/>
  <c r="F419" i="6"/>
  <c r="G129" i="1"/>
  <c r="G150" i="1"/>
  <c r="G166" i="1"/>
  <c r="G103" i="1"/>
  <c r="G107" i="1"/>
  <c r="G111" i="1"/>
  <c r="G115" i="1"/>
  <c r="G145" i="1"/>
  <c r="G136" i="1"/>
  <c r="G140" i="1"/>
  <c r="G138" i="1"/>
  <c r="G128" i="1"/>
  <c r="G158" i="1"/>
  <c r="G134" i="1"/>
  <c r="G161" i="1"/>
  <c r="G172" i="1"/>
  <c r="G176" i="1"/>
  <c r="G180" i="1"/>
  <c r="G184" i="1"/>
  <c r="G188" i="1"/>
  <c r="G192" i="1"/>
  <c r="G196" i="1"/>
  <c r="G200" i="1"/>
  <c r="G204" i="1"/>
  <c r="G208" i="1"/>
  <c r="G212" i="1"/>
  <c r="G216" i="1"/>
  <c r="G220" i="1"/>
  <c r="G224" i="1"/>
  <c r="G228" i="1"/>
  <c r="G232" i="1"/>
  <c r="G236" i="1"/>
  <c r="G240" i="1"/>
  <c r="G244" i="1"/>
  <c r="G248" i="1"/>
  <c r="G252" i="1"/>
  <c r="G256" i="1"/>
  <c r="G260" i="1"/>
  <c r="G264" i="1"/>
  <c r="G268" i="1"/>
  <c r="G272" i="1"/>
  <c r="G276" i="1"/>
  <c r="G280" i="1"/>
  <c r="G284" i="1"/>
  <c r="G288" i="1"/>
  <c r="G292" i="1"/>
  <c r="G296" i="1"/>
  <c r="G300" i="1"/>
  <c r="G304" i="1"/>
  <c r="G308" i="1"/>
  <c r="G312" i="1"/>
  <c r="G316" i="1"/>
  <c r="G320" i="1"/>
  <c r="G324" i="1"/>
  <c r="G328" i="1"/>
  <c r="G332" i="1"/>
  <c r="G336" i="1"/>
  <c r="G340" i="1"/>
  <c r="G344" i="1"/>
  <c r="G348" i="1"/>
  <c r="G352" i="1"/>
  <c r="G356" i="1"/>
  <c r="G360" i="1"/>
  <c r="G364" i="1"/>
  <c r="G368" i="1"/>
  <c r="G372" i="1"/>
  <c r="G376" i="1"/>
  <c r="G380" i="1"/>
  <c r="G384" i="1"/>
  <c r="G388" i="1"/>
  <c r="G392" i="1"/>
  <c r="G396" i="1"/>
  <c r="G400" i="1"/>
  <c r="G404" i="1"/>
  <c r="G408" i="1"/>
  <c r="G412" i="1"/>
  <c r="G416" i="1"/>
  <c r="G420" i="1"/>
  <c r="G424" i="1"/>
  <c r="G428" i="1"/>
  <c r="G432" i="1"/>
  <c r="G436" i="1"/>
  <c r="G97" i="1"/>
  <c r="G149" i="1"/>
  <c r="G101" i="1"/>
  <c r="G104" i="1"/>
  <c r="G108" i="1"/>
  <c r="G112" i="1"/>
  <c r="G116" i="1"/>
  <c r="G125" i="1"/>
  <c r="G154" i="1"/>
  <c r="G139" i="1"/>
  <c r="G120" i="1"/>
  <c r="G137" i="1"/>
  <c r="G153" i="1"/>
  <c r="G133" i="1"/>
  <c r="G162" i="1"/>
  <c r="G173" i="1"/>
  <c r="G177" i="1"/>
  <c r="G181" i="1"/>
  <c r="G185" i="1"/>
  <c r="G189" i="1"/>
  <c r="G193" i="1"/>
  <c r="G197" i="1"/>
  <c r="G201" i="1"/>
  <c r="G205" i="1"/>
  <c r="G209" i="1"/>
  <c r="G213" i="1"/>
  <c r="G217" i="1"/>
  <c r="G221" i="1"/>
  <c r="G225" i="1"/>
  <c r="G229" i="1"/>
  <c r="G233" i="1"/>
  <c r="G237" i="1"/>
  <c r="G241" i="1"/>
  <c r="G245" i="1"/>
  <c r="G249" i="1"/>
  <c r="G253" i="1"/>
  <c r="G257" i="1"/>
  <c r="G261" i="1"/>
  <c r="G265" i="1"/>
  <c r="G269" i="1"/>
  <c r="G273" i="1"/>
  <c r="G277" i="1"/>
  <c r="G281" i="1"/>
  <c r="G285" i="1"/>
  <c r="G289" i="1"/>
  <c r="G293" i="1"/>
  <c r="G297" i="1"/>
  <c r="G301" i="1"/>
  <c r="G305" i="1"/>
  <c r="G309" i="1"/>
  <c r="G313" i="1"/>
  <c r="G317" i="1"/>
  <c r="G321" i="1"/>
  <c r="G325" i="1"/>
  <c r="G329" i="1"/>
  <c r="G333" i="1"/>
  <c r="G337" i="1"/>
  <c r="G341" i="1"/>
  <c r="G345" i="1"/>
  <c r="G349" i="1"/>
  <c r="G353" i="1"/>
  <c r="G357" i="1"/>
  <c r="G361" i="1"/>
  <c r="G365" i="1"/>
  <c r="G369" i="1"/>
  <c r="G373" i="1"/>
  <c r="G377" i="1"/>
  <c r="G381" i="1"/>
  <c r="G385" i="1"/>
  <c r="G389" i="1"/>
  <c r="G393" i="1"/>
  <c r="G397" i="1"/>
  <c r="G401" i="1"/>
  <c r="G405" i="1"/>
  <c r="G409" i="1"/>
  <c r="G413" i="1"/>
  <c r="G417" i="1"/>
  <c r="G421" i="1"/>
  <c r="G425" i="1"/>
  <c r="G429" i="1"/>
  <c r="G433" i="1"/>
  <c r="G437" i="1"/>
  <c r="G441" i="1"/>
  <c r="G445" i="1"/>
  <c r="G449" i="1"/>
  <c r="G453" i="1"/>
  <c r="G457" i="1"/>
  <c r="G461" i="1"/>
  <c r="G465" i="1"/>
  <c r="G469" i="1"/>
  <c r="G473" i="1"/>
  <c r="G477" i="1"/>
  <c r="G481" i="1"/>
  <c r="G485" i="1"/>
  <c r="G489" i="1"/>
  <c r="G493" i="1"/>
  <c r="G497" i="1"/>
  <c r="G501" i="1"/>
  <c r="G505" i="1"/>
  <c r="G509" i="1"/>
  <c r="G513" i="1"/>
  <c r="G517" i="1"/>
  <c r="G521" i="1"/>
  <c r="G525" i="1"/>
  <c r="G529" i="1"/>
  <c r="G533" i="1"/>
  <c r="G537" i="1"/>
  <c r="G541" i="1"/>
  <c r="G545" i="1"/>
  <c r="G549" i="1"/>
  <c r="G553" i="1"/>
  <c r="G557" i="1"/>
  <c r="G561" i="1"/>
  <c r="G565" i="1"/>
  <c r="G569" i="1"/>
  <c r="G573" i="1"/>
  <c r="G98" i="1"/>
  <c r="G99" i="1"/>
  <c r="G163" i="1"/>
  <c r="G105" i="1"/>
  <c r="G109" i="1"/>
  <c r="G113" i="1"/>
  <c r="G117" i="1"/>
  <c r="G131" i="1"/>
  <c r="G126" i="1"/>
  <c r="G121" i="1"/>
  <c r="G144" i="1"/>
  <c r="G156" i="1"/>
  <c r="G152" i="1"/>
  <c r="G159" i="1"/>
  <c r="G170" i="1"/>
  <c r="G174" i="1"/>
  <c r="G178" i="1"/>
  <c r="G182" i="1"/>
  <c r="G186" i="1"/>
  <c r="G190" i="1"/>
  <c r="G194" i="1"/>
  <c r="G198" i="1"/>
  <c r="G202" i="1"/>
  <c r="G206" i="1"/>
  <c r="G210" i="1"/>
  <c r="G214" i="1"/>
  <c r="G218" i="1"/>
  <c r="G222" i="1"/>
  <c r="G226" i="1"/>
  <c r="G230" i="1"/>
  <c r="G234" i="1"/>
  <c r="G238" i="1"/>
  <c r="G242" i="1"/>
  <c r="G246" i="1"/>
  <c r="G250" i="1"/>
  <c r="G254" i="1"/>
  <c r="G258" i="1"/>
  <c r="G262" i="1"/>
  <c r="G266" i="1"/>
  <c r="G270" i="1"/>
  <c r="G274" i="1"/>
  <c r="G278" i="1"/>
  <c r="G282" i="1"/>
  <c r="G286" i="1"/>
  <c r="G290" i="1"/>
  <c r="G294" i="1"/>
  <c r="G298" i="1"/>
  <c r="G302" i="1"/>
  <c r="G306" i="1"/>
  <c r="G310" i="1"/>
  <c r="G314" i="1"/>
  <c r="G318" i="1"/>
  <c r="G322" i="1"/>
  <c r="G326" i="1"/>
  <c r="G330" i="1"/>
  <c r="G334" i="1"/>
  <c r="G338" i="1"/>
  <c r="G342" i="1"/>
  <c r="G346" i="1"/>
  <c r="G350" i="1"/>
  <c r="G354" i="1"/>
  <c r="G358" i="1"/>
  <c r="G362" i="1"/>
  <c r="G366" i="1"/>
  <c r="G370" i="1"/>
  <c r="G374" i="1"/>
  <c r="G378" i="1"/>
  <c r="G382" i="1"/>
  <c r="G386" i="1"/>
  <c r="G390" i="1"/>
  <c r="G394" i="1"/>
  <c r="G398" i="1"/>
  <c r="G402" i="1"/>
  <c r="G406" i="1"/>
  <c r="G410" i="1"/>
  <c r="G414" i="1"/>
  <c r="G418" i="1"/>
  <c r="G422" i="1"/>
  <c r="G426" i="1"/>
  <c r="G430" i="1"/>
  <c r="G434" i="1"/>
  <c r="G438" i="1"/>
  <c r="G442" i="1"/>
  <c r="G446" i="1"/>
  <c r="G450" i="1"/>
  <c r="G454" i="1"/>
  <c r="G458" i="1"/>
  <c r="G462" i="1"/>
  <c r="G466" i="1"/>
  <c r="G470" i="1"/>
  <c r="G474" i="1"/>
  <c r="G478" i="1"/>
  <c r="G482" i="1"/>
  <c r="G486" i="1"/>
  <c r="G490" i="1"/>
  <c r="G494" i="1"/>
  <c r="G498" i="1"/>
  <c r="G155" i="1"/>
  <c r="G110" i="1"/>
  <c r="G118" i="1"/>
  <c r="G151" i="1"/>
  <c r="G179" i="1"/>
  <c r="G195" i="1"/>
  <c r="G211" i="1"/>
  <c r="G227" i="1"/>
  <c r="G243" i="1"/>
  <c r="G259" i="1"/>
  <c r="G275" i="1"/>
  <c r="G291" i="1"/>
  <c r="G307" i="1"/>
  <c r="G323" i="1"/>
  <c r="G339" i="1"/>
  <c r="G355" i="1"/>
  <c r="G371" i="1"/>
  <c r="G387" i="1"/>
  <c r="G403" i="1"/>
  <c r="G419" i="1"/>
  <c r="G435" i="1"/>
  <c r="G444" i="1"/>
  <c r="G452" i="1"/>
  <c r="G460" i="1"/>
  <c r="G468" i="1"/>
  <c r="G476" i="1"/>
  <c r="G484" i="1"/>
  <c r="G492" i="1"/>
  <c r="G500" i="1"/>
  <c r="G506" i="1"/>
  <c r="G511" i="1"/>
  <c r="G516" i="1"/>
  <c r="G522" i="1"/>
  <c r="G527" i="1"/>
  <c r="G532" i="1"/>
  <c r="G538" i="1"/>
  <c r="G543" i="1"/>
  <c r="G548" i="1"/>
  <c r="G554" i="1"/>
  <c r="G559" i="1"/>
  <c r="G564" i="1"/>
  <c r="G570" i="1"/>
  <c r="G100" i="1"/>
  <c r="G114" i="1"/>
  <c r="G119" i="1"/>
  <c r="G160" i="1"/>
  <c r="G183" i="1"/>
  <c r="G199" i="1"/>
  <c r="G215" i="1"/>
  <c r="G231" i="1"/>
  <c r="G247" i="1"/>
  <c r="G263" i="1"/>
  <c r="G279" i="1"/>
  <c r="G295" i="1"/>
  <c r="G311" i="1"/>
  <c r="G327" i="1"/>
  <c r="G343" i="1"/>
  <c r="G359" i="1"/>
  <c r="G375" i="1"/>
  <c r="G391" i="1"/>
  <c r="G407" i="1"/>
  <c r="G423" i="1"/>
  <c r="G439" i="1"/>
  <c r="G447" i="1"/>
  <c r="G455" i="1"/>
  <c r="G463" i="1"/>
  <c r="G471" i="1"/>
  <c r="G479" i="1"/>
  <c r="G487" i="1"/>
  <c r="G495" i="1"/>
  <c r="G502" i="1"/>
  <c r="G507" i="1"/>
  <c r="G512" i="1"/>
  <c r="G518" i="1"/>
  <c r="G523" i="1"/>
  <c r="G528" i="1"/>
  <c r="G534" i="1"/>
  <c r="G539" i="1"/>
  <c r="G544" i="1"/>
  <c r="G550" i="1"/>
  <c r="G555" i="1"/>
  <c r="G560" i="1"/>
  <c r="G566" i="1"/>
  <c r="G571" i="1"/>
  <c r="G102" i="1"/>
  <c r="G146" i="1"/>
  <c r="G127" i="1"/>
  <c r="G171" i="1"/>
  <c r="G187" i="1"/>
  <c r="G203" i="1"/>
  <c r="G219" i="1"/>
  <c r="G235" i="1"/>
  <c r="G251" i="1"/>
  <c r="G267" i="1"/>
  <c r="G283" i="1"/>
  <c r="G299" i="1"/>
  <c r="G315" i="1"/>
  <c r="G331" i="1"/>
  <c r="G347" i="1"/>
  <c r="G363" i="1"/>
  <c r="G379" i="1"/>
  <c r="G395" i="1"/>
  <c r="G411" i="1"/>
  <c r="G427" i="1"/>
  <c r="G440" i="1"/>
  <c r="G448" i="1"/>
  <c r="G456" i="1"/>
  <c r="G464" i="1"/>
  <c r="G472" i="1"/>
  <c r="G480" i="1"/>
  <c r="G488" i="1"/>
  <c r="G496" i="1"/>
  <c r="G503" i="1"/>
  <c r="G508" i="1"/>
  <c r="G514" i="1"/>
  <c r="G519" i="1"/>
  <c r="G524" i="1"/>
  <c r="G530" i="1"/>
  <c r="G535" i="1"/>
  <c r="G540" i="1"/>
  <c r="G546" i="1"/>
  <c r="G551" i="1"/>
  <c r="G556" i="1"/>
  <c r="G562" i="1"/>
  <c r="G567" i="1"/>
  <c r="G572" i="1"/>
  <c r="G175" i="1"/>
  <c r="G239" i="1"/>
  <c r="G303" i="1"/>
  <c r="G367" i="1"/>
  <c r="G431" i="1"/>
  <c r="G467" i="1"/>
  <c r="G499" i="1"/>
  <c r="G520" i="1"/>
  <c r="G542" i="1"/>
  <c r="G563" i="1"/>
  <c r="G531" i="1"/>
  <c r="G106" i="1"/>
  <c r="G191" i="1"/>
  <c r="G255" i="1"/>
  <c r="G319" i="1"/>
  <c r="G383" i="1"/>
  <c r="G443" i="1"/>
  <c r="G475" i="1"/>
  <c r="G504" i="1"/>
  <c r="G526" i="1"/>
  <c r="G547" i="1"/>
  <c r="G568" i="1"/>
  <c r="G552" i="1"/>
  <c r="G147" i="1"/>
  <c r="G207" i="1"/>
  <c r="G271" i="1"/>
  <c r="G335" i="1"/>
  <c r="G399" i="1"/>
  <c r="G451" i="1"/>
  <c r="G483" i="1"/>
  <c r="G510" i="1"/>
  <c r="G157" i="1"/>
  <c r="G223" i="1"/>
  <c r="G287" i="1"/>
  <c r="G351" i="1"/>
  <c r="G415" i="1"/>
  <c r="G459" i="1"/>
  <c r="G491" i="1"/>
  <c r="G515" i="1"/>
  <c r="G536" i="1"/>
  <c r="G558" i="1"/>
  <c r="F97" i="1"/>
  <c r="F149" i="1"/>
  <c r="F101" i="1"/>
  <c r="F104" i="1"/>
  <c r="F108" i="1"/>
  <c r="F112" i="1"/>
  <c r="F116" i="1"/>
  <c r="F125" i="1"/>
  <c r="F154" i="1"/>
  <c r="F120" i="1"/>
  <c r="F137" i="1"/>
  <c r="F153" i="1"/>
  <c r="F133" i="1"/>
  <c r="F162" i="1"/>
  <c r="F173" i="1"/>
  <c r="F177" i="1"/>
  <c r="F181" i="1"/>
  <c r="F185" i="1"/>
  <c r="F189" i="1"/>
  <c r="F193" i="1"/>
  <c r="F197" i="1"/>
  <c r="F201" i="1"/>
  <c r="F205" i="1"/>
  <c r="F209" i="1"/>
  <c r="F213" i="1"/>
  <c r="F217" i="1"/>
  <c r="F221" i="1"/>
  <c r="F225" i="1"/>
  <c r="F229" i="1"/>
  <c r="F233" i="1"/>
  <c r="F237" i="1"/>
  <c r="F241" i="1"/>
  <c r="F245" i="1"/>
  <c r="F249" i="1"/>
  <c r="F253" i="1"/>
  <c r="F257" i="1"/>
  <c r="F261" i="1"/>
  <c r="F265" i="1"/>
  <c r="F269" i="1"/>
  <c r="F273" i="1"/>
  <c r="F277" i="1"/>
  <c r="F281" i="1"/>
  <c r="F285" i="1"/>
  <c r="F289" i="1"/>
  <c r="F293" i="1"/>
  <c r="F98" i="1"/>
  <c r="F99" i="1"/>
  <c r="F163" i="1"/>
  <c r="F105" i="1"/>
  <c r="F109" i="1"/>
  <c r="F113" i="1"/>
  <c r="F117" i="1"/>
  <c r="F131" i="1"/>
  <c r="F126" i="1"/>
  <c r="F144" i="1"/>
  <c r="F156" i="1"/>
  <c r="F152" i="1"/>
  <c r="F159" i="1"/>
  <c r="F170" i="1"/>
  <c r="F174" i="1"/>
  <c r="F178" i="1"/>
  <c r="F182" i="1"/>
  <c r="F186" i="1"/>
  <c r="F190" i="1"/>
  <c r="F194" i="1"/>
  <c r="F198" i="1"/>
  <c r="F202" i="1"/>
  <c r="F206" i="1"/>
  <c r="F210" i="1"/>
  <c r="F214" i="1"/>
  <c r="F218" i="1"/>
  <c r="F222" i="1"/>
  <c r="F226" i="1"/>
  <c r="F230" i="1"/>
  <c r="F234" i="1"/>
  <c r="F238" i="1"/>
  <c r="F242" i="1"/>
  <c r="F246" i="1"/>
  <c r="F250" i="1"/>
  <c r="F254" i="1"/>
  <c r="F258" i="1"/>
  <c r="F262" i="1"/>
  <c r="F266" i="1"/>
  <c r="F270" i="1"/>
  <c r="F274" i="1"/>
  <c r="F278" i="1"/>
  <c r="F282" i="1"/>
  <c r="F286" i="1"/>
  <c r="F155" i="1"/>
  <c r="F100" i="1"/>
  <c r="F106" i="1"/>
  <c r="F110" i="1"/>
  <c r="F114" i="1"/>
  <c r="F146" i="1"/>
  <c r="F147" i="1"/>
  <c r="F118" i="1"/>
  <c r="F119" i="1"/>
  <c r="F127" i="1"/>
  <c r="F157" i="1"/>
  <c r="F151" i="1"/>
  <c r="F160" i="1"/>
  <c r="F171" i="1"/>
  <c r="F175" i="1"/>
  <c r="F179" i="1"/>
  <c r="F183" i="1"/>
  <c r="F187" i="1"/>
  <c r="F191" i="1"/>
  <c r="F195" i="1"/>
  <c r="F199" i="1"/>
  <c r="F203" i="1"/>
  <c r="F207" i="1"/>
  <c r="F211" i="1"/>
  <c r="F215" i="1"/>
  <c r="F219" i="1"/>
  <c r="F223" i="1"/>
  <c r="F227" i="1"/>
  <c r="F231" i="1"/>
  <c r="F235" i="1"/>
  <c r="F239" i="1"/>
  <c r="F243" i="1"/>
  <c r="F247" i="1"/>
  <c r="F251" i="1"/>
  <c r="F255" i="1"/>
  <c r="F259" i="1"/>
  <c r="F263" i="1"/>
  <c r="F267" i="1"/>
  <c r="F271" i="1"/>
  <c r="F275" i="1"/>
  <c r="F279" i="1"/>
  <c r="F283" i="1"/>
  <c r="F287" i="1"/>
  <c r="F291" i="1"/>
  <c r="F295" i="1"/>
  <c r="F299" i="1"/>
  <c r="F303" i="1"/>
  <c r="F307" i="1"/>
  <c r="F311" i="1"/>
  <c r="F315" i="1"/>
  <c r="F319" i="1"/>
  <c r="F323" i="1"/>
  <c r="F327" i="1"/>
  <c r="F331" i="1"/>
  <c r="F335" i="1"/>
  <c r="F339" i="1"/>
  <c r="F343" i="1"/>
  <c r="F347" i="1"/>
  <c r="F351" i="1"/>
  <c r="F355" i="1"/>
  <c r="F359" i="1"/>
  <c r="F363" i="1"/>
  <c r="F367" i="1"/>
  <c r="F371" i="1"/>
  <c r="F375" i="1"/>
  <c r="F379" i="1"/>
  <c r="F383" i="1"/>
  <c r="F387" i="1"/>
  <c r="F391" i="1"/>
  <c r="F395" i="1"/>
  <c r="F399" i="1"/>
  <c r="F403" i="1"/>
  <c r="F407" i="1"/>
  <c r="F411" i="1"/>
  <c r="F415" i="1"/>
  <c r="F419" i="1"/>
  <c r="F423" i="1"/>
  <c r="F427" i="1"/>
  <c r="F431" i="1"/>
  <c r="F435" i="1"/>
  <c r="F439" i="1"/>
  <c r="F443" i="1"/>
  <c r="F447" i="1"/>
  <c r="F451" i="1"/>
  <c r="F455" i="1"/>
  <c r="F459" i="1"/>
  <c r="F463" i="1"/>
  <c r="F467" i="1"/>
  <c r="F471" i="1"/>
  <c r="F475" i="1"/>
  <c r="F479" i="1"/>
  <c r="F483" i="1"/>
  <c r="F103" i="1"/>
  <c r="F145" i="1"/>
  <c r="F128" i="1"/>
  <c r="F172" i="1"/>
  <c r="F188" i="1"/>
  <c r="F204" i="1"/>
  <c r="F220" i="1"/>
  <c r="F236" i="1"/>
  <c r="F252" i="1"/>
  <c r="F268" i="1"/>
  <c r="F284" i="1"/>
  <c r="F294" i="1"/>
  <c r="F300" i="1"/>
  <c r="F305" i="1"/>
  <c r="F310" i="1"/>
  <c r="F316" i="1"/>
  <c r="F321" i="1"/>
  <c r="F326" i="1"/>
  <c r="F332" i="1"/>
  <c r="F337" i="1"/>
  <c r="F342" i="1"/>
  <c r="F348" i="1"/>
  <c r="F353" i="1"/>
  <c r="F358" i="1"/>
  <c r="F364" i="1"/>
  <c r="F369" i="1"/>
  <c r="F374" i="1"/>
  <c r="F380" i="1"/>
  <c r="F385" i="1"/>
  <c r="F390" i="1"/>
  <c r="F396" i="1"/>
  <c r="F401" i="1"/>
  <c r="F406" i="1"/>
  <c r="F412" i="1"/>
  <c r="F417" i="1"/>
  <c r="F422" i="1"/>
  <c r="F428" i="1"/>
  <c r="F433" i="1"/>
  <c r="F438" i="1"/>
  <c r="F444" i="1"/>
  <c r="F449" i="1"/>
  <c r="F454" i="1"/>
  <c r="F460" i="1"/>
  <c r="F465" i="1"/>
  <c r="F470" i="1"/>
  <c r="F476" i="1"/>
  <c r="F481" i="1"/>
  <c r="F486" i="1"/>
  <c r="F490" i="1"/>
  <c r="F494" i="1"/>
  <c r="F498" i="1"/>
  <c r="F502" i="1"/>
  <c r="F506" i="1"/>
  <c r="F510" i="1"/>
  <c r="F514" i="1"/>
  <c r="F518" i="1"/>
  <c r="F522" i="1"/>
  <c r="F526" i="1"/>
  <c r="F530" i="1"/>
  <c r="F534" i="1"/>
  <c r="F538" i="1"/>
  <c r="F542" i="1"/>
  <c r="F546" i="1"/>
  <c r="F550" i="1"/>
  <c r="F554" i="1"/>
  <c r="F558" i="1"/>
  <c r="F562" i="1"/>
  <c r="F566" i="1"/>
  <c r="F570" i="1"/>
  <c r="F482" i="1"/>
  <c r="F487" i="1"/>
  <c r="F495" i="1"/>
  <c r="F503" i="1"/>
  <c r="F507" i="1"/>
  <c r="F515" i="1"/>
  <c r="F523" i="1"/>
  <c r="F527" i="1"/>
  <c r="F535" i="1"/>
  <c r="F543" i="1"/>
  <c r="F547" i="1"/>
  <c r="F555" i="1"/>
  <c r="F563" i="1"/>
  <c r="F567" i="1"/>
  <c r="F150" i="1"/>
  <c r="F140" i="1"/>
  <c r="F180" i="1"/>
  <c r="F196" i="1"/>
  <c r="F228" i="1"/>
  <c r="F260" i="1"/>
  <c r="F276" i="1"/>
  <c r="F297" i="1"/>
  <c r="F308" i="1"/>
  <c r="F313" i="1"/>
  <c r="F324" i="1"/>
  <c r="F334" i="1"/>
  <c r="F340" i="1"/>
  <c r="F350" i="1"/>
  <c r="F129" i="1"/>
  <c r="F107" i="1"/>
  <c r="F136" i="1"/>
  <c r="F158" i="1"/>
  <c r="F176" i="1"/>
  <c r="F192" i="1"/>
  <c r="F208" i="1"/>
  <c r="F224" i="1"/>
  <c r="F240" i="1"/>
  <c r="F256" i="1"/>
  <c r="F272" i="1"/>
  <c r="F288" i="1"/>
  <c r="F296" i="1"/>
  <c r="F301" i="1"/>
  <c r="F306" i="1"/>
  <c r="F312" i="1"/>
  <c r="F317" i="1"/>
  <c r="F322" i="1"/>
  <c r="F328" i="1"/>
  <c r="F333" i="1"/>
  <c r="F338" i="1"/>
  <c r="F344" i="1"/>
  <c r="F349" i="1"/>
  <c r="F354" i="1"/>
  <c r="F360" i="1"/>
  <c r="F365" i="1"/>
  <c r="F370" i="1"/>
  <c r="F376" i="1"/>
  <c r="F381" i="1"/>
  <c r="F386" i="1"/>
  <c r="F392" i="1"/>
  <c r="F397" i="1"/>
  <c r="F402" i="1"/>
  <c r="F408" i="1"/>
  <c r="F413" i="1"/>
  <c r="F418" i="1"/>
  <c r="F424" i="1"/>
  <c r="F429" i="1"/>
  <c r="F434" i="1"/>
  <c r="F440" i="1"/>
  <c r="F445" i="1"/>
  <c r="F450" i="1"/>
  <c r="F456" i="1"/>
  <c r="F461" i="1"/>
  <c r="F466" i="1"/>
  <c r="F472" i="1"/>
  <c r="F477" i="1"/>
  <c r="F491" i="1"/>
  <c r="F499" i="1"/>
  <c r="F511" i="1"/>
  <c r="F519" i="1"/>
  <c r="F531" i="1"/>
  <c r="F539" i="1"/>
  <c r="F551" i="1"/>
  <c r="F559" i="1"/>
  <c r="F571" i="1"/>
  <c r="F111" i="1"/>
  <c r="F134" i="1"/>
  <c r="F212" i="1"/>
  <c r="F244" i="1"/>
  <c r="F290" i="1"/>
  <c r="F302" i="1"/>
  <c r="F318" i="1"/>
  <c r="F329" i="1"/>
  <c r="F345" i="1"/>
  <c r="F166" i="1"/>
  <c r="F115" i="1"/>
  <c r="F138" i="1"/>
  <c r="F161" i="1"/>
  <c r="F184" i="1"/>
  <c r="F200" i="1"/>
  <c r="F216" i="1"/>
  <c r="F232" i="1"/>
  <c r="F248" i="1"/>
  <c r="F264" i="1"/>
  <c r="F280" i="1"/>
  <c r="F292" i="1"/>
  <c r="F298" i="1"/>
  <c r="F304" i="1"/>
  <c r="F309" i="1"/>
  <c r="F314" i="1"/>
  <c r="F320" i="1"/>
  <c r="F325" i="1"/>
  <c r="F330" i="1"/>
  <c r="F336" i="1"/>
  <c r="F341" i="1"/>
  <c r="F346" i="1"/>
  <c r="F352" i="1"/>
  <c r="F357" i="1"/>
  <c r="F362" i="1"/>
  <c r="F368" i="1"/>
  <c r="F373" i="1"/>
  <c r="F378" i="1"/>
  <c r="F384" i="1"/>
  <c r="F389" i="1"/>
  <c r="F394" i="1"/>
  <c r="F400" i="1"/>
  <c r="F405" i="1"/>
  <c r="F410" i="1"/>
  <c r="F416" i="1"/>
  <c r="F421" i="1"/>
  <c r="F426" i="1"/>
  <c r="F432" i="1"/>
  <c r="F437" i="1"/>
  <c r="F442" i="1"/>
  <c r="F448" i="1"/>
  <c r="F453" i="1"/>
  <c r="F458" i="1"/>
  <c r="F464" i="1"/>
  <c r="F469" i="1"/>
  <c r="F474" i="1"/>
  <c r="F480" i="1"/>
  <c r="F485" i="1"/>
  <c r="F489" i="1"/>
  <c r="F493" i="1"/>
  <c r="F497" i="1"/>
  <c r="F501" i="1"/>
  <c r="F505" i="1"/>
  <c r="F509" i="1"/>
  <c r="F513" i="1"/>
  <c r="F517" i="1"/>
  <c r="F521" i="1"/>
  <c r="F525" i="1"/>
  <c r="F529" i="1"/>
  <c r="F533" i="1"/>
  <c r="F537" i="1"/>
  <c r="F541" i="1"/>
  <c r="F545" i="1"/>
  <c r="F549" i="1"/>
  <c r="F553" i="1"/>
  <c r="F557" i="1"/>
  <c r="F561" i="1"/>
  <c r="F366" i="1"/>
  <c r="F388" i="1"/>
  <c r="F409" i="1"/>
  <c r="F430" i="1"/>
  <c r="F452" i="1"/>
  <c r="F473" i="1"/>
  <c r="F492" i="1"/>
  <c r="F508" i="1"/>
  <c r="F524" i="1"/>
  <c r="F540" i="1"/>
  <c r="F556" i="1"/>
  <c r="F568" i="1"/>
  <c r="F548" i="1"/>
  <c r="F572" i="1"/>
  <c r="F372" i="1"/>
  <c r="F393" i="1"/>
  <c r="F414" i="1"/>
  <c r="F436" i="1"/>
  <c r="F457" i="1"/>
  <c r="F478" i="1"/>
  <c r="F496" i="1"/>
  <c r="F512" i="1"/>
  <c r="F528" i="1"/>
  <c r="F544" i="1"/>
  <c r="F560" i="1"/>
  <c r="F569" i="1"/>
  <c r="F532" i="1"/>
  <c r="F564" i="1"/>
  <c r="F356" i="1"/>
  <c r="F377" i="1"/>
  <c r="F398" i="1"/>
  <c r="F420" i="1"/>
  <c r="F441" i="1"/>
  <c r="F462" i="1"/>
  <c r="F484" i="1"/>
  <c r="F500" i="1"/>
  <c r="F516" i="1"/>
  <c r="F361" i="1"/>
  <c r="F382" i="1"/>
  <c r="F404" i="1"/>
  <c r="F425" i="1"/>
  <c r="F446" i="1"/>
  <c r="F468" i="1"/>
  <c r="F488" i="1"/>
  <c r="F504" i="1"/>
  <c r="F520" i="1"/>
  <c r="F536" i="1"/>
  <c r="F552" i="1"/>
  <c r="F565" i="1"/>
  <c r="F573" i="1"/>
</calcChain>
</file>

<file path=xl/sharedStrings.xml><?xml version="1.0" encoding="utf-8"?>
<sst xmlns="http://schemas.openxmlformats.org/spreadsheetml/2006/main" count="1764" uniqueCount="494">
  <si>
    <t xml:space="preserve">TOMA DE INVENTARIO </t>
  </si>
  <si>
    <t>GRUPO</t>
  </si>
  <si>
    <t>ELEMENTO</t>
  </si>
  <si>
    <t>ITEM</t>
  </si>
  <si>
    <t>CONCATENADO</t>
  </si>
  <si>
    <t>DESCRIPCION</t>
  </si>
  <si>
    <t>UND MEDIDA</t>
  </si>
  <si>
    <t>CANTIDAD</t>
  </si>
  <si>
    <t>PROVEEDOR</t>
  </si>
  <si>
    <t>X</t>
  </si>
  <si>
    <t>UND</t>
  </si>
  <si>
    <t>LINEA</t>
  </si>
  <si>
    <t>CAUCHO</t>
  </si>
  <si>
    <t>HILO</t>
  </si>
  <si>
    <t>GALVANIZADO</t>
  </si>
  <si>
    <t>COBRE</t>
  </si>
  <si>
    <t>ACERO</t>
  </si>
  <si>
    <t>EQUIPOS</t>
  </si>
  <si>
    <t>ACERO GALVALIZADO</t>
  </si>
  <si>
    <t>ALUMINIO</t>
  </si>
  <si>
    <t>HIERRO</t>
  </si>
  <si>
    <t>CODO</t>
  </si>
  <si>
    <t>TUBO</t>
  </si>
  <si>
    <t>TE</t>
  </si>
  <si>
    <t>PVC</t>
  </si>
  <si>
    <t>ABRAZADERA</t>
  </si>
  <si>
    <t>SOMBRERETE</t>
  </si>
  <si>
    <t>DEFLECTOR</t>
  </si>
  <si>
    <t>COLECTOR</t>
  </si>
  <si>
    <t>ROSETON</t>
  </si>
  <si>
    <t>TERMINAL ANTILLUVIA</t>
  </si>
  <si>
    <t>VALVULA</t>
  </si>
  <si>
    <t>REDUCCION</t>
  </si>
  <si>
    <t>EMBELLECEDOR</t>
  </si>
  <si>
    <t>KIT</t>
  </si>
  <si>
    <t>PERFIL</t>
  </si>
  <si>
    <t>BARRA</t>
  </si>
  <si>
    <t>ENSAMBLE</t>
  </si>
  <si>
    <t>ANGULO</t>
  </si>
  <si>
    <t>LAMINA</t>
  </si>
  <si>
    <t>TAPA</t>
  </si>
  <si>
    <t>ESTUFA</t>
  </si>
  <si>
    <t>12 KW CALEFACCION</t>
  </si>
  <si>
    <t>9 KW CALEFACCION</t>
  </si>
  <si>
    <t>G</t>
  </si>
  <si>
    <t>E</t>
  </si>
  <si>
    <t>I</t>
  </si>
  <si>
    <t>CONCATENAR</t>
  </si>
  <si>
    <t>PLACA SOLAR</t>
  </si>
  <si>
    <t>PROVEEDOR PRIMARIO</t>
  </si>
  <si>
    <t>PROVEEDOR SECUNDARIO</t>
  </si>
  <si>
    <t>AFC RENOVABLES</t>
  </si>
  <si>
    <t>PLASTICO</t>
  </si>
  <si>
    <t>INVENTARIO INICIAL</t>
  </si>
  <si>
    <t>FECHA</t>
  </si>
  <si>
    <t>TACO BRIDA</t>
  </si>
  <si>
    <t>TACO BRIDA BLANCO</t>
  </si>
  <si>
    <t>TACO BRIDA NEGRO</t>
  </si>
  <si>
    <t>TACO P/BRIDA BLANCO</t>
  </si>
  <si>
    <t>RECA</t>
  </si>
  <si>
    <t>TACO P/BRIDA NEGRO</t>
  </si>
  <si>
    <t>SALIDA</t>
  </si>
  <si>
    <t>SALDO FINAL</t>
  </si>
  <si>
    <t>BRIDA</t>
  </si>
  <si>
    <t>BRIDA P/INTERIOR BLANCA</t>
  </si>
  <si>
    <t>BRIDA P/INTERIOR NEGRA</t>
  </si>
  <si>
    <t>BRIDA P/EXTERIOR NEGRA</t>
  </si>
  <si>
    <t>CINTA</t>
  </si>
  <si>
    <t>CINTA BLANCA AISLANTE PVC 19MM</t>
  </si>
  <si>
    <t>CINTA NEGRA AISLANTE PVC 19MM</t>
  </si>
  <si>
    <t>CINTA BLANCA AISLANTE PVC 50MM</t>
  </si>
  <si>
    <t>CINTA NEGRA AISLANTE PVC 50MM</t>
  </si>
  <si>
    <t>CINTA VERDE AMARILLA AISLANTE PVC 19MM</t>
  </si>
  <si>
    <t>CINTA ROJA AISLANTE PVC 19MM</t>
  </si>
  <si>
    <t>CINTA AZUL AISLANTE PVC 19MM</t>
  </si>
  <si>
    <t xml:space="preserve">CINTA ACERO PERFORADA PARA MONTAJE </t>
  </si>
  <si>
    <t>FIBRA</t>
  </si>
  <si>
    <t>DISCO</t>
  </si>
  <si>
    <t>DISCO CORTE ACERO/INOX A1 2EN1</t>
  </si>
  <si>
    <t>ANCLAJE</t>
  </si>
  <si>
    <t>WURTH</t>
  </si>
  <si>
    <t>METALICO</t>
  </si>
  <si>
    <t>ANCLAJE PLASTICO ROSCADO PARA CARTON Y PLADUR TIPO K (WURTH)</t>
  </si>
  <si>
    <t>ANCLAJE METALICO ROSCADO PARA PLADUR TIPO K (WURTH)</t>
  </si>
  <si>
    <t>ESTACION DE CARGA</t>
  </si>
  <si>
    <t>ESTACION DE CARGA THOR O7AS-P-V1 GROWATT</t>
  </si>
  <si>
    <t>GROWATT</t>
  </si>
  <si>
    <t>TORNILLO</t>
  </si>
  <si>
    <t>TORNILLO C/AVELLANADA CON R/COMPLETA PARA AGLOMERADO/MADERA X40</t>
  </si>
  <si>
    <t>TORNILLO C/AVELLANADA CON R/COMPLETA PARA AGLOMERADO/MADERA X50</t>
  </si>
  <si>
    <t>TORNILLO C/AVELLANADA CON R/PARCIAL PARA AGLOMERADO/MADERA X70</t>
  </si>
  <si>
    <t>ARANDELA</t>
  </si>
  <si>
    <t>ARANDELA A/GALVANIZADO 6.4X18X1.5</t>
  </si>
  <si>
    <t>ARANDELA A/GALVANIZADO 8.4X20X1.25</t>
  </si>
  <si>
    <t>TORNILLO FIJACION FUERTE C/HEZAGONAL R/COMPLETA M-8 X70</t>
  </si>
  <si>
    <r>
      <t xml:space="preserve">ARGOLLA  A/GALVANIZADO R/PARCIAL </t>
    </r>
    <r>
      <rPr>
        <sz val="11"/>
        <color theme="1"/>
        <rFont val="Calibri"/>
        <family val="2"/>
      </rPr>
      <t>Ꝋ</t>
    </r>
    <r>
      <rPr>
        <sz val="9.35"/>
        <color theme="1"/>
        <rFont val="Calibri"/>
        <family val="2"/>
      </rPr>
      <t>23 12X190</t>
    </r>
  </si>
  <si>
    <t>ARGOLLA</t>
  </si>
  <si>
    <t>ARGOLLA  A/GALVANIZADO R/PARCIAL Ꝋ23 12X190</t>
  </si>
  <si>
    <t>TORNILLO A/GALVANIZADO CON C/HEZAGONAL, R/COMPLETA, C/ARANDELA Y AUTOTALADRANTE 6.3X90</t>
  </si>
  <si>
    <t>TORNILLO A/GALVANIZADO CON C/HEZAGONAL, R/COMPLETA, C/ARANDELA Y AUTOTALADRANTE 6.3X50</t>
  </si>
  <si>
    <t>ABRAZADERA EN U C/TUERCA HEZAGONAL</t>
  </si>
  <si>
    <t>PERRILLO PAR CABLE Nª 6/8mm 25x30 A/GALVANIZADO Y T/HEZAGONAL</t>
  </si>
  <si>
    <t>PERRILLO</t>
  </si>
  <si>
    <t>TORNILLO A/INOX CABEZA CILINDRICA ALLEN M8X35mm</t>
  </si>
  <si>
    <t>ACERO INOXIDABLE</t>
  </si>
  <si>
    <t>TORNILLO A/INOX CABEZA CILINDRICA ALLEN M8X30mm</t>
  </si>
  <si>
    <t>FMT-01-INV</t>
  </si>
  <si>
    <t>ESTUFA CALEFACCION 9 KW</t>
  </si>
  <si>
    <t>ESTUFA CALEFACCION 12 KW</t>
  </si>
  <si>
    <t>CABLE</t>
  </si>
  <si>
    <t>MT</t>
  </si>
  <si>
    <t>BELTRAN Y CRIADO</t>
  </si>
  <si>
    <t>CURVA PVC M-25 GRIS TIPO A</t>
  </si>
  <si>
    <t>CURVA PVC M-25 GRIS TIPO B</t>
  </si>
  <si>
    <t>CURVA</t>
  </si>
  <si>
    <t>CURVA PVC M-40 GRIS</t>
  </si>
  <si>
    <t>OPTIMIZADOR</t>
  </si>
  <si>
    <t>OPTIMIZADOR SUN2000P-375W</t>
  </si>
  <si>
    <t>ELECTRICO</t>
  </si>
  <si>
    <t>N/A</t>
  </si>
  <si>
    <t>MICRORAIL</t>
  </si>
  <si>
    <t>MICRORAIL 2X30 PERFORADO</t>
  </si>
  <si>
    <t>ESTRUSUR SOLAR</t>
  </si>
  <si>
    <t>INVERSOR</t>
  </si>
  <si>
    <t>INVERSOR M-5K-64-PAR- A MARCA ROHS COMPLIANT</t>
  </si>
  <si>
    <t>INVERSOR AXPERT MK5-3K-24V-PLUS MARCA ROHS COMPLIANT</t>
  </si>
  <si>
    <t>INVERSOR VICTROM ENERGY MULTIPLUS 24/3000/70-16-230V</t>
  </si>
  <si>
    <t>VICTROM ENERGY</t>
  </si>
  <si>
    <t>CONTROLADOR</t>
  </si>
  <si>
    <t>CONTROLADOR SMART SOLAR MPPT 250/100-TR VICTROM ENERGY</t>
  </si>
  <si>
    <t>SOPORTE CENTRAL NEGRO</t>
  </si>
  <si>
    <t>SOPORTE</t>
  </si>
  <si>
    <t>RELACION TOMA DE INVENTARIOS DIARIOS</t>
  </si>
  <si>
    <t>PLACA</t>
  </si>
  <si>
    <t>PLACA SOLAR EX-275P-60 275W / 31.50V</t>
  </si>
  <si>
    <t>PLACA SOLAR CSP-6P-345W / 38.3C</t>
  </si>
  <si>
    <t>PLACA SOLAR CS6L-450MS 450W / 34.4V</t>
  </si>
  <si>
    <t>PLACA SOLAR JAM66S30-505MR 505W / 45.72V</t>
  </si>
  <si>
    <t>PLACA SOLAR CS6.1-60TB-505 505W / 43.4V</t>
  </si>
  <si>
    <t>PLACA SOLAR SPR-P3-375-BLK-E4-AC 375W / 35.5V</t>
  </si>
  <si>
    <t>PLACA SOLAR JAMS0D42-520LB 520W / 43.53V</t>
  </si>
  <si>
    <t>PLACA SOLAR JAM72D30-545MB 545W / 49.75V</t>
  </si>
  <si>
    <t>PLACA SOLAR PS555M6H-24TH 555W / 41.64V</t>
  </si>
  <si>
    <t>PLACA SOLAR CS6W-585T 585W / 52.4V</t>
  </si>
  <si>
    <t>PLACA SOLAR YL550D-49e 1500V 1/2 550W / 42.0V</t>
  </si>
  <si>
    <t>PLACA SOLAR SK9612MHVC-550 550W / 42.16V</t>
  </si>
  <si>
    <t>PLACA SOLAR JAM72D40-590MB 590W / 52.37V</t>
  </si>
  <si>
    <t>PLACA SOLAR TSM-505DE18M.08(II) 505W / 43.0V</t>
  </si>
  <si>
    <t>PLACA SOLAR JAM60D42-535LB 535W / 44.13V</t>
  </si>
  <si>
    <t>PLACA SOLAR TSM-505NEG 18R.28 505W / 33.5V</t>
  </si>
  <si>
    <t>PLACA SOLAR JAM72S30-570LR 570W / 50.68V</t>
  </si>
  <si>
    <t>SUNPOWER</t>
  </si>
  <si>
    <t>JASOLAR</t>
  </si>
  <si>
    <t>PHONO</t>
  </si>
  <si>
    <t>CANADIANSOLAR</t>
  </si>
  <si>
    <t>YINGLI SOLAR</t>
  </si>
  <si>
    <t>AKCOME</t>
  </si>
  <si>
    <t>TRINASOLAR</t>
  </si>
  <si>
    <t>EXIOM SOLUTION SA</t>
  </si>
  <si>
    <t>CRADY SOLAR</t>
  </si>
  <si>
    <t>CASQUILLO</t>
  </si>
  <si>
    <t>CASQUILLO ESPACIADOR GALV M8X25</t>
  </si>
  <si>
    <t>TORNILLO ESPARRAGO GALV TX25 M8X80</t>
  </si>
  <si>
    <t>ESPARRAGO</t>
  </si>
  <si>
    <t>ANCLAJE PLASTICO MULTIUSO C/COLLARIN 6X36MM</t>
  </si>
  <si>
    <t>ANCLAJE PLASTICO MULTIUSO C/COLLARIN 8X51MM</t>
  </si>
  <si>
    <t>ANCLAJE PLASTICO MULTIUSO C/COLLARIN 10X61MM</t>
  </si>
  <si>
    <t>ANCLAJE PLASTICO MULTIUSO C/COLLARIN 12X71MM</t>
  </si>
  <si>
    <t>ARANDELA A/GALVANIZADO P/CARROCERIA 8.4X30X1.5</t>
  </si>
  <si>
    <t>ANCLAJE PLASTICO MULTIUSO NYLON 2ALAS 14X100</t>
  </si>
  <si>
    <t>ARANDELA DE PRESION A/INOX PARA TORN. M8</t>
  </si>
  <si>
    <t>KIT TORNILLO TIPO T 18X30mm CON ARANDELA Y T/HEXAGONAL M8X25MM A/GALV</t>
  </si>
  <si>
    <t>KIT TORNILLO TIPO T 18X30mm CON ARANDELA Y T/HEXAGONAL M8X35MM A/GALV</t>
  </si>
  <si>
    <t>KIT TORNILLO TIPO T 10X23mm CON ARANDELA DE PRESION, ARANDELA LISA Y T/HEXAGONAL M8X20MM A/INOX</t>
  </si>
  <si>
    <t>ARANDELA A/INOX 9X1.5 PARA TORN. M8</t>
  </si>
  <si>
    <t>ARANDELA A/INOX 11X20mm PARA TORN. M8/M10</t>
  </si>
  <si>
    <t>TUERCA HEXAGONAL CLASE RESISTENCIA DIN 934 M8 A/GALV.</t>
  </si>
  <si>
    <t>TUERCA</t>
  </si>
  <si>
    <t>TORNILLO ESPARRAGO GALV TX25 M8X120</t>
  </si>
  <si>
    <t>ARANDELA A/GALVANIZADO P/CARROCERIA 8.4X25X1.25</t>
  </si>
  <si>
    <t>PROINCO</t>
  </si>
  <si>
    <t>BARRA PERFORADA PARA REFUERZO 20X10X2MT GALV.</t>
  </si>
  <si>
    <t>PATA</t>
  </si>
  <si>
    <t xml:space="preserve">BARRA ALUMINIO PARA ESTRUCTURA </t>
  </si>
  <si>
    <t>EMPALMES</t>
  </si>
  <si>
    <t>EMPALME ALUMINIO P/BARRA</t>
  </si>
  <si>
    <t>QUIMICO</t>
  </si>
  <si>
    <t>SELLANTE</t>
  </si>
  <si>
    <t>SELLANTE QUIMICO BLANCO</t>
  </si>
  <si>
    <t>SELLANTE QUIMICO GRIS</t>
  </si>
  <si>
    <t>SELLANTE QUIMICO TACO</t>
  </si>
  <si>
    <t>CAJA</t>
  </si>
  <si>
    <t>CAJA DISTRIBUCION INTERIOR 18 ELEM. (SOLERA)</t>
  </si>
  <si>
    <t>CAJA ESTANCA (COCHERA) EXTERIOR 18PT (IDE)</t>
  </si>
  <si>
    <t>INVERSOR HIBRIDO MONOFASICO SPE 10000ES 10KW BATER. BAJO VOLTAJE Y BACKUP INCORP. (GROWATT)</t>
  </si>
  <si>
    <t>CABLE Nª 6 C/ALTERNA MARRON</t>
  </si>
  <si>
    <t>CABLE Nª 6 C/ALTERNA GRIS</t>
  </si>
  <si>
    <t>CABLE Nª 6 C/ALTERNA VERDE/AMARILLO</t>
  </si>
  <si>
    <t>CABLE Nª 6 C/ALTERNA AZUL</t>
  </si>
  <si>
    <t>CABLE Nª 6 C/ALTERNA NEGRO</t>
  </si>
  <si>
    <t>CABLE Nª 16 C/ALTERNA NEGRO</t>
  </si>
  <si>
    <t>CABLE Nª 16 C/ALTERNA MARRON</t>
  </si>
  <si>
    <t>CABLE Nª 16 C/ALTERNA AZUL</t>
  </si>
  <si>
    <t>CABLE Nª 16 C/ALTERNA GRIS</t>
  </si>
  <si>
    <t>CABLE Nª 10 C/ALTERNA VERDE/AMARILLO</t>
  </si>
  <si>
    <t>CABLE Nª 10 C/ALTERNA MARRON</t>
  </si>
  <si>
    <t>CABLE Nª 10 C/ALTERNA GRIS</t>
  </si>
  <si>
    <t>CABLE Nª 10 C/ALTERNA AZUL</t>
  </si>
  <si>
    <t>CABLE Nª 10 C/ALTERNA NEGRO</t>
  </si>
  <si>
    <t>COTO</t>
  </si>
  <si>
    <t>MANGUERA</t>
  </si>
  <si>
    <t>DIFERENCIAL</t>
  </si>
  <si>
    <t>DIFERENCIAL EPR2A063030 2P-63A-30mA (MAXGE)</t>
  </si>
  <si>
    <t>PORTA FUSIBLE SGF-32-DC (MAXGE)</t>
  </si>
  <si>
    <t>PORTA FUSIBLE</t>
  </si>
  <si>
    <t>CONTACTOR MODULAR RV32 (REVALCO)</t>
  </si>
  <si>
    <t>CONTACTOR</t>
  </si>
  <si>
    <t>INVERSOLAR</t>
  </si>
  <si>
    <t>FUSIBLE 32A-1000VDC (SASSIN)</t>
  </si>
  <si>
    <t>FUSIBLE</t>
  </si>
  <si>
    <t>LIMITADOR</t>
  </si>
  <si>
    <t>TERMICO EPBE63M1NC63 1P+N C63 (MAXGE)</t>
  </si>
  <si>
    <t>TERMICO</t>
  </si>
  <si>
    <t>INVERSOR SPH 6000TL BL-UP 6KW (GROWATT)</t>
  </si>
  <si>
    <t>SOPORTE CENTRAL GRIS</t>
  </si>
  <si>
    <t>CONTACTOR MODULAR EPC1-6322-P7 (MAXGE)</t>
  </si>
  <si>
    <t>PATA ALUMINIO PARA ESTRUCTURA PLACA SOLAR ANGULO 30º</t>
  </si>
  <si>
    <t>16-49-288</t>
  </si>
  <si>
    <t>COMUNIDCADOR WIFI</t>
  </si>
  <si>
    <t>16-53-289</t>
  </si>
  <si>
    <t>PINCHO DE COMUNICACIÓN WIFI SHINEWILAN X2 (GROWATT)</t>
  </si>
  <si>
    <t>PINCHO DE COMUNICACIÓN WIFI SHINEWILAN X (GROWATT)</t>
  </si>
  <si>
    <t>TUBO ELECTRICO PVC 25mm - 3mt(AISCAN)</t>
  </si>
  <si>
    <t>TERMICO EPBE63M1NC63M1NC40 1P+N C40 (MAXGE)</t>
  </si>
  <si>
    <t>TERMICO EPBE63M1NC63M1NC32 1P+N C32 (MAXGE)</t>
  </si>
  <si>
    <t>CAJA DE ESTANCA 133X180X80 EV161 (IDE)</t>
  </si>
  <si>
    <t>BATERIA LFP LITHIUM DL5.OC (DYNESS)</t>
  </si>
  <si>
    <t>BATERIA</t>
  </si>
  <si>
    <t>INVERSOR M-5K-64-PAR- A (ROHS COMPLIANT)</t>
  </si>
  <si>
    <t>INVERSOR AXPERT MK5-3K-24V-PLUS (ROHS COMPLIANT)</t>
  </si>
  <si>
    <t xml:space="preserve">INVERSOR 24/3000/70-16-230V MULTIPLUS (VICTROM ENERGY)  </t>
  </si>
  <si>
    <t>INVERSOR HIBRIDO MONOFASICO SUN 12KW AM3 (DEYE)</t>
  </si>
  <si>
    <t>MEDIDOR</t>
  </si>
  <si>
    <t>INVERSOR HIBRIDO TRIFASICO 10KW WIT10K HU C/BACKUP INCORPORADO Y DISEÑADO PARA BATERIA DE BAJO VOLTAJE (GROTWATT)</t>
  </si>
  <si>
    <t>SERIAL Nª</t>
  </si>
  <si>
    <r>
      <t xml:space="preserve">HAQ1F4P4JV
</t>
    </r>
    <r>
      <rPr>
        <sz val="11"/>
        <color rgb="FFFF0000"/>
        <rFont val="Calibri"/>
        <family val="2"/>
        <scheme val="minor"/>
      </rPr>
      <t>HAQ1F6E0QG</t>
    </r>
  </si>
  <si>
    <t>OPDRS50ED23SF002N</t>
  </si>
  <si>
    <t>CANT.</t>
  </si>
  <si>
    <t>UBICACIÓN</t>
  </si>
  <si>
    <t>ESTAN</t>
  </si>
  <si>
    <t>NIVEL</t>
  </si>
  <si>
    <t>C</t>
  </si>
  <si>
    <t>D</t>
  </si>
  <si>
    <t>CAJA ESTANCA (COCHERA) EXTERIOR 8PT (IDE)</t>
  </si>
  <si>
    <t>CAJA ESTANCA (COCHERA) EXTERIOR 24PT (IDE)</t>
  </si>
  <si>
    <t>CAJA ESTANCA (COCHERA) EXTERIOR 36PT (IDE)</t>
  </si>
  <si>
    <t>METER</t>
  </si>
  <si>
    <t>METER TRIFASICO 230/400Vac (GROWATT)</t>
  </si>
  <si>
    <t>METER MONOFASICO 230/161-276Vac (GROWATT)</t>
  </si>
  <si>
    <t>CAJA DE ESTANCA 197X260X100 EV231 (IDE)</t>
  </si>
  <si>
    <t>CAJA DE ESTANCA 167X191X100 EV171 (IDE)</t>
  </si>
  <si>
    <t>CURVA PVC M-40 GRIS TIPO A</t>
  </si>
  <si>
    <t>CURVA PVC M-40 GRIS TIPO B</t>
  </si>
  <si>
    <t>CURVA PVC DN-20 GRIS (PEMSA)</t>
  </si>
  <si>
    <t>CURVA PVC M-32 GRIS</t>
  </si>
  <si>
    <t>PROTECTOR</t>
  </si>
  <si>
    <t>PROTECTOR ALTA TENSION FV1250/3S 1500V DC 5.2KV (TOSCANO VIGIVOLT)</t>
  </si>
  <si>
    <t>INTERRUPTOR</t>
  </si>
  <si>
    <t>INTERRUPTOR DIFERENCIAL PROTECTOR PERSONA CONTRA DESCARGAS RX3 40A (LEGRAND)</t>
  </si>
  <si>
    <t>INTERRUPTOR DIFERENCIAL PROTECTOR PERSONA CONTRA DESCARGAS CDC 748m 40A (HAGER)</t>
  </si>
  <si>
    <t>FUSIBLE MG10PV32A (MAXGE)</t>
  </si>
  <si>
    <t>LATERAL</t>
  </si>
  <si>
    <t>MANGUERA CORRUGADA 25mm NEGRA</t>
  </si>
  <si>
    <t>SOPORTE FINAL NEGRO</t>
  </si>
  <si>
    <t>SOPORTE FINAL GRIS</t>
  </si>
  <si>
    <t>CAJA DISTRIBUCION INTERIOR 8 ELEM. (SOLERA)</t>
  </si>
  <si>
    <t>DIFERENCIAL EPR2A040030 2P-40A-30mA (MAXGE)</t>
  </si>
  <si>
    <t>TERMICO EPBE63M1NC25 1P+N C25 (MAXGE)</t>
  </si>
  <si>
    <t xml:space="preserve">JUEGO CABLE PARA BATERIA DE LITIO B4850 </t>
  </si>
  <si>
    <t>TORNILLO AUTOTALADRANTE CON C/HEXAGONAL - R/PARCIAL - ARANDELA CAUCHO 6X120mm  A/GALV.</t>
  </si>
  <si>
    <t>CLAVIJA CAUCHO NEGRA 10/16A</t>
  </si>
  <si>
    <t>CLAVIJA</t>
  </si>
  <si>
    <t>REGLETA</t>
  </si>
  <si>
    <t>BARRA PERFORADA PARA REFUERZO 27x18x2MT GALV.</t>
  </si>
  <si>
    <t xml:space="preserve">HQ1827UMJW6
</t>
  </si>
  <si>
    <t xml:space="preserve">INVERSOR 48/5000/70-50-230V MULTIPLUS (VICTROM ENERGY)  </t>
  </si>
  <si>
    <t>PINCHO DE COMUNICACIÓN WIFI SHINErfsTICK- X  BLANCO (GROWATT)</t>
  </si>
  <si>
    <t>PATA ALUMINIO PARA ESTRUCTURA PLACA SOLAR VELA ANGULO 15º</t>
  </si>
  <si>
    <t>SOPORTE EN L ALUMINIO GRIS</t>
  </si>
  <si>
    <t>CONECTOR FOTOVOLTAICO HEMBRA M4 NEGRO</t>
  </si>
  <si>
    <t>CONECTOR FOTOVOLTAICO MACHO M4 NEGRO</t>
  </si>
  <si>
    <t>CONECTOR</t>
  </si>
  <si>
    <t>LIMITADOR/SOBRETENSIONES MONOFASICO 3SUR1 15/30kA-275V (SASSIN)</t>
  </si>
  <si>
    <t>LIMITADOR/SOBRETENSIONES MONOFASICO EPS1 C/2 - 275-40 (MAXGE)</t>
  </si>
  <si>
    <t>LIMITADOR/SOBRETENSIONES CORRIENTE CONTINUA 2P/40HA 2.5KV (APARELEC)</t>
  </si>
  <si>
    <t>LIMITADOR/SOBRETENSIONES TRIFASICO 3SU1 20/40kA-400V 4P (SASSIN)</t>
  </si>
  <si>
    <t>CINTA GRIS AISLANTE PVC 19MM</t>
  </si>
  <si>
    <t>CINTA MARRON AISLANTE PVC 19MM</t>
  </si>
  <si>
    <t>FUSIBLE 20A</t>
  </si>
  <si>
    <t>DIFERENCIAL TRIFASICO EPR4C063300 (AC TYPE) 4P-63A-300mA AC 10KA (MAXGE)</t>
  </si>
  <si>
    <t>DIFERENCIAL TRIFASICO EPR4A040030 4P-40A-30mA (MAXGE)</t>
  </si>
  <si>
    <t>TERMICO TRIFASICO EPB63M4C16 4P-C16  (MAXGE)</t>
  </si>
  <si>
    <t>TERMICO TRIFASICO EPB63M4C20 4P-C20  (MAXGE)</t>
  </si>
  <si>
    <t>TERMICO TRIFASICO EPB63MC25 4P-C25  (MAXGE)</t>
  </si>
  <si>
    <t>MAGNETO</t>
  </si>
  <si>
    <t>MAGNETO 4P-25A</t>
  </si>
  <si>
    <t>TERMICO EPBE63M1NC20 1P+N C20 (MAXGE)</t>
  </si>
  <si>
    <t>METER TRIFASICO DTSU666 230/400Vac (CHINT)</t>
  </si>
  <si>
    <t>METER TRIFASICO SDM630 V2 MID 230/400Vac (STROMZAHLER)</t>
  </si>
  <si>
    <t>CABLE Nª 6 P/PLACA SOLAR NEGRO</t>
  </si>
  <si>
    <t>CABLE Nª 6 P/PLACA SOLAR ROJO</t>
  </si>
  <si>
    <t>B</t>
  </si>
  <si>
    <t>A</t>
  </si>
  <si>
    <t>REGLETA CONEXIÓN ELECTRICA 35mm NEGRA X12</t>
  </si>
  <si>
    <t>REGLETA CONEXIÓN ELECTRICA 16mm NEGRA X12</t>
  </si>
  <si>
    <t>PLACAS</t>
  </si>
  <si>
    <t>SUELO</t>
  </si>
  <si>
    <t>REGLETA CONEXIÓN ELECTRICA 10mm NEGRA X12</t>
  </si>
  <si>
    <t>REGLETA CONEXIÓN ELECTRICA 6mm NEGRA X12</t>
  </si>
  <si>
    <t>REGLETA CONEXIÓN ELECTRICA 25mm NEGRA X12</t>
  </si>
  <si>
    <t>TERMICO EPBE63M1NC20 1P+N C20A 6KA (MAXGE)</t>
  </si>
  <si>
    <t>TERMICO NDT C20 (CRADY)</t>
  </si>
  <si>
    <t>TERMICO RX3 C20 (LEGRAND)</t>
  </si>
  <si>
    <t>TERMICO RX3 C25 (LEGRAND)</t>
  </si>
  <si>
    <t>TERMICO TRIFASICO EP64 - C16  (GE)</t>
  </si>
  <si>
    <t>TERMICO TRIFASICO EP64 - C20  (GE)</t>
  </si>
  <si>
    <t>TORO IDAL CURRENT TRANSFORMER 100A:50mA For MULTIPLUS-II (VICTRON ENERGY)</t>
  </si>
  <si>
    <t>TRANSFORMADOR DE CORRIENTE</t>
  </si>
  <si>
    <t>HQ2303</t>
  </si>
  <si>
    <t>BARILLA ROSCADA</t>
  </si>
  <si>
    <t>BARILLA ROSCADA M8 A/GALV X1000</t>
  </si>
  <si>
    <t>ENTRADA
DEVOLUCION</t>
  </si>
  <si>
    <t>ENTRADA
ALBARAN</t>
  </si>
  <si>
    <t>DYM6F73036-DYM6F7300R
DYM6F73047
DYM6F73035
DYM6F73053
DYM6F73037
DYM6F7304W
DYM6F73056
DYM6F73031
DYM6F7300H</t>
  </si>
  <si>
    <t>FECHA RELACION</t>
  </si>
  <si>
    <t>ZONA</t>
  </si>
  <si>
    <t>TERMICO LIMITADOR ICP-M C32 20A (MERLIN GERIN)</t>
  </si>
  <si>
    <t>DIFERENCIAL TRIFASICO TIPO A/C 4P-40A-30mA (AEG)</t>
  </si>
  <si>
    <t xml:space="preserve">C </t>
  </si>
  <si>
    <t>F</t>
  </si>
  <si>
    <t>TORO IDAL MONOFASICO 100A/5mA (HUAWEI)</t>
  </si>
  <si>
    <t>TORO IDAL TRIFASICO 250A/5mA (HUAWEI)</t>
  </si>
  <si>
    <t>TORO IDAL 100A/50mA</t>
  </si>
  <si>
    <t>TORO IDAL 100A/40mA</t>
  </si>
  <si>
    <t>TORO IDAL 250A/5A (LOVATO)</t>
  </si>
  <si>
    <t>TORO IDAL 200A/5A (LOVATO)</t>
  </si>
  <si>
    <t>TORO IDAL 400A/5A (SACI)</t>
  </si>
  <si>
    <t>TORO IDAL 600A/5A (SACI)</t>
  </si>
  <si>
    <t>TORO IDAL CT-100 P/MICROINVERSORES (ENPHASE)</t>
  </si>
  <si>
    <t>B
CAJON 1</t>
  </si>
  <si>
    <t>B
CAJON 2</t>
  </si>
  <si>
    <t>OPTIMIZADOR SUN2000P-375W (HUAWEI)</t>
  </si>
  <si>
    <t>OPTIMIZADOR TS4-A-O (TIGO)</t>
  </si>
  <si>
    <t>D
CAJON 3</t>
  </si>
  <si>
    <t>ANTENA LSW-3 (IGEN)</t>
  </si>
  <si>
    <t>ANTENA</t>
  </si>
  <si>
    <t>MEDIDOR ESM1-EQX (SALICRU)</t>
  </si>
  <si>
    <t>KIT CABLE BATERIA ARK</t>
  </si>
  <si>
    <t>TORO IDAL 90A SPH (LEM)</t>
  </si>
  <si>
    <t>RELED</t>
  </si>
  <si>
    <t>RELED DE RED Q-RELAY 3P-INT (ENPHASE)</t>
  </si>
  <si>
    <t>KIT MEDIDOR TORO IDAL M/INDIRECTA (CHINT)</t>
  </si>
  <si>
    <t>MEDIDOR MONOFASICO M/INDIRECTA (CHINT)</t>
  </si>
  <si>
    <t>MEDIDOR FRONIUS SMART METER TRIFASICO M/INDIRECTA</t>
  </si>
  <si>
    <t>MEDIDOR FRONIUS 63A-1 MONOFASICO M/DIRECTA</t>
  </si>
  <si>
    <t>MEDIDOR FRONIUS 63A TRIFASICO M/DIRECTA</t>
  </si>
  <si>
    <t>PARED</t>
  </si>
  <si>
    <t>A
B
C</t>
  </si>
  <si>
    <t>B
CAJON B</t>
  </si>
  <si>
    <r>
      <t xml:space="preserve">HQ2505PP6CN
</t>
    </r>
    <r>
      <rPr>
        <sz val="11"/>
        <rFont val="Calibri"/>
        <family val="2"/>
        <scheme val="minor"/>
      </rPr>
      <t xml:space="preserve">HQ2441TN9XZ
HQ232676FXU
</t>
    </r>
  </si>
  <si>
    <t>BOBINA</t>
  </si>
  <si>
    <t>MEDIDOR ENERGIA DE CARRIL MODBUS SDM230V MONOFASICO (EASTRON)</t>
  </si>
  <si>
    <t>#</t>
  </si>
  <si>
    <t>FUSIBLE 25A</t>
  </si>
  <si>
    <t>CANALETA</t>
  </si>
  <si>
    <t>CANALETA PLASTICA 40X40</t>
  </si>
  <si>
    <t>CANALETA PLASTICA 60X40</t>
  </si>
  <si>
    <t xml:space="preserve">CAJA BLANCA P/BATERIA (DYNNES) </t>
  </si>
  <si>
    <t>TECHO</t>
  </si>
  <si>
    <t>TECHO SIN ENVOLVENTE FWE12FT FONCOIL D/AGUA (DAIKIN)</t>
  </si>
  <si>
    <t>FERRETERIA UBETENSE</t>
  </si>
  <si>
    <t>T0000419
T0000331
T0000416</t>
  </si>
  <si>
    <t>TERMOSTATO ELECTRONICO FWEC1A FANCOIL (DAIKIN)</t>
  </si>
  <si>
    <t>TERMOSTATO</t>
  </si>
  <si>
    <t>VALVULA 3 VIAS 3/4 M-M 313134 P/FANCOIS (WATTS)</t>
  </si>
  <si>
    <t>ACTUADOR</t>
  </si>
  <si>
    <t>ACTUADOR 230V PARA V/FANCOIL 22CX230NC2 (WATTS)</t>
  </si>
  <si>
    <t>TORNILLO A/GALVANIZADO CON C/HEZAGONAL, R/COMPLETA, C/ARANDELA Y AUTOTALADRANTE 6.3X35</t>
  </si>
  <si>
    <t>HERRAMIENTA</t>
  </si>
  <si>
    <t>BROCA</t>
  </si>
  <si>
    <t>BROCA HELICOIDAL CONICA 8,5mm</t>
  </si>
  <si>
    <t>CANALETA PLASTICA 60X60</t>
  </si>
  <si>
    <t>ECLIMEN</t>
  </si>
  <si>
    <t>RESISTENCIA</t>
  </si>
  <si>
    <t>RESISTENCIA D/ENCENDIDO 260W 1B-20X15X6-0 (2016)</t>
  </si>
  <si>
    <t>ECOFOREST</t>
  </si>
  <si>
    <t>CRISTAL PARA PUERTA EAM/EH/MV</t>
  </si>
  <si>
    <t>CRISTAL</t>
  </si>
  <si>
    <t>ESTACION DE CARGA THOR 22AS-S GROWATT</t>
  </si>
  <si>
    <t>LUNA</t>
  </si>
  <si>
    <t>SOLAR</t>
  </si>
  <si>
    <r>
      <t xml:space="preserve">REPUESTO VENTILADOR TANGENCIAL DCHA (BOCA304X40mm) </t>
    </r>
    <r>
      <rPr>
        <sz val="11"/>
        <color theme="1"/>
        <rFont val="Calibri"/>
        <family val="2"/>
      </rPr>
      <t>Ꝋ</t>
    </r>
    <r>
      <rPr>
        <sz val="9.35"/>
        <color theme="1"/>
        <rFont val="Calibri"/>
        <family val="2"/>
      </rPr>
      <t xml:space="preserve"> rotor 60mm)</t>
    </r>
  </si>
  <si>
    <t>REPUESTO LUNA LUMIX FUNDIDA T/GRANDE 135X95mm (SML111-02) (SOLAR)</t>
  </si>
  <si>
    <t>VENTILADOR</t>
  </si>
  <si>
    <t>REPUESTO CABLE FIAT 1.5mm TARJETA-DISPLAY 16 PINES</t>
  </si>
  <si>
    <t>RACK</t>
  </si>
  <si>
    <t>RACK MURAL S.ABI1260 12U 635X600X600mm</t>
  </si>
  <si>
    <t>PINZA AMPERIMETRICA SMART PA420MINIKPS</t>
  </si>
  <si>
    <t>PINZA</t>
  </si>
  <si>
    <t>SALVADOR ESCODA</t>
  </si>
  <si>
    <t>ACUMULADOR AEROTERMICO HTW-AT-200SR290A</t>
  </si>
  <si>
    <t>JAEN CLIMA</t>
  </si>
  <si>
    <t>ACUMULADOR</t>
  </si>
  <si>
    <t>DESCALCIFICADOR KINETICO ESSENTIAL 11lts</t>
  </si>
  <si>
    <t>DESCALCIFICADOR</t>
  </si>
  <si>
    <t>CHIMENEA</t>
  </si>
  <si>
    <t>CHIMENEA NETFLAME 10KW CANALIZABLE</t>
  </si>
  <si>
    <t>BET SOLAR</t>
  </si>
  <si>
    <t>AREA RECIBO</t>
  </si>
  <si>
    <t>SOBRE PALLET PLACA SOLAR</t>
  </si>
  <si>
    <t>MODULO PLACA SOLAR AIKO-A610-MAH72MW</t>
  </si>
  <si>
    <t>BATERIA RECARGABLE LITHIUM DL10 POWERBOX G2 (DYNESS)</t>
  </si>
  <si>
    <t>15022022506210199.</t>
  </si>
  <si>
    <t>GUANTE PRO NEGRO T-9</t>
  </si>
  <si>
    <t>ELEMENTO PROTECCION PERSONAL</t>
  </si>
  <si>
    <t>GUANTE</t>
  </si>
  <si>
    <t>PAR</t>
  </si>
  <si>
    <t>AIRE ACONDICIONADO COMPLETO SPLIT D/PARED SU12H6 (SUNECO)</t>
  </si>
  <si>
    <t>AIRE ACONDICIONADO</t>
  </si>
  <si>
    <t>HQ2424266C4</t>
  </si>
  <si>
    <t>HQ2304</t>
  </si>
  <si>
    <t>T0000419
T0000331
T0000417</t>
  </si>
  <si>
    <t>(1) DYM6F73036-DYM6F7300R
DYM6F73047-DYM6F73035 DYM6F73053-DYM6F73037
DYM6F7304W-DYM6F73056
DYM6F73031-DYM6F7300H
(2) 
DYM7FZN00N-DYM7FZN01C-DYM7FZN011</t>
  </si>
  <si>
    <t>TORNILLO AUTOTALADRANTE CON C/HEXAGONAL - R/PARCIAL - ARANDELA CAUCHO 3X90mm  A/GALV.</t>
  </si>
  <si>
    <t>WURTH
RECA</t>
  </si>
  <si>
    <t>ABRAZADERA ESPECIAL P/TUBO PVC 32mm</t>
  </si>
  <si>
    <t>NAYLON</t>
  </si>
  <si>
    <t>TAMIZ</t>
  </si>
  <si>
    <t>TAMIZ NYLON 16X85</t>
  </si>
  <si>
    <t>INVERSOR C/RED TRIFASICO 10KTL3-HU 10KW SUPPLY C/BACKUP INCORPORADO Y PREPARADO PARA BATERIA APX (GROTWATT)</t>
  </si>
  <si>
    <t>DKS1FY401D
DKS1FY4023</t>
  </si>
  <si>
    <t>PAPEL BLANCO BOBLE CAPA PARA LIMPIEZA 2.5 KG</t>
  </si>
  <si>
    <t>ASEO</t>
  </si>
  <si>
    <t>PAPEL</t>
  </si>
  <si>
    <t>CABLE UTP RJ45 1.8m (VICTRON ENERGY)</t>
  </si>
  <si>
    <t>UNIDAD EXTERIOR DE BAMBA DE CALOR WH-UD12HE5 (PANASONIC)</t>
  </si>
  <si>
    <t>UNIDAD EXTERIOR</t>
  </si>
  <si>
    <t>TERMOSTATO ELECTRONICO ROOM ECO-FACIL-RADIO (MUNDO CONTROL)</t>
  </si>
  <si>
    <t>BANDEJA</t>
  </si>
  <si>
    <t>SOPORTE EN L PARA BANDEJA ELECTRICA</t>
  </si>
  <si>
    <t>KIT CABLE M4 H/M AIKO 610WP (LATIGUILLO)</t>
  </si>
  <si>
    <t>METER TRIFASICO 230/400Vac C/BOBINA INCORPORADA(GROWATT)</t>
  </si>
  <si>
    <t>ESJ0E9402P
E3J0EYQ01D</t>
  </si>
  <si>
    <t>CABLE DE COMUNICACIÓN VE.Can to  CAN-bus BMS Type A 5m (VICTRON ENERGY)</t>
  </si>
  <si>
    <t>HQ2522</t>
  </si>
  <si>
    <t>MODULO DE DISTRIBUCION LYNX POWER M10 (VICTRON ENERGY)</t>
  </si>
  <si>
    <t>MODULO DISTRIBUCION</t>
  </si>
  <si>
    <t>HQ2505MENP7</t>
  </si>
  <si>
    <t>CABLE DE COMUNICACIÓN INTERFAZ VE DIRECTA A USB (VICTRON ENERGY)</t>
  </si>
  <si>
    <t>HQ252379XZ3</t>
  </si>
  <si>
    <t>BATERIA SWITCH ON/OF 275A/48V M10 (VICTRON ENERGI)</t>
  </si>
  <si>
    <t>HQ2424266C3
HQ25269NAV7</t>
  </si>
  <si>
    <t>BATERIA LPF LITHIUM B3 48V 3.6kWh (DYNESS)</t>
  </si>
  <si>
    <r>
      <t xml:space="preserve">14031612302250180
</t>
    </r>
    <r>
      <rPr>
        <b/>
        <sz val="11"/>
        <color rgb="FFFF0000"/>
        <rFont val="Calibri"/>
        <family val="2"/>
        <scheme val="minor"/>
      </rPr>
      <t>14031612302250664</t>
    </r>
  </si>
  <si>
    <t>CORTE DEL 01 AL 15 MARZO</t>
  </si>
  <si>
    <t>CORTE DEL 16 AL 31 MARZO</t>
  </si>
  <si>
    <t>TOMA INVENTARIO</t>
  </si>
  <si>
    <t>OK</t>
  </si>
  <si>
    <t>TERMICO MONOFASICO 230V C16</t>
  </si>
  <si>
    <t>NOTA</t>
  </si>
  <si>
    <t>* 230V-3 UND
1 MERLIN GERIN
2 AEG
* 400V-1 UND
MERLIN GERIN</t>
  </si>
  <si>
    <t>3105068841
2956398663</t>
  </si>
  <si>
    <t>6B20P00014
6B20P000008</t>
  </si>
  <si>
    <t>018.0553500</t>
  </si>
  <si>
    <t>122145038839</t>
  </si>
  <si>
    <t>22020353-2202</t>
  </si>
  <si>
    <t>22130470-2213</t>
  </si>
  <si>
    <t>31368698
31274500</t>
  </si>
  <si>
    <t>2022092700313</t>
  </si>
  <si>
    <t>230009290</t>
  </si>
  <si>
    <t>C
CAJON 3</t>
  </si>
  <si>
    <t>26-MAXGE
1-LEGRAND</t>
  </si>
  <si>
    <t>ANULADO. SE UNIFICA CON CODIGO 16-52-319</t>
  </si>
  <si>
    <t>24-MAXGE
1-CRADY
3-LEGRAND</t>
  </si>
  <si>
    <t>ANULADO. SE UNIFICA CON CODIGO 16-52-350</t>
  </si>
  <si>
    <t>TUBO ELECTRICO PVC 32mm - 3mt(AISCAN)</t>
  </si>
  <si>
    <t>NEGRA</t>
  </si>
  <si>
    <t>GRIS</t>
  </si>
  <si>
    <t>PALLET</t>
  </si>
  <si>
    <t>PLACA SOLAR PS595M8GFH-24/TNH 595W (PHONO)</t>
  </si>
  <si>
    <t>UBICACIÓN FISICA</t>
  </si>
  <si>
    <t>BATERIA LFP LITHIUM DL5.OC RACK (DYNESS)</t>
  </si>
  <si>
    <t>7-54-423</t>
  </si>
  <si>
    <t>CLIENTE AGRISUR
GRIS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</si>
</sst>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9.35"/>
      <color theme="1"/>
      <name val="Calibri"/>
      <family val="2"/>
    </font>
    <font>
      <b/>
      <sz val="16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0" xfId="1" applyNumberFormat="1" applyFont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2" borderId="1" xfId="1" applyNumberFormat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 wrapText="1"/>
    </xf>
    <xf numFmtId="2" fontId="0" fillId="2" borderId="0" xfId="1" applyNumberFormat="1" applyFont="1" applyFill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164" fontId="4" fillId="4" borderId="1" xfId="2" applyNumberFormat="1" applyFont="1" applyFill="1" applyBorder="1" applyAlignment="1">
      <alignment horizontal="center" vertical="center" wrapText="1"/>
    </xf>
    <xf numFmtId="164" fontId="4" fillId="6" borderId="1" xfId="2" applyNumberFormat="1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6" borderId="1" xfId="0" applyNumberFormat="1" applyFill="1" applyBorder="1" applyAlignment="1">
      <alignment vertical="center" wrapText="1"/>
    </xf>
    <xf numFmtId="0" fontId="0" fillId="7" borderId="0" xfId="0" applyFill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1" fontId="0" fillId="0" borderId="0" xfId="0" applyNumberFormat="1" applyAlignment="1">
      <alignment horizontal="center" vertical="center" wrapText="1"/>
    </xf>
    <xf numFmtId="164" fontId="0" fillId="0" borderId="0" xfId="2" applyNumberFormat="1" applyFont="1" applyAlignment="1">
      <alignment horizontal="center" vertical="center" wrapText="1"/>
    </xf>
    <xf numFmtId="164" fontId="0" fillId="0" borderId="0" xfId="2" applyNumberFormat="1" applyFont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16" fontId="0" fillId="6" borderId="1" xfId="0" applyNumberForma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2" fillId="2" borderId="1" xfId="1" applyNumberFormat="1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vertical="center" wrapText="1"/>
    </xf>
    <xf numFmtId="2" fontId="0" fillId="2" borderId="0" xfId="0" applyNumberFormat="1" applyFill="1" applyAlignment="1">
      <alignment vertical="center" wrapText="1"/>
    </xf>
    <xf numFmtId="2" fontId="0" fillId="2" borderId="1" xfId="0" applyNumberForma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2" fontId="2" fillId="8" borderId="1" xfId="0" applyNumberFormat="1" applyFont="1" applyFill="1" applyBorder="1" applyAlignment="1">
      <alignment horizontal="center" vertical="center" wrapText="1"/>
    </xf>
    <xf numFmtId="2" fontId="2" fillId="8" borderId="1" xfId="1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6" fontId="0" fillId="10" borderId="1" xfId="0" applyNumberFormat="1" applyFill="1" applyBorder="1" applyAlignment="1">
      <alignment vertical="center" wrapText="1"/>
    </xf>
    <xf numFmtId="164" fontId="0" fillId="10" borderId="1" xfId="2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vertical="center" wrapText="1"/>
    </xf>
    <xf numFmtId="164" fontId="4" fillId="10" borderId="1" xfId="2" applyNumberFormat="1" applyFont="1" applyFill="1" applyBorder="1" applyAlignment="1">
      <alignment horizontal="center" vertical="top" wrapText="1"/>
    </xf>
    <xf numFmtId="0" fontId="9" fillId="10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6" borderId="1" xfId="0" applyFont="1" applyFill="1" applyBorder="1" applyAlignment="1">
      <alignment vertical="center" wrapText="1"/>
    </xf>
    <xf numFmtId="0" fontId="11" fillId="7" borderId="0" xfId="0" applyFont="1" applyFill="1" applyAlignment="1">
      <alignment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164" fontId="4" fillId="0" borderId="1" xfId="2" applyNumberFormat="1" applyFont="1" applyFill="1" applyBorder="1" applyAlignment="1">
      <alignment horizontal="center" vertical="top" wrapText="1"/>
    </xf>
    <xf numFmtId="164" fontId="0" fillId="0" borderId="1" xfId="2" applyNumberFormat="1" applyFont="1" applyFill="1" applyBorder="1" applyAlignment="1">
      <alignment horizontal="center" vertical="center" wrapText="1"/>
    </xf>
    <xf numFmtId="164" fontId="0" fillId="0" borderId="0" xfId="2" applyNumberFormat="1" applyFont="1" applyFill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16" fontId="0" fillId="0" borderId="1" xfId="0" applyNumberFormat="1" applyBorder="1" applyAlignment="1">
      <alignment vertical="center" wrapText="1"/>
    </xf>
    <xf numFmtId="164" fontId="0" fillId="0" borderId="1" xfId="2" applyNumberFormat="1" applyFont="1" applyFill="1" applyBorder="1" applyAlignment="1">
      <alignment vertical="center" wrapText="1"/>
    </xf>
    <xf numFmtId="164" fontId="0" fillId="0" borderId="0" xfId="2" applyNumberFormat="1" applyFont="1" applyFill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16" fontId="0" fillId="4" borderId="1" xfId="0" applyNumberFormat="1" applyFill="1" applyBorder="1" applyAlignment="1">
      <alignment vertical="center" wrapText="1"/>
    </xf>
    <xf numFmtId="164" fontId="0" fillId="4" borderId="1" xfId="2" applyNumberFormat="1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11" borderId="1" xfId="0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4" fontId="0" fillId="0" borderId="0" xfId="2" applyNumberFormat="1" applyFont="1" applyFill="1" applyBorder="1" applyAlignment="1">
      <alignment horizontal="center" vertical="center" wrapText="1"/>
    </xf>
    <xf numFmtId="164" fontId="0" fillId="0" borderId="0" xfId="2" applyNumberFormat="1" applyFont="1" applyFill="1" applyBorder="1" applyAlignment="1">
      <alignment vertical="center" wrapText="1"/>
    </xf>
    <xf numFmtId="164" fontId="0" fillId="0" borderId="0" xfId="2" applyNumberFormat="1" applyFont="1" applyBorder="1" applyAlignment="1">
      <alignment vertical="center" wrapText="1"/>
    </xf>
    <xf numFmtId="164" fontId="0" fillId="0" borderId="0" xfId="2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164" fontId="0" fillId="12" borderId="1" xfId="0" applyNumberFormat="1" applyFill="1" applyBorder="1" applyAlignment="1">
      <alignment vertical="center" wrapText="1"/>
    </xf>
    <xf numFmtId="16" fontId="0" fillId="12" borderId="1" xfId="0" applyNumberFormat="1" applyFill="1" applyBorder="1" applyAlignment="1">
      <alignment vertical="center" wrapText="1"/>
    </xf>
    <xf numFmtId="164" fontId="4" fillId="12" borderId="1" xfId="2" applyNumberFormat="1" applyFont="1" applyFill="1" applyBorder="1" applyAlignment="1">
      <alignment horizontal="center" vertical="top" wrapText="1"/>
    </xf>
    <xf numFmtId="164" fontId="9" fillId="12" borderId="1" xfId="2" applyNumberFormat="1" applyFont="1" applyFill="1" applyBorder="1" applyAlignment="1">
      <alignment horizontal="center" vertical="top" wrapText="1"/>
    </xf>
    <xf numFmtId="2" fontId="10" fillId="0" borderId="1" xfId="0" applyNumberFormat="1" applyFont="1" applyBorder="1" applyAlignment="1">
      <alignment horizontal="center" vertical="center" wrapText="1"/>
    </xf>
    <xf numFmtId="2" fontId="0" fillId="11" borderId="1" xfId="0" applyNumberFormat="1" applyFill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16" fontId="10" fillId="4" borderId="1" xfId="0" applyNumberFormat="1" applyFont="1" applyFill="1" applyBorder="1" applyAlignment="1">
      <alignment vertical="center" wrapText="1"/>
    </xf>
    <xf numFmtId="164" fontId="10" fillId="4" borderId="1" xfId="2" applyNumberFormat="1" applyFont="1" applyFill="1" applyBorder="1" applyAlignment="1">
      <alignment vertical="center" wrapText="1"/>
    </xf>
    <xf numFmtId="0" fontId="10" fillId="7" borderId="0" xfId="0" applyFont="1" applyFill="1" applyAlignment="1">
      <alignment vertical="center" wrapText="1"/>
    </xf>
    <xf numFmtId="16" fontId="10" fillId="0" borderId="1" xfId="0" applyNumberFormat="1" applyFont="1" applyBorder="1" applyAlignment="1">
      <alignment vertical="center" wrapText="1"/>
    </xf>
    <xf numFmtId="164" fontId="10" fillId="0" borderId="1" xfId="2" applyNumberFormat="1" applyFont="1" applyFill="1" applyBorder="1" applyAlignment="1">
      <alignment horizontal="center" vertical="center" wrapText="1"/>
    </xf>
    <xf numFmtId="16" fontId="10" fillId="10" borderId="1" xfId="0" applyNumberFormat="1" applyFont="1" applyFill="1" applyBorder="1" applyAlignment="1">
      <alignment vertical="center" wrapText="1"/>
    </xf>
    <xf numFmtId="164" fontId="10" fillId="10" borderId="1" xfId="2" applyNumberFormat="1" applyFont="1" applyFill="1" applyBorder="1" applyAlignment="1">
      <alignment horizontal="center" vertical="center" wrapText="1"/>
    </xf>
    <xf numFmtId="164" fontId="10" fillId="0" borderId="1" xfId="2" applyNumberFormat="1" applyFont="1" applyFill="1" applyBorder="1" applyAlignment="1">
      <alignment vertical="center" wrapText="1"/>
    </xf>
    <xf numFmtId="16" fontId="10" fillId="6" borderId="1" xfId="0" applyNumberFormat="1" applyFont="1" applyFill="1" applyBorder="1" applyAlignment="1">
      <alignment vertical="center" wrapText="1"/>
    </xf>
    <xf numFmtId="164" fontId="10" fillId="6" borderId="1" xfId="0" applyNumberFormat="1" applyFont="1" applyFill="1" applyBorder="1" applyAlignment="1">
      <alignment vertical="center" wrapText="1"/>
    </xf>
    <xf numFmtId="164" fontId="10" fillId="12" borderId="1" xfId="0" applyNumberFormat="1" applyFont="1" applyFill="1" applyBorder="1" applyAlignment="1">
      <alignment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0" fillId="11" borderId="1" xfId="0" applyFill="1" applyBorder="1" applyAlignment="1">
      <alignment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0" fontId="2" fillId="13" borderId="1" xfId="0" applyFont="1" applyFill="1" applyBorder="1" applyAlignment="1">
      <alignment horizontal="center" vertical="center" wrapText="1"/>
    </xf>
    <xf numFmtId="2" fontId="10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2" fontId="8" fillId="11" borderId="1" xfId="0" applyNumberFormat="1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vertical="center" wrapText="1"/>
    </xf>
    <xf numFmtId="0" fontId="13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2" fontId="0" fillId="0" borderId="0" xfId="0" applyNumberFormat="1" applyFill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2" fontId="4" fillId="0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164" fontId="16" fillId="12" borderId="1" xfId="0" applyNumberFormat="1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vertical="center" wrapText="1"/>
    </xf>
  </cellXfs>
  <cellStyles count="3">
    <cellStyle name="Millares" xfId="2" builtinId="3"/>
    <cellStyle name="Normal" xfId="0" builtinId="0"/>
    <cellStyle name="Porcentaje" xfId="1" builtinId="5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mruColors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B47D7-F60E-41A1-A90D-7C42107FF128}">
  <dimension ref="A1:AJ603"/>
  <sheetViews>
    <sheetView tabSelected="1" zoomScale="85" zoomScaleNormal="85" workbookViewId="0">
      <pane xSplit="10" ySplit="3" topLeftCell="K4" activePane="bottomRight" state="frozen"/>
      <selection pane="topRight" activeCell="K1" sqref="K1"/>
      <selection pane="bottomLeft" activeCell="A4" sqref="A4"/>
      <selection pane="bottomRight" activeCell="F7" sqref="F7"/>
    </sheetView>
  </sheetViews>
  <sheetFormatPr baseColWidth="10" defaultRowHeight="14.4" x14ac:dyDescent="0.3"/>
  <cols>
    <col min="1" max="1" width="5.88671875" style="1" bestFit="1" customWidth="1"/>
    <col min="2" max="2" width="7.21875" style="1" customWidth="1"/>
    <col min="3" max="3" width="11.33203125" style="1" customWidth="1"/>
    <col min="4" max="4" width="5.6640625" style="1" customWidth="1"/>
    <col min="5" max="5" width="14" style="3" bestFit="1" customWidth="1"/>
    <col min="6" max="6" width="40.5546875" style="2" customWidth="1"/>
    <col min="7" max="7" width="11.5546875" style="32"/>
    <col min="8" max="8" width="7" style="2" customWidth="1"/>
    <col min="9" max="9" width="11.21875" style="34" bestFit="1" customWidth="1"/>
    <col min="10" max="10" width="0.6640625" style="2" customWidth="1"/>
    <col min="11" max="11" width="8" style="2" customWidth="1"/>
    <col min="12" max="12" width="7.5546875" style="68" customWidth="1"/>
    <col min="13" max="13" width="8" style="2" customWidth="1"/>
    <col min="14" max="14" width="7.5546875" style="33" customWidth="1"/>
    <col min="15" max="15" width="8" style="2" customWidth="1"/>
    <col min="16" max="16" width="7.77734375" style="72" customWidth="1"/>
    <col min="17" max="17" width="7" style="2" customWidth="1"/>
    <col min="18" max="18" width="11.21875" style="2" bestFit="1" customWidth="1"/>
    <col min="19" max="19" width="7.5546875" style="2" hidden="1" customWidth="1"/>
    <col min="20" max="20" width="8.21875" style="2" hidden="1" customWidth="1"/>
    <col min="21" max="21" width="0.6640625" style="2" customWidth="1"/>
    <col min="22" max="22" width="8" style="2" hidden="1" customWidth="1"/>
    <col min="23" max="23" width="7.5546875" style="68" hidden="1" customWidth="1"/>
    <col min="24" max="24" width="8" style="2" hidden="1" customWidth="1"/>
    <col min="25" max="25" width="7.5546875" style="33" hidden="1" customWidth="1"/>
    <col min="26" max="26" width="8" style="2" hidden="1" customWidth="1"/>
    <col min="27" max="27" width="7.77734375" style="72" hidden="1" customWidth="1"/>
    <col min="28" max="28" width="7" style="2" hidden="1" customWidth="1"/>
    <col min="29" max="29" width="11.21875" style="2" hidden="1" customWidth="1"/>
    <col min="30" max="30" width="30.6640625" style="1" customWidth="1"/>
    <col min="31" max="31" width="19.109375" style="1" customWidth="1"/>
    <col min="32" max="34" width="11.5546875" style="1"/>
    <col min="35" max="16384" width="11.5546875" style="2"/>
  </cols>
  <sheetData>
    <row r="1" spans="1:34" ht="22.8" customHeight="1" x14ac:dyDescent="0.3">
      <c r="K1" s="122" t="s">
        <v>464</v>
      </c>
      <c r="L1" s="122"/>
      <c r="M1" s="122"/>
      <c r="N1" s="122"/>
      <c r="O1" s="122"/>
      <c r="P1" s="122"/>
      <c r="Q1" s="122"/>
      <c r="R1" s="122"/>
      <c r="S1" s="83"/>
      <c r="T1" s="83"/>
      <c r="V1" s="122" t="s">
        <v>465</v>
      </c>
      <c r="W1" s="122"/>
      <c r="X1" s="122"/>
      <c r="Y1" s="122"/>
      <c r="Z1" s="122"/>
      <c r="AA1" s="122"/>
      <c r="AB1" s="122"/>
      <c r="AC1" s="122"/>
    </row>
    <row r="2" spans="1:34" s="29" customFormat="1" ht="28.8" customHeight="1" x14ac:dyDescent="0.3">
      <c r="A2" s="128" t="s">
        <v>106</v>
      </c>
      <c r="B2" s="129"/>
      <c r="C2" s="130"/>
      <c r="D2" s="131" t="s">
        <v>132</v>
      </c>
      <c r="E2" s="132"/>
      <c r="F2" s="133"/>
      <c r="G2" s="18"/>
      <c r="H2" s="135" t="s">
        <v>53</v>
      </c>
      <c r="I2" s="135"/>
      <c r="J2" s="28"/>
      <c r="K2" s="123" t="s">
        <v>331</v>
      </c>
      <c r="L2" s="123"/>
      <c r="M2" s="124" t="s">
        <v>332</v>
      </c>
      <c r="N2" s="124"/>
      <c r="O2" s="125" t="s">
        <v>61</v>
      </c>
      <c r="P2" s="125"/>
      <c r="Q2" s="126" t="s">
        <v>62</v>
      </c>
      <c r="R2" s="126"/>
      <c r="S2" s="127" t="s">
        <v>466</v>
      </c>
      <c r="T2" s="127"/>
      <c r="U2" s="28"/>
      <c r="V2" s="123" t="s">
        <v>331</v>
      </c>
      <c r="W2" s="123"/>
      <c r="X2" s="124" t="s">
        <v>332</v>
      </c>
      <c r="Y2" s="124"/>
      <c r="Z2" s="125" t="s">
        <v>61</v>
      </c>
      <c r="AA2" s="125"/>
      <c r="AB2" s="126" t="s">
        <v>62</v>
      </c>
      <c r="AC2" s="126"/>
      <c r="AD2" s="24"/>
      <c r="AE2" s="24"/>
      <c r="AF2" s="134" t="s">
        <v>248</v>
      </c>
      <c r="AG2" s="134"/>
      <c r="AH2" s="134"/>
    </row>
    <row r="3" spans="1:34" s="24" customFormat="1" ht="28.8" x14ac:dyDescent="0.3">
      <c r="A3" s="19" t="s">
        <v>11</v>
      </c>
      <c r="B3" s="19" t="s">
        <v>1</v>
      </c>
      <c r="C3" s="19" t="s">
        <v>2</v>
      </c>
      <c r="D3" s="19" t="s">
        <v>3</v>
      </c>
      <c r="E3" s="20" t="s">
        <v>4</v>
      </c>
      <c r="F3" s="19" t="s">
        <v>5</v>
      </c>
      <c r="G3" s="7" t="s">
        <v>6</v>
      </c>
      <c r="H3" s="73" t="s">
        <v>54</v>
      </c>
      <c r="I3" s="21" t="s">
        <v>7</v>
      </c>
      <c r="J3" s="23"/>
      <c r="K3" s="69" t="s">
        <v>334</v>
      </c>
      <c r="L3" s="66" t="s">
        <v>247</v>
      </c>
      <c r="M3" s="58" t="s">
        <v>334</v>
      </c>
      <c r="N3" s="57" t="s">
        <v>247</v>
      </c>
      <c r="O3" s="69" t="s">
        <v>334</v>
      </c>
      <c r="P3" s="66" t="s">
        <v>247</v>
      </c>
      <c r="Q3" s="35" t="s">
        <v>54</v>
      </c>
      <c r="R3" s="22" t="s">
        <v>7</v>
      </c>
      <c r="S3" s="86" t="s">
        <v>54</v>
      </c>
      <c r="T3" s="87" t="s">
        <v>7</v>
      </c>
      <c r="U3" s="23"/>
      <c r="V3" s="69" t="s">
        <v>334</v>
      </c>
      <c r="W3" s="66" t="s">
        <v>247</v>
      </c>
      <c r="X3" s="58" t="s">
        <v>334</v>
      </c>
      <c r="Y3" s="57" t="s">
        <v>247</v>
      </c>
      <c r="Z3" s="69" t="s">
        <v>334</v>
      </c>
      <c r="AA3" s="66" t="s">
        <v>247</v>
      </c>
      <c r="AB3" s="35" t="s">
        <v>54</v>
      </c>
      <c r="AC3" s="22" t="s">
        <v>7</v>
      </c>
      <c r="AD3" s="19" t="s">
        <v>244</v>
      </c>
      <c r="AE3" s="19" t="s">
        <v>469</v>
      </c>
      <c r="AF3" s="47" t="s">
        <v>335</v>
      </c>
      <c r="AG3" s="47" t="s">
        <v>249</v>
      </c>
      <c r="AH3" s="47" t="s">
        <v>250</v>
      </c>
    </row>
    <row r="4" spans="1:34" ht="21.6" customHeight="1" x14ac:dyDescent="0.3">
      <c r="A4" s="65">
        <v>1</v>
      </c>
      <c r="B4" s="25">
        <v>13</v>
      </c>
      <c r="C4" s="25">
        <v>21</v>
      </c>
      <c r="D4" s="25">
        <v>180</v>
      </c>
      <c r="E4" s="89" t="str">
        <f>CONCATENATE(B4,"-",C4,"-",D4)</f>
        <v>13-21-180</v>
      </c>
      <c r="F4" s="13" t="str">
        <f>VLOOKUP(E4,'LISTA ITEMS'!$E$2:$G$875,2,FALSE)</f>
        <v>TACO P/BRIDA BLANCO</v>
      </c>
      <c r="G4" s="25" t="str">
        <f>VLOOKUP(E4,'LISTA ITEMS'!$E$2:$G$875,3,FALSE)</f>
        <v>UND</v>
      </c>
      <c r="H4" s="74">
        <v>46083</v>
      </c>
      <c r="I4" s="75">
        <v>1200</v>
      </c>
      <c r="J4" s="27"/>
      <c r="K4" s="70">
        <v>46098</v>
      </c>
      <c r="L4" s="67">
        <v>0</v>
      </c>
      <c r="M4" s="54">
        <v>46098</v>
      </c>
      <c r="N4" s="55">
        <v>0</v>
      </c>
      <c r="O4" s="70">
        <v>46098</v>
      </c>
      <c r="P4" s="71">
        <v>100</v>
      </c>
      <c r="Q4" s="36">
        <v>46098</v>
      </c>
      <c r="R4" s="26">
        <f>+I4+L4+N4-P4</f>
        <v>1100</v>
      </c>
      <c r="S4" s="85"/>
      <c r="T4" s="84"/>
      <c r="U4" s="27"/>
      <c r="V4" s="70"/>
      <c r="W4" s="67"/>
      <c r="X4" s="54"/>
      <c r="Y4" s="55"/>
      <c r="Z4" s="70"/>
      <c r="AA4" s="71"/>
      <c r="AB4" s="36"/>
      <c r="AC4" s="26">
        <f>+R4+W4+Y4-AA4</f>
        <v>1100</v>
      </c>
      <c r="AD4" s="25"/>
      <c r="AE4" s="25"/>
      <c r="AF4" s="77">
        <v>7</v>
      </c>
      <c r="AG4" s="77">
        <v>2</v>
      </c>
      <c r="AH4" s="77" t="s">
        <v>44</v>
      </c>
    </row>
    <row r="5" spans="1:34" ht="21.6" customHeight="1" x14ac:dyDescent="0.3">
      <c r="A5" s="65">
        <v>2</v>
      </c>
      <c r="B5" s="25">
        <v>13</v>
      </c>
      <c r="C5" s="25">
        <v>21</v>
      </c>
      <c r="D5" s="25">
        <v>181</v>
      </c>
      <c r="E5" s="89" t="str">
        <f>CONCATENATE(B5,"-",C5,"-",D5)</f>
        <v>13-21-181</v>
      </c>
      <c r="F5" s="13" t="str">
        <f>VLOOKUP(E5,'LISTA ITEMS'!$E$2:$G$875,2,FALSE)</f>
        <v>TACO P/BRIDA NEGRO</v>
      </c>
      <c r="G5" s="25" t="str">
        <f>VLOOKUP(E5,'LISTA ITEMS'!$E$2:$G$875,3,FALSE)</f>
        <v>UND</v>
      </c>
      <c r="H5" s="74">
        <v>46083</v>
      </c>
      <c r="I5" s="75">
        <v>300</v>
      </c>
      <c r="J5" s="27"/>
      <c r="K5" s="70">
        <v>46098</v>
      </c>
      <c r="L5" s="67">
        <v>180</v>
      </c>
      <c r="M5" s="54">
        <v>46098</v>
      </c>
      <c r="N5" s="55">
        <v>500</v>
      </c>
      <c r="O5" s="70">
        <v>46098</v>
      </c>
      <c r="P5" s="71">
        <v>750</v>
      </c>
      <c r="Q5" s="36">
        <v>46098</v>
      </c>
      <c r="R5" s="26">
        <f>+I5+L5+N5-P5</f>
        <v>230</v>
      </c>
      <c r="S5" s="85"/>
      <c r="T5" s="84"/>
      <c r="U5" s="27"/>
      <c r="V5" s="70"/>
      <c r="W5" s="67"/>
      <c r="X5" s="54"/>
      <c r="Y5" s="55"/>
      <c r="Z5" s="70"/>
      <c r="AA5" s="71"/>
      <c r="AB5" s="31"/>
      <c r="AC5" s="26">
        <f>+R5+W5+Y5-AA5</f>
        <v>230</v>
      </c>
      <c r="AD5" s="25"/>
      <c r="AE5" s="25"/>
      <c r="AF5" s="77">
        <v>7</v>
      </c>
      <c r="AG5" s="77">
        <v>2</v>
      </c>
      <c r="AH5" s="77" t="s">
        <v>44</v>
      </c>
    </row>
    <row r="6" spans="1:34" ht="21.6" customHeight="1" x14ac:dyDescent="0.3">
      <c r="A6" s="65">
        <v>3</v>
      </c>
      <c r="B6" s="25">
        <v>13</v>
      </c>
      <c r="C6" s="25">
        <v>22</v>
      </c>
      <c r="D6" s="25">
        <v>182</v>
      </c>
      <c r="E6" s="89" t="str">
        <f>CONCATENATE(B6,"-",C6,"-",D6)</f>
        <v>13-22-182</v>
      </c>
      <c r="F6" s="13" t="str">
        <f>VLOOKUP(E6,'LISTA ITEMS'!$E$2:$G$875,2,FALSE)</f>
        <v>BRIDA P/INTERIOR BLANCA</v>
      </c>
      <c r="G6" s="25" t="str">
        <f>VLOOKUP(E6,'LISTA ITEMS'!$E$2:$G$875,3,FALSE)</f>
        <v>UND</v>
      </c>
      <c r="H6" s="74">
        <v>46083</v>
      </c>
      <c r="I6" s="75">
        <v>2000</v>
      </c>
      <c r="J6" s="27"/>
      <c r="K6" s="70">
        <v>46098</v>
      </c>
      <c r="L6" s="67">
        <v>0</v>
      </c>
      <c r="M6" s="54">
        <v>46098</v>
      </c>
      <c r="N6" s="55">
        <v>0</v>
      </c>
      <c r="O6" s="70">
        <v>46098</v>
      </c>
      <c r="P6" s="71">
        <v>0</v>
      </c>
      <c r="Q6" s="36">
        <v>46098</v>
      </c>
      <c r="R6" s="26">
        <f>+I6+L6+N6-P6</f>
        <v>2000</v>
      </c>
      <c r="S6" s="85"/>
      <c r="T6" s="84"/>
      <c r="U6" s="27"/>
      <c r="V6" s="70"/>
      <c r="W6" s="67"/>
      <c r="X6" s="54"/>
      <c r="Y6" s="55"/>
      <c r="Z6" s="70"/>
      <c r="AA6" s="71"/>
      <c r="AB6" s="31"/>
      <c r="AC6" s="26">
        <f>+R6+W6+Y6-AA6</f>
        <v>2000</v>
      </c>
      <c r="AD6" s="25"/>
      <c r="AE6" s="25"/>
      <c r="AF6" s="110">
        <v>7</v>
      </c>
      <c r="AG6" s="110">
        <v>2</v>
      </c>
      <c r="AH6" s="110" t="s">
        <v>44</v>
      </c>
    </row>
    <row r="7" spans="1:34" ht="21.6" customHeight="1" x14ac:dyDescent="0.3">
      <c r="A7" s="65">
        <v>4</v>
      </c>
      <c r="B7" s="25">
        <v>13</v>
      </c>
      <c r="C7" s="25">
        <v>22</v>
      </c>
      <c r="D7" s="25">
        <v>183</v>
      </c>
      <c r="E7" s="89" t="str">
        <f>CONCATENATE(B7,"-",C7,"-",D7)</f>
        <v>13-22-183</v>
      </c>
      <c r="F7" s="13" t="str">
        <f>VLOOKUP(E7,'LISTA ITEMS'!$E$2:$G$875,2,FALSE)</f>
        <v>BRIDA P/INTERIOR NEGRA</v>
      </c>
      <c r="G7" s="25" t="str">
        <f>VLOOKUP(E7,'LISTA ITEMS'!$E$2:$G$875,3,FALSE)</f>
        <v>UND</v>
      </c>
      <c r="H7" s="74">
        <v>46083</v>
      </c>
      <c r="I7" s="75">
        <v>1900</v>
      </c>
      <c r="J7" s="27"/>
      <c r="K7" s="70">
        <v>46098</v>
      </c>
      <c r="L7" s="67">
        <v>0</v>
      </c>
      <c r="M7" s="54">
        <v>46098</v>
      </c>
      <c r="N7" s="55">
        <v>0</v>
      </c>
      <c r="O7" s="70">
        <v>46098</v>
      </c>
      <c r="P7" s="71">
        <v>0</v>
      </c>
      <c r="Q7" s="36">
        <v>46098</v>
      </c>
      <c r="R7" s="26">
        <f>+I7+L7+N7-P7</f>
        <v>1900</v>
      </c>
      <c r="S7" s="85"/>
      <c r="T7" s="84"/>
      <c r="U7" s="27"/>
      <c r="V7" s="70"/>
      <c r="W7" s="67"/>
      <c r="X7" s="54"/>
      <c r="Y7" s="55"/>
      <c r="Z7" s="70"/>
      <c r="AA7" s="71"/>
      <c r="AB7" s="31"/>
      <c r="AC7" s="26">
        <f>+R7+W7+Y7-AA7</f>
        <v>1900</v>
      </c>
      <c r="AD7" s="25"/>
      <c r="AE7" s="25"/>
      <c r="AF7" s="110">
        <v>7</v>
      </c>
      <c r="AG7" s="110">
        <v>2</v>
      </c>
      <c r="AH7" s="110" t="s">
        <v>44</v>
      </c>
    </row>
    <row r="8" spans="1:34" ht="21.6" customHeight="1" x14ac:dyDescent="0.3">
      <c r="A8" s="65">
        <v>5</v>
      </c>
      <c r="B8" s="25">
        <v>13</v>
      </c>
      <c r="C8" s="25">
        <v>22</v>
      </c>
      <c r="D8" s="25">
        <v>184</v>
      </c>
      <c r="E8" s="89" t="str">
        <f>CONCATENATE(B8,"-",C8,"-",D8)</f>
        <v>13-22-184</v>
      </c>
      <c r="F8" s="13" t="str">
        <f>VLOOKUP(E8,'LISTA ITEMS'!$E$2:$G$875,2,FALSE)</f>
        <v>BRIDA P/EXTERIOR NEGRA</v>
      </c>
      <c r="G8" s="25" t="str">
        <f>VLOOKUP(E8,'LISTA ITEMS'!$E$2:$G$875,3,FALSE)</f>
        <v>UND</v>
      </c>
      <c r="H8" s="74">
        <v>46083</v>
      </c>
      <c r="I8" s="75">
        <v>100</v>
      </c>
      <c r="J8" s="27"/>
      <c r="K8" s="70">
        <v>46098</v>
      </c>
      <c r="L8" s="67">
        <v>300</v>
      </c>
      <c r="M8" s="54">
        <v>46098</v>
      </c>
      <c r="N8" s="55">
        <v>0</v>
      </c>
      <c r="O8" s="70">
        <v>46098</v>
      </c>
      <c r="P8" s="71">
        <v>1450</v>
      </c>
      <c r="Q8" s="36">
        <v>46098</v>
      </c>
      <c r="R8" s="26">
        <f>+I8+L8+N8-P8</f>
        <v>-1050</v>
      </c>
      <c r="S8" s="85"/>
      <c r="T8" s="84"/>
      <c r="U8" s="27"/>
      <c r="V8" s="70"/>
      <c r="W8" s="67"/>
      <c r="X8" s="54"/>
      <c r="Y8" s="55"/>
      <c r="Z8" s="70"/>
      <c r="AA8" s="71"/>
      <c r="AB8" s="31"/>
      <c r="AC8" s="26">
        <f>+R8+W8+Y8-AA8</f>
        <v>-1050</v>
      </c>
      <c r="AD8" s="25"/>
      <c r="AE8" s="25"/>
      <c r="AF8" s="110">
        <v>7</v>
      </c>
      <c r="AG8" s="110">
        <v>1</v>
      </c>
      <c r="AH8" s="110" t="s">
        <v>44</v>
      </c>
    </row>
    <row r="9" spans="1:34" ht="21.6" customHeight="1" x14ac:dyDescent="0.3">
      <c r="A9" s="65">
        <v>6</v>
      </c>
      <c r="B9" s="25">
        <v>13</v>
      </c>
      <c r="C9" s="25">
        <v>23</v>
      </c>
      <c r="D9" s="25">
        <v>185</v>
      </c>
      <c r="E9" s="89" t="str">
        <f>CONCATENATE(B9,"-",C9,"-",D9)</f>
        <v>13-23-185</v>
      </c>
      <c r="F9" s="13" t="str">
        <f>VLOOKUP(E9,'LISTA ITEMS'!$E$2:$G$875,2,FALSE)</f>
        <v>CINTA BLANCA AISLANTE PVC 50MM</v>
      </c>
      <c r="G9" s="25" t="str">
        <f>VLOOKUP(E9,'LISTA ITEMS'!$E$2:$G$875,3,FALSE)</f>
        <v>UND</v>
      </c>
      <c r="H9" s="74">
        <v>46083</v>
      </c>
      <c r="I9" s="75">
        <v>1</v>
      </c>
      <c r="J9" s="27"/>
      <c r="K9" s="70">
        <v>46098</v>
      </c>
      <c r="L9" s="67">
        <v>0</v>
      </c>
      <c r="M9" s="54">
        <v>46098</v>
      </c>
      <c r="N9" s="55">
        <v>0</v>
      </c>
      <c r="O9" s="70">
        <v>46098</v>
      </c>
      <c r="P9" s="71">
        <v>2</v>
      </c>
      <c r="Q9" s="36">
        <v>46098</v>
      </c>
      <c r="R9" s="26">
        <f>+I9+L9+N9-P9</f>
        <v>-1</v>
      </c>
      <c r="S9" s="85"/>
      <c r="T9" s="84"/>
      <c r="U9" s="27"/>
      <c r="V9" s="70"/>
      <c r="W9" s="67"/>
      <c r="X9" s="54"/>
      <c r="Y9" s="55"/>
      <c r="Z9" s="70"/>
      <c r="AA9" s="71"/>
      <c r="AB9" s="31"/>
      <c r="AC9" s="26">
        <f>+R9+W9+Y9-AA9</f>
        <v>-1</v>
      </c>
      <c r="AD9" s="25"/>
      <c r="AE9" s="25"/>
      <c r="AF9" s="110">
        <v>7</v>
      </c>
      <c r="AG9" s="110">
        <v>1</v>
      </c>
      <c r="AH9" s="110" t="s">
        <v>339</v>
      </c>
    </row>
    <row r="10" spans="1:34" ht="21.6" customHeight="1" x14ac:dyDescent="0.3">
      <c r="A10" s="65">
        <v>7</v>
      </c>
      <c r="B10" s="25">
        <v>13</v>
      </c>
      <c r="C10" s="25">
        <v>23</v>
      </c>
      <c r="D10" s="25">
        <v>186</v>
      </c>
      <c r="E10" s="89" t="str">
        <f>CONCATENATE(B10,"-",C10,"-",D10)</f>
        <v>13-23-186</v>
      </c>
      <c r="F10" s="13" t="str">
        <f>VLOOKUP(E10,'LISTA ITEMS'!$E$2:$G$875,2,FALSE)</f>
        <v>CINTA NEGRA AISLANTE PVC 50MM</v>
      </c>
      <c r="G10" s="25" t="str">
        <f>VLOOKUP(E10,'LISTA ITEMS'!$E$2:$G$875,3,FALSE)</f>
        <v>UND</v>
      </c>
      <c r="H10" s="74">
        <v>46083</v>
      </c>
      <c r="I10" s="75">
        <v>2</v>
      </c>
      <c r="J10" s="27"/>
      <c r="K10" s="70">
        <v>46098</v>
      </c>
      <c r="L10" s="67">
        <v>0</v>
      </c>
      <c r="M10" s="54">
        <v>46098</v>
      </c>
      <c r="N10" s="55">
        <v>0</v>
      </c>
      <c r="O10" s="70">
        <v>46098</v>
      </c>
      <c r="P10" s="71">
        <v>0</v>
      </c>
      <c r="Q10" s="36">
        <v>46098</v>
      </c>
      <c r="R10" s="26">
        <f>+I10+L10+N10-P10</f>
        <v>2</v>
      </c>
      <c r="S10" s="85"/>
      <c r="T10" s="84"/>
      <c r="U10" s="27"/>
      <c r="V10" s="70"/>
      <c r="W10" s="67"/>
      <c r="X10" s="54"/>
      <c r="Y10" s="55"/>
      <c r="Z10" s="70"/>
      <c r="AA10" s="71"/>
      <c r="AB10" s="31"/>
      <c r="AC10" s="26">
        <f>+R10+W10+Y10-AA10</f>
        <v>2</v>
      </c>
      <c r="AD10" s="25"/>
      <c r="AE10" s="25"/>
      <c r="AF10" s="120">
        <v>7</v>
      </c>
      <c r="AG10" s="120">
        <v>1</v>
      </c>
      <c r="AH10" s="120" t="s">
        <v>339</v>
      </c>
    </row>
    <row r="11" spans="1:34" ht="21.6" customHeight="1" x14ac:dyDescent="0.3">
      <c r="A11" s="65">
        <v>8</v>
      </c>
      <c r="B11" s="25">
        <v>13</v>
      </c>
      <c r="C11" s="25">
        <v>23</v>
      </c>
      <c r="D11" s="25">
        <v>187</v>
      </c>
      <c r="E11" s="89" t="str">
        <f>CONCATENATE(B11,"-",C11,"-",D11)</f>
        <v>13-23-187</v>
      </c>
      <c r="F11" s="13" t="str">
        <f>VLOOKUP(E11,'LISTA ITEMS'!$E$2:$G$875,2,FALSE)</f>
        <v>CINTA VERDE AMARILLA AISLANTE PVC 19MM</v>
      </c>
      <c r="G11" s="25" t="str">
        <f>VLOOKUP(E11,'LISTA ITEMS'!$E$2:$G$875,3,FALSE)</f>
        <v>UND</v>
      </c>
      <c r="H11" s="74">
        <v>46083</v>
      </c>
      <c r="I11" s="75">
        <v>2</v>
      </c>
      <c r="J11" s="27"/>
      <c r="K11" s="70">
        <v>46098</v>
      </c>
      <c r="L11" s="67">
        <v>0</v>
      </c>
      <c r="M11" s="54">
        <v>46098</v>
      </c>
      <c r="N11" s="55">
        <v>0</v>
      </c>
      <c r="O11" s="70">
        <v>46098</v>
      </c>
      <c r="P11" s="71">
        <v>2</v>
      </c>
      <c r="Q11" s="36">
        <v>46098</v>
      </c>
      <c r="R11" s="26">
        <f>+I11+L11+N11-P11</f>
        <v>0</v>
      </c>
      <c r="S11" s="85"/>
      <c r="T11" s="84"/>
      <c r="U11" s="27"/>
      <c r="V11" s="70"/>
      <c r="W11" s="67"/>
      <c r="X11" s="54"/>
      <c r="Y11" s="55"/>
      <c r="Z11" s="70"/>
      <c r="AA11" s="71"/>
      <c r="AB11" s="31"/>
      <c r="AC11" s="26">
        <f>+R11+W11+Y11-AA11</f>
        <v>0</v>
      </c>
      <c r="AD11" s="25"/>
      <c r="AE11" s="25"/>
      <c r="AF11" s="120">
        <v>7</v>
      </c>
      <c r="AG11" s="120">
        <v>1</v>
      </c>
      <c r="AH11" s="120" t="s">
        <v>339</v>
      </c>
    </row>
    <row r="12" spans="1:34" ht="21.6" customHeight="1" x14ac:dyDescent="0.3">
      <c r="A12" s="65">
        <v>9</v>
      </c>
      <c r="B12" s="25">
        <v>13</v>
      </c>
      <c r="C12" s="25">
        <v>23</v>
      </c>
      <c r="D12" s="25">
        <v>188</v>
      </c>
      <c r="E12" s="89" t="str">
        <f>CONCATENATE(B12,"-",C12,"-",D12)</f>
        <v>13-23-188</v>
      </c>
      <c r="F12" s="13" t="str">
        <f>VLOOKUP(E12,'LISTA ITEMS'!$E$2:$G$875,2,FALSE)</f>
        <v>CINTA ROJA AISLANTE PVC 19MM</v>
      </c>
      <c r="G12" s="25" t="str">
        <f>VLOOKUP(E12,'LISTA ITEMS'!$E$2:$G$875,3,FALSE)</f>
        <v>UND</v>
      </c>
      <c r="H12" s="74">
        <v>46083</v>
      </c>
      <c r="I12" s="75">
        <v>7</v>
      </c>
      <c r="J12" s="27"/>
      <c r="K12" s="70">
        <v>46098</v>
      </c>
      <c r="L12" s="67">
        <v>0</v>
      </c>
      <c r="M12" s="54">
        <v>46098</v>
      </c>
      <c r="N12" s="55">
        <v>0</v>
      </c>
      <c r="O12" s="70">
        <v>46098</v>
      </c>
      <c r="P12" s="71">
        <v>0</v>
      </c>
      <c r="Q12" s="36">
        <v>46098</v>
      </c>
      <c r="R12" s="26">
        <f>+I12+L12+N12-P12</f>
        <v>7</v>
      </c>
      <c r="S12" s="85"/>
      <c r="T12" s="84"/>
      <c r="U12" s="27"/>
      <c r="V12" s="70"/>
      <c r="W12" s="67"/>
      <c r="X12" s="54"/>
      <c r="Y12" s="55"/>
      <c r="Z12" s="70"/>
      <c r="AA12" s="71"/>
      <c r="AB12" s="31"/>
      <c r="AC12" s="26">
        <f>+R12+W12+Y12-AA12</f>
        <v>7</v>
      </c>
      <c r="AD12" s="25"/>
      <c r="AE12" s="25"/>
      <c r="AF12" s="119">
        <v>7</v>
      </c>
      <c r="AG12" s="119">
        <v>1</v>
      </c>
      <c r="AH12" s="119" t="s">
        <v>339</v>
      </c>
    </row>
    <row r="13" spans="1:34" ht="21.6" customHeight="1" x14ac:dyDescent="0.3">
      <c r="A13" s="65">
        <v>10</v>
      </c>
      <c r="B13" s="25">
        <v>13</v>
      </c>
      <c r="C13" s="25">
        <v>23</v>
      </c>
      <c r="D13" s="25">
        <v>189</v>
      </c>
      <c r="E13" s="89" t="str">
        <f>CONCATENATE(B13,"-",C13,"-",D13)</f>
        <v>13-23-189</v>
      </c>
      <c r="F13" s="13" t="str">
        <f>VLOOKUP(E13,'LISTA ITEMS'!$E$2:$G$875,2,FALSE)</f>
        <v>CINTA AZUL AISLANTE PVC 19MM</v>
      </c>
      <c r="G13" s="25" t="str">
        <f>VLOOKUP(E13,'LISTA ITEMS'!$E$2:$G$875,3,FALSE)</f>
        <v>UND</v>
      </c>
      <c r="H13" s="74">
        <v>46083</v>
      </c>
      <c r="I13" s="75">
        <v>8</v>
      </c>
      <c r="J13" s="27"/>
      <c r="K13" s="70">
        <v>46098</v>
      </c>
      <c r="L13" s="67">
        <v>0</v>
      </c>
      <c r="M13" s="54">
        <v>46098</v>
      </c>
      <c r="N13" s="55">
        <v>0</v>
      </c>
      <c r="O13" s="70">
        <v>46098</v>
      </c>
      <c r="P13" s="71">
        <v>0</v>
      </c>
      <c r="Q13" s="36">
        <v>46098</v>
      </c>
      <c r="R13" s="26">
        <f>+I13+L13+N13-P13</f>
        <v>8</v>
      </c>
      <c r="S13" s="85"/>
      <c r="T13" s="84"/>
      <c r="U13" s="27"/>
      <c r="V13" s="70"/>
      <c r="W13" s="67"/>
      <c r="X13" s="54"/>
      <c r="Y13" s="55"/>
      <c r="Z13" s="70"/>
      <c r="AA13" s="71"/>
      <c r="AB13" s="31"/>
      <c r="AC13" s="26">
        <f>+R13+W13+Y13-AA13</f>
        <v>8</v>
      </c>
      <c r="AD13" s="25"/>
      <c r="AE13" s="25"/>
      <c r="AF13" s="110">
        <v>7</v>
      </c>
      <c r="AG13" s="110">
        <v>1</v>
      </c>
      <c r="AH13" s="110" t="s">
        <v>339</v>
      </c>
    </row>
    <row r="14" spans="1:34" ht="21.6" customHeight="1" x14ac:dyDescent="0.3">
      <c r="A14" s="65">
        <v>11</v>
      </c>
      <c r="B14" s="25">
        <v>13</v>
      </c>
      <c r="C14" s="25">
        <v>23</v>
      </c>
      <c r="D14" s="25">
        <v>190</v>
      </c>
      <c r="E14" s="89" t="str">
        <f>CONCATENATE(B14,"-",C14,"-",D14)</f>
        <v>13-23-190</v>
      </c>
      <c r="F14" s="13" t="str">
        <f>VLOOKUP(E14,'LISTA ITEMS'!$E$2:$G$875,2,FALSE)</f>
        <v>CINTA BLANCA AISLANTE PVC 19MM</v>
      </c>
      <c r="G14" s="25" t="str">
        <f>VLOOKUP(E14,'LISTA ITEMS'!$E$2:$G$875,3,FALSE)</f>
        <v>UND</v>
      </c>
      <c r="H14" s="74">
        <v>46083</v>
      </c>
      <c r="I14" s="75">
        <v>7</v>
      </c>
      <c r="J14" s="27"/>
      <c r="K14" s="70">
        <v>46098</v>
      </c>
      <c r="L14" s="67">
        <v>0</v>
      </c>
      <c r="M14" s="54">
        <v>46098</v>
      </c>
      <c r="N14" s="55">
        <v>0</v>
      </c>
      <c r="O14" s="70">
        <v>46098</v>
      </c>
      <c r="P14" s="71">
        <v>0</v>
      </c>
      <c r="Q14" s="36">
        <v>46098</v>
      </c>
      <c r="R14" s="26">
        <f>+I14+L14+N14-P14</f>
        <v>7</v>
      </c>
      <c r="S14" s="85"/>
      <c r="T14" s="84"/>
      <c r="U14" s="27"/>
      <c r="V14" s="70"/>
      <c r="W14" s="67"/>
      <c r="X14" s="54"/>
      <c r="Y14" s="55"/>
      <c r="Z14" s="70"/>
      <c r="AA14" s="71"/>
      <c r="AB14" s="31"/>
      <c r="AC14" s="26">
        <f>+R14+W14+Y14-AA14</f>
        <v>7</v>
      </c>
      <c r="AD14" s="25"/>
      <c r="AE14" s="25"/>
      <c r="AF14" s="110">
        <v>7</v>
      </c>
      <c r="AG14" s="110">
        <v>1</v>
      </c>
      <c r="AH14" s="110" t="s">
        <v>339</v>
      </c>
    </row>
    <row r="15" spans="1:34" ht="21.6" customHeight="1" x14ac:dyDescent="0.3">
      <c r="A15" s="65">
        <v>12</v>
      </c>
      <c r="B15" s="25">
        <v>13</v>
      </c>
      <c r="C15" s="25">
        <v>23</v>
      </c>
      <c r="D15" s="25">
        <v>191</v>
      </c>
      <c r="E15" s="89" t="str">
        <f>CONCATENATE(B15,"-",C15,"-",D15)</f>
        <v>13-23-191</v>
      </c>
      <c r="F15" s="13" t="str">
        <f>VLOOKUP(E15,'LISTA ITEMS'!$E$2:$G$875,2,FALSE)</f>
        <v>CINTA NEGRA AISLANTE PVC 19MM</v>
      </c>
      <c r="G15" s="25" t="str">
        <f>VLOOKUP(E15,'LISTA ITEMS'!$E$2:$G$875,3,FALSE)</f>
        <v>UND</v>
      </c>
      <c r="H15" s="74">
        <v>46083</v>
      </c>
      <c r="I15" s="75">
        <v>10</v>
      </c>
      <c r="J15" s="27"/>
      <c r="K15" s="70">
        <v>46098</v>
      </c>
      <c r="L15" s="67">
        <v>0</v>
      </c>
      <c r="M15" s="54">
        <v>46098</v>
      </c>
      <c r="N15" s="55">
        <v>0</v>
      </c>
      <c r="O15" s="70">
        <v>46098</v>
      </c>
      <c r="P15" s="71">
        <v>0</v>
      </c>
      <c r="Q15" s="36">
        <v>46098</v>
      </c>
      <c r="R15" s="26">
        <f>+I15+L15+N15-P15</f>
        <v>10</v>
      </c>
      <c r="S15" s="85"/>
      <c r="T15" s="84"/>
      <c r="U15" s="27"/>
      <c r="V15" s="70"/>
      <c r="W15" s="67"/>
      <c r="X15" s="54"/>
      <c r="Y15" s="55"/>
      <c r="Z15" s="70"/>
      <c r="AA15" s="71"/>
      <c r="AB15" s="31"/>
      <c r="AC15" s="26">
        <f>+R15+W15+Y15-AA15</f>
        <v>10</v>
      </c>
      <c r="AD15" s="25"/>
      <c r="AE15" s="25"/>
      <c r="AF15" s="119">
        <v>7</v>
      </c>
      <c r="AG15" s="119">
        <v>1</v>
      </c>
      <c r="AH15" s="119" t="s">
        <v>339</v>
      </c>
    </row>
    <row r="16" spans="1:34" ht="21.6" customHeight="1" x14ac:dyDescent="0.3">
      <c r="A16" s="65">
        <v>13</v>
      </c>
      <c r="B16" s="25">
        <v>6</v>
      </c>
      <c r="C16" s="25">
        <v>23</v>
      </c>
      <c r="D16" s="25">
        <v>192</v>
      </c>
      <c r="E16" s="89" t="str">
        <f>CONCATENATE(B16,"-",C16,"-",D16)</f>
        <v>6-23-192</v>
      </c>
      <c r="F16" s="13" t="str">
        <f>VLOOKUP(E16,'LISTA ITEMS'!$E$2:$G$875,2,FALSE)</f>
        <v xml:space="preserve">CINTA ACERO PERFORADA PARA MONTAJE </v>
      </c>
      <c r="G16" s="25" t="str">
        <f>VLOOKUP(E16,'LISTA ITEMS'!$E$2:$G$875,3,FALSE)</f>
        <v>UND</v>
      </c>
      <c r="H16" s="74">
        <v>46083</v>
      </c>
      <c r="I16" s="75">
        <v>-2</v>
      </c>
      <c r="J16" s="27"/>
      <c r="K16" s="70">
        <v>46098</v>
      </c>
      <c r="L16" s="67">
        <v>1</v>
      </c>
      <c r="M16" s="54">
        <v>46098</v>
      </c>
      <c r="N16" s="55">
        <v>0</v>
      </c>
      <c r="O16" s="70">
        <v>46098</v>
      </c>
      <c r="P16" s="71">
        <v>5</v>
      </c>
      <c r="Q16" s="36">
        <v>46098</v>
      </c>
      <c r="R16" s="26">
        <f>+I16+L16+N16-P16</f>
        <v>-6</v>
      </c>
      <c r="S16" s="85"/>
      <c r="T16" s="84"/>
      <c r="U16" s="27"/>
      <c r="V16" s="70"/>
      <c r="W16" s="67"/>
      <c r="X16" s="54"/>
      <c r="Y16" s="55"/>
      <c r="Z16" s="70"/>
      <c r="AA16" s="71"/>
      <c r="AB16" s="31"/>
      <c r="AC16" s="26">
        <f>+R16+W16+Y16-AA16</f>
        <v>-6</v>
      </c>
      <c r="AD16" s="25"/>
      <c r="AE16" s="25"/>
      <c r="AF16" s="110">
        <v>7</v>
      </c>
      <c r="AG16" s="110">
        <v>1</v>
      </c>
      <c r="AH16" s="110" t="s">
        <v>339</v>
      </c>
    </row>
    <row r="17" spans="1:34" ht="21.6" customHeight="1" x14ac:dyDescent="0.3">
      <c r="A17" s="65">
        <v>14</v>
      </c>
      <c r="B17" s="25">
        <v>14</v>
      </c>
      <c r="C17" s="25">
        <v>24</v>
      </c>
      <c r="D17" s="25">
        <v>193</v>
      </c>
      <c r="E17" s="89" t="str">
        <f>CONCATENATE(B17,"-",C17,"-",D17)</f>
        <v>14-24-193</v>
      </c>
      <c r="F17" s="13" t="str">
        <f>VLOOKUP(E17,'LISTA ITEMS'!$E$2:$G$875,2,FALSE)</f>
        <v>DISCO CORTE ACERO/INOX A1 2EN1</v>
      </c>
      <c r="G17" s="25" t="str">
        <f>VLOOKUP(E17,'LISTA ITEMS'!$E$2:$G$875,3,FALSE)</f>
        <v>UND</v>
      </c>
      <c r="H17" s="74">
        <v>46083</v>
      </c>
      <c r="I17" s="75">
        <v>3</v>
      </c>
      <c r="J17" s="27"/>
      <c r="K17" s="70">
        <v>46098</v>
      </c>
      <c r="L17" s="67">
        <v>5</v>
      </c>
      <c r="M17" s="54">
        <v>46098</v>
      </c>
      <c r="N17" s="55">
        <v>25</v>
      </c>
      <c r="O17" s="70">
        <v>46098</v>
      </c>
      <c r="P17" s="71">
        <v>45</v>
      </c>
      <c r="Q17" s="36">
        <v>46098</v>
      </c>
      <c r="R17" s="26">
        <f>+I17+L17+N17-P17</f>
        <v>-12</v>
      </c>
      <c r="S17" s="85"/>
      <c r="T17" s="84"/>
      <c r="U17" s="27"/>
      <c r="V17" s="70"/>
      <c r="W17" s="67"/>
      <c r="X17" s="54"/>
      <c r="Y17" s="55"/>
      <c r="Z17" s="70"/>
      <c r="AA17" s="71"/>
      <c r="AB17" s="31"/>
      <c r="AC17" s="26">
        <f>+R17+W17+Y17-AA17</f>
        <v>-12</v>
      </c>
      <c r="AD17" s="25"/>
      <c r="AE17" s="25"/>
      <c r="AF17" s="119">
        <v>7</v>
      </c>
      <c r="AG17" s="119">
        <v>1</v>
      </c>
      <c r="AH17" s="119" t="s">
        <v>339</v>
      </c>
    </row>
    <row r="18" spans="1:34" ht="28.8" x14ac:dyDescent="0.3">
      <c r="A18" s="65">
        <v>15</v>
      </c>
      <c r="B18" s="25">
        <v>13</v>
      </c>
      <c r="C18" s="25">
        <v>25</v>
      </c>
      <c r="D18" s="25">
        <v>194</v>
      </c>
      <c r="E18" s="89" t="str">
        <f>CONCATENATE(B18,"-",C18,"-",D18)</f>
        <v>13-25-194</v>
      </c>
      <c r="F18" s="13" t="str">
        <f>VLOOKUP(E18,'LISTA ITEMS'!$E$2:$G$875,2,FALSE)</f>
        <v>ANCLAJE PLASTICO ROSCADO PARA CARTON Y PLADUR TIPO K (WURTH)</v>
      </c>
      <c r="G18" s="25" t="str">
        <f>VLOOKUP(E18,'LISTA ITEMS'!$E$2:$G$875,3,FALSE)</f>
        <v>UND</v>
      </c>
      <c r="H18" s="74">
        <v>46083</v>
      </c>
      <c r="I18" s="75">
        <v>160</v>
      </c>
      <c r="J18" s="27"/>
      <c r="K18" s="70">
        <v>46098</v>
      </c>
      <c r="L18" s="67">
        <v>0</v>
      </c>
      <c r="M18" s="54">
        <v>46098</v>
      </c>
      <c r="N18" s="55">
        <v>0</v>
      </c>
      <c r="O18" s="70">
        <v>46098</v>
      </c>
      <c r="P18" s="71">
        <v>0</v>
      </c>
      <c r="Q18" s="36">
        <v>46098</v>
      </c>
      <c r="R18" s="26">
        <f>+I18+L18+N18-P18</f>
        <v>160</v>
      </c>
      <c r="S18" s="85"/>
      <c r="T18" s="84"/>
      <c r="U18" s="27"/>
      <c r="V18" s="70"/>
      <c r="W18" s="67"/>
      <c r="X18" s="54"/>
      <c r="Y18" s="55"/>
      <c r="Z18" s="70"/>
      <c r="AA18" s="71"/>
      <c r="AB18" s="31"/>
      <c r="AC18" s="26">
        <f>+R18+W18+Y18-AA18</f>
        <v>160</v>
      </c>
      <c r="AD18" s="25"/>
      <c r="AE18" s="25"/>
      <c r="AF18" s="77">
        <v>7</v>
      </c>
      <c r="AG18" s="77">
        <v>1</v>
      </c>
      <c r="AH18" s="77" t="s">
        <v>45</v>
      </c>
    </row>
    <row r="19" spans="1:34" ht="28.8" x14ac:dyDescent="0.3">
      <c r="A19" s="65">
        <v>16</v>
      </c>
      <c r="B19" s="25">
        <v>15</v>
      </c>
      <c r="C19" s="25">
        <v>25</v>
      </c>
      <c r="D19" s="25">
        <v>195</v>
      </c>
      <c r="E19" s="89" t="str">
        <f>CONCATENATE(B19,"-",C19,"-",D19)</f>
        <v>15-25-195</v>
      </c>
      <c r="F19" s="13" t="str">
        <f>VLOOKUP(E19,'LISTA ITEMS'!$E$2:$G$875,2,FALSE)</f>
        <v>ANCLAJE METALICO ROSCADO PARA PLADUR TIPO K (WURTH)</v>
      </c>
      <c r="G19" s="25" t="str">
        <f>VLOOKUP(E19,'LISTA ITEMS'!$E$2:$G$875,3,FALSE)</f>
        <v>UND</v>
      </c>
      <c r="H19" s="74">
        <v>46083</v>
      </c>
      <c r="I19" s="75">
        <v>16</v>
      </c>
      <c r="J19" s="27"/>
      <c r="K19" s="70">
        <v>46098</v>
      </c>
      <c r="L19" s="67">
        <v>0</v>
      </c>
      <c r="M19" s="54">
        <v>46098</v>
      </c>
      <c r="N19" s="55">
        <v>0</v>
      </c>
      <c r="O19" s="70">
        <v>46098</v>
      </c>
      <c r="P19" s="71">
        <v>0</v>
      </c>
      <c r="Q19" s="36">
        <v>46098</v>
      </c>
      <c r="R19" s="26">
        <f>+I19+L19+N19-P19</f>
        <v>16</v>
      </c>
      <c r="S19" s="85"/>
      <c r="T19" s="84"/>
      <c r="U19" s="27"/>
      <c r="V19" s="70"/>
      <c r="W19" s="67"/>
      <c r="X19" s="54"/>
      <c r="Y19" s="55"/>
      <c r="Z19" s="70"/>
      <c r="AA19" s="71"/>
      <c r="AB19" s="31"/>
      <c r="AC19" s="26">
        <f>+R19+W19+Y19-AA19</f>
        <v>16</v>
      </c>
      <c r="AD19" s="25"/>
      <c r="AE19" s="25"/>
      <c r="AF19" s="77">
        <v>7</v>
      </c>
      <c r="AG19" s="77">
        <v>1</v>
      </c>
      <c r="AH19" s="77" t="s">
        <v>45</v>
      </c>
    </row>
    <row r="20" spans="1:34" ht="28.8" x14ac:dyDescent="0.3">
      <c r="A20" s="65">
        <v>17</v>
      </c>
      <c r="B20" s="25">
        <v>7</v>
      </c>
      <c r="C20" s="25">
        <v>26</v>
      </c>
      <c r="D20" s="25">
        <v>196</v>
      </c>
      <c r="E20" s="113" t="str">
        <f>CONCATENATE(B20,"-",C20,"-",D20)</f>
        <v>7-26-196</v>
      </c>
      <c r="F20" s="13" t="str">
        <f>VLOOKUP(E20,'LISTA ITEMS'!$E$2:$G$875,2,FALSE)</f>
        <v>ESTACION DE CARGA THOR O7AS-P-V1 GROWATT</v>
      </c>
      <c r="G20" s="25" t="str">
        <f>VLOOKUP(E20,'LISTA ITEMS'!$E$2:$G$875,3,FALSE)</f>
        <v>UND</v>
      </c>
      <c r="H20" s="74">
        <v>46083</v>
      </c>
      <c r="I20" s="75">
        <v>1</v>
      </c>
      <c r="J20" s="27"/>
      <c r="K20" s="70">
        <v>46098</v>
      </c>
      <c r="L20" s="67">
        <v>0</v>
      </c>
      <c r="M20" s="54">
        <v>46098</v>
      </c>
      <c r="N20" s="55">
        <v>0</v>
      </c>
      <c r="O20" s="70">
        <v>46098</v>
      </c>
      <c r="P20" s="71">
        <v>0</v>
      </c>
      <c r="Q20" s="36">
        <v>46098</v>
      </c>
      <c r="R20" s="26">
        <f>+I20+L20+N20-P20</f>
        <v>1</v>
      </c>
      <c r="S20" s="85"/>
      <c r="T20" s="84"/>
      <c r="U20" s="27"/>
      <c r="V20" s="70"/>
      <c r="W20" s="67"/>
      <c r="X20" s="54"/>
      <c r="Y20" s="55"/>
      <c r="Z20" s="70"/>
      <c r="AA20" s="71"/>
      <c r="AB20" s="31"/>
      <c r="AC20" s="26">
        <f>+R20+W20+Y20-AA20</f>
        <v>1</v>
      </c>
      <c r="AD20" s="25"/>
      <c r="AE20" s="25"/>
      <c r="AF20" s="119">
        <v>7</v>
      </c>
      <c r="AG20" s="119">
        <v>1</v>
      </c>
      <c r="AH20" s="119" t="s">
        <v>45</v>
      </c>
    </row>
    <row r="21" spans="1:34" ht="28.8" x14ac:dyDescent="0.3">
      <c r="A21" s="65">
        <v>18</v>
      </c>
      <c r="B21" s="25">
        <v>4</v>
      </c>
      <c r="C21" s="25">
        <v>27</v>
      </c>
      <c r="D21" s="25">
        <v>197</v>
      </c>
      <c r="E21" s="89" t="str">
        <f>CONCATENATE(B21,"-",C21,"-",D21)</f>
        <v>4-27-197</v>
      </c>
      <c r="F21" s="13" t="str">
        <f>VLOOKUP(E21,'LISTA ITEMS'!$E$2:$G$875,2,FALSE)</f>
        <v>TORNILLO C/AVELLANADA CON R/COMPLETA PARA AGLOMERADO/MADERA X40</v>
      </c>
      <c r="G21" s="25" t="str">
        <f>VLOOKUP(E21,'LISTA ITEMS'!$E$2:$G$875,3,FALSE)</f>
        <v>UND</v>
      </c>
      <c r="H21" s="74">
        <v>46083</v>
      </c>
      <c r="I21" s="75">
        <v>390</v>
      </c>
      <c r="J21" s="27"/>
      <c r="K21" s="70">
        <v>46098</v>
      </c>
      <c r="L21" s="67">
        <v>0</v>
      </c>
      <c r="M21" s="54">
        <v>46098</v>
      </c>
      <c r="N21" s="55">
        <v>0</v>
      </c>
      <c r="O21" s="70">
        <v>46098</v>
      </c>
      <c r="P21" s="71">
        <v>0</v>
      </c>
      <c r="Q21" s="36">
        <v>46098</v>
      </c>
      <c r="R21" s="26">
        <f>+I21+L21+N21-P21</f>
        <v>390</v>
      </c>
      <c r="S21" s="85"/>
      <c r="T21" s="84"/>
      <c r="U21" s="27"/>
      <c r="V21" s="70"/>
      <c r="W21" s="67"/>
      <c r="X21" s="54"/>
      <c r="Y21" s="55"/>
      <c r="Z21" s="70"/>
      <c r="AA21" s="71"/>
      <c r="AB21" s="31"/>
      <c r="AC21" s="26">
        <f>+R21+W21+Y21-AA21</f>
        <v>390</v>
      </c>
      <c r="AD21" s="25"/>
      <c r="AE21" s="25"/>
      <c r="AF21" s="116">
        <v>7</v>
      </c>
      <c r="AG21" s="116">
        <v>1</v>
      </c>
      <c r="AH21" s="116" t="s">
        <v>45</v>
      </c>
    </row>
    <row r="22" spans="1:34" ht="28.8" x14ac:dyDescent="0.3">
      <c r="A22" s="65">
        <v>19</v>
      </c>
      <c r="B22" s="25">
        <v>4</v>
      </c>
      <c r="C22" s="25">
        <v>27</v>
      </c>
      <c r="D22" s="25">
        <v>198</v>
      </c>
      <c r="E22" s="89" t="str">
        <f>CONCATENATE(B22,"-",C22,"-",D22)</f>
        <v>4-27-198</v>
      </c>
      <c r="F22" s="13" t="str">
        <f>VLOOKUP(E22,'LISTA ITEMS'!$E$2:$G$875,2,FALSE)</f>
        <v>TORNILLO C/AVELLANADA CON R/PARCIAL PARA AGLOMERADO/MADERA X70</v>
      </c>
      <c r="G22" s="25" t="str">
        <f>VLOOKUP(E22,'LISTA ITEMS'!$E$2:$G$875,3,FALSE)</f>
        <v>UND</v>
      </c>
      <c r="H22" s="74">
        <v>46083</v>
      </c>
      <c r="I22" s="75">
        <v>124</v>
      </c>
      <c r="J22" s="27"/>
      <c r="K22" s="70">
        <v>46098</v>
      </c>
      <c r="L22" s="67">
        <v>0</v>
      </c>
      <c r="M22" s="54">
        <v>46098</v>
      </c>
      <c r="N22" s="55">
        <v>0</v>
      </c>
      <c r="O22" s="70">
        <v>46098</v>
      </c>
      <c r="P22" s="71">
        <v>0</v>
      </c>
      <c r="Q22" s="36">
        <v>46098</v>
      </c>
      <c r="R22" s="26">
        <f>+I22+L22+N22-P22</f>
        <v>124</v>
      </c>
      <c r="S22" s="85"/>
      <c r="T22" s="84"/>
      <c r="U22" s="27"/>
      <c r="V22" s="70"/>
      <c r="W22" s="67"/>
      <c r="X22" s="54"/>
      <c r="Y22" s="55"/>
      <c r="Z22" s="70"/>
      <c r="AA22" s="71"/>
      <c r="AB22" s="31"/>
      <c r="AC22" s="26">
        <f>+R22+W22+Y22-AA22</f>
        <v>124</v>
      </c>
      <c r="AD22" s="25"/>
      <c r="AE22" s="25"/>
      <c r="AF22" s="116">
        <v>7</v>
      </c>
      <c r="AG22" s="116">
        <v>1</v>
      </c>
      <c r="AH22" s="116" t="s">
        <v>45</v>
      </c>
    </row>
    <row r="23" spans="1:34" ht="28.8" x14ac:dyDescent="0.3">
      <c r="A23" s="65">
        <v>20</v>
      </c>
      <c r="B23" s="25">
        <v>4</v>
      </c>
      <c r="C23" s="25">
        <v>27</v>
      </c>
      <c r="D23" s="25">
        <v>199</v>
      </c>
      <c r="E23" s="89" t="str">
        <f>CONCATENATE(B23,"-",C23,"-",D23)</f>
        <v>4-27-199</v>
      </c>
      <c r="F23" s="13" t="str">
        <f>VLOOKUP(E23,'LISTA ITEMS'!$E$2:$G$875,2,FALSE)</f>
        <v>TORNILLO C/AVELLANADA CON R/COMPLETA PARA AGLOMERADO/MADERA X50</v>
      </c>
      <c r="G23" s="25" t="str">
        <f>VLOOKUP(E23,'LISTA ITEMS'!$E$2:$G$875,3,FALSE)</f>
        <v>UND</v>
      </c>
      <c r="H23" s="74">
        <v>46083</v>
      </c>
      <c r="I23" s="75">
        <v>460</v>
      </c>
      <c r="J23" s="27"/>
      <c r="K23" s="70">
        <v>46098</v>
      </c>
      <c r="L23" s="67">
        <v>0</v>
      </c>
      <c r="M23" s="54">
        <v>46098</v>
      </c>
      <c r="N23" s="55">
        <v>0</v>
      </c>
      <c r="O23" s="70">
        <v>46098</v>
      </c>
      <c r="P23" s="71">
        <v>0</v>
      </c>
      <c r="Q23" s="36">
        <v>46098</v>
      </c>
      <c r="R23" s="26">
        <f>+I23+L23+N23-P23</f>
        <v>460</v>
      </c>
      <c r="S23" s="85"/>
      <c r="T23" s="84"/>
      <c r="U23" s="27"/>
      <c r="V23" s="70"/>
      <c r="W23" s="67"/>
      <c r="X23" s="54"/>
      <c r="Y23" s="55"/>
      <c r="Z23" s="70"/>
      <c r="AA23" s="71"/>
      <c r="AB23" s="31"/>
      <c r="AC23" s="26">
        <f>+R23+W23+Y23-AA23</f>
        <v>460</v>
      </c>
      <c r="AD23" s="25"/>
      <c r="AE23" s="25"/>
      <c r="AF23" s="116">
        <v>7</v>
      </c>
      <c r="AG23" s="116">
        <v>1</v>
      </c>
      <c r="AH23" s="116" t="s">
        <v>45</v>
      </c>
    </row>
    <row r="24" spans="1:34" ht="19.2" customHeight="1" x14ac:dyDescent="0.3">
      <c r="A24" s="65">
        <v>21</v>
      </c>
      <c r="B24" s="25">
        <v>8</v>
      </c>
      <c r="C24" s="25">
        <v>28</v>
      </c>
      <c r="D24" s="25">
        <v>200</v>
      </c>
      <c r="E24" s="89" t="str">
        <f>CONCATENATE(B24,"-",C24,"-",D24)</f>
        <v>8-28-200</v>
      </c>
      <c r="F24" s="13" t="str">
        <f>VLOOKUP(E24,'LISTA ITEMS'!$E$2:$G$875,2,FALSE)</f>
        <v>ARANDELA A/GALVANIZADO 6.4X18X1.5</v>
      </c>
      <c r="G24" s="25" t="str">
        <f>VLOOKUP(E24,'LISTA ITEMS'!$E$2:$G$875,3,FALSE)</f>
        <v>UND</v>
      </c>
      <c r="H24" s="74">
        <v>46083</v>
      </c>
      <c r="I24" s="75">
        <v>200</v>
      </c>
      <c r="J24" s="27"/>
      <c r="K24" s="70">
        <v>46098</v>
      </c>
      <c r="L24" s="67">
        <v>0</v>
      </c>
      <c r="M24" s="54">
        <v>46098</v>
      </c>
      <c r="N24" s="55">
        <v>0</v>
      </c>
      <c r="O24" s="70">
        <v>46098</v>
      </c>
      <c r="P24" s="71">
        <v>0</v>
      </c>
      <c r="Q24" s="36">
        <v>46098</v>
      </c>
      <c r="R24" s="26">
        <f>+I24+L24+N24-P24</f>
        <v>200</v>
      </c>
      <c r="S24" s="85"/>
      <c r="T24" s="84"/>
      <c r="U24" s="27"/>
      <c r="V24" s="70"/>
      <c r="W24" s="67"/>
      <c r="X24" s="54"/>
      <c r="Y24" s="55"/>
      <c r="Z24" s="70"/>
      <c r="AA24" s="71"/>
      <c r="AB24" s="31"/>
      <c r="AC24" s="26">
        <f>+R24+W24+Y24-AA24</f>
        <v>200</v>
      </c>
      <c r="AD24" s="25"/>
      <c r="AE24" s="25"/>
      <c r="AF24" s="77">
        <v>7</v>
      </c>
      <c r="AG24" s="77">
        <v>1</v>
      </c>
      <c r="AH24" s="77" t="s">
        <v>45</v>
      </c>
    </row>
    <row r="25" spans="1:34" ht="19.2" customHeight="1" x14ac:dyDescent="0.3">
      <c r="A25" s="65">
        <v>22</v>
      </c>
      <c r="B25" s="25">
        <v>8</v>
      </c>
      <c r="C25" s="25">
        <v>28</v>
      </c>
      <c r="D25" s="25">
        <v>201</v>
      </c>
      <c r="E25" s="89" t="str">
        <f>CONCATENATE(B25,"-",C25,"-",D25)</f>
        <v>8-28-201</v>
      </c>
      <c r="F25" s="13" t="str">
        <f>VLOOKUP(E25,'LISTA ITEMS'!$E$2:$G$875,2,FALSE)</f>
        <v>ARANDELA A/GALVANIZADO 8.4X20X1.25</v>
      </c>
      <c r="G25" s="25" t="str">
        <f>VLOOKUP(E25,'LISTA ITEMS'!$E$2:$G$875,3,FALSE)</f>
        <v>UND</v>
      </c>
      <c r="H25" s="74">
        <v>46083</v>
      </c>
      <c r="I25" s="75">
        <v>100</v>
      </c>
      <c r="J25" s="27"/>
      <c r="K25" s="70">
        <v>46098</v>
      </c>
      <c r="L25" s="67">
        <v>0</v>
      </c>
      <c r="M25" s="54">
        <v>46098</v>
      </c>
      <c r="N25" s="55">
        <v>0</v>
      </c>
      <c r="O25" s="70">
        <v>46098</v>
      </c>
      <c r="P25" s="71">
        <v>0</v>
      </c>
      <c r="Q25" s="36">
        <v>46098</v>
      </c>
      <c r="R25" s="26">
        <f>+I25+L25+N25-P25</f>
        <v>100</v>
      </c>
      <c r="S25" s="85"/>
      <c r="T25" s="84"/>
      <c r="U25" s="27"/>
      <c r="V25" s="70"/>
      <c r="W25" s="67"/>
      <c r="X25" s="54"/>
      <c r="Y25" s="55"/>
      <c r="Z25" s="70"/>
      <c r="AA25" s="71"/>
      <c r="AB25" s="31"/>
      <c r="AC25" s="26">
        <f>+R25+W25+Y25-AA25</f>
        <v>100</v>
      </c>
      <c r="AD25" s="25"/>
      <c r="AE25" s="25"/>
      <c r="AF25" s="77">
        <v>7</v>
      </c>
      <c r="AG25" s="77">
        <v>1</v>
      </c>
      <c r="AH25" s="77" t="s">
        <v>45</v>
      </c>
    </row>
    <row r="26" spans="1:34" ht="28.8" x14ac:dyDescent="0.3">
      <c r="A26" s="65">
        <v>23</v>
      </c>
      <c r="B26" s="25">
        <v>4</v>
      </c>
      <c r="C26" s="25">
        <v>27</v>
      </c>
      <c r="D26" s="25">
        <v>202</v>
      </c>
      <c r="E26" s="89" t="str">
        <f>CONCATENATE(B26,"-",C26,"-",D26)</f>
        <v>4-27-202</v>
      </c>
      <c r="F26" s="13" t="str">
        <f>VLOOKUP(E26,'LISTA ITEMS'!$E$2:$G$875,2,FALSE)</f>
        <v>TORNILLO FIJACION FUERTE C/HEZAGONAL R/COMPLETA M-8 X70</v>
      </c>
      <c r="G26" s="25" t="str">
        <f>VLOOKUP(E26,'LISTA ITEMS'!$E$2:$G$875,3,FALSE)</f>
        <v>UND</v>
      </c>
      <c r="H26" s="74">
        <v>46083</v>
      </c>
      <c r="I26" s="75">
        <v>550</v>
      </c>
      <c r="J26" s="27"/>
      <c r="K26" s="70">
        <v>46098</v>
      </c>
      <c r="L26" s="67">
        <v>60</v>
      </c>
      <c r="M26" s="54">
        <v>46098</v>
      </c>
      <c r="N26" s="55">
        <v>200</v>
      </c>
      <c r="O26" s="70">
        <v>46098</v>
      </c>
      <c r="P26" s="71">
        <v>100</v>
      </c>
      <c r="Q26" s="36">
        <v>46098</v>
      </c>
      <c r="R26" s="26">
        <f>+I26+L26+N26-P26</f>
        <v>710</v>
      </c>
      <c r="S26" s="85"/>
      <c r="T26" s="84"/>
      <c r="U26" s="27"/>
      <c r="V26" s="70"/>
      <c r="W26" s="67"/>
      <c r="X26" s="54"/>
      <c r="Y26" s="55"/>
      <c r="Z26" s="70"/>
      <c r="AA26" s="71"/>
      <c r="AB26" s="31"/>
      <c r="AC26" s="26">
        <f>+R26+W26+Y26-AA26</f>
        <v>710</v>
      </c>
      <c r="AD26" s="25"/>
      <c r="AE26" s="25"/>
      <c r="AF26" s="116">
        <v>7</v>
      </c>
      <c r="AG26" s="116">
        <v>1</v>
      </c>
      <c r="AH26" s="116" t="s">
        <v>252</v>
      </c>
    </row>
    <row r="27" spans="1:34" ht="28.8" x14ac:dyDescent="0.3">
      <c r="A27" s="65">
        <v>24</v>
      </c>
      <c r="B27" s="25">
        <v>8</v>
      </c>
      <c r="C27" s="25">
        <v>29</v>
      </c>
      <c r="D27" s="25">
        <v>202</v>
      </c>
      <c r="E27" s="89" t="str">
        <f>CONCATENATE(B27,"-",C27,"-",D27)</f>
        <v>8-29-202</v>
      </c>
      <c r="F27" s="13" t="str">
        <f>VLOOKUP(E27,'LISTA ITEMS'!$E$2:$G$875,2,FALSE)</f>
        <v>ARGOLLA  A/GALVANIZADO R/PARCIAL Ꝋ23 12X190</v>
      </c>
      <c r="G27" s="25" t="str">
        <f>VLOOKUP(E27,'LISTA ITEMS'!$E$2:$G$875,3,FALSE)</f>
        <v>UND</v>
      </c>
      <c r="H27" s="74">
        <v>46083</v>
      </c>
      <c r="I27" s="75">
        <v>47</v>
      </c>
      <c r="J27" s="27"/>
      <c r="K27" s="70">
        <v>46098</v>
      </c>
      <c r="L27" s="67">
        <v>0</v>
      </c>
      <c r="M27" s="54">
        <v>46098</v>
      </c>
      <c r="N27" s="55">
        <v>0</v>
      </c>
      <c r="O27" s="70">
        <v>46098</v>
      </c>
      <c r="P27" s="71">
        <v>0</v>
      </c>
      <c r="Q27" s="36">
        <v>46098</v>
      </c>
      <c r="R27" s="26">
        <f>+I27+L27+N27-P27</f>
        <v>47</v>
      </c>
      <c r="S27" s="85"/>
      <c r="T27" s="84"/>
      <c r="U27" s="27"/>
      <c r="V27" s="70"/>
      <c r="W27" s="67"/>
      <c r="X27" s="54"/>
      <c r="Y27" s="55"/>
      <c r="Z27" s="70"/>
      <c r="AA27" s="71"/>
      <c r="AB27" s="31"/>
      <c r="AC27" s="26">
        <f>+R27+W27+Y27-AA27</f>
        <v>47</v>
      </c>
      <c r="AD27" s="25"/>
      <c r="AE27" s="25"/>
      <c r="AF27" s="77">
        <v>7</v>
      </c>
      <c r="AG27" s="77">
        <v>1</v>
      </c>
      <c r="AH27" s="77" t="s">
        <v>252</v>
      </c>
    </row>
    <row r="28" spans="1:34" ht="43.2" x14ac:dyDescent="0.3">
      <c r="A28" s="65">
        <v>25</v>
      </c>
      <c r="B28" s="25">
        <v>8</v>
      </c>
      <c r="C28" s="25">
        <v>27</v>
      </c>
      <c r="D28" s="25">
        <v>203</v>
      </c>
      <c r="E28" s="89" t="str">
        <f>CONCATENATE(B28,"-",C28,"-",D28)</f>
        <v>8-27-203</v>
      </c>
      <c r="F28" s="13" t="str">
        <f>VLOOKUP(E28,'LISTA ITEMS'!$E$2:$G$875,2,FALSE)</f>
        <v>TORNILLO A/GALVANIZADO CON C/HEZAGONAL, R/COMPLETA, C/ARANDELA Y AUTOTALADRANTE 6.3X90</v>
      </c>
      <c r="G28" s="25" t="str">
        <f>VLOOKUP(E28,'LISTA ITEMS'!$E$2:$G$875,3,FALSE)</f>
        <v>UND</v>
      </c>
      <c r="H28" s="74">
        <v>46083</v>
      </c>
      <c r="I28" s="75">
        <v>800</v>
      </c>
      <c r="J28" s="27"/>
      <c r="K28" s="70">
        <v>46098</v>
      </c>
      <c r="L28" s="67">
        <v>0</v>
      </c>
      <c r="M28" s="54">
        <v>46098</v>
      </c>
      <c r="N28" s="55">
        <v>0</v>
      </c>
      <c r="O28" s="70">
        <v>46098</v>
      </c>
      <c r="P28" s="71">
        <v>100</v>
      </c>
      <c r="Q28" s="36">
        <v>46098</v>
      </c>
      <c r="R28" s="26">
        <f>+I28+L28+N28-P28</f>
        <v>700</v>
      </c>
      <c r="S28" s="85"/>
      <c r="T28" s="84"/>
      <c r="U28" s="27"/>
      <c r="V28" s="70"/>
      <c r="W28" s="67"/>
      <c r="X28" s="54"/>
      <c r="Y28" s="55"/>
      <c r="Z28" s="70"/>
      <c r="AA28" s="71"/>
      <c r="AB28" s="31"/>
      <c r="AC28" s="26">
        <f>+R28+W28+Y28-AA28</f>
        <v>700</v>
      </c>
      <c r="AD28" s="25"/>
      <c r="AE28" s="25"/>
      <c r="AF28" s="116">
        <v>7</v>
      </c>
      <c r="AG28" s="116">
        <v>1</v>
      </c>
      <c r="AH28" s="116" t="s">
        <v>252</v>
      </c>
    </row>
    <row r="29" spans="1:34" ht="43.2" x14ac:dyDescent="0.3">
      <c r="A29" s="65">
        <v>26</v>
      </c>
      <c r="B29" s="25">
        <v>8</v>
      </c>
      <c r="C29" s="25">
        <v>27</v>
      </c>
      <c r="D29" s="25">
        <v>204</v>
      </c>
      <c r="E29" s="89" t="str">
        <f>CONCATENATE(B29,"-",C29,"-",D29)</f>
        <v>8-27-204</v>
      </c>
      <c r="F29" s="13" t="str">
        <f>VLOOKUP(E29,'LISTA ITEMS'!$E$2:$G$875,2,FALSE)</f>
        <v>TORNILLO A/GALVANIZADO CON C/HEZAGONAL, R/COMPLETA, C/ARANDELA Y AUTOTALADRANTE 6.3X50</v>
      </c>
      <c r="G29" s="25" t="str">
        <f>VLOOKUP(E29,'LISTA ITEMS'!$E$2:$G$875,3,FALSE)</f>
        <v>UND</v>
      </c>
      <c r="H29" s="74">
        <v>46083</v>
      </c>
      <c r="I29" s="75">
        <v>500</v>
      </c>
      <c r="J29" s="27"/>
      <c r="K29" s="70">
        <v>46098</v>
      </c>
      <c r="L29" s="67">
        <v>0</v>
      </c>
      <c r="M29" s="54">
        <v>46098</v>
      </c>
      <c r="N29" s="55">
        <v>0</v>
      </c>
      <c r="O29" s="70">
        <v>46098</v>
      </c>
      <c r="P29" s="71">
        <v>0</v>
      </c>
      <c r="Q29" s="36">
        <v>46098</v>
      </c>
      <c r="R29" s="26">
        <f>+I29+L29+N29-P29</f>
        <v>500</v>
      </c>
      <c r="S29" s="85"/>
      <c r="T29" s="84"/>
      <c r="U29" s="27"/>
      <c r="V29" s="70"/>
      <c r="W29" s="67"/>
      <c r="X29" s="54"/>
      <c r="Y29" s="55"/>
      <c r="Z29" s="70"/>
      <c r="AA29" s="71"/>
      <c r="AB29" s="31"/>
      <c r="AC29" s="26">
        <f>+R29+W29+Y29-AA29</f>
        <v>500</v>
      </c>
      <c r="AD29" s="25"/>
      <c r="AE29" s="25"/>
      <c r="AF29" s="116">
        <v>7</v>
      </c>
      <c r="AG29" s="116">
        <v>1</v>
      </c>
      <c r="AH29" s="116" t="s">
        <v>252</v>
      </c>
    </row>
    <row r="30" spans="1:34" x14ac:dyDescent="0.3">
      <c r="A30" s="65">
        <v>27</v>
      </c>
      <c r="B30" s="25">
        <v>8</v>
      </c>
      <c r="C30" s="25">
        <v>4</v>
      </c>
      <c r="D30" s="25">
        <v>205</v>
      </c>
      <c r="E30" s="89" t="str">
        <f>CONCATENATE(B30,"-",C30,"-",D30)</f>
        <v>8-4-205</v>
      </c>
      <c r="F30" s="13" t="str">
        <f>VLOOKUP(E30,'LISTA ITEMS'!$E$2:$G$875,2,FALSE)</f>
        <v>ABRAZADERA EN U C/TUERCA HEZAGONAL</v>
      </c>
      <c r="G30" s="25" t="str">
        <f>VLOOKUP(E30,'LISTA ITEMS'!$E$2:$G$875,3,FALSE)</f>
        <v>UND</v>
      </c>
      <c r="H30" s="74">
        <v>46083</v>
      </c>
      <c r="I30" s="75">
        <v>400</v>
      </c>
      <c r="J30" s="27"/>
      <c r="K30" s="70">
        <v>46098</v>
      </c>
      <c r="L30" s="67">
        <v>0</v>
      </c>
      <c r="M30" s="54">
        <v>46098</v>
      </c>
      <c r="N30" s="55">
        <v>0</v>
      </c>
      <c r="O30" s="70">
        <v>46098</v>
      </c>
      <c r="P30" s="71">
        <v>0</v>
      </c>
      <c r="Q30" s="36">
        <v>46098</v>
      </c>
      <c r="R30" s="26">
        <f>+I30+L30+N30-P30</f>
        <v>400</v>
      </c>
      <c r="S30" s="85"/>
      <c r="T30" s="84"/>
      <c r="U30" s="27"/>
      <c r="V30" s="70"/>
      <c r="W30" s="67"/>
      <c r="X30" s="54"/>
      <c r="Y30" s="55"/>
      <c r="Z30" s="70"/>
      <c r="AA30" s="71"/>
      <c r="AB30" s="31"/>
      <c r="AC30" s="26">
        <f>+R30+W30+Y30-AA30</f>
        <v>400</v>
      </c>
      <c r="AD30" s="25"/>
      <c r="AE30" s="25"/>
      <c r="AF30" s="77">
        <v>7</v>
      </c>
      <c r="AG30" s="77">
        <v>1</v>
      </c>
      <c r="AH30" s="77" t="s">
        <v>251</v>
      </c>
    </row>
    <row r="31" spans="1:34" ht="31.2" customHeight="1" x14ac:dyDescent="0.3">
      <c r="A31" s="65">
        <v>28</v>
      </c>
      <c r="B31" s="25">
        <v>8</v>
      </c>
      <c r="C31" s="25">
        <v>30</v>
      </c>
      <c r="D31" s="25">
        <v>206</v>
      </c>
      <c r="E31" s="89" t="str">
        <f>CONCATENATE(B31,"-",C31,"-",D31)</f>
        <v>8-30-206</v>
      </c>
      <c r="F31" s="13" t="str">
        <f>VLOOKUP(E31,'LISTA ITEMS'!$E$2:$G$875,2,FALSE)</f>
        <v>PERRILLO PAR CABLE Nª 6/8mm 25x30 A/GALVANIZADO Y T/HEZAGONAL</v>
      </c>
      <c r="G31" s="25" t="str">
        <f>VLOOKUP(E31,'LISTA ITEMS'!$E$2:$G$875,3,FALSE)</f>
        <v>UND</v>
      </c>
      <c r="H31" s="74">
        <v>46083</v>
      </c>
      <c r="I31" s="75">
        <v>26</v>
      </c>
      <c r="J31" s="27"/>
      <c r="K31" s="70">
        <v>46098</v>
      </c>
      <c r="L31" s="67">
        <v>0</v>
      </c>
      <c r="M31" s="54">
        <v>46098</v>
      </c>
      <c r="N31" s="55">
        <v>0</v>
      </c>
      <c r="O31" s="70">
        <v>46098</v>
      </c>
      <c r="P31" s="71">
        <v>0</v>
      </c>
      <c r="Q31" s="36">
        <v>46098</v>
      </c>
      <c r="R31" s="26">
        <f>+I31+L31+N31-P31</f>
        <v>26</v>
      </c>
      <c r="S31" s="85"/>
      <c r="T31" s="84"/>
      <c r="U31" s="27"/>
      <c r="V31" s="70"/>
      <c r="W31" s="67"/>
      <c r="X31" s="54"/>
      <c r="Y31" s="55"/>
      <c r="Z31" s="70"/>
      <c r="AA31" s="71"/>
      <c r="AB31" s="31"/>
      <c r="AC31" s="26">
        <f>+R31+W31+Y31-AA31</f>
        <v>26</v>
      </c>
      <c r="AD31" s="25"/>
      <c r="AE31" s="25"/>
      <c r="AF31" s="116">
        <v>7</v>
      </c>
      <c r="AG31" s="116">
        <v>1</v>
      </c>
      <c r="AH31" s="116" t="s">
        <v>251</v>
      </c>
    </row>
    <row r="32" spans="1:34" ht="28.8" x14ac:dyDescent="0.3">
      <c r="A32" s="65">
        <v>29</v>
      </c>
      <c r="B32" s="25">
        <v>1</v>
      </c>
      <c r="C32" s="25">
        <v>27</v>
      </c>
      <c r="D32" s="25">
        <v>207</v>
      </c>
      <c r="E32" s="89" t="str">
        <f>CONCATENATE(B32,"-",C32,"-",D32)</f>
        <v>1-27-207</v>
      </c>
      <c r="F32" s="13" t="str">
        <f>VLOOKUP(E32,'LISTA ITEMS'!$E$2:$G$875,2,FALSE)</f>
        <v>TORNILLO A/INOX CABEZA CILINDRICA ALLEN M8X35mm</v>
      </c>
      <c r="G32" s="25" t="str">
        <f>VLOOKUP(E32,'LISTA ITEMS'!$E$2:$G$875,3,FALSE)</f>
        <v>UND</v>
      </c>
      <c r="H32" s="74">
        <v>46083</v>
      </c>
      <c r="I32" s="75">
        <v>50</v>
      </c>
      <c r="J32" s="27"/>
      <c r="K32" s="70">
        <v>46098</v>
      </c>
      <c r="L32" s="67">
        <v>0</v>
      </c>
      <c r="M32" s="54">
        <v>46098</v>
      </c>
      <c r="N32" s="55">
        <v>0</v>
      </c>
      <c r="O32" s="70">
        <v>46098</v>
      </c>
      <c r="P32" s="71">
        <v>0</v>
      </c>
      <c r="Q32" s="36">
        <v>46098</v>
      </c>
      <c r="R32" s="26">
        <f>+I32+L32+N32-P32</f>
        <v>50</v>
      </c>
      <c r="S32" s="85"/>
      <c r="T32" s="84"/>
      <c r="U32" s="27"/>
      <c r="V32" s="70"/>
      <c r="W32" s="67"/>
      <c r="X32" s="54"/>
      <c r="Y32" s="55"/>
      <c r="Z32" s="70"/>
      <c r="AA32" s="71"/>
      <c r="AB32" s="31"/>
      <c r="AC32" s="26">
        <f>+R32+W32+Y32-AA32</f>
        <v>50</v>
      </c>
      <c r="AD32" s="25"/>
      <c r="AE32" s="25"/>
      <c r="AF32" s="116">
        <v>7</v>
      </c>
      <c r="AG32" s="116">
        <v>1</v>
      </c>
      <c r="AH32" s="116" t="s">
        <v>251</v>
      </c>
    </row>
    <row r="33" spans="1:35" ht="28.8" x14ac:dyDescent="0.3">
      <c r="A33" s="65">
        <v>30</v>
      </c>
      <c r="B33" s="25">
        <v>1</v>
      </c>
      <c r="C33" s="25">
        <v>27</v>
      </c>
      <c r="D33" s="25">
        <v>208</v>
      </c>
      <c r="E33" s="89" t="str">
        <f>CONCATENATE(B33,"-",C33,"-",D33)</f>
        <v>1-27-208</v>
      </c>
      <c r="F33" s="13" t="str">
        <f>VLOOKUP(E33,'LISTA ITEMS'!$E$2:$G$875,2,FALSE)</f>
        <v>TORNILLO A/INOX CABEZA CILINDRICA ALLEN M8X30mm</v>
      </c>
      <c r="G33" s="25" t="str">
        <f>VLOOKUP(E33,'LISTA ITEMS'!$E$2:$G$875,3,FALSE)</f>
        <v>UND</v>
      </c>
      <c r="H33" s="74">
        <v>46083</v>
      </c>
      <c r="I33" s="75">
        <v>75</v>
      </c>
      <c r="J33" s="27"/>
      <c r="K33" s="70">
        <v>46098</v>
      </c>
      <c r="L33" s="67">
        <v>0</v>
      </c>
      <c r="M33" s="54">
        <v>46098</v>
      </c>
      <c r="N33" s="55">
        <v>0</v>
      </c>
      <c r="O33" s="70">
        <v>46098</v>
      </c>
      <c r="P33" s="71">
        <v>0</v>
      </c>
      <c r="Q33" s="36">
        <v>46098</v>
      </c>
      <c r="R33" s="26">
        <f>+I33+L33+N33-P33</f>
        <v>75</v>
      </c>
      <c r="S33" s="85"/>
      <c r="T33" s="84"/>
      <c r="U33" s="27"/>
      <c r="V33" s="70"/>
      <c r="W33" s="67"/>
      <c r="X33" s="54"/>
      <c r="Y33" s="55"/>
      <c r="Z33" s="70"/>
      <c r="AA33" s="71"/>
      <c r="AB33" s="31"/>
      <c r="AC33" s="26">
        <f>+R33+W33+Y33-AA33</f>
        <v>75</v>
      </c>
      <c r="AD33" s="25"/>
      <c r="AE33" s="25"/>
      <c r="AF33" s="116">
        <v>7</v>
      </c>
      <c r="AG33" s="116">
        <v>1</v>
      </c>
      <c r="AH33" s="116" t="s">
        <v>251</v>
      </c>
    </row>
    <row r="34" spans="1:35" x14ac:dyDescent="0.3">
      <c r="A34" s="65">
        <v>31</v>
      </c>
      <c r="B34" s="25">
        <v>3</v>
      </c>
      <c r="C34" s="25">
        <v>31</v>
      </c>
      <c r="D34" s="25">
        <v>209</v>
      </c>
      <c r="E34" s="30" t="str">
        <f>CONCATENATE(B34,"-",C34,"-",D34)</f>
        <v>3-31-209</v>
      </c>
      <c r="F34" s="13" t="str">
        <f>VLOOKUP(E34,'LISTA ITEMS'!$E$2:$G$875,2,FALSE)</f>
        <v>CABLE Nª 6 C/ALTERNA MARRON</v>
      </c>
      <c r="G34" s="25" t="str">
        <f>VLOOKUP(E34,'LISTA ITEMS'!$E$2:$G$875,3,FALSE)</f>
        <v>MT</v>
      </c>
      <c r="H34" s="74">
        <v>46083</v>
      </c>
      <c r="I34" s="75">
        <v>230</v>
      </c>
      <c r="J34" s="27"/>
      <c r="K34" s="70">
        <v>46098</v>
      </c>
      <c r="L34" s="67">
        <v>30</v>
      </c>
      <c r="M34" s="54">
        <v>46098</v>
      </c>
      <c r="N34" s="55">
        <v>300</v>
      </c>
      <c r="O34" s="70">
        <v>46098</v>
      </c>
      <c r="P34" s="71">
        <v>100</v>
      </c>
      <c r="Q34" s="36">
        <v>46098</v>
      </c>
      <c r="R34" s="26">
        <f>+I34+L34+N34-P34</f>
        <v>460</v>
      </c>
      <c r="S34" s="85">
        <v>46098</v>
      </c>
      <c r="T34" s="84">
        <v>300</v>
      </c>
      <c r="U34" s="27"/>
      <c r="V34" s="70"/>
      <c r="W34" s="67"/>
      <c r="X34" s="54"/>
      <c r="Y34" s="55"/>
      <c r="Z34" s="70"/>
      <c r="AA34" s="71"/>
      <c r="AB34" s="31"/>
      <c r="AC34" s="26">
        <f>+R34+W34+Y34-AA34</f>
        <v>460</v>
      </c>
      <c r="AD34" s="25"/>
      <c r="AE34" s="25"/>
      <c r="AF34" s="48">
        <v>10</v>
      </c>
      <c r="AG34" s="48">
        <v>2</v>
      </c>
      <c r="AH34" s="48" t="s">
        <v>312</v>
      </c>
      <c r="AI34" s="2" t="s">
        <v>467</v>
      </c>
    </row>
    <row r="35" spans="1:35" ht="21" customHeight="1" x14ac:dyDescent="0.3">
      <c r="A35" s="65">
        <v>32</v>
      </c>
      <c r="B35" s="25">
        <v>3</v>
      </c>
      <c r="C35" s="25">
        <v>31</v>
      </c>
      <c r="D35" s="25">
        <v>210</v>
      </c>
      <c r="E35" s="30" t="str">
        <f>CONCATENATE(B35,"-",C35,"-",D35)</f>
        <v>3-31-210</v>
      </c>
      <c r="F35" s="13" t="str">
        <f>VLOOKUP(E35,'LISTA ITEMS'!$E$2:$G$875,2,FALSE)</f>
        <v>CABLE Nª 6 C/ALTERNA GRIS</v>
      </c>
      <c r="G35" s="25" t="str">
        <f>VLOOKUP(E35,'LISTA ITEMS'!$E$2:$G$875,3,FALSE)</f>
        <v>MT</v>
      </c>
      <c r="H35" s="74">
        <v>46083</v>
      </c>
      <c r="I35" s="75">
        <v>230</v>
      </c>
      <c r="J35" s="27"/>
      <c r="K35" s="70">
        <v>46098</v>
      </c>
      <c r="L35" s="67">
        <v>30</v>
      </c>
      <c r="M35" s="54">
        <v>46098</v>
      </c>
      <c r="N35" s="55">
        <v>300</v>
      </c>
      <c r="O35" s="70">
        <v>46098</v>
      </c>
      <c r="P35" s="71">
        <v>100</v>
      </c>
      <c r="Q35" s="36">
        <v>46098</v>
      </c>
      <c r="R35" s="26">
        <f>+I35+L35+N35-P35</f>
        <v>460</v>
      </c>
      <c r="S35" s="85">
        <v>46098</v>
      </c>
      <c r="T35" s="84">
        <v>300</v>
      </c>
      <c r="U35" s="27"/>
      <c r="V35" s="70"/>
      <c r="W35" s="67"/>
      <c r="X35" s="54"/>
      <c r="Y35" s="55"/>
      <c r="Z35" s="70"/>
      <c r="AA35" s="71"/>
      <c r="AB35" s="31"/>
      <c r="AC35" s="26">
        <f>+R35+W35+Y35-AA35</f>
        <v>460</v>
      </c>
      <c r="AD35" s="25"/>
      <c r="AE35" s="25"/>
      <c r="AF35" s="48">
        <v>10</v>
      </c>
      <c r="AG35" s="48">
        <v>2</v>
      </c>
      <c r="AH35" s="48" t="s">
        <v>312</v>
      </c>
      <c r="AI35" s="2" t="s">
        <v>467</v>
      </c>
    </row>
    <row r="36" spans="1:35" ht="21" customHeight="1" x14ac:dyDescent="0.3">
      <c r="A36" s="65">
        <v>33</v>
      </c>
      <c r="B36" s="25">
        <v>3</v>
      </c>
      <c r="C36" s="25">
        <v>31</v>
      </c>
      <c r="D36" s="25">
        <v>211</v>
      </c>
      <c r="E36" s="30" t="str">
        <f>CONCATENATE(B36,"-",C36,"-",D36)</f>
        <v>3-31-211</v>
      </c>
      <c r="F36" s="13" t="str">
        <f>VLOOKUP(E36,'LISTA ITEMS'!$E$2:$G$875,2,FALSE)</f>
        <v>CABLE Nª 6 C/ALTERNA VERDE/AMARILLO</v>
      </c>
      <c r="G36" s="25" t="str">
        <f>VLOOKUP(E36,'LISTA ITEMS'!$E$2:$G$875,3,FALSE)</f>
        <v>MT</v>
      </c>
      <c r="H36" s="74">
        <v>46083</v>
      </c>
      <c r="I36" s="75">
        <v>400</v>
      </c>
      <c r="J36" s="27"/>
      <c r="K36" s="70">
        <v>46098</v>
      </c>
      <c r="L36" s="67">
        <v>30</v>
      </c>
      <c r="M36" s="54">
        <v>46098</v>
      </c>
      <c r="N36" s="55">
        <v>300</v>
      </c>
      <c r="O36" s="70">
        <v>46098</v>
      </c>
      <c r="P36" s="71">
        <v>100</v>
      </c>
      <c r="Q36" s="36">
        <v>46098</v>
      </c>
      <c r="R36" s="26">
        <f>+I36+L36+N36-P36</f>
        <v>630</v>
      </c>
      <c r="S36" s="85">
        <v>46098</v>
      </c>
      <c r="T36" s="84">
        <v>300</v>
      </c>
      <c r="U36" s="27"/>
      <c r="V36" s="70"/>
      <c r="W36" s="67"/>
      <c r="X36" s="54"/>
      <c r="Y36" s="55"/>
      <c r="Z36" s="70"/>
      <c r="AA36" s="71"/>
      <c r="AB36" s="31"/>
      <c r="AC36" s="26">
        <f>+R36+W36+Y36-AA36</f>
        <v>630</v>
      </c>
      <c r="AD36" s="25"/>
      <c r="AE36" s="25"/>
      <c r="AF36" s="48">
        <v>10</v>
      </c>
      <c r="AG36" s="48">
        <v>2</v>
      </c>
      <c r="AH36" s="48" t="s">
        <v>312</v>
      </c>
      <c r="AI36" s="2" t="s">
        <v>467</v>
      </c>
    </row>
    <row r="37" spans="1:35" ht="21" customHeight="1" x14ac:dyDescent="0.3">
      <c r="A37" s="65">
        <v>34</v>
      </c>
      <c r="B37" s="25">
        <v>3</v>
      </c>
      <c r="C37" s="25">
        <v>31</v>
      </c>
      <c r="D37" s="25">
        <v>212</v>
      </c>
      <c r="E37" s="30" t="str">
        <f>CONCATENATE(B37,"-",C37,"-",D37)</f>
        <v>3-31-212</v>
      </c>
      <c r="F37" s="13" t="str">
        <f>VLOOKUP(E37,'LISTA ITEMS'!$E$2:$G$875,2,FALSE)</f>
        <v>CABLE Nª 6 C/ALTERNA AZUL</v>
      </c>
      <c r="G37" s="25" t="str">
        <f>VLOOKUP(E37,'LISTA ITEMS'!$E$2:$G$875,3,FALSE)</f>
        <v>MT</v>
      </c>
      <c r="H37" s="74">
        <v>46083</v>
      </c>
      <c r="I37" s="75">
        <v>300</v>
      </c>
      <c r="J37" s="27"/>
      <c r="K37" s="70">
        <v>46098</v>
      </c>
      <c r="L37" s="67">
        <v>130</v>
      </c>
      <c r="M37" s="54">
        <v>46098</v>
      </c>
      <c r="N37" s="55">
        <v>300</v>
      </c>
      <c r="O37" s="70">
        <v>46098</v>
      </c>
      <c r="P37" s="71">
        <v>300</v>
      </c>
      <c r="Q37" s="36">
        <v>46098</v>
      </c>
      <c r="R37" s="26">
        <f>+I37+L37+N37-P37</f>
        <v>430</v>
      </c>
      <c r="S37" s="85">
        <v>46098</v>
      </c>
      <c r="T37" s="84">
        <v>400</v>
      </c>
      <c r="U37" s="27"/>
      <c r="V37" s="70"/>
      <c r="W37" s="67"/>
      <c r="X37" s="54"/>
      <c r="Y37" s="55"/>
      <c r="Z37" s="70"/>
      <c r="AA37" s="71"/>
      <c r="AB37" s="31"/>
      <c r="AC37" s="26">
        <f>+R37+W37+Y37-AA37</f>
        <v>430</v>
      </c>
      <c r="AD37" s="25"/>
      <c r="AE37" s="25"/>
      <c r="AF37" s="48">
        <v>10</v>
      </c>
      <c r="AG37" s="48">
        <v>2</v>
      </c>
      <c r="AH37" s="48" t="s">
        <v>312</v>
      </c>
      <c r="AI37" s="2" t="s">
        <v>467</v>
      </c>
    </row>
    <row r="38" spans="1:35" ht="21" customHeight="1" x14ac:dyDescent="0.3">
      <c r="A38" s="65">
        <v>35</v>
      </c>
      <c r="B38" s="25">
        <v>3</v>
      </c>
      <c r="C38" s="25">
        <v>31</v>
      </c>
      <c r="D38" s="25">
        <v>213</v>
      </c>
      <c r="E38" s="30" t="str">
        <f>CONCATENATE(B38,"-",C38,"-",D38)</f>
        <v>3-31-213</v>
      </c>
      <c r="F38" s="13" t="str">
        <f>VLOOKUP(E38,'LISTA ITEMS'!$E$2:$G$875,2,FALSE)</f>
        <v>CABLE Nª 6 C/ALTERNA NEGRO</v>
      </c>
      <c r="G38" s="25" t="str">
        <f>VLOOKUP(E38,'LISTA ITEMS'!$E$2:$G$875,3,FALSE)</f>
        <v>MT</v>
      </c>
      <c r="H38" s="74">
        <v>46083</v>
      </c>
      <c r="I38" s="75">
        <v>400</v>
      </c>
      <c r="J38" s="27"/>
      <c r="K38" s="70">
        <v>46098</v>
      </c>
      <c r="L38" s="67">
        <v>130</v>
      </c>
      <c r="M38" s="54">
        <v>46098</v>
      </c>
      <c r="N38" s="55">
        <v>100</v>
      </c>
      <c r="O38" s="70">
        <v>46098</v>
      </c>
      <c r="P38" s="71">
        <v>300</v>
      </c>
      <c r="Q38" s="36">
        <v>46098</v>
      </c>
      <c r="R38" s="26">
        <f>+I38+L38+N38-P38</f>
        <v>330</v>
      </c>
      <c r="S38" s="85">
        <v>46098</v>
      </c>
      <c r="T38" s="84">
        <v>200</v>
      </c>
      <c r="U38" s="27"/>
      <c r="V38" s="70"/>
      <c r="W38" s="67"/>
      <c r="X38" s="54"/>
      <c r="Y38" s="55"/>
      <c r="Z38" s="70"/>
      <c r="AA38" s="71"/>
      <c r="AB38" s="31"/>
      <c r="AC38" s="26">
        <f>+R38+W38+Y38-AA38</f>
        <v>330</v>
      </c>
      <c r="AD38" s="25"/>
      <c r="AE38" s="25"/>
      <c r="AF38" s="48">
        <v>10</v>
      </c>
      <c r="AG38" s="48">
        <v>2</v>
      </c>
      <c r="AH38" s="48" t="s">
        <v>312</v>
      </c>
      <c r="AI38" s="2" t="s">
        <v>467</v>
      </c>
    </row>
    <row r="39" spans="1:35" ht="21" customHeight="1" x14ac:dyDescent="0.3">
      <c r="A39" s="65">
        <v>36</v>
      </c>
      <c r="B39" s="25">
        <v>3</v>
      </c>
      <c r="C39" s="25">
        <v>31</v>
      </c>
      <c r="D39" s="25">
        <v>214</v>
      </c>
      <c r="E39" s="30" t="str">
        <f>CONCATENATE(B39,"-",C39,"-",D39)</f>
        <v>3-31-214</v>
      </c>
      <c r="F39" s="13" t="str">
        <f>VLOOKUP(E39,'LISTA ITEMS'!$E$2:$G$875,2,FALSE)</f>
        <v>CABLE Nª 16 C/ALTERNA NEGRO</v>
      </c>
      <c r="G39" s="25" t="str">
        <f>VLOOKUP(E39,'LISTA ITEMS'!$E$2:$G$875,3,FALSE)</f>
        <v>MT</v>
      </c>
      <c r="H39" s="74">
        <v>46083</v>
      </c>
      <c r="I39" s="75">
        <v>100</v>
      </c>
      <c r="J39" s="27"/>
      <c r="K39" s="70">
        <v>46098</v>
      </c>
      <c r="L39" s="67">
        <v>0</v>
      </c>
      <c r="M39" s="54">
        <v>46098</v>
      </c>
      <c r="N39" s="55">
        <v>0</v>
      </c>
      <c r="O39" s="70">
        <v>46098</v>
      </c>
      <c r="P39" s="71">
        <v>0</v>
      </c>
      <c r="Q39" s="36">
        <v>46098</v>
      </c>
      <c r="R39" s="26">
        <f>+I39+L39+N39-P39</f>
        <v>100</v>
      </c>
      <c r="S39" s="85">
        <v>46098</v>
      </c>
      <c r="T39" s="84">
        <v>100</v>
      </c>
      <c r="U39" s="27"/>
      <c r="V39" s="70"/>
      <c r="W39" s="67"/>
      <c r="X39" s="54"/>
      <c r="Y39" s="55"/>
      <c r="Z39" s="70"/>
      <c r="AA39" s="71"/>
      <c r="AB39" s="31"/>
      <c r="AC39" s="26">
        <f>+R39+W39+Y39-AA39</f>
        <v>100</v>
      </c>
      <c r="AD39" s="25"/>
      <c r="AE39" s="25"/>
      <c r="AF39" s="48">
        <v>10</v>
      </c>
      <c r="AG39" s="48">
        <v>2</v>
      </c>
      <c r="AH39" s="48" t="s">
        <v>312</v>
      </c>
      <c r="AI39" s="2" t="s">
        <v>467</v>
      </c>
    </row>
    <row r="40" spans="1:35" ht="21" customHeight="1" x14ac:dyDescent="0.3">
      <c r="A40" s="65">
        <v>37</v>
      </c>
      <c r="B40" s="25">
        <v>3</v>
      </c>
      <c r="C40" s="25">
        <v>31</v>
      </c>
      <c r="D40" s="25">
        <v>215</v>
      </c>
      <c r="E40" s="30" t="str">
        <f>CONCATENATE(B40,"-",C40,"-",D40)</f>
        <v>3-31-215</v>
      </c>
      <c r="F40" s="13" t="str">
        <f>VLOOKUP(E40,'LISTA ITEMS'!$E$2:$G$875,2,FALSE)</f>
        <v>CABLE Nª 16 C/ALTERNA MARRON</v>
      </c>
      <c r="G40" s="25" t="str">
        <f>VLOOKUP(E40,'LISTA ITEMS'!$E$2:$G$875,3,FALSE)</f>
        <v>MT</v>
      </c>
      <c r="H40" s="74">
        <v>46083</v>
      </c>
      <c r="I40" s="75">
        <v>100</v>
      </c>
      <c r="J40" s="27"/>
      <c r="K40" s="70">
        <v>46098</v>
      </c>
      <c r="L40" s="67">
        <v>0</v>
      </c>
      <c r="M40" s="54">
        <v>46098</v>
      </c>
      <c r="N40" s="55">
        <v>0</v>
      </c>
      <c r="O40" s="70">
        <v>46098</v>
      </c>
      <c r="P40" s="71">
        <v>0</v>
      </c>
      <c r="Q40" s="36">
        <v>46098</v>
      </c>
      <c r="R40" s="26">
        <f>+I40+L40+N40-P40</f>
        <v>100</v>
      </c>
      <c r="S40" s="85">
        <v>46098</v>
      </c>
      <c r="T40" s="84">
        <v>100</v>
      </c>
      <c r="U40" s="27"/>
      <c r="V40" s="70"/>
      <c r="W40" s="67"/>
      <c r="X40" s="54"/>
      <c r="Y40" s="55"/>
      <c r="Z40" s="70"/>
      <c r="AA40" s="71"/>
      <c r="AB40" s="31"/>
      <c r="AC40" s="26">
        <f>+R40+W40+Y40-AA40</f>
        <v>100</v>
      </c>
      <c r="AD40" s="25"/>
      <c r="AE40" s="25"/>
      <c r="AF40" s="48">
        <v>10</v>
      </c>
      <c r="AG40" s="48">
        <v>2</v>
      </c>
      <c r="AH40" s="48" t="s">
        <v>312</v>
      </c>
      <c r="AI40" s="2" t="s">
        <v>467</v>
      </c>
    </row>
    <row r="41" spans="1:35" ht="21" customHeight="1" x14ac:dyDescent="0.3">
      <c r="A41" s="65">
        <v>38</v>
      </c>
      <c r="B41" s="25">
        <v>3</v>
      </c>
      <c r="C41" s="25">
        <v>31</v>
      </c>
      <c r="D41" s="25">
        <v>216</v>
      </c>
      <c r="E41" s="30" t="str">
        <f>CONCATENATE(B41,"-",C41,"-",D41)</f>
        <v>3-31-216</v>
      </c>
      <c r="F41" s="13" t="str">
        <f>VLOOKUP(E41,'LISTA ITEMS'!$E$2:$G$875,2,FALSE)</f>
        <v>CABLE Nª 16 C/ALTERNA AZUL</v>
      </c>
      <c r="G41" s="25" t="str">
        <f>VLOOKUP(E41,'LISTA ITEMS'!$E$2:$G$875,3,FALSE)</f>
        <v>MT</v>
      </c>
      <c r="H41" s="74">
        <v>46083</v>
      </c>
      <c r="I41" s="75">
        <v>100</v>
      </c>
      <c r="J41" s="27"/>
      <c r="K41" s="70">
        <v>46098</v>
      </c>
      <c r="L41" s="67">
        <v>0</v>
      </c>
      <c r="M41" s="54">
        <v>46098</v>
      </c>
      <c r="N41" s="55">
        <v>0</v>
      </c>
      <c r="O41" s="70">
        <v>46098</v>
      </c>
      <c r="P41" s="71">
        <v>0</v>
      </c>
      <c r="Q41" s="36">
        <v>46098</v>
      </c>
      <c r="R41" s="26">
        <f>+I41+L41+N41-P41</f>
        <v>100</v>
      </c>
      <c r="S41" s="85">
        <v>46098</v>
      </c>
      <c r="T41" s="84">
        <v>100</v>
      </c>
      <c r="U41" s="27"/>
      <c r="V41" s="70"/>
      <c r="W41" s="67"/>
      <c r="X41" s="54"/>
      <c r="Y41" s="55"/>
      <c r="Z41" s="70"/>
      <c r="AA41" s="71"/>
      <c r="AB41" s="31"/>
      <c r="AC41" s="26">
        <f>+R41+W41+Y41-AA41</f>
        <v>100</v>
      </c>
      <c r="AD41" s="25"/>
      <c r="AE41" s="25"/>
      <c r="AF41" s="48">
        <v>10</v>
      </c>
      <c r="AG41" s="48">
        <v>2</v>
      </c>
      <c r="AH41" s="48" t="s">
        <v>312</v>
      </c>
      <c r="AI41" s="2" t="s">
        <v>467</v>
      </c>
    </row>
    <row r="42" spans="1:35" ht="21" customHeight="1" x14ac:dyDescent="0.3">
      <c r="A42" s="65">
        <v>39</v>
      </c>
      <c r="B42" s="25">
        <v>3</v>
      </c>
      <c r="C42" s="25">
        <v>31</v>
      </c>
      <c r="D42" s="25">
        <v>217</v>
      </c>
      <c r="E42" s="30" t="str">
        <f>CONCATENATE(B42,"-",C42,"-",D42)</f>
        <v>3-31-217</v>
      </c>
      <c r="F42" s="13" t="str">
        <f>VLOOKUP(E42,'LISTA ITEMS'!$E$2:$G$875,2,FALSE)</f>
        <v>CABLE Nª 16 C/ALTERNA GRIS</v>
      </c>
      <c r="G42" s="25" t="str">
        <f>VLOOKUP(E42,'LISTA ITEMS'!$E$2:$G$875,3,FALSE)</f>
        <v>MT</v>
      </c>
      <c r="H42" s="74">
        <v>46083</v>
      </c>
      <c r="I42" s="75">
        <v>100</v>
      </c>
      <c r="J42" s="27"/>
      <c r="K42" s="70">
        <v>46098</v>
      </c>
      <c r="L42" s="67">
        <v>0</v>
      </c>
      <c r="M42" s="54">
        <v>46098</v>
      </c>
      <c r="N42" s="55">
        <v>0</v>
      </c>
      <c r="O42" s="70">
        <v>46098</v>
      </c>
      <c r="P42" s="71">
        <v>0</v>
      </c>
      <c r="Q42" s="36">
        <v>46098</v>
      </c>
      <c r="R42" s="26">
        <f>+I42+L42+N42-P42</f>
        <v>100</v>
      </c>
      <c r="S42" s="85">
        <v>46098</v>
      </c>
      <c r="T42" s="84">
        <v>100</v>
      </c>
      <c r="U42" s="27"/>
      <c r="V42" s="70"/>
      <c r="W42" s="67"/>
      <c r="X42" s="54"/>
      <c r="Y42" s="55"/>
      <c r="Z42" s="70"/>
      <c r="AA42" s="71"/>
      <c r="AB42" s="31"/>
      <c r="AC42" s="26">
        <f>+R42+W42+Y42-AA42</f>
        <v>100</v>
      </c>
      <c r="AD42" s="25"/>
      <c r="AE42" s="25"/>
      <c r="AF42" s="48">
        <v>10</v>
      </c>
      <c r="AG42" s="48">
        <v>2</v>
      </c>
      <c r="AH42" s="48" t="s">
        <v>312</v>
      </c>
      <c r="AI42" s="2" t="s">
        <v>467</v>
      </c>
    </row>
    <row r="43" spans="1:35" ht="21" customHeight="1" x14ac:dyDescent="0.3">
      <c r="A43" s="65">
        <v>40</v>
      </c>
      <c r="B43" s="25">
        <v>3</v>
      </c>
      <c r="C43" s="25">
        <v>31</v>
      </c>
      <c r="D43" s="25">
        <v>218</v>
      </c>
      <c r="E43" s="30" t="str">
        <f>CONCATENATE(B43,"-",C43,"-",D43)</f>
        <v>3-31-218</v>
      </c>
      <c r="F43" s="13" t="str">
        <f>VLOOKUP(E43,'LISTA ITEMS'!$E$2:$G$875,2,FALSE)</f>
        <v>CABLE Nª 10 C/ALTERNA VERDE/AMARILLO</v>
      </c>
      <c r="G43" s="25" t="str">
        <f>VLOOKUP(E43,'LISTA ITEMS'!$E$2:$G$875,3,FALSE)</f>
        <v>MT</v>
      </c>
      <c r="H43" s="74">
        <v>46083</v>
      </c>
      <c r="I43" s="75">
        <v>383</v>
      </c>
      <c r="J43" s="27"/>
      <c r="K43" s="70">
        <v>46098</v>
      </c>
      <c r="L43" s="67">
        <v>0</v>
      </c>
      <c r="M43" s="54">
        <v>46098</v>
      </c>
      <c r="N43" s="55">
        <v>0</v>
      </c>
      <c r="O43" s="70">
        <v>46098</v>
      </c>
      <c r="P43" s="71">
        <v>0</v>
      </c>
      <c r="Q43" s="36">
        <v>46098</v>
      </c>
      <c r="R43" s="26">
        <f>+I43+L43+N43-P43</f>
        <v>383</v>
      </c>
      <c r="S43" s="85">
        <v>46098</v>
      </c>
      <c r="T43" s="84">
        <v>500</v>
      </c>
      <c r="U43" s="27"/>
      <c r="V43" s="70"/>
      <c r="W43" s="67"/>
      <c r="X43" s="54"/>
      <c r="Y43" s="55"/>
      <c r="Z43" s="70"/>
      <c r="AA43" s="71"/>
      <c r="AB43" s="31"/>
      <c r="AC43" s="26">
        <f>+R43+W43+Y43-AA43</f>
        <v>383</v>
      </c>
      <c r="AD43" s="25"/>
      <c r="AE43" s="25"/>
      <c r="AF43" s="48">
        <v>10</v>
      </c>
      <c r="AG43" s="48">
        <v>2</v>
      </c>
      <c r="AH43" s="48" t="s">
        <v>312</v>
      </c>
      <c r="AI43" s="2" t="s">
        <v>467</v>
      </c>
    </row>
    <row r="44" spans="1:35" ht="21" customHeight="1" x14ac:dyDescent="0.3">
      <c r="A44" s="65">
        <v>41</v>
      </c>
      <c r="B44" s="25">
        <v>3</v>
      </c>
      <c r="C44" s="25">
        <v>31</v>
      </c>
      <c r="D44" s="25">
        <v>219</v>
      </c>
      <c r="E44" s="30" t="str">
        <f>CONCATENATE(B44,"-",C44,"-",D44)</f>
        <v>3-31-219</v>
      </c>
      <c r="F44" s="13" t="str">
        <f>VLOOKUP(E44,'LISTA ITEMS'!$E$2:$G$875,2,FALSE)</f>
        <v>CABLE Nª 10 C/ALTERNA MARRON</v>
      </c>
      <c r="G44" s="25" t="str">
        <f>VLOOKUP(E44,'LISTA ITEMS'!$E$2:$G$875,3,FALSE)</f>
        <v>MT</v>
      </c>
      <c r="H44" s="74">
        <v>46083</v>
      </c>
      <c r="I44" s="75">
        <v>53</v>
      </c>
      <c r="J44" s="27"/>
      <c r="K44" s="70">
        <v>46098</v>
      </c>
      <c r="L44" s="67">
        <v>0</v>
      </c>
      <c r="M44" s="54">
        <v>46098</v>
      </c>
      <c r="N44" s="55">
        <v>100</v>
      </c>
      <c r="O44" s="70">
        <v>46098</v>
      </c>
      <c r="P44" s="71">
        <v>0</v>
      </c>
      <c r="Q44" s="36">
        <v>46098</v>
      </c>
      <c r="R44" s="26">
        <f>+I44+L44+N44-P44</f>
        <v>153</v>
      </c>
      <c r="S44" s="85">
        <v>46098</v>
      </c>
      <c r="T44" s="84">
        <v>300</v>
      </c>
      <c r="U44" s="27"/>
      <c r="V44" s="70"/>
      <c r="W44" s="67"/>
      <c r="X44" s="54"/>
      <c r="Y44" s="55"/>
      <c r="Z44" s="70"/>
      <c r="AA44" s="71"/>
      <c r="AB44" s="31"/>
      <c r="AC44" s="26">
        <f>+R44+W44+Y44-AA44</f>
        <v>153</v>
      </c>
      <c r="AD44" s="25"/>
      <c r="AE44" s="25"/>
      <c r="AF44" s="48">
        <v>10</v>
      </c>
      <c r="AG44" s="48">
        <v>2</v>
      </c>
      <c r="AH44" s="48" t="s">
        <v>312</v>
      </c>
      <c r="AI44" s="2" t="s">
        <v>467</v>
      </c>
    </row>
    <row r="45" spans="1:35" ht="21" customHeight="1" x14ac:dyDescent="0.3">
      <c r="A45" s="65">
        <v>42</v>
      </c>
      <c r="B45" s="25">
        <v>3</v>
      </c>
      <c r="C45" s="25">
        <v>31</v>
      </c>
      <c r="D45" s="25">
        <v>220</v>
      </c>
      <c r="E45" s="30" t="str">
        <f>CONCATENATE(B45,"-",C45,"-",D45)</f>
        <v>3-31-220</v>
      </c>
      <c r="F45" s="13" t="str">
        <f>VLOOKUP(E45,'LISTA ITEMS'!$E$2:$G$875,2,FALSE)</f>
        <v>CABLE Nª 10 C/ALTERNA GRIS</v>
      </c>
      <c r="G45" s="25" t="str">
        <f>VLOOKUP(E45,'LISTA ITEMS'!$E$2:$G$875,3,FALSE)</f>
        <v>MT</v>
      </c>
      <c r="H45" s="74">
        <v>46083</v>
      </c>
      <c r="I45" s="75">
        <v>-52</v>
      </c>
      <c r="J45" s="27"/>
      <c r="K45" s="70">
        <v>46098</v>
      </c>
      <c r="L45" s="67">
        <v>0</v>
      </c>
      <c r="M45" s="54">
        <v>46098</v>
      </c>
      <c r="N45" s="55">
        <v>100</v>
      </c>
      <c r="O45" s="70">
        <v>46098</v>
      </c>
      <c r="P45" s="71">
        <v>0</v>
      </c>
      <c r="Q45" s="36">
        <v>46098</v>
      </c>
      <c r="R45" s="26">
        <f>+I45+L45+N45-P45</f>
        <v>48</v>
      </c>
      <c r="S45" s="85">
        <v>46098</v>
      </c>
      <c r="T45" s="84">
        <v>100</v>
      </c>
      <c r="U45" s="27"/>
      <c r="V45" s="70"/>
      <c r="W45" s="67"/>
      <c r="X45" s="54"/>
      <c r="Y45" s="55"/>
      <c r="Z45" s="70"/>
      <c r="AA45" s="71"/>
      <c r="AB45" s="31"/>
      <c r="AC45" s="26">
        <f>+R45+W45+Y45-AA45</f>
        <v>48</v>
      </c>
      <c r="AD45" s="25"/>
      <c r="AE45" s="25"/>
      <c r="AF45" s="48">
        <v>10</v>
      </c>
      <c r="AG45" s="48">
        <v>2</v>
      </c>
      <c r="AH45" s="48" t="s">
        <v>312</v>
      </c>
      <c r="AI45" s="2" t="s">
        <v>467</v>
      </c>
    </row>
    <row r="46" spans="1:35" ht="21" customHeight="1" x14ac:dyDescent="0.3">
      <c r="A46" s="65">
        <v>43</v>
      </c>
      <c r="B46" s="25">
        <v>3</v>
      </c>
      <c r="C46" s="25">
        <v>31</v>
      </c>
      <c r="D46" s="25">
        <v>221</v>
      </c>
      <c r="E46" s="30" t="str">
        <f>CONCATENATE(B46,"-",C46,"-",D46)</f>
        <v>3-31-221</v>
      </c>
      <c r="F46" s="13" t="str">
        <f>VLOOKUP(E46,'LISTA ITEMS'!$E$2:$G$875,2,FALSE)</f>
        <v>CABLE Nª 10 C/ALTERNA AZUL</v>
      </c>
      <c r="G46" s="25" t="str">
        <f>VLOOKUP(E46,'LISTA ITEMS'!$E$2:$G$875,3,FALSE)</f>
        <v>MT</v>
      </c>
      <c r="H46" s="74">
        <v>46083</v>
      </c>
      <c r="I46" s="75">
        <v>313</v>
      </c>
      <c r="J46" s="27"/>
      <c r="K46" s="70">
        <v>46098</v>
      </c>
      <c r="L46" s="67">
        <v>0</v>
      </c>
      <c r="M46" s="54">
        <v>46098</v>
      </c>
      <c r="N46" s="55">
        <v>100</v>
      </c>
      <c r="O46" s="70">
        <v>46098</v>
      </c>
      <c r="P46" s="71">
        <v>0</v>
      </c>
      <c r="Q46" s="36">
        <v>46098</v>
      </c>
      <c r="R46" s="26">
        <f>+I46+L46+N46-P46</f>
        <v>413</v>
      </c>
      <c r="S46" s="85">
        <v>46098</v>
      </c>
      <c r="T46" s="84">
        <v>300</v>
      </c>
      <c r="U46" s="27"/>
      <c r="V46" s="70"/>
      <c r="W46" s="67"/>
      <c r="X46" s="54"/>
      <c r="Y46" s="55"/>
      <c r="Z46" s="70"/>
      <c r="AA46" s="71"/>
      <c r="AB46" s="31"/>
      <c r="AC46" s="26">
        <f>+R46+W46+Y46-AA46</f>
        <v>413</v>
      </c>
      <c r="AD46" s="25"/>
      <c r="AE46" s="25"/>
      <c r="AF46" s="48">
        <v>10</v>
      </c>
      <c r="AG46" s="48">
        <v>2</v>
      </c>
      <c r="AH46" s="48" t="s">
        <v>312</v>
      </c>
      <c r="AI46" s="2" t="s">
        <v>467</v>
      </c>
    </row>
    <row r="47" spans="1:35" ht="21" customHeight="1" x14ac:dyDescent="0.3">
      <c r="A47" s="65">
        <v>44</v>
      </c>
      <c r="B47" s="25">
        <v>3</v>
      </c>
      <c r="C47" s="25">
        <v>31</v>
      </c>
      <c r="D47" s="25">
        <v>222</v>
      </c>
      <c r="E47" s="30" t="str">
        <f>CONCATENATE(B47,"-",C47,"-",D47)</f>
        <v>3-31-222</v>
      </c>
      <c r="F47" s="13" t="str">
        <f>VLOOKUP(E47,'LISTA ITEMS'!$E$2:$G$875,2,FALSE)</f>
        <v>CABLE Nª 10 C/ALTERNA NEGRO</v>
      </c>
      <c r="G47" s="25" t="str">
        <f>VLOOKUP(E47,'LISTA ITEMS'!$E$2:$G$875,3,FALSE)</f>
        <v>MT</v>
      </c>
      <c r="H47" s="74">
        <v>46083</v>
      </c>
      <c r="I47" s="75">
        <v>333</v>
      </c>
      <c r="J47" s="27"/>
      <c r="K47" s="70">
        <v>46098</v>
      </c>
      <c r="L47" s="67">
        <v>0</v>
      </c>
      <c r="M47" s="54">
        <v>46098</v>
      </c>
      <c r="N47" s="55">
        <v>100</v>
      </c>
      <c r="O47" s="70">
        <v>46098</v>
      </c>
      <c r="P47" s="71">
        <v>0</v>
      </c>
      <c r="Q47" s="36">
        <v>46098</v>
      </c>
      <c r="R47" s="26">
        <f>+I47+L47+N47-P47</f>
        <v>433</v>
      </c>
      <c r="S47" s="85">
        <v>46098</v>
      </c>
      <c r="T47" s="84">
        <v>350</v>
      </c>
      <c r="U47" s="27"/>
      <c r="V47" s="70"/>
      <c r="W47" s="67"/>
      <c r="X47" s="54"/>
      <c r="Y47" s="55"/>
      <c r="Z47" s="70"/>
      <c r="AA47" s="71"/>
      <c r="AB47" s="31"/>
      <c r="AC47" s="26">
        <f>+R47+W47+Y47-AA47</f>
        <v>433</v>
      </c>
      <c r="AD47" s="25"/>
      <c r="AE47" s="25"/>
      <c r="AF47" s="48">
        <v>10</v>
      </c>
      <c r="AG47" s="48">
        <v>2</v>
      </c>
      <c r="AH47" s="48" t="s">
        <v>312</v>
      </c>
      <c r="AI47" s="2" t="s">
        <v>467</v>
      </c>
    </row>
    <row r="48" spans="1:35" ht="21" customHeight="1" x14ac:dyDescent="0.3">
      <c r="A48" s="65">
        <v>45</v>
      </c>
      <c r="B48" s="25">
        <v>9</v>
      </c>
      <c r="C48" s="25">
        <v>32</v>
      </c>
      <c r="D48" s="25">
        <v>223</v>
      </c>
      <c r="E48" s="89" t="str">
        <f>CONCATENATE(B48,"-",C48,"-",D48)</f>
        <v>9-32-223</v>
      </c>
      <c r="F48" s="13" t="str">
        <f>VLOOKUP(E48,'LISTA ITEMS'!$E$2:$G$875,2,FALSE)</f>
        <v>CURVA PVC M-25 GRIS TIPO A</v>
      </c>
      <c r="G48" s="25" t="str">
        <f>VLOOKUP(E48,'LISTA ITEMS'!$E$2:$G$875,3,FALSE)</f>
        <v>UND</v>
      </c>
      <c r="H48" s="74">
        <v>46083</v>
      </c>
      <c r="I48" s="75">
        <v>472</v>
      </c>
      <c r="J48" s="27"/>
      <c r="K48" s="70">
        <v>46098</v>
      </c>
      <c r="L48" s="67">
        <v>36</v>
      </c>
      <c r="M48" s="54">
        <v>46098</v>
      </c>
      <c r="N48" s="55">
        <v>200</v>
      </c>
      <c r="O48" s="70">
        <v>46098</v>
      </c>
      <c r="P48" s="71">
        <v>129</v>
      </c>
      <c r="Q48" s="36">
        <v>46098</v>
      </c>
      <c r="R48" s="26">
        <f>+I48+L48+N48-P48</f>
        <v>579</v>
      </c>
      <c r="S48" s="85"/>
      <c r="T48" s="84"/>
      <c r="U48" s="27"/>
      <c r="V48" s="70"/>
      <c r="W48" s="67"/>
      <c r="X48" s="54"/>
      <c r="Y48" s="55"/>
      <c r="Z48" s="70"/>
      <c r="AA48" s="71"/>
      <c r="AB48" s="31"/>
      <c r="AC48" s="26">
        <f>+R48+W48+Y48-AA48</f>
        <v>579</v>
      </c>
      <c r="AD48" s="25"/>
      <c r="AE48" s="25"/>
      <c r="AF48" s="119">
        <v>10</v>
      </c>
      <c r="AG48" s="119">
        <v>1</v>
      </c>
      <c r="AH48" s="119" t="s">
        <v>312</v>
      </c>
    </row>
    <row r="49" spans="1:34" ht="21" customHeight="1" x14ac:dyDescent="0.3">
      <c r="A49" s="65">
        <v>46</v>
      </c>
      <c r="B49" s="25">
        <v>9</v>
      </c>
      <c r="C49" s="25">
        <v>32</v>
      </c>
      <c r="D49" s="25">
        <v>224</v>
      </c>
      <c r="E49" s="89" t="str">
        <f>CONCATENATE(B49,"-",C49,"-",D49)</f>
        <v>9-32-224</v>
      </c>
      <c r="F49" s="13" t="str">
        <f>VLOOKUP(E49,'LISTA ITEMS'!$E$2:$G$875,2,FALSE)</f>
        <v>CURVA PVC M-25 GRIS TIPO B</v>
      </c>
      <c r="G49" s="25" t="str">
        <f>VLOOKUP(E49,'LISTA ITEMS'!$E$2:$G$875,3,FALSE)</f>
        <v>UND</v>
      </c>
      <c r="H49" s="74">
        <v>46083</v>
      </c>
      <c r="I49" s="75">
        <v>80</v>
      </c>
      <c r="J49" s="27"/>
      <c r="K49" s="70">
        <v>46098</v>
      </c>
      <c r="L49" s="67">
        <v>0</v>
      </c>
      <c r="M49" s="54">
        <v>46098</v>
      </c>
      <c r="N49" s="55">
        <v>0</v>
      </c>
      <c r="O49" s="70">
        <v>46098</v>
      </c>
      <c r="P49" s="71">
        <v>5</v>
      </c>
      <c r="Q49" s="36">
        <v>46098</v>
      </c>
      <c r="R49" s="26">
        <f>+I49+L49+N49-P49</f>
        <v>75</v>
      </c>
      <c r="S49" s="85"/>
      <c r="T49" s="84"/>
      <c r="U49" s="27"/>
      <c r="V49" s="70"/>
      <c r="W49" s="67"/>
      <c r="X49" s="54"/>
      <c r="Y49" s="55"/>
      <c r="Z49" s="70"/>
      <c r="AA49" s="71"/>
      <c r="AB49" s="31"/>
      <c r="AC49" s="26">
        <f>+R49+W49+Y49-AA49</f>
        <v>75</v>
      </c>
      <c r="AD49" s="25"/>
      <c r="AE49" s="25"/>
      <c r="AF49" s="119">
        <v>10</v>
      </c>
      <c r="AG49" s="119">
        <v>1</v>
      </c>
      <c r="AH49" s="119" t="s">
        <v>312</v>
      </c>
    </row>
    <row r="50" spans="1:34" ht="21" customHeight="1" x14ac:dyDescent="0.3">
      <c r="A50" s="65">
        <v>47</v>
      </c>
      <c r="B50" s="25">
        <v>9</v>
      </c>
      <c r="C50" s="25">
        <v>32</v>
      </c>
      <c r="D50" s="25">
        <v>225</v>
      </c>
      <c r="E50" s="89" t="str">
        <f>CONCATENATE(B50,"-",C50,"-",D50)</f>
        <v>9-32-225</v>
      </c>
      <c r="F50" s="13" t="str">
        <f>VLOOKUP(E50,'LISTA ITEMS'!$E$2:$G$875,2,FALSE)</f>
        <v>CURVA PVC M-40 GRIS</v>
      </c>
      <c r="G50" s="25" t="str">
        <f>VLOOKUP(E50,'LISTA ITEMS'!$E$2:$G$875,3,FALSE)</f>
        <v>UND</v>
      </c>
      <c r="H50" s="74">
        <v>46083</v>
      </c>
      <c r="I50" s="75">
        <v>37</v>
      </c>
      <c r="J50" s="27"/>
      <c r="K50" s="70">
        <v>46098</v>
      </c>
      <c r="L50" s="67">
        <v>0</v>
      </c>
      <c r="M50" s="54">
        <v>46098</v>
      </c>
      <c r="N50" s="55">
        <v>0</v>
      </c>
      <c r="O50" s="70">
        <v>46098</v>
      </c>
      <c r="P50" s="71">
        <v>0</v>
      </c>
      <c r="Q50" s="36">
        <v>46098</v>
      </c>
      <c r="R50" s="26">
        <f>+I50+L50+N50-P50</f>
        <v>37</v>
      </c>
      <c r="S50" s="85"/>
      <c r="T50" s="84"/>
      <c r="U50" s="27"/>
      <c r="V50" s="70"/>
      <c r="W50" s="67"/>
      <c r="X50" s="54"/>
      <c r="Y50" s="55"/>
      <c r="Z50" s="70"/>
      <c r="AA50" s="71"/>
      <c r="AB50" s="31"/>
      <c r="AC50" s="26">
        <f>+R50+W50+Y50-AA50</f>
        <v>37</v>
      </c>
      <c r="AD50" s="25"/>
      <c r="AE50" s="25"/>
      <c r="AF50" s="119">
        <v>10</v>
      </c>
      <c r="AG50" s="119">
        <v>1</v>
      </c>
      <c r="AH50" s="119" t="s">
        <v>312</v>
      </c>
    </row>
    <row r="51" spans="1:34" ht="21" customHeight="1" x14ac:dyDescent="0.3">
      <c r="A51" s="65">
        <v>48</v>
      </c>
      <c r="B51" s="25">
        <v>16</v>
      </c>
      <c r="C51" s="25">
        <v>33</v>
      </c>
      <c r="D51" s="25">
        <v>226</v>
      </c>
      <c r="E51" s="89" t="str">
        <f>CONCATENATE(B51,"-",C51,"-",D51)</f>
        <v>16-33-226</v>
      </c>
      <c r="F51" s="13" t="str">
        <f>VLOOKUP(E51,'LISTA ITEMS'!$E$2:$G$875,2,FALSE)</f>
        <v>OPTIMIZADOR SUN2000P-375W</v>
      </c>
      <c r="G51" s="25" t="str">
        <f>VLOOKUP(E51,'LISTA ITEMS'!$E$2:$G$875,3,FALSE)</f>
        <v>UND</v>
      </c>
      <c r="H51" s="74">
        <v>46083</v>
      </c>
      <c r="I51" s="75">
        <v>13</v>
      </c>
      <c r="J51" s="27"/>
      <c r="K51" s="70">
        <v>46098</v>
      </c>
      <c r="L51" s="67">
        <v>0</v>
      </c>
      <c r="M51" s="54">
        <v>46098</v>
      </c>
      <c r="N51" s="55">
        <v>0</v>
      </c>
      <c r="O51" s="70">
        <v>46098</v>
      </c>
      <c r="P51" s="71">
        <v>0</v>
      </c>
      <c r="Q51" s="36">
        <v>46098</v>
      </c>
      <c r="R51" s="26">
        <f>+I51+L51+N51-P51</f>
        <v>13</v>
      </c>
      <c r="S51" s="85"/>
      <c r="T51" s="84"/>
      <c r="U51" s="27"/>
      <c r="V51" s="70"/>
      <c r="W51" s="67"/>
      <c r="X51" s="54"/>
      <c r="Y51" s="55"/>
      <c r="Z51" s="70"/>
      <c r="AA51" s="71"/>
      <c r="AB51" s="31"/>
      <c r="AC51" s="26">
        <f>+R51+W51+Y51-AA51</f>
        <v>13</v>
      </c>
      <c r="AD51" s="25"/>
      <c r="AE51" s="25"/>
      <c r="AF51" s="77">
        <v>10</v>
      </c>
      <c r="AG51" s="77">
        <v>1</v>
      </c>
      <c r="AH51" s="77" t="s">
        <v>312</v>
      </c>
    </row>
    <row r="52" spans="1:34" ht="21" customHeight="1" x14ac:dyDescent="0.3">
      <c r="A52" s="65">
        <v>49</v>
      </c>
      <c r="B52" s="25">
        <v>10</v>
      </c>
      <c r="C52" s="25">
        <v>34</v>
      </c>
      <c r="D52" s="25">
        <v>227</v>
      </c>
      <c r="E52" s="89" t="str">
        <f>CONCATENATE(B52,"-",C52,"-",D52)</f>
        <v>10-34-227</v>
      </c>
      <c r="F52" s="13" t="str">
        <f>VLOOKUP(E52,'LISTA ITEMS'!$E$2:$G$875,2,FALSE)</f>
        <v>MICRORAIL 2X30 PERFORADO</v>
      </c>
      <c r="G52" s="25" t="str">
        <f>VLOOKUP(E52,'LISTA ITEMS'!$E$2:$G$875,3,FALSE)</f>
        <v>UND</v>
      </c>
      <c r="H52" s="74">
        <v>46083</v>
      </c>
      <c r="I52" s="75">
        <v>186</v>
      </c>
      <c r="J52" s="27"/>
      <c r="K52" s="70">
        <v>46098</v>
      </c>
      <c r="L52" s="67">
        <v>0</v>
      </c>
      <c r="M52" s="54">
        <v>46098</v>
      </c>
      <c r="N52" s="55">
        <v>0</v>
      </c>
      <c r="O52" s="70">
        <v>46098</v>
      </c>
      <c r="P52" s="71">
        <v>0</v>
      </c>
      <c r="Q52" s="36">
        <v>46098</v>
      </c>
      <c r="R52" s="26">
        <f>+I52+L52+N52-P52</f>
        <v>186</v>
      </c>
      <c r="S52" s="85"/>
      <c r="T52" s="84"/>
      <c r="U52" s="27"/>
      <c r="V52" s="70"/>
      <c r="W52" s="67"/>
      <c r="X52" s="54"/>
      <c r="Y52" s="55"/>
      <c r="Z52" s="70"/>
      <c r="AA52" s="71"/>
      <c r="AB52" s="31"/>
      <c r="AC52" s="26">
        <f>+R52+W52+Y52-AA52</f>
        <v>186</v>
      </c>
      <c r="AD52" s="25"/>
      <c r="AE52" s="25"/>
      <c r="AF52" s="77">
        <v>10</v>
      </c>
      <c r="AG52" s="77">
        <v>1</v>
      </c>
      <c r="AH52" s="77" t="s">
        <v>312</v>
      </c>
    </row>
    <row r="53" spans="1:34" ht="21" customHeight="1" x14ac:dyDescent="0.3">
      <c r="A53" s="65">
        <v>50</v>
      </c>
      <c r="B53" s="25">
        <v>10</v>
      </c>
      <c r="C53" s="25">
        <v>37</v>
      </c>
      <c r="D53" s="25">
        <v>232</v>
      </c>
      <c r="E53" s="89" t="str">
        <f>CONCATENATE(B53,"-",C53,"-",D53)</f>
        <v>10-37-232</v>
      </c>
      <c r="F53" s="13" t="str">
        <f>VLOOKUP(E53,'LISTA ITEMS'!$E$2:$G$875,2,FALSE)</f>
        <v>SOPORTE CENTRAL NEGRO</v>
      </c>
      <c r="G53" s="25" t="str">
        <f>VLOOKUP(E53,'LISTA ITEMS'!$E$2:$G$875,3,FALSE)</f>
        <v>UND</v>
      </c>
      <c r="H53" s="74">
        <v>46083</v>
      </c>
      <c r="I53" s="75">
        <v>87</v>
      </c>
      <c r="J53" s="27"/>
      <c r="K53" s="70">
        <v>46098</v>
      </c>
      <c r="L53" s="67">
        <v>136</v>
      </c>
      <c r="M53" s="54">
        <v>46098</v>
      </c>
      <c r="N53" s="55">
        <v>180</v>
      </c>
      <c r="O53" s="70">
        <v>46098</v>
      </c>
      <c r="P53" s="71">
        <v>660</v>
      </c>
      <c r="Q53" s="36">
        <v>46098</v>
      </c>
      <c r="R53" s="26">
        <f>+I53+L53+N53-P53</f>
        <v>-257</v>
      </c>
      <c r="S53" s="85"/>
      <c r="T53" s="84"/>
      <c r="U53" s="27"/>
      <c r="V53" s="70"/>
      <c r="W53" s="67"/>
      <c r="X53" s="54"/>
      <c r="Y53" s="55"/>
      <c r="Z53" s="70"/>
      <c r="AA53" s="71"/>
      <c r="AB53" s="31"/>
      <c r="AC53" s="26">
        <f>+R53+W53+Y53-AA53</f>
        <v>-257</v>
      </c>
      <c r="AD53" s="25"/>
      <c r="AE53" s="25"/>
      <c r="AF53" s="77">
        <v>10</v>
      </c>
      <c r="AG53" s="77">
        <v>1</v>
      </c>
      <c r="AH53" s="77" t="s">
        <v>311</v>
      </c>
    </row>
    <row r="54" spans="1:34" ht="21" customHeight="1" x14ac:dyDescent="0.3">
      <c r="A54" s="65">
        <v>51</v>
      </c>
      <c r="B54" s="25">
        <v>7</v>
      </c>
      <c r="C54" s="25">
        <v>38</v>
      </c>
      <c r="D54" s="25">
        <v>233</v>
      </c>
      <c r="E54" s="89" t="str">
        <f>CONCATENATE(B54,"-",C54,"-",D54)</f>
        <v>7-38-233</v>
      </c>
      <c r="F54" s="13" t="str">
        <f>VLOOKUP(E54,'LISTA ITEMS'!$E$2:$G$875,2,FALSE)</f>
        <v>PLACA SOLAR EX-275P-60 275W / 31.50V</v>
      </c>
      <c r="G54" s="25" t="str">
        <f>VLOOKUP(E54,'LISTA ITEMS'!$E$2:$G$875,3,FALSE)</f>
        <v>UND</v>
      </c>
      <c r="H54" s="74">
        <v>46083</v>
      </c>
      <c r="I54" s="75">
        <v>1</v>
      </c>
      <c r="J54" s="27"/>
      <c r="K54" s="70">
        <v>46098</v>
      </c>
      <c r="L54" s="67">
        <v>0</v>
      </c>
      <c r="M54" s="54">
        <v>46098</v>
      </c>
      <c r="N54" s="55">
        <v>0</v>
      </c>
      <c r="O54" s="70">
        <v>46098</v>
      </c>
      <c r="P54" s="71">
        <v>0</v>
      </c>
      <c r="Q54" s="36">
        <v>46098</v>
      </c>
      <c r="R54" s="26">
        <f>+I54+L54+N54-P54</f>
        <v>1</v>
      </c>
      <c r="S54" s="85"/>
      <c r="T54" s="84">
        <v>1</v>
      </c>
      <c r="U54" s="27"/>
      <c r="V54" s="70"/>
      <c r="W54" s="67"/>
      <c r="X54" s="54"/>
      <c r="Y54" s="55"/>
      <c r="Z54" s="70"/>
      <c r="AA54" s="71"/>
      <c r="AB54" s="31"/>
      <c r="AC54" s="26">
        <f>+R54+W54+Y54-AA54</f>
        <v>1</v>
      </c>
      <c r="AD54" s="25"/>
      <c r="AE54" s="25" t="s">
        <v>487</v>
      </c>
      <c r="AF54" s="116">
        <v>5</v>
      </c>
      <c r="AG54" s="116" t="s">
        <v>366</v>
      </c>
      <c r="AH54" s="116">
        <v>3</v>
      </c>
    </row>
    <row r="55" spans="1:34" ht="21" customHeight="1" x14ac:dyDescent="0.3">
      <c r="A55" s="65">
        <v>52</v>
      </c>
      <c r="B55" s="25">
        <v>7</v>
      </c>
      <c r="C55" s="25">
        <v>38</v>
      </c>
      <c r="D55" s="25">
        <v>234</v>
      </c>
      <c r="E55" s="89" t="str">
        <f>CONCATENATE(B55,"-",C55,"-",D55)</f>
        <v>7-38-234</v>
      </c>
      <c r="F55" s="13" t="str">
        <f>VLOOKUP(E55,'LISTA ITEMS'!$E$2:$G$875,2,FALSE)</f>
        <v>PLACA SOLAR CSP-6P-345W / 38.3C</v>
      </c>
      <c r="G55" s="25" t="str">
        <f>VLOOKUP(E55,'LISTA ITEMS'!$E$2:$G$875,3,FALSE)</f>
        <v>UND</v>
      </c>
      <c r="H55" s="74">
        <v>46083</v>
      </c>
      <c r="I55" s="75">
        <v>1</v>
      </c>
      <c r="J55" s="27"/>
      <c r="K55" s="70">
        <v>46098</v>
      </c>
      <c r="L55" s="67">
        <v>0</v>
      </c>
      <c r="M55" s="54">
        <v>46098</v>
      </c>
      <c r="N55" s="55">
        <v>0</v>
      </c>
      <c r="O55" s="70">
        <v>46098</v>
      </c>
      <c r="P55" s="71">
        <v>0</v>
      </c>
      <c r="Q55" s="36">
        <v>46098</v>
      </c>
      <c r="R55" s="26">
        <f>+I55+L55+N55-P55</f>
        <v>1</v>
      </c>
      <c r="S55" s="85"/>
      <c r="T55" s="84">
        <v>1</v>
      </c>
      <c r="U55" s="27"/>
      <c r="V55" s="70"/>
      <c r="W55" s="67"/>
      <c r="X55" s="54"/>
      <c r="Y55" s="55"/>
      <c r="Z55" s="70"/>
      <c r="AA55" s="71"/>
      <c r="AB55" s="31"/>
      <c r="AC55" s="26">
        <f>+R55+W55+Y55-AA55</f>
        <v>1</v>
      </c>
      <c r="AD55" s="25"/>
      <c r="AE55" s="25" t="s">
        <v>487</v>
      </c>
      <c r="AF55" s="116">
        <v>5</v>
      </c>
      <c r="AG55" s="116" t="s">
        <v>366</v>
      </c>
      <c r="AH55" s="116">
        <v>4</v>
      </c>
    </row>
    <row r="56" spans="1:34" ht="21" customHeight="1" x14ac:dyDescent="0.3">
      <c r="A56" s="65">
        <v>53</v>
      </c>
      <c r="B56" s="25">
        <v>7</v>
      </c>
      <c r="C56" s="25">
        <v>38</v>
      </c>
      <c r="D56" s="25">
        <v>235</v>
      </c>
      <c r="E56" s="89" t="str">
        <f>CONCATENATE(B56,"-",C56,"-",D56)</f>
        <v>7-38-235</v>
      </c>
      <c r="F56" s="13" t="str">
        <f>VLOOKUP(E56,'LISTA ITEMS'!$E$2:$G$875,2,FALSE)</f>
        <v>PLACA SOLAR CS6L-450MS 450W / 34.4V</v>
      </c>
      <c r="G56" s="25" t="str">
        <f>VLOOKUP(E56,'LISTA ITEMS'!$E$2:$G$875,3,FALSE)</f>
        <v>UND</v>
      </c>
      <c r="H56" s="74">
        <v>46083</v>
      </c>
      <c r="I56" s="75">
        <v>1</v>
      </c>
      <c r="J56" s="27"/>
      <c r="K56" s="70">
        <v>46098</v>
      </c>
      <c r="L56" s="67">
        <v>0</v>
      </c>
      <c r="M56" s="54">
        <v>46098</v>
      </c>
      <c r="N56" s="55">
        <v>0</v>
      </c>
      <c r="O56" s="70">
        <v>46098</v>
      </c>
      <c r="P56" s="71">
        <v>0</v>
      </c>
      <c r="Q56" s="36">
        <v>46098</v>
      </c>
      <c r="R56" s="26">
        <f>+I56+L56+N56-P56</f>
        <v>1</v>
      </c>
      <c r="S56" s="85"/>
      <c r="T56" s="84">
        <v>1</v>
      </c>
      <c r="U56" s="27"/>
      <c r="V56" s="70"/>
      <c r="W56" s="67"/>
      <c r="X56" s="54"/>
      <c r="Y56" s="55"/>
      <c r="Z56" s="70"/>
      <c r="AA56" s="71"/>
      <c r="AB56" s="31"/>
      <c r="AC56" s="26">
        <f>+R56+W56+Y56-AA56</f>
        <v>1</v>
      </c>
      <c r="AD56" s="25"/>
      <c r="AE56" s="25" t="s">
        <v>486</v>
      </c>
      <c r="AF56" s="116">
        <v>5</v>
      </c>
      <c r="AG56" s="116" t="s">
        <v>366</v>
      </c>
      <c r="AH56" s="116">
        <v>5</v>
      </c>
    </row>
    <row r="57" spans="1:34" ht="31.2" customHeight="1" x14ac:dyDescent="0.3">
      <c r="A57" s="65">
        <v>54</v>
      </c>
      <c r="B57" s="25">
        <v>7</v>
      </c>
      <c r="C57" s="25">
        <v>38</v>
      </c>
      <c r="D57" s="25">
        <v>236</v>
      </c>
      <c r="E57" s="89" t="str">
        <f>CONCATENATE(B57,"-",C57,"-",D57)</f>
        <v>7-38-236</v>
      </c>
      <c r="F57" s="13" t="str">
        <f>VLOOKUP(E57,'LISTA ITEMS'!$E$2:$G$875,2,FALSE)</f>
        <v>PLACA SOLAR JAM66S30-505MR 505W / 45.72V</v>
      </c>
      <c r="G57" s="25" t="str">
        <f>VLOOKUP(E57,'LISTA ITEMS'!$E$2:$G$875,3,FALSE)</f>
        <v>UND</v>
      </c>
      <c r="H57" s="74">
        <v>46083</v>
      </c>
      <c r="I57" s="75">
        <v>1</v>
      </c>
      <c r="J57" s="27"/>
      <c r="K57" s="70">
        <v>46098</v>
      </c>
      <c r="L57" s="67">
        <v>0</v>
      </c>
      <c r="M57" s="54">
        <v>46098</v>
      </c>
      <c r="N57" s="55">
        <v>0</v>
      </c>
      <c r="O57" s="70">
        <v>46098</v>
      </c>
      <c r="P57" s="71">
        <v>0</v>
      </c>
      <c r="Q57" s="36">
        <v>46098</v>
      </c>
      <c r="R57" s="26">
        <f>+I57+L57+N57-P57</f>
        <v>1</v>
      </c>
      <c r="S57" s="85"/>
      <c r="T57" s="84">
        <v>1</v>
      </c>
      <c r="U57" s="27"/>
      <c r="V57" s="70"/>
      <c r="W57" s="67"/>
      <c r="X57" s="54"/>
      <c r="Y57" s="55"/>
      <c r="Z57" s="70"/>
      <c r="AA57" s="71"/>
      <c r="AB57" s="31"/>
      <c r="AC57" s="26">
        <f>+R57+W57+Y57-AA57</f>
        <v>1</v>
      </c>
      <c r="AD57" s="25"/>
      <c r="AE57" s="25" t="s">
        <v>487</v>
      </c>
      <c r="AF57" s="116">
        <v>5</v>
      </c>
      <c r="AG57" s="116" t="s">
        <v>366</v>
      </c>
      <c r="AH57" s="116">
        <v>2</v>
      </c>
    </row>
    <row r="58" spans="1:34" ht="21" customHeight="1" x14ac:dyDescent="0.3">
      <c r="A58" s="65">
        <v>55</v>
      </c>
      <c r="B58" s="25">
        <v>7</v>
      </c>
      <c r="C58" s="25">
        <v>38</v>
      </c>
      <c r="D58" s="25">
        <v>237</v>
      </c>
      <c r="E58" s="89" t="str">
        <f>CONCATENATE(B58,"-",C58,"-",D58)</f>
        <v>7-38-237</v>
      </c>
      <c r="F58" s="13" t="str">
        <f>VLOOKUP(E58,'LISTA ITEMS'!$E$2:$G$875,2,FALSE)</f>
        <v>PLACA SOLAR CS6.1-60TB-505 505W / 43.4V</v>
      </c>
      <c r="G58" s="25" t="str">
        <f>VLOOKUP(E58,'LISTA ITEMS'!$E$2:$G$875,3,FALSE)</f>
        <v>UND</v>
      </c>
      <c r="H58" s="74">
        <v>46083</v>
      </c>
      <c r="I58" s="75">
        <v>2</v>
      </c>
      <c r="J58" s="27"/>
      <c r="K58" s="70">
        <v>46098</v>
      </c>
      <c r="L58" s="67">
        <v>0</v>
      </c>
      <c r="M58" s="54">
        <v>46098</v>
      </c>
      <c r="N58" s="55">
        <v>0</v>
      </c>
      <c r="O58" s="70">
        <v>46098</v>
      </c>
      <c r="P58" s="71">
        <v>0</v>
      </c>
      <c r="Q58" s="36">
        <v>46098</v>
      </c>
      <c r="R58" s="26">
        <f>+I58+L58+N58-P58</f>
        <v>2</v>
      </c>
      <c r="S58" s="85"/>
      <c r="T58" s="84">
        <v>2</v>
      </c>
      <c r="U58" s="27"/>
      <c r="V58" s="70"/>
      <c r="W58" s="67"/>
      <c r="X58" s="54"/>
      <c r="Y58" s="55"/>
      <c r="Z58" s="70"/>
      <c r="AA58" s="71"/>
      <c r="AB58" s="31"/>
      <c r="AC58" s="26">
        <f>+R58+W58+Y58-AA58</f>
        <v>2</v>
      </c>
      <c r="AD58" s="25"/>
      <c r="AE58" s="25" t="s">
        <v>486</v>
      </c>
      <c r="AF58" s="116">
        <v>5</v>
      </c>
      <c r="AG58" s="116" t="s">
        <v>366</v>
      </c>
      <c r="AH58" s="116">
        <v>1</v>
      </c>
    </row>
    <row r="59" spans="1:34" ht="28.8" x14ac:dyDescent="0.3">
      <c r="A59" s="65">
        <v>56</v>
      </c>
      <c r="B59" s="25">
        <v>7</v>
      </c>
      <c r="C59" s="25">
        <v>38</v>
      </c>
      <c r="D59" s="25">
        <v>238</v>
      </c>
      <c r="E59" s="89" t="str">
        <f>CONCATENATE(B59,"-",C59,"-",D59)</f>
        <v>7-38-238</v>
      </c>
      <c r="F59" s="13" t="str">
        <f>VLOOKUP(E59,'LISTA ITEMS'!$E$2:$G$875,2,FALSE)</f>
        <v>PLACA SOLAR SPR-P3-375-BLK-E4-AC 375W / 35.5V</v>
      </c>
      <c r="G59" s="25" t="str">
        <f>VLOOKUP(E59,'LISTA ITEMS'!$E$2:$G$875,3,FALSE)</f>
        <v>UND</v>
      </c>
      <c r="H59" s="74">
        <v>46083</v>
      </c>
      <c r="I59" s="75">
        <v>1</v>
      </c>
      <c r="J59" s="27"/>
      <c r="K59" s="70">
        <v>46098</v>
      </c>
      <c r="L59" s="67">
        <v>0</v>
      </c>
      <c r="M59" s="54">
        <v>46098</v>
      </c>
      <c r="N59" s="55">
        <v>0</v>
      </c>
      <c r="O59" s="70">
        <v>46098</v>
      </c>
      <c r="P59" s="71">
        <v>0</v>
      </c>
      <c r="Q59" s="36">
        <v>46098</v>
      </c>
      <c r="R59" s="26">
        <f>+I59+L59+N59-P59</f>
        <v>1</v>
      </c>
      <c r="S59" s="85"/>
      <c r="T59" s="84">
        <v>1</v>
      </c>
      <c r="U59" s="27"/>
      <c r="V59" s="70"/>
      <c r="W59" s="67"/>
      <c r="X59" s="54"/>
      <c r="Y59" s="55"/>
      <c r="Z59" s="70"/>
      <c r="AA59" s="71"/>
      <c r="AB59" s="31"/>
      <c r="AC59" s="26">
        <f>+R59+W59+Y59-AA59</f>
        <v>1</v>
      </c>
      <c r="AD59" s="25"/>
      <c r="AE59" s="25" t="s">
        <v>486</v>
      </c>
      <c r="AF59" s="116">
        <v>5</v>
      </c>
      <c r="AG59" s="116" t="s">
        <v>366</v>
      </c>
      <c r="AH59" s="116">
        <v>7</v>
      </c>
    </row>
    <row r="60" spans="1:34" ht="28.2" customHeight="1" x14ac:dyDescent="0.3">
      <c r="A60" s="65">
        <v>57</v>
      </c>
      <c r="B60" s="25">
        <v>7</v>
      </c>
      <c r="C60" s="25">
        <v>38</v>
      </c>
      <c r="D60" s="25">
        <v>239</v>
      </c>
      <c r="E60" s="89" t="str">
        <f>CONCATENATE(B60,"-",C60,"-",D60)</f>
        <v>7-38-239</v>
      </c>
      <c r="F60" s="13" t="str">
        <f>VLOOKUP(E60,'LISTA ITEMS'!$E$2:$G$875,2,FALSE)</f>
        <v>PLACA SOLAR JAMS0D42-520LB 520W / 43.53V</v>
      </c>
      <c r="G60" s="25" t="str">
        <f>VLOOKUP(E60,'LISTA ITEMS'!$E$2:$G$875,3,FALSE)</f>
        <v>UND</v>
      </c>
      <c r="H60" s="74">
        <v>46083</v>
      </c>
      <c r="I60" s="75">
        <v>1</v>
      </c>
      <c r="J60" s="27"/>
      <c r="K60" s="70">
        <v>46098</v>
      </c>
      <c r="L60" s="67">
        <v>0</v>
      </c>
      <c r="M60" s="54">
        <v>46098</v>
      </c>
      <c r="N60" s="55">
        <v>0</v>
      </c>
      <c r="O60" s="70">
        <v>46098</v>
      </c>
      <c r="P60" s="71">
        <v>0</v>
      </c>
      <c r="Q60" s="36">
        <v>46098</v>
      </c>
      <c r="R60" s="26">
        <f>+I60+L60+N60-P60</f>
        <v>1</v>
      </c>
      <c r="S60" s="85"/>
      <c r="T60" s="84">
        <v>1</v>
      </c>
      <c r="U60" s="27"/>
      <c r="V60" s="70"/>
      <c r="W60" s="67"/>
      <c r="X60" s="54"/>
      <c r="Y60" s="55"/>
      <c r="Z60" s="70"/>
      <c r="AA60" s="71"/>
      <c r="AB60" s="31"/>
      <c r="AC60" s="26">
        <f>+R60+W60+Y60-AA60</f>
        <v>1</v>
      </c>
      <c r="AD60" s="25"/>
      <c r="AE60" s="25" t="s">
        <v>487</v>
      </c>
      <c r="AF60" s="116">
        <v>5</v>
      </c>
      <c r="AG60" s="116" t="s">
        <v>366</v>
      </c>
      <c r="AH60" s="116">
        <v>8</v>
      </c>
    </row>
    <row r="61" spans="1:34" ht="28.2" customHeight="1" x14ac:dyDescent="0.3">
      <c r="A61" s="65">
        <v>58</v>
      </c>
      <c r="B61" s="25">
        <v>7</v>
      </c>
      <c r="C61" s="25">
        <v>38</v>
      </c>
      <c r="D61" s="25">
        <v>240</v>
      </c>
      <c r="E61" s="89" t="str">
        <f>CONCATENATE(B61,"-",C61,"-",D61)</f>
        <v>7-38-240</v>
      </c>
      <c r="F61" s="13" t="str">
        <f>VLOOKUP(E61,'LISTA ITEMS'!$E$2:$G$875,2,FALSE)</f>
        <v>PLACA SOLAR JAM72D30-545MB 545W / 49.75V</v>
      </c>
      <c r="G61" s="25" t="str">
        <f>VLOOKUP(E61,'LISTA ITEMS'!$E$2:$G$875,3,FALSE)</f>
        <v>UND</v>
      </c>
      <c r="H61" s="74">
        <v>46083</v>
      </c>
      <c r="I61" s="75">
        <v>1</v>
      </c>
      <c r="J61" s="27"/>
      <c r="K61" s="70">
        <v>46098</v>
      </c>
      <c r="L61" s="67">
        <v>0</v>
      </c>
      <c r="M61" s="54">
        <v>46098</v>
      </c>
      <c r="N61" s="55">
        <v>0</v>
      </c>
      <c r="O61" s="70">
        <v>46098</v>
      </c>
      <c r="P61" s="71">
        <v>0</v>
      </c>
      <c r="Q61" s="36">
        <v>46098</v>
      </c>
      <c r="R61" s="26">
        <f>+I61+L61+N61-P61</f>
        <v>1</v>
      </c>
      <c r="S61" s="85"/>
      <c r="T61" s="84">
        <v>1</v>
      </c>
      <c r="U61" s="27"/>
      <c r="V61" s="70"/>
      <c r="W61" s="67"/>
      <c r="X61" s="54"/>
      <c r="Y61" s="55"/>
      <c r="Z61" s="70"/>
      <c r="AA61" s="71"/>
      <c r="AB61" s="31"/>
      <c r="AC61" s="26">
        <f>+R61+W61+Y61-AA61</f>
        <v>1</v>
      </c>
      <c r="AD61" s="25"/>
      <c r="AE61" s="25" t="s">
        <v>487</v>
      </c>
      <c r="AF61" s="116">
        <v>5</v>
      </c>
      <c r="AG61" s="116" t="s">
        <v>366</v>
      </c>
      <c r="AH61" s="116">
        <v>8</v>
      </c>
    </row>
    <row r="62" spans="1:34" ht="28.2" customHeight="1" x14ac:dyDescent="0.3">
      <c r="A62" s="65">
        <v>59</v>
      </c>
      <c r="B62" s="25">
        <v>7</v>
      </c>
      <c r="C62" s="25">
        <v>38</v>
      </c>
      <c r="D62" s="25">
        <v>241</v>
      </c>
      <c r="E62" s="89" t="str">
        <f>CONCATENATE(B62,"-",C62,"-",D62)</f>
        <v>7-38-241</v>
      </c>
      <c r="F62" s="13" t="str">
        <f>VLOOKUP(E62,'LISTA ITEMS'!$E$2:$G$875,2,FALSE)</f>
        <v>PLACA SOLAR PS555M6H-24TH 555W / 41.64V</v>
      </c>
      <c r="G62" s="25" t="str">
        <f>VLOOKUP(E62,'LISTA ITEMS'!$E$2:$G$875,3,FALSE)</f>
        <v>UND</v>
      </c>
      <c r="H62" s="74">
        <v>46083</v>
      </c>
      <c r="I62" s="75">
        <v>2</v>
      </c>
      <c r="J62" s="27"/>
      <c r="K62" s="70">
        <v>46098</v>
      </c>
      <c r="L62" s="67">
        <v>0</v>
      </c>
      <c r="M62" s="54">
        <v>46098</v>
      </c>
      <c r="N62" s="55">
        <v>0</v>
      </c>
      <c r="O62" s="70">
        <v>46098</v>
      </c>
      <c r="P62" s="71">
        <v>0</v>
      </c>
      <c r="Q62" s="36">
        <v>46098</v>
      </c>
      <c r="R62" s="26">
        <f>+I62+L62+N62-P62</f>
        <v>2</v>
      </c>
      <c r="S62" s="85"/>
      <c r="T62" s="84">
        <v>2</v>
      </c>
      <c r="U62" s="27"/>
      <c r="V62" s="70"/>
      <c r="W62" s="67"/>
      <c r="X62" s="54"/>
      <c r="Y62" s="55"/>
      <c r="Z62" s="70"/>
      <c r="AA62" s="71"/>
      <c r="AB62" s="31"/>
      <c r="AC62" s="26">
        <f>+R62+W62+Y62-AA62</f>
        <v>2</v>
      </c>
      <c r="AD62" s="25"/>
      <c r="AE62" s="25" t="s">
        <v>487</v>
      </c>
      <c r="AF62" s="116">
        <v>5</v>
      </c>
      <c r="AG62" s="116" t="s">
        <v>366</v>
      </c>
      <c r="AH62" s="116">
        <v>7</v>
      </c>
    </row>
    <row r="63" spans="1:34" ht="28.2" customHeight="1" x14ac:dyDescent="0.3">
      <c r="A63" s="65">
        <v>60</v>
      </c>
      <c r="B63" s="25">
        <v>7</v>
      </c>
      <c r="C63" s="25">
        <v>38</v>
      </c>
      <c r="D63" s="25">
        <v>242</v>
      </c>
      <c r="E63" s="89" t="str">
        <f>CONCATENATE(B63,"-",C63,"-",D63)</f>
        <v>7-38-242</v>
      </c>
      <c r="F63" s="13" t="str">
        <f>VLOOKUP(E63,'LISTA ITEMS'!$E$2:$G$875,2,FALSE)</f>
        <v>PLACA SOLAR CS6W-585T 585W / 52.4V</v>
      </c>
      <c r="G63" s="25" t="str">
        <f>VLOOKUP(E63,'LISTA ITEMS'!$E$2:$G$875,3,FALSE)</f>
        <v>UND</v>
      </c>
      <c r="H63" s="74">
        <v>46083</v>
      </c>
      <c r="I63" s="75">
        <v>3</v>
      </c>
      <c r="J63" s="27"/>
      <c r="K63" s="70">
        <v>46098</v>
      </c>
      <c r="L63" s="67">
        <v>0</v>
      </c>
      <c r="M63" s="54">
        <v>46098</v>
      </c>
      <c r="N63" s="55">
        <v>0</v>
      </c>
      <c r="O63" s="70">
        <v>46098</v>
      </c>
      <c r="P63" s="71">
        <v>0</v>
      </c>
      <c r="Q63" s="36">
        <v>46098</v>
      </c>
      <c r="R63" s="26">
        <f>+I63+L63+N63-P63</f>
        <v>3</v>
      </c>
      <c r="S63" s="85"/>
      <c r="T63" s="84">
        <v>3</v>
      </c>
      <c r="U63" s="27"/>
      <c r="V63" s="70"/>
      <c r="W63" s="67"/>
      <c r="X63" s="54"/>
      <c r="Y63" s="55"/>
      <c r="Z63" s="70"/>
      <c r="AA63" s="71"/>
      <c r="AB63" s="31"/>
      <c r="AC63" s="26">
        <f>+R63+W63+Y63-AA63</f>
        <v>3</v>
      </c>
      <c r="AD63" s="25"/>
      <c r="AE63" s="25" t="s">
        <v>487</v>
      </c>
      <c r="AF63" s="118">
        <v>5</v>
      </c>
      <c r="AG63" s="118" t="s">
        <v>366</v>
      </c>
      <c r="AH63" s="118">
        <v>5</v>
      </c>
    </row>
    <row r="64" spans="1:34" ht="28.8" x14ac:dyDescent="0.3">
      <c r="A64" s="65">
        <v>61</v>
      </c>
      <c r="B64" s="25">
        <v>7</v>
      </c>
      <c r="C64" s="25">
        <v>38</v>
      </c>
      <c r="D64" s="25">
        <v>243</v>
      </c>
      <c r="E64" s="89" t="str">
        <f>CONCATENATE(B64,"-",C64,"-",D64)</f>
        <v>7-38-243</v>
      </c>
      <c r="F64" s="13" t="str">
        <f>VLOOKUP(E64,'LISTA ITEMS'!$E$2:$G$875,2,FALSE)</f>
        <v>PLACA SOLAR YL550D-49e 1500V 1/2 550W / 42.0V</v>
      </c>
      <c r="G64" s="25" t="str">
        <f>VLOOKUP(E64,'LISTA ITEMS'!$E$2:$G$875,3,FALSE)</f>
        <v>UND</v>
      </c>
      <c r="H64" s="74">
        <v>46083</v>
      </c>
      <c r="I64" s="75">
        <v>1</v>
      </c>
      <c r="J64" s="27"/>
      <c r="K64" s="70">
        <v>46098</v>
      </c>
      <c r="L64" s="67">
        <v>0</v>
      </c>
      <c r="M64" s="54">
        <v>46098</v>
      </c>
      <c r="N64" s="55">
        <v>0</v>
      </c>
      <c r="O64" s="70">
        <v>46098</v>
      </c>
      <c r="P64" s="71">
        <v>0</v>
      </c>
      <c r="Q64" s="36">
        <v>46098</v>
      </c>
      <c r="R64" s="26">
        <f>+I64+L64+N64-P64</f>
        <v>1</v>
      </c>
      <c r="S64" s="85"/>
      <c r="T64" s="84">
        <v>1</v>
      </c>
      <c r="U64" s="27"/>
      <c r="V64" s="70"/>
      <c r="W64" s="67"/>
      <c r="X64" s="54"/>
      <c r="Y64" s="55"/>
      <c r="Z64" s="70"/>
      <c r="AA64" s="71"/>
      <c r="AB64" s="31"/>
      <c r="AC64" s="26">
        <f>+R64+W64+Y64-AA64</f>
        <v>1</v>
      </c>
      <c r="AD64" s="25"/>
      <c r="AE64" s="25" t="s">
        <v>487</v>
      </c>
      <c r="AF64" s="116">
        <v>5</v>
      </c>
      <c r="AG64" s="116" t="s">
        <v>366</v>
      </c>
      <c r="AH64" s="116">
        <v>1</v>
      </c>
    </row>
    <row r="65" spans="1:34" x14ac:dyDescent="0.3">
      <c r="A65" s="65">
        <v>62</v>
      </c>
      <c r="B65" s="25">
        <v>7</v>
      </c>
      <c r="C65" s="25">
        <v>38</v>
      </c>
      <c r="D65" s="25">
        <v>244</v>
      </c>
      <c r="E65" s="89" t="str">
        <f>CONCATENATE(B65,"-",C65,"-",D65)</f>
        <v>7-38-244</v>
      </c>
      <c r="F65" s="13" t="str">
        <f>VLOOKUP(E65,'LISTA ITEMS'!$E$2:$G$875,2,FALSE)</f>
        <v>PLACA SOLAR SK9612MHVC-550 550W / 42.16V</v>
      </c>
      <c r="G65" s="25" t="str">
        <f>VLOOKUP(E65,'LISTA ITEMS'!$E$2:$G$875,3,FALSE)</f>
        <v>UND</v>
      </c>
      <c r="H65" s="74">
        <v>46083</v>
      </c>
      <c r="I65" s="75">
        <v>1</v>
      </c>
      <c r="J65" s="27"/>
      <c r="K65" s="70">
        <v>46098</v>
      </c>
      <c r="L65" s="67">
        <v>0</v>
      </c>
      <c r="M65" s="54">
        <v>46098</v>
      </c>
      <c r="N65" s="55">
        <v>0</v>
      </c>
      <c r="O65" s="70">
        <v>46098</v>
      </c>
      <c r="P65" s="71">
        <v>0</v>
      </c>
      <c r="Q65" s="36">
        <v>46098</v>
      </c>
      <c r="R65" s="26">
        <f>+I65+L65+N65-P65</f>
        <v>1</v>
      </c>
      <c r="S65" s="85"/>
      <c r="T65" s="84">
        <v>1</v>
      </c>
      <c r="U65" s="27"/>
      <c r="V65" s="70"/>
      <c r="W65" s="67"/>
      <c r="X65" s="54"/>
      <c r="Y65" s="55"/>
      <c r="Z65" s="70"/>
      <c r="AA65" s="71"/>
      <c r="AB65" s="31"/>
      <c r="AC65" s="26">
        <f>+R65+W65+Y65-AA65</f>
        <v>1</v>
      </c>
      <c r="AD65" s="25"/>
      <c r="AE65" s="25" t="s">
        <v>487</v>
      </c>
      <c r="AF65" s="116">
        <v>5</v>
      </c>
      <c r="AG65" s="116" t="s">
        <v>366</v>
      </c>
      <c r="AH65" s="116">
        <v>2</v>
      </c>
    </row>
    <row r="66" spans="1:34" ht="28.8" x14ac:dyDescent="0.3">
      <c r="A66" s="65">
        <v>63</v>
      </c>
      <c r="B66" s="25">
        <v>7</v>
      </c>
      <c r="C66" s="25">
        <v>38</v>
      </c>
      <c r="D66" s="25">
        <v>245</v>
      </c>
      <c r="E66" s="89" t="str">
        <f>CONCATENATE(B66,"-",C66,"-",D66)</f>
        <v>7-38-245</v>
      </c>
      <c r="F66" s="13" t="str">
        <f>VLOOKUP(E66,'LISTA ITEMS'!$E$2:$G$875,2,FALSE)</f>
        <v>PLACA SOLAR JAM72D40-590MB 590W / 52.37V</v>
      </c>
      <c r="G66" s="25" t="str">
        <f>VLOOKUP(E66,'LISTA ITEMS'!$E$2:$G$875,3,FALSE)</f>
        <v>UND</v>
      </c>
      <c r="H66" s="74">
        <v>46083</v>
      </c>
      <c r="I66" s="75">
        <v>2</v>
      </c>
      <c r="J66" s="27"/>
      <c r="K66" s="70">
        <v>46098</v>
      </c>
      <c r="L66" s="67">
        <v>0</v>
      </c>
      <c r="M66" s="54">
        <v>46098</v>
      </c>
      <c r="N66" s="55">
        <v>0</v>
      </c>
      <c r="O66" s="70">
        <v>46098</v>
      </c>
      <c r="P66" s="71">
        <v>0</v>
      </c>
      <c r="Q66" s="36">
        <v>46098</v>
      </c>
      <c r="R66" s="26">
        <f>+I66+L66+N66-P66</f>
        <v>2</v>
      </c>
      <c r="S66" s="85"/>
      <c r="T66" s="84">
        <v>2</v>
      </c>
      <c r="U66" s="27"/>
      <c r="V66" s="70"/>
      <c r="W66" s="67"/>
      <c r="X66" s="54"/>
      <c r="Y66" s="55"/>
      <c r="Z66" s="70"/>
      <c r="AA66" s="71"/>
      <c r="AB66" s="31"/>
      <c r="AC66" s="26">
        <f>+R66+W66+Y66-AA66</f>
        <v>2</v>
      </c>
      <c r="AD66" s="25"/>
      <c r="AE66" s="25" t="s">
        <v>487</v>
      </c>
      <c r="AF66" s="116">
        <v>5</v>
      </c>
      <c r="AG66" s="116" t="s">
        <v>366</v>
      </c>
      <c r="AH66" s="116">
        <v>3</v>
      </c>
    </row>
    <row r="67" spans="1:34" ht="28.8" x14ac:dyDescent="0.3">
      <c r="A67" s="65">
        <v>64</v>
      </c>
      <c r="B67" s="25">
        <v>7</v>
      </c>
      <c r="C67" s="25">
        <v>38</v>
      </c>
      <c r="D67" s="25">
        <v>246</v>
      </c>
      <c r="E67" s="89" t="str">
        <f>CONCATENATE(B67,"-",C67,"-",D67)</f>
        <v>7-38-246</v>
      </c>
      <c r="F67" s="13" t="str">
        <f>VLOOKUP(E67,'LISTA ITEMS'!$E$2:$G$875,2,FALSE)</f>
        <v>PLACA SOLAR TSM-505DE18M.08(II) 505W / 43.0V</v>
      </c>
      <c r="G67" s="25" t="str">
        <f>VLOOKUP(E67,'LISTA ITEMS'!$E$2:$G$875,3,FALSE)</f>
        <v>UND</v>
      </c>
      <c r="H67" s="74">
        <v>46083</v>
      </c>
      <c r="I67" s="75">
        <v>2</v>
      </c>
      <c r="J67" s="27"/>
      <c r="K67" s="70">
        <v>46098</v>
      </c>
      <c r="L67" s="67">
        <v>0</v>
      </c>
      <c r="M67" s="54">
        <v>46098</v>
      </c>
      <c r="N67" s="55">
        <v>0</v>
      </c>
      <c r="O67" s="70">
        <v>46098</v>
      </c>
      <c r="P67" s="71">
        <v>0</v>
      </c>
      <c r="Q67" s="36">
        <v>46098</v>
      </c>
      <c r="R67" s="26">
        <f>+I67+L67+N67-P67</f>
        <v>2</v>
      </c>
      <c r="S67" s="85"/>
      <c r="T67" s="84">
        <v>2</v>
      </c>
      <c r="U67" s="27"/>
      <c r="V67" s="70"/>
      <c r="W67" s="67"/>
      <c r="X67" s="54"/>
      <c r="Y67" s="55"/>
      <c r="Z67" s="70"/>
      <c r="AA67" s="71"/>
      <c r="AB67" s="31"/>
      <c r="AC67" s="26">
        <f>+R67+W67+Y67-AA67</f>
        <v>2</v>
      </c>
      <c r="AD67" s="25"/>
      <c r="AE67" s="25" t="s">
        <v>486</v>
      </c>
      <c r="AF67" s="116">
        <v>5</v>
      </c>
      <c r="AG67" s="116" t="s">
        <v>366</v>
      </c>
      <c r="AH67" s="116">
        <v>4</v>
      </c>
    </row>
    <row r="68" spans="1:34" ht="31.2" customHeight="1" x14ac:dyDescent="0.3">
      <c r="A68" s="65">
        <v>65</v>
      </c>
      <c r="B68" s="25">
        <v>7</v>
      </c>
      <c r="C68" s="25">
        <v>38</v>
      </c>
      <c r="D68" s="25">
        <v>247</v>
      </c>
      <c r="E68" s="89" t="str">
        <f>CONCATENATE(B68,"-",C68,"-",D68)</f>
        <v>7-38-247</v>
      </c>
      <c r="F68" s="13" t="str">
        <f>VLOOKUP(E68,'LISTA ITEMS'!$E$2:$G$875,2,FALSE)</f>
        <v>PLACA SOLAR JAM60D42-535LB 535W / 44.13V</v>
      </c>
      <c r="G68" s="25" t="str">
        <f>VLOOKUP(E68,'LISTA ITEMS'!$E$2:$G$875,3,FALSE)</f>
        <v>UND</v>
      </c>
      <c r="H68" s="74">
        <v>46083</v>
      </c>
      <c r="I68" s="75">
        <v>186</v>
      </c>
      <c r="J68" s="27"/>
      <c r="K68" s="70">
        <v>46098</v>
      </c>
      <c r="L68" s="67">
        <v>0</v>
      </c>
      <c r="M68" s="54">
        <v>46098</v>
      </c>
      <c r="N68" s="55">
        <v>0</v>
      </c>
      <c r="O68" s="70">
        <v>46098</v>
      </c>
      <c r="P68" s="71">
        <v>60</v>
      </c>
      <c r="Q68" s="36">
        <v>46098</v>
      </c>
      <c r="R68" s="26">
        <f>+I68+L68+N68-P68</f>
        <v>126</v>
      </c>
      <c r="S68" s="85"/>
      <c r="T68" s="84">
        <f>3*36+11</f>
        <v>119</v>
      </c>
      <c r="U68" s="27"/>
      <c r="V68" s="70"/>
      <c r="W68" s="67"/>
      <c r="X68" s="54"/>
      <c r="Y68" s="55"/>
      <c r="Z68" s="70"/>
      <c r="AA68" s="71"/>
      <c r="AB68" s="36"/>
      <c r="AC68" s="26">
        <f>+R68+W68+Y68-AA68</f>
        <v>126</v>
      </c>
      <c r="AD68" s="25"/>
      <c r="AE68" s="25" t="s">
        <v>486</v>
      </c>
      <c r="AF68" s="116">
        <v>6</v>
      </c>
      <c r="AG68" s="116" t="s">
        <v>119</v>
      </c>
      <c r="AH68" s="116" t="s">
        <v>316</v>
      </c>
    </row>
    <row r="69" spans="1:34" ht="31.2" customHeight="1" x14ac:dyDescent="0.3">
      <c r="A69" s="65">
        <v>66</v>
      </c>
      <c r="B69" s="25">
        <v>7</v>
      </c>
      <c r="C69" s="25">
        <v>38</v>
      </c>
      <c r="D69" s="25">
        <v>248</v>
      </c>
      <c r="E69" s="89" t="str">
        <f>CONCATENATE(B69,"-",C69,"-",D69)</f>
        <v>7-38-248</v>
      </c>
      <c r="F69" s="13" t="str">
        <f>VLOOKUP(E69,'LISTA ITEMS'!$E$2:$G$875,2,FALSE)</f>
        <v>PLACA SOLAR TSM-505NEG 18R.28 505W / 33.5V</v>
      </c>
      <c r="G69" s="25" t="str">
        <f>VLOOKUP(E69,'LISTA ITEMS'!$E$2:$G$875,3,FALSE)</f>
        <v>UND</v>
      </c>
      <c r="H69" s="74">
        <v>46083</v>
      </c>
      <c r="I69" s="75">
        <v>-1</v>
      </c>
      <c r="J69" s="27"/>
      <c r="K69" s="70">
        <v>46098</v>
      </c>
      <c r="L69" s="67">
        <v>0</v>
      </c>
      <c r="M69" s="54">
        <v>46098</v>
      </c>
      <c r="N69" s="55">
        <v>0</v>
      </c>
      <c r="O69" s="70">
        <v>46098</v>
      </c>
      <c r="P69" s="71">
        <v>0</v>
      </c>
      <c r="Q69" s="36">
        <v>46098</v>
      </c>
      <c r="R69" s="26">
        <f>+I69+L69+N69-P69</f>
        <v>-1</v>
      </c>
      <c r="S69" s="85"/>
      <c r="T69" s="84">
        <v>0</v>
      </c>
      <c r="U69" s="27"/>
      <c r="V69" s="70"/>
      <c r="W69" s="67"/>
      <c r="X69" s="54"/>
      <c r="Y69" s="55"/>
      <c r="Z69" s="70"/>
      <c r="AA69" s="71"/>
      <c r="AB69" s="31"/>
      <c r="AC69" s="26">
        <f>+R69+W69+Y69-AA69</f>
        <v>-1</v>
      </c>
      <c r="AD69" s="25"/>
      <c r="AE69" s="25" t="s">
        <v>119</v>
      </c>
      <c r="AF69" s="116" t="s">
        <v>119</v>
      </c>
      <c r="AG69" s="116" t="s">
        <v>119</v>
      </c>
      <c r="AH69" s="116" t="s">
        <v>119</v>
      </c>
    </row>
    <row r="70" spans="1:34" ht="31.2" customHeight="1" x14ac:dyDescent="0.3">
      <c r="A70" s="65">
        <v>67</v>
      </c>
      <c r="B70" s="25">
        <v>7</v>
      </c>
      <c r="C70" s="25">
        <v>38</v>
      </c>
      <c r="D70" s="25">
        <v>249</v>
      </c>
      <c r="E70" s="89" t="str">
        <f>CONCATENATE(B70,"-",C70,"-",D70)</f>
        <v>7-38-249</v>
      </c>
      <c r="F70" s="13" t="str">
        <f>VLOOKUP(E70,'LISTA ITEMS'!$E$2:$G$875,2,FALSE)</f>
        <v>PLACA SOLAR JAM72S30-570LR 570W / 50.68V</v>
      </c>
      <c r="G70" s="25" t="str">
        <f>VLOOKUP(E70,'LISTA ITEMS'!$E$2:$G$875,3,FALSE)</f>
        <v>UND</v>
      </c>
      <c r="H70" s="74">
        <v>46083</v>
      </c>
      <c r="I70" s="75">
        <v>8</v>
      </c>
      <c r="J70" s="27"/>
      <c r="K70" s="70">
        <v>46098</v>
      </c>
      <c r="L70" s="67">
        <v>0</v>
      </c>
      <c r="M70" s="54">
        <v>46098</v>
      </c>
      <c r="N70" s="55">
        <v>0</v>
      </c>
      <c r="O70" s="70">
        <v>46098</v>
      </c>
      <c r="P70" s="71">
        <v>0</v>
      </c>
      <c r="Q70" s="36">
        <v>46098</v>
      </c>
      <c r="R70" s="26">
        <f>+I70+L70+N70-P70</f>
        <v>8</v>
      </c>
      <c r="S70" s="85"/>
      <c r="T70" s="84">
        <v>9</v>
      </c>
      <c r="U70" s="27"/>
      <c r="V70" s="70"/>
      <c r="W70" s="67"/>
      <c r="X70" s="54"/>
      <c r="Y70" s="55"/>
      <c r="Z70" s="70"/>
      <c r="AA70" s="71"/>
      <c r="AB70" s="31"/>
      <c r="AC70" s="26">
        <f>+R70+W70+Y70-AA70</f>
        <v>8</v>
      </c>
      <c r="AD70" s="25"/>
      <c r="AE70" s="25" t="s">
        <v>487</v>
      </c>
      <c r="AF70" s="116">
        <v>4</v>
      </c>
      <c r="AG70" s="116" t="s">
        <v>488</v>
      </c>
      <c r="AH70" s="116" t="s">
        <v>316</v>
      </c>
    </row>
    <row r="71" spans="1:34" ht="31.2" customHeight="1" x14ac:dyDescent="0.3">
      <c r="A71" s="65">
        <v>68</v>
      </c>
      <c r="B71" s="25">
        <v>4</v>
      </c>
      <c r="C71" s="25">
        <v>39</v>
      </c>
      <c r="D71" s="25">
        <v>250</v>
      </c>
      <c r="E71" s="89" t="str">
        <f>CONCATENATE(B71,"-",C71,"-",D71)</f>
        <v>4-39-250</v>
      </c>
      <c r="F71" s="13" t="str">
        <f>VLOOKUP(E71,'LISTA ITEMS'!$E$2:$G$875,2,FALSE)</f>
        <v>CASQUILLO ESPACIADOR GALV M8X25</v>
      </c>
      <c r="G71" s="25" t="str">
        <f>VLOOKUP(E71,'LISTA ITEMS'!$E$2:$G$875,3,FALSE)</f>
        <v>UND</v>
      </c>
      <c r="H71" s="74">
        <v>46083</v>
      </c>
      <c r="I71" s="75">
        <v>720</v>
      </c>
      <c r="J71" s="27"/>
      <c r="K71" s="70">
        <v>46098</v>
      </c>
      <c r="L71" s="67">
        <v>0</v>
      </c>
      <c r="M71" s="54">
        <v>46098</v>
      </c>
      <c r="N71" s="55">
        <v>0</v>
      </c>
      <c r="O71" s="70">
        <v>46098</v>
      </c>
      <c r="P71" s="71">
        <v>0</v>
      </c>
      <c r="Q71" s="36">
        <v>46098</v>
      </c>
      <c r="R71" s="26">
        <f>+I71+L71+N71-P71</f>
        <v>720</v>
      </c>
      <c r="S71" s="85"/>
      <c r="T71" s="84"/>
      <c r="U71" s="27"/>
      <c r="V71" s="70"/>
      <c r="W71" s="67"/>
      <c r="X71" s="54"/>
      <c r="Y71" s="55"/>
      <c r="Z71" s="70"/>
      <c r="AA71" s="71"/>
      <c r="AB71" s="31"/>
      <c r="AC71" s="26">
        <f>+R71+W71+Y71-AA71</f>
        <v>720</v>
      </c>
      <c r="AD71" s="25"/>
      <c r="AE71" s="25"/>
      <c r="AF71" s="110">
        <v>7</v>
      </c>
      <c r="AG71" s="110">
        <v>2</v>
      </c>
      <c r="AH71" s="110" t="s">
        <v>339</v>
      </c>
    </row>
    <row r="72" spans="1:34" ht="31.2" customHeight="1" x14ac:dyDescent="0.3">
      <c r="A72" s="65">
        <v>69</v>
      </c>
      <c r="B72" s="25">
        <v>4</v>
      </c>
      <c r="C72" s="25">
        <v>40</v>
      </c>
      <c r="D72" s="25">
        <v>251</v>
      </c>
      <c r="E72" s="89" t="str">
        <f>CONCATENATE(B72,"-",C72,"-",D72)</f>
        <v>4-40-251</v>
      </c>
      <c r="F72" s="13" t="str">
        <f>VLOOKUP(E72,'LISTA ITEMS'!$E$2:$G$875,2,FALSE)</f>
        <v>TORNILLO ESPARRAGO GALV TX25 M8X80</v>
      </c>
      <c r="G72" s="25" t="str">
        <f>VLOOKUP(E72,'LISTA ITEMS'!$E$2:$G$875,3,FALSE)</f>
        <v>UND</v>
      </c>
      <c r="H72" s="74">
        <v>46083</v>
      </c>
      <c r="I72" s="75">
        <v>710</v>
      </c>
      <c r="J72" s="27"/>
      <c r="K72" s="70">
        <v>46098</v>
      </c>
      <c r="L72" s="67">
        <v>0</v>
      </c>
      <c r="M72" s="54">
        <v>46098</v>
      </c>
      <c r="N72" s="55">
        <v>0</v>
      </c>
      <c r="O72" s="70">
        <v>46098</v>
      </c>
      <c r="P72" s="71">
        <v>0</v>
      </c>
      <c r="Q72" s="36">
        <v>46098</v>
      </c>
      <c r="R72" s="26">
        <f>+I72+L72+N72-P72</f>
        <v>710</v>
      </c>
      <c r="S72" s="85"/>
      <c r="T72" s="84"/>
      <c r="U72" s="27"/>
      <c r="V72" s="70"/>
      <c r="W72" s="67"/>
      <c r="X72" s="54"/>
      <c r="Y72" s="55"/>
      <c r="Z72" s="70"/>
      <c r="AA72" s="71"/>
      <c r="AB72" s="31"/>
      <c r="AC72" s="26">
        <f>+R72+W72+Y72-AA72</f>
        <v>710</v>
      </c>
      <c r="AD72" s="25"/>
      <c r="AE72" s="25"/>
      <c r="AF72" s="116">
        <v>7</v>
      </c>
      <c r="AG72" s="116">
        <v>2</v>
      </c>
      <c r="AH72" s="116" t="s">
        <v>339</v>
      </c>
    </row>
    <row r="73" spans="1:34" ht="28.8" x14ac:dyDescent="0.3">
      <c r="A73" s="65">
        <v>70</v>
      </c>
      <c r="B73" s="25">
        <v>13</v>
      </c>
      <c r="C73" s="25">
        <v>25</v>
      </c>
      <c r="D73" s="25">
        <v>252</v>
      </c>
      <c r="E73" s="89" t="str">
        <f>CONCATENATE(B73,"-",C73,"-",D73)</f>
        <v>13-25-252</v>
      </c>
      <c r="F73" s="13" t="str">
        <f>VLOOKUP(E73,'LISTA ITEMS'!$E$2:$G$875,2,FALSE)</f>
        <v>ANCLAJE PLASTICO MULTIUSO NYLON 2ALAS 14X100</v>
      </c>
      <c r="G73" s="25" t="str">
        <f>VLOOKUP(E73,'LISTA ITEMS'!$E$2:$G$875,3,FALSE)</f>
        <v>UND</v>
      </c>
      <c r="H73" s="74">
        <v>46083</v>
      </c>
      <c r="I73" s="75">
        <v>50</v>
      </c>
      <c r="J73" s="27"/>
      <c r="K73" s="70">
        <v>46098</v>
      </c>
      <c r="L73" s="67">
        <v>0</v>
      </c>
      <c r="M73" s="54">
        <v>46098</v>
      </c>
      <c r="N73" s="55">
        <v>0</v>
      </c>
      <c r="O73" s="70">
        <v>46098</v>
      </c>
      <c r="P73" s="71">
        <v>0</v>
      </c>
      <c r="Q73" s="36">
        <v>46098</v>
      </c>
      <c r="R73" s="26">
        <f>+I73+L73+N73-P73</f>
        <v>50</v>
      </c>
      <c r="S73" s="85"/>
      <c r="T73" s="84"/>
      <c r="U73" s="27"/>
      <c r="V73" s="70"/>
      <c r="W73" s="67"/>
      <c r="X73" s="54"/>
      <c r="Y73" s="55"/>
      <c r="Z73" s="70"/>
      <c r="AA73" s="71"/>
      <c r="AB73" s="31"/>
      <c r="AC73" s="26">
        <f>+R73+W73+Y73-AA73</f>
        <v>50</v>
      </c>
      <c r="AD73" s="25"/>
      <c r="AE73" s="25"/>
      <c r="AF73" s="77">
        <v>7</v>
      </c>
      <c r="AG73" s="77">
        <v>2</v>
      </c>
      <c r="AH73" s="77" t="s">
        <v>339</v>
      </c>
    </row>
    <row r="74" spans="1:34" ht="28.8" x14ac:dyDescent="0.3">
      <c r="A74" s="65">
        <v>71</v>
      </c>
      <c r="B74" s="25">
        <v>13</v>
      </c>
      <c r="C74" s="25">
        <v>25</v>
      </c>
      <c r="D74" s="25">
        <v>253</v>
      </c>
      <c r="E74" s="89" t="str">
        <f>CONCATENATE(B74,"-",C74,"-",D74)</f>
        <v>13-25-253</v>
      </c>
      <c r="F74" s="13" t="str">
        <f>VLOOKUP(E74,'LISTA ITEMS'!$E$2:$G$875,2,FALSE)</f>
        <v>ANCLAJE PLASTICO MULTIUSO C/COLLARIN 6X36MM</v>
      </c>
      <c r="G74" s="25" t="str">
        <f>VLOOKUP(E74,'LISTA ITEMS'!$E$2:$G$875,3,FALSE)</f>
        <v>UND</v>
      </c>
      <c r="H74" s="74">
        <v>46083</v>
      </c>
      <c r="I74" s="75">
        <v>1000</v>
      </c>
      <c r="J74" s="27"/>
      <c r="K74" s="70">
        <v>46098</v>
      </c>
      <c r="L74" s="67">
        <v>0</v>
      </c>
      <c r="M74" s="54">
        <v>46098</v>
      </c>
      <c r="N74" s="55">
        <v>0</v>
      </c>
      <c r="O74" s="70">
        <v>46098</v>
      </c>
      <c r="P74" s="71">
        <v>0</v>
      </c>
      <c r="Q74" s="36">
        <v>46098</v>
      </c>
      <c r="R74" s="26">
        <f>+I74+L74+N74-P74</f>
        <v>1000</v>
      </c>
      <c r="S74" s="85"/>
      <c r="T74" s="84"/>
      <c r="U74" s="27"/>
      <c r="V74" s="70"/>
      <c r="W74" s="67"/>
      <c r="X74" s="54"/>
      <c r="Y74" s="55"/>
      <c r="Z74" s="70"/>
      <c r="AA74" s="71"/>
      <c r="AB74" s="31"/>
      <c r="AC74" s="26">
        <f>+R74+W74+Y74-AA74</f>
        <v>1000</v>
      </c>
      <c r="AD74" s="25"/>
      <c r="AE74" s="25"/>
      <c r="AF74" s="77">
        <v>7</v>
      </c>
      <c r="AG74" s="77">
        <v>2</v>
      </c>
      <c r="AH74" s="77" t="s">
        <v>339</v>
      </c>
    </row>
    <row r="75" spans="1:34" ht="28.8" x14ac:dyDescent="0.3">
      <c r="A75" s="65">
        <v>72</v>
      </c>
      <c r="B75" s="25">
        <v>13</v>
      </c>
      <c r="C75" s="25">
        <v>25</v>
      </c>
      <c r="D75" s="25">
        <v>254</v>
      </c>
      <c r="E75" s="89" t="str">
        <f>CONCATENATE(B75,"-",C75,"-",D75)</f>
        <v>13-25-254</v>
      </c>
      <c r="F75" s="13" t="str">
        <f>VLOOKUP(E75,'LISTA ITEMS'!$E$2:$G$875,2,FALSE)</f>
        <v>ANCLAJE PLASTICO MULTIUSO C/COLLARIN 8X51MM</v>
      </c>
      <c r="G75" s="25" t="str">
        <f>VLOOKUP(E75,'LISTA ITEMS'!$E$2:$G$875,3,FALSE)</f>
        <v>UND</v>
      </c>
      <c r="H75" s="74">
        <v>46083</v>
      </c>
      <c r="I75" s="75">
        <v>600</v>
      </c>
      <c r="J75" s="27"/>
      <c r="K75" s="70">
        <v>46098</v>
      </c>
      <c r="L75" s="67">
        <v>0</v>
      </c>
      <c r="M75" s="54">
        <v>46098</v>
      </c>
      <c r="N75" s="55">
        <v>0</v>
      </c>
      <c r="O75" s="70">
        <v>46098</v>
      </c>
      <c r="P75" s="71">
        <v>0</v>
      </c>
      <c r="Q75" s="36">
        <v>46098</v>
      </c>
      <c r="R75" s="26">
        <f>+I75+L75+N75-P75</f>
        <v>600</v>
      </c>
      <c r="S75" s="85"/>
      <c r="T75" s="84"/>
      <c r="U75" s="27"/>
      <c r="V75" s="70"/>
      <c r="W75" s="67"/>
      <c r="X75" s="54"/>
      <c r="Y75" s="55"/>
      <c r="Z75" s="70"/>
      <c r="AA75" s="71"/>
      <c r="AB75" s="31"/>
      <c r="AC75" s="26">
        <f>+R75+W75+Y75-AA75</f>
        <v>600</v>
      </c>
      <c r="AD75" s="25"/>
      <c r="AE75" s="25"/>
      <c r="AF75" s="77">
        <v>7</v>
      </c>
      <c r="AG75" s="77">
        <v>2</v>
      </c>
      <c r="AH75" s="77" t="s">
        <v>339</v>
      </c>
    </row>
    <row r="76" spans="1:34" ht="28.8" x14ac:dyDescent="0.3">
      <c r="A76" s="65">
        <v>73</v>
      </c>
      <c r="B76" s="25">
        <v>13</v>
      </c>
      <c r="C76" s="25">
        <v>25</v>
      </c>
      <c r="D76" s="25">
        <v>255</v>
      </c>
      <c r="E76" s="89" t="str">
        <f>CONCATENATE(B76,"-",C76,"-",D76)</f>
        <v>13-25-255</v>
      </c>
      <c r="F76" s="13" t="str">
        <f>VLOOKUP(E76,'LISTA ITEMS'!$E$2:$G$875,2,FALSE)</f>
        <v>ANCLAJE PLASTICO MULTIUSO C/COLLARIN 10X61MM</v>
      </c>
      <c r="G76" s="25" t="str">
        <f>VLOOKUP(E76,'LISTA ITEMS'!$E$2:$G$875,3,FALSE)</f>
        <v>UND</v>
      </c>
      <c r="H76" s="74">
        <v>46083</v>
      </c>
      <c r="I76" s="75">
        <v>1720</v>
      </c>
      <c r="J76" s="27"/>
      <c r="K76" s="70">
        <v>46098</v>
      </c>
      <c r="L76" s="67">
        <v>10</v>
      </c>
      <c r="M76" s="54">
        <v>46098</v>
      </c>
      <c r="N76" s="55">
        <v>200</v>
      </c>
      <c r="O76" s="70">
        <v>46098</v>
      </c>
      <c r="P76" s="71">
        <v>50</v>
      </c>
      <c r="Q76" s="36">
        <v>46098</v>
      </c>
      <c r="R76" s="26">
        <f>+I76+L76+N76-P76</f>
        <v>1880</v>
      </c>
      <c r="S76" s="85"/>
      <c r="T76" s="84"/>
      <c r="U76" s="27"/>
      <c r="V76" s="70"/>
      <c r="W76" s="67"/>
      <c r="X76" s="54"/>
      <c r="Y76" s="55"/>
      <c r="Z76" s="70"/>
      <c r="AA76" s="71"/>
      <c r="AB76" s="31"/>
      <c r="AC76" s="26">
        <f>+R76+W76+Y76-AA76</f>
        <v>1880</v>
      </c>
      <c r="AD76" s="25"/>
      <c r="AE76" s="25"/>
      <c r="AF76" s="77">
        <v>7</v>
      </c>
      <c r="AG76" s="77">
        <v>2</v>
      </c>
      <c r="AH76" s="77" t="s">
        <v>339</v>
      </c>
    </row>
    <row r="77" spans="1:34" ht="28.8" x14ac:dyDescent="0.3">
      <c r="A77" s="65">
        <v>74</v>
      </c>
      <c r="B77" s="25">
        <v>13</v>
      </c>
      <c r="C77" s="25">
        <v>25</v>
      </c>
      <c r="D77" s="25">
        <v>256</v>
      </c>
      <c r="E77" s="89" t="str">
        <f>CONCATENATE(B77,"-",C77,"-",D77)</f>
        <v>13-25-256</v>
      </c>
      <c r="F77" s="13" t="str">
        <f>VLOOKUP(E77,'LISTA ITEMS'!$E$2:$G$875,2,FALSE)</f>
        <v>ANCLAJE PLASTICO MULTIUSO C/COLLARIN 12X71MM</v>
      </c>
      <c r="G77" s="25" t="str">
        <f>VLOOKUP(E77,'LISTA ITEMS'!$E$2:$G$875,3,FALSE)</f>
        <v>UND</v>
      </c>
      <c r="H77" s="74">
        <v>46083</v>
      </c>
      <c r="I77" s="75">
        <v>150</v>
      </c>
      <c r="J77" s="27"/>
      <c r="K77" s="70">
        <v>46098</v>
      </c>
      <c r="L77" s="67">
        <v>0</v>
      </c>
      <c r="M77" s="54">
        <v>46098</v>
      </c>
      <c r="N77" s="55">
        <v>0</v>
      </c>
      <c r="O77" s="70">
        <v>46098</v>
      </c>
      <c r="P77" s="71">
        <v>0</v>
      </c>
      <c r="Q77" s="36">
        <v>46098</v>
      </c>
      <c r="R77" s="26">
        <f>+I77+L77+N77-P77</f>
        <v>150</v>
      </c>
      <c r="S77" s="85"/>
      <c r="T77" s="84"/>
      <c r="U77" s="27"/>
      <c r="V77" s="70"/>
      <c r="W77" s="67"/>
      <c r="X77" s="54"/>
      <c r="Y77" s="55"/>
      <c r="Z77" s="70"/>
      <c r="AA77" s="71"/>
      <c r="AB77" s="31"/>
      <c r="AC77" s="26">
        <f>+R77+W77+Y77-AA77</f>
        <v>150</v>
      </c>
      <c r="AD77" s="25"/>
      <c r="AE77" s="25"/>
      <c r="AF77" s="77">
        <v>7</v>
      </c>
      <c r="AG77" s="77">
        <v>2</v>
      </c>
      <c r="AH77" s="77" t="s">
        <v>339</v>
      </c>
    </row>
    <row r="78" spans="1:34" ht="28.8" x14ac:dyDescent="0.3">
      <c r="A78" s="65">
        <v>75</v>
      </c>
      <c r="B78" s="25">
        <v>8</v>
      </c>
      <c r="C78" s="25">
        <v>28</v>
      </c>
      <c r="D78" s="25">
        <v>257</v>
      </c>
      <c r="E78" s="89" t="str">
        <f>CONCATENATE(B78,"-",C78,"-",D78)</f>
        <v>8-28-257</v>
      </c>
      <c r="F78" s="13" t="str">
        <f>VLOOKUP(E78,'LISTA ITEMS'!$E$2:$G$875,2,FALSE)</f>
        <v>ARANDELA A/GALVANIZADO P/CARROCERIA 8.4X30X1.5</v>
      </c>
      <c r="G78" s="25" t="str">
        <f>VLOOKUP(E78,'LISTA ITEMS'!$E$2:$G$875,3,FALSE)</f>
        <v>UND</v>
      </c>
      <c r="H78" s="74">
        <v>46083</v>
      </c>
      <c r="I78" s="75">
        <v>800</v>
      </c>
      <c r="J78" s="27"/>
      <c r="K78" s="70">
        <v>46098</v>
      </c>
      <c r="L78" s="67">
        <v>0</v>
      </c>
      <c r="M78" s="54">
        <v>46098</v>
      </c>
      <c r="N78" s="55">
        <v>0</v>
      </c>
      <c r="O78" s="70">
        <v>46098</v>
      </c>
      <c r="P78" s="71">
        <v>0</v>
      </c>
      <c r="Q78" s="36">
        <v>46098</v>
      </c>
      <c r="R78" s="26">
        <f>+I78+L78+N78-P78</f>
        <v>800</v>
      </c>
      <c r="S78" s="85"/>
      <c r="T78" s="84"/>
      <c r="U78" s="27"/>
      <c r="V78" s="70"/>
      <c r="W78" s="67"/>
      <c r="X78" s="54"/>
      <c r="Y78" s="55"/>
      <c r="Z78" s="70"/>
      <c r="AA78" s="71"/>
      <c r="AB78" s="31"/>
      <c r="AC78" s="26">
        <f>+R78+W78+Y78-AA78</f>
        <v>800</v>
      </c>
      <c r="AD78" s="25"/>
      <c r="AE78" s="25"/>
      <c r="AF78" s="77">
        <v>7</v>
      </c>
      <c r="AG78" s="77">
        <v>2</v>
      </c>
      <c r="AH78" s="77" t="s">
        <v>45</v>
      </c>
    </row>
    <row r="79" spans="1:34" ht="28.8" x14ac:dyDescent="0.3">
      <c r="A79" s="65">
        <v>76</v>
      </c>
      <c r="B79" s="25">
        <v>8</v>
      </c>
      <c r="C79" s="25">
        <v>28</v>
      </c>
      <c r="D79" s="25">
        <v>258</v>
      </c>
      <c r="E79" s="89" t="str">
        <f>CONCATENATE(B79,"-",C79,"-",D79)</f>
        <v>8-28-258</v>
      </c>
      <c r="F79" s="13" t="str">
        <f>VLOOKUP(E79,'LISTA ITEMS'!$E$2:$G$875,2,FALSE)</f>
        <v>ARANDELA A/GALVANIZADO P/CARROCERIA 8.4X25X1.25</v>
      </c>
      <c r="G79" s="25" t="str">
        <f>VLOOKUP(E79,'LISTA ITEMS'!$E$2:$G$875,3,FALSE)</f>
        <v>UND</v>
      </c>
      <c r="H79" s="74">
        <v>46083</v>
      </c>
      <c r="I79" s="75">
        <v>450</v>
      </c>
      <c r="J79" s="27"/>
      <c r="K79" s="70">
        <v>46098</v>
      </c>
      <c r="L79" s="67">
        <v>0</v>
      </c>
      <c r="M79" s="54">
        <v>46098</v>
      </c>
      <c r="N79" s="55">
        <v>0</v>
      </c>
      <c r="O79" s="70">
        <v>46098</v>
      </c>
      <c r="P79" s="71">
        <v>0</v>
      </c>
      <c r="Q79" s="36">
        <v>46098</v>
      </c>
      <c r="R79" s="26">
        <f>+I79+L79+N79-P79</f>
        <v>450</v>
      </c>
      <c r="S79" s="85"/>
      <c r="T79" s="84"/>
      <c r="U79" s="27"/>
      <c r="V79" s="70"/>
      <c r="W79" s="67"/>
      <c r="X79" s="54"/>
      <c r="Y79" s="55"/>
      <c r="Z79" s="70"/>
      <c r="AA79" s="71"/>
      <c r="AB79" s="31"/>
      <c r="AC79" s="26">
        <f>+R79+W79+Y79-AA79</f>
        <v>450</v>
      </c>
      <c r="AD79" s="25"/>
      <c r="AE79" s="25"/>
      <c r="AF79" s="77">
        <v>7</v>
      </c>
      <c r="AG79" s="77">
        <v>2</v>
      </c>
      <c r="AH79" s="77" t="s">
        <v>45</v>
      </c>
    </row>
    <row r="80" spans="1:34" ht="45.6" customHeight="1" x14ac:dyDescent="0.3">
      <c r="A80" s="65">
        <v>77</v>
      </c>
      <c r="B80" s="25">
        <v>8</v>
      </c>
      <c r="C80" s="25">
        <v>13</v>
      </c>
      <c r="D80" s="25">
        <v>259</v>
      </c>
      <c r="E80" s="89" t="str">
        <f>CONCATENATE(B80,"-",C80,"-",D80)</f>
        <v>8-13-259</v>
      </c>
      <c r="F80" s="13" t="str">
        <f>VLOOKUP(E80,'LISTA ITEMS'!$E$2:$G$875,2,FALSE)</f>
        <v>KIT TORNILLO TIPO T 18X30mm CON ARANDELA Y T/HEXAGONAL M8X25MM A/GALV</v>
      </c>
      <c r="G80" s="25" t="str">
        <f>VLOOKUP(E80,'LISTA ITEMS'!$E$2:$G$875,3,FALSE)</f>
        <v>UND</v>
      </c>
      <c r="H80" s="74">
        <v>46083</v>
      </c>
      <c r="I80" s="75">
        <v>81</v>
      </c>
      <c r="J80" s="27"/>
      <c r="K80" s="70">
        <v>46098</v>
      </c>
      <c r="L80" s="67">
        <v>0</v>
      </c>
      <c r="M80" s="54">
        <v>46098</v>
      </c>
      <c r="N80" s="55">
        <v>0</v>
      </c>
      <c r="O80" s="70">
        <v>46098</v>
      </c>
      <c r="P80" s="71">
        <v>0</v>
      </c>
      <c r="Q80" s="36">
        <v>46098</v>
      </c>
      <c r="R80" s="26">
        <f>+I80+L80+N80-P80</f>
        <v>81</v>
      </c>
      <c r="S80" s="85"/>
      <c r="T80" s="84"/>
      <c r="U80" s="27"/>
      <c r="V80" s="70"/>
      <c r="W80" s="67"/>
      <c r="X80" s="54"/>
      <c r="Y80" s="55"/>
      <c r="Z80" s="70"/>
      <c r="AA80" s="71"/>
      <c r="AB80" s="31"/>
      <c r="AC80" s="26">
        <f>+R80+W80+Y80-AA80</f>
        <v>81</v>
      </c>
      <c r="AD80" s="25"/>
      <c r="AE80" s="25"/>
      <c r="AF80" s="77">
        <v>7</v>
      </c>
      <c r="AG80" s="77">
        <v>2</v>
      </c>
      <c r="AH80" s="77" t="s">
        <v>45</v>
      </c>
    </row>
    <row r="81" spans="1:35" ht="43.2" x14ac:dyDescent="0.3">
      <c r="A81" s="65">
        <v>78</v>
      </c>
      <c r="B81" s="25">
        <v>1</v>
      </c>
      <c r="C81" s="25">
        <v>13</v>
      </c>
      <c r="D81" s="25">
        <v>260</v>
      </c>
      <c r="E81" s="89" t="str">
        <f>CONCATENATE(B81,"-",C81,"-",D81)</f>
        <v>1-13-260</v>
      </c>
      <c r="F81" s="13" t="str">
        <f>VLOOKUP(E81,'LISTA ITEMS'!$E$2:$G$875,2,FALSE)</f>
        <v>KIT TORNILLO TIPO T 10X23mm CON ARANDELA DE PRESION, ARANDELA LISA Y T/HEXAGONAL M8X20MM A/INOX</v>
      </c>
      <c r="G81" s="25" t="str">
        <f>VLOOKUP(E81,'LISTA ITEMS'!$E$2:$G$875,3,FALSE)</f>
        <v>UND</v>
      </c>
      <c r="H81" s="74">
        <v>46083</v>
      </c>
      <c r="I81" s="75">
        <v>163</v>
      </c>
      <c r="J81" s="27"/>
      <c r="K81" s="70">
        <v>46098</v>
      </c>
      <c r="L81" s="67">
        <v>0</v>
      </c>
      <c r="M81" s="54">
        <v>46098</v>
      </c>
      <c r="N81" s="55">
        <v>0</v>
      </c>
      <c r="O81" s="70">
        <v>46098</v>
      </c>
      <c r="P81" s="71">
        <v>0</v>
      </c>
      <c r="Q81" s="36">
        <v>46098</v>
      </c>
      <c r="R81" s="26">
        <f>+I81+L81+N81-P81</f>
        <v>163</v>
      </c>
      <c r="S81" s="85"/>
      <c r="T81" s="84"/>
      <c r="U81" s="27"/>
      <c r="V81" s="70"/>
      <c r="W81" s="67"/>
      <c r="X81" s="54"/>
      <c r="Y81" s="55"/>
      <c r="Z81" s="70"/>
      <c r="AA81" s="71"/>
      <c r="AB81" s="31"/>
      <c r="AC81" s="26">
        <f>+R81+W81+Y81-AA81</f>
        <v>163</v>
      </c>
      <c r="AD81" s="25"/>
      <c r="AE81" s="25"/>
      <c r="AF81" s="77">
        <v>7</v>
      </c>
      <c r="AG81" s="77">
        <v>2</v>
      </c>
      <c r="AH81" s="77" t="s">
        <v>45</v>
      </c>
    </row>
    <row r="82" spans="1:35" ht="32.4" customHeight="1" x14ac:dyDescent="0.3">
      <c r="A82" s="65">
        <v>79</v>
      </c>
      <c r="B82" s="25">
        <v>1</v>
      </c>
      <c r="C82" s="25">
        <v>28</v>
      </c>
      <c r="D82" s="25">
        <v>261</v>
      </c>
      <c r="E82" s="89" t="str">
        <f>CONCATENATE(B82,"-",C82,"-",D82)</f>
        <v>1-28-261</v>
      </c>
      <c r="F82" s="13" t="str">
        <f>VLOOKUP(E82,'LISTA ITEMS'!$E$2:$G$875,2,FALSE)</f>
        <v>ARANDELA DE PRESION A/INOX PARA TORN. M8</v>
      </c>
      <c r="G82" s="25" t="str">
        <f>VLOOKUP(E82,'LISTA ITEMS'!$E$2:$G$875,3,FALSE)</f>
        <v>UND</v>
      </c>
      <c r="H82" s="74">
        <v>46083</v>
      </c>
      <c r="I82" s="75">
        <v>273</v>
      </c>
      <c r="J82" s="27"/>
      <c r="K82" s="70">
        <v>46098</v>
      </c>
      <c r="L82" s="67">
        <v>0</v>
      </c>
      <c r="M82" s="54">
        <v>46098</v>
      </c>
      <c r="N82" s="55">
        <v>0</v>
      </c>
      <c r="O82" s="70">
        <v>46098</v>
      </c>
      <c r="P82" s="71">
        <v>0</v>
      </c>
      <c r="Q82" s="36">
        <v>46098</v>
      </c>
      <c r="R82" s="26">
        <f>+I82+L82+N82-P82</f>
        <v>273</v>
      </c>
      <c r="S82" s="85"/>
      <c r="T82" s="84"/>
      <c r="U82" s="27"/>
      <c r="V82" s="70"/>
      <c r="W82" s="67"/>
      <c r="X82" s="54"/>
      <c r="Y82" s="55"/>
      <c r="Z82" s="70"/>
      <c r="AA82" s="71"/>
      <c r="AB82" s="31"/>
      <c r="AC82" s="26">
        <f>+R82+W82+Y82-AA82</f>
        <v>273</v>
      </c>
      <c r="AD82" s="25"/>
      <c r="AE82" s="25"/>
      <c r="AF82" s="77">
        <v>7</v>
      </c>
      <c r="AG82" s="77">
        <v>2</v>
      </c>
      <c r="AH82" s="77" t="s">
        <v>45</v>
      </c>
    </row>
    <row r="83" spans="1:35" ht="44.4" customHeight="1" x14ac:dyDescent="0.3">
      <c r="A83" s="65">
        <v>80</v>
      </c>
      <c r="B83" s="25">
        <v>8</v>
      </c>
      <c r="C83" s="25">
        <v>13</v>
      </c>
      <c r="D83" s="25">
        <v>262</v>
      </c>
      <c r="E83" s="89" t="str">
        <f>CONCATENATE(B83,"-",C83,"-",D83)</f>
        <v>8-13-262</v>
      </c>
      <c r="F83" s="13" t="str">
        <f>VLOOKUP(E83,'LISTA ITEMS'!$E$2:$G$875,2,FALSE)</f>
        <v>KIT TORNILLO TIPO T 18X30mm CON ARANDELA Y T/HEXAGONAL M8X35MM A/GALV</v>
      </c>
      <c r="G83" s="25" t="str">
        <f>VLOOKUP(E83,'LISTA ITEMS'!$E$2:$G$875,3,FALSE)</f>
        <v>UND</v>
      </c>
      <c r="H83" s="74">
        <v>46083</v>
      </c>
      <c r="I83" s="75">
        <v>91</v>
      </c>
      <c r="J83" s="27"/>
      <c r="K83" s="70">
        <v>46098</v>
      </c>
      <c r="L83" s="67">
        <v>0</v>
      </c>
      <c r="M83" s="54">
        <v>46098</v>
      </c>
      <c r="N83" s="55">
        <v>0</v>
      </c>
      <c r="O83" s="70">
        <v>46098</v>
      </c>
      <c r="P83" s="71">
        <v>0</v>
      </c>
      <c r="Q83" s="36">
        <v>46098</v>
      </c>
      <c r="R83" s="26">
        <f>+I83+L83+N83-P83</f>
        <v>91</v>
      </c>
      <c r="S83" s="85"/>
      <c r="T83" s="84"/>
      <c r="U83" s="27"/>
      <c r="V83" s="70"/>
      <c r="W83" s="67"/>
      <c r="X83" s="54"/>
      <c r="Y83" s="55"/>
      <c r="Z83" s="70"/>
      <c r="AA83" s="71"/>
      <c r="AB83" s="31"/>
      <c r="AC83" s="26">
        <f>+R83+W83+Y83-AA83</f>
        <v>91</v>
      </c>
      <c r="AD83" s="25"/>
      <c r="AE83" s="25"/>
      <c r="AF83" s="77">
        <v>7</v>
      </c>
      <c r="AG83" s="77">
        <v>2</v>
      </c>
      <c r="AH83" s="77" t="s">
        <v>45</v>
      </c>
    </row>
    <row r="84" spans="1:35" x14ac:dyDescent="0.3">
      <c r="A84" s="65">
        <v>81</v>
      </c>
      <c r="B84" s="25">
        <v>1</v>
      </c>
      <c r="C84" s="25">
        <v>28</v>
      </c>
      <c r="D84" s="25">
        <v>263</v>
      </c>
      <c r="E84" s="89" t="str">
        <f>CONCATENATE(B84,"-",C84,"-",D84)</f>
        <v>1-28-263</v>
      </c>
      <c r="F84" s="13" t="str">
        <f>VLOOKUP(E84,'LISTA ITEMS'!$E$2:$G$875,2,FALSE)</f>
        <v>ARANDELA A/INOX 9X1.5 PARA TORN. M8</v>
      </c>
      <c r="G84" s="25" t="str">
        <f>VLOOKUP(E84,'LISTA ITEMS'!$E$2:$G$875,3,FALSE)</f>
        <v>UND</v>
      </c>
      <c r="H84" s="74">
        <v>46083</v>
      </c>
      <c r="I84" s="75">
        <v>486</v>
      </c>
      <c r="J84" s="27"/>
      <c r="K84" s="70">
        <v>46098</v>
      </c>
      <c r="L84" s="67">
        <v>0</v>
      </c>
      <c r="M84" s="54">
        <v>46098</v>
      </c>
      <c r="N84" s="55">
        <v>0</v>
      </c>
      <c r="O84" s="70">
        <v>46098</v>
      </c>
      <c r="P84" s="71">
        <v>0</v>
      </c>
      <c r="Q84" s="36">
        <v>46098</v>
      </c>
      <c r="R84" s="26">
        <f>+I84+L84+N84-P84</f>
        <v>486</v>
      </c>
      <c r="S84" s="85"/>
      <c r="T84" s="84"/>
      <c r="U84" s="27"/>
      <c r="V84" s="70"/>
      <c r="W84" s="67"/>
      <c r="X84" s="54"/>
      <c r="Y84" s="55"/>
      <c r="Z84" s="70"/>
      <c r="AA84" s="71"/>
      <c r="AB84" s="31"/>
      <c r="AC84" s="26">
        <f>+R84+W84+Y84-AA84</f>
        <v>486</v>
      </c>
      <c r="AD84" s="25"/>
      <c r="AE84" s="25"/>
      <c r="AF84" s="77">
        <v>7</v>
      </c>
      <c r="AG84" s="77">
        <v>2</v>
      </c>
      <c r="AH84" s="77" t="s">
        <v>45</v>
      </c>
    </row>
    <row r="85" spans="1:35" ht="28.8" x14ac:dyDescent="0.3">
      <c r="A85" s="65">
        <v>82</v>
      </c>
      <c r="B85" s="25">
        <v>1</v>
      </c>
      <c r="C85" s="25">
        <v>28</v>
      </c>
      <c r="D85" s="25">
        <v>264</v>
      </c>
      <c r="E85" s="89" t="str">
        <f>CONCATENATE(B85,"-",C85,"-",D85)</f>
        <v>1-28-264</v>
      </c>
      <c r="F85" s="13" t="str">
        <f>VLOOKUP(E85,'LISTA ITEMS'!$E$2:$G$875,2,FALSE)</f>
        <v>ARANDELA A/INOX 11X20mm PARA TORN. M8/M10</v>
      </c>
      <c r="G85" s="25" t="str">
        <f>VLOOKUP(E85,'LISTA ITEMS'!$E$2:$G$875,3,FALSE)</f>
        <v>UND</v>
      </c>
      <c r="H85" s="74">
        <v>46083</v>
      </c>
      <c r="I85" s="75">
        <v>214</v>
      </c>
      <c r="J85" s="27"/>
      <c r="K85" s="70">
        <v>46098</v>
      </c>
      <c r="L85" s="67">
        <v>0</v>
      </c>
      <c r="M85" s="54">
        <v>46098</v>
      </c>
      <c r="N85" s="55">
        <v>0</v>
      </c>
      <c r="O85" s="70">
        <v>46098</v>
      </c>
      <c r="P85" s="71">
        <v>0</v>
      </c>
      <c r="Q85" s="36">
        <v>46098</v>
      </c>
      <c r="R85" s="26">
        <f>+I85+L85+N85-P85</f>
        <v>214</v>
      </c>
      <c r="S85" s="85"/>
      <c r="T85" s="84"/>
      <c r="U85" s="27"/>
      <c r="V85" s="70"/>
      <c r="W85" s="67"/>
      <c r="X85" s="54"/>
      <c r="Y85" s="55"/>
      <c r="Z85" s="70"/>
      <c r="AA85" s="71"/>
      <c r="AB85" s="31"/>
      <c r="AC85" s="26">
        <f>+R85+W85+Y85-AA85</f>
        <v>214</v>
      </c>
      <c r="AD85" s="25"/>
      <c r="AE85" s="25"/>
      <c r="AF85" s="77">
        <v>7</v>
      </c>
      <c r="AG85" s="77">
        <v>2</v>
      </c>
      <c r="AH85" s="77" t="s">
        <v>45</v>
      </c>
    </row>
    <row r="86" spans="1:35" ht="28.8" x14ac:dyDescent="0.3">
      <c r="A86" s="65">
        <v>83</v>
      </c>
      <c r="B86" s="25">
        <v>8</v>
      </c>
      <c r="C86" s="25">
        <v>41</v>
      </c>
      <c r="D86" s="25">
        <v>265</v>
      </c>
      <c r="E86" s="30" t="str">
        <f>CONCATENATE(B86,"-",C86,"-",D86)</f>
        <v>8-41-265</v>
      </c>
      <c r="F86" s="13" t="str">
        <f>VLOOKUP(E86,'LISTA ITEMS'!$E$2:$G$875,2,FALSE)</f>
        <v>TUERCA HEXAGONAL CLASE RESISTENCIA DIN 934 M8 A/GALV.</v>
      </c>
      <c r="G86" s="25" t="str">
        <f>VLOOKUP(E86,'LISTA ITEMS'!$E$2:$G$875,3,FALSE)</f>
        <v>UND</v>
      </c>
      <c r="H86" s="74">
        <v>46083</v>
      </c>
      <c r="I86" s="75">
        <v>1500</v>
      </c>
      <c r="J86" s="27"/>
      <c r="K86" s="70">
        <v>46098</v>
      </c>
      <c r="L86" s="67">
        <v>0</v>
      </c>
      <c r="M86" s="54">
        <v>46098</v>
      </c>
      <c r="N86" s="55">
        <v>0</v>
      </c>
      <c r="O86" s="70">
        <v>46098</v>
      </c>
      <c r="P86" s="71">
        <v>0</v>
      </c>
      <c r="Q86" s="36">
        <v>46098</v>
      </c>
      <c r="R86" s="26">
        <f>+I86+L86+N86-P86</f>
        <v>1500</v>
      </c>
      <c r="S86" s="85"/>
      <c r="T86" s="84"/>
      <c r="U86" s="27"/>
      <c r="V86" s="70"/>
      <c r="W86" s="67"/>
      <c r="X86" s="54"/>
      <c r="Y86" s="55"/>
      <c r="Z86" s="70"/>
      <c r="AA86" s="71"/>
      <c r="AB86" s="31"/>
      <c r="AC86" s="26">
        <f>+R86+W86+Y86-AA86</f>
        <v>1500</v>
      </c>
      <c r="AD86" s="25"/>
      <c r="AE86" s="25"/>
      <c r="AF86" s="77">
        <v>7</v>
      </c>
      <c r="AG86" s="77">
        <v>2</v>
      </c>
      <c r="AH86" s="77" t="s">
        <v>45</v>
      </c>
    </row>
    <row r="87" spans="1:35" ht="25.8" customHeight="1" x14ac:dyDescent="0.3">
      <c r="A87" s="65">
        <v>84</v>
      </c>
      <c r="B87" s="25">
        <v>4</v>
      </c>
      <c r="C87" s="25">
        <v>40</v>
      </c>
      <c r="D87" s="25">
        <v>266</v>
      </c>
      <c r="E87" s="89" t="str">
        <f>CONCATENATE(B87,"-",C87,"-",D87)</f>
        <v>4-40-266</v>
      </c>
      <c r="F87" s="13" t="str">
        <f>VLOOKUP(E87,'LISTA ITEMS'!$E$2:$G$875,2,FALSE)</f>
        <v>TORNILLO ESPARRAGO GALV TX25 M8X120</v>
      </c>
      <c r="G87" s="25" t="str">
        <f>VLOOKUP(E87,'LISTA ITEMS'!$E$2:$G$875,3,FALSE)</f>
        <v>UND</v>
      </c>
      <c r="H87" s="74">
        <v>46083</v>
      </c>
      <c r="I87" s="75">
        <v>200</v>
      </c>
      <c r="J87" s="27"/>
      <c r="K87" s="70">
        <v>46098</v>
      </c>
      <c r="L87" s="67">
        <v>0</v>
      </c>
      <c r="M87" s="54">
        <v>46098</v>
      </c>
      <c r="N87" s="55">
        <v>0</v>
      </c>
      <c r="O87" s="70">
        <v>46098</v>
      </c>
      <c r="P87" s="71">
        <v>30</v>
      </c>
      <c r="Q87" s="36">
        <v>46098</v>
      </c>
      <c r="R87" s="26">
        <f>+I87+L87+N87-P87</f>
        <v>170</v>
      </c>
      <c r="S87" s="85"/>
      <c r="T87" s="84"/>
      <c r="U87" s="27"/>
      <c r="V87" s="70"/>
      <c r="W87" s="67"/>
      <c r="X87" s="54"/>
      <c r="Y87" s="55"/>
      <c r="Z87" s="70"/>
      <c r="AA87" s="71"/>
      <c r="AB87" s="31"/>
      <c r="AC87" s="26">
        <f>+R87+W87+Y87-AA87</f>
        <v>170</v>
      </c>
      <c r="AD87" s="25"/>
      <c r="AE87" s="25"/>
      <c r="AF87" s="116">
        <v>7</v>
      </c>
      <c r="AG87" s="116">
        <v>1</v>
      </c>
      <c r="AH87" s="116" t="s">
        <v>252</v>
      </c>
    </row>
    <row r="88" spans="1:35" ht="28.8" x14ac:dyDescent="0.3">
      <c r="A88" s="65">
        <v>85</v>
      </c>
      <c r="B88" s="25">
        <v>4</v>
      </c>
      <c r="C88" s="25">
        <v>15</v>
      </c>
      <c r="D88" s="25">
        <v>267</v>
      </c>
      <c r="E88" s="89" t="str">
        <f>CONCATENATE(B88,"-",C88,"-",D88)</f>
        <v>4-15-267</v>
      </c>
      <c r="F88" s="13" t="str">
        <f>VLOOKUP(E88,'LISTA ITEMS'!$E$2:$G$875,2,FALSE)</f>
        <v>BARRA PERFORADA PARA REFUERZO 20X10X2MT GALV.</v>
      </c>
      <c r="G88" s="25" t="str">
        <f>VLOOKUP(E88,'LISTA ITEMS'!$E$2:$G$875,3,FALSE)</f>
        <v>UND</v>
      </c>
      <c r="H88" s="74">
        <v>46083</v>
      </c>
      <c r="I88" s="75">
        <v>34</v>
      </c>
      <c r="J88" s="27"/>
      <c r="K88" s="70">
        <v>46098</v>
      </c>
      <c r="L88" s="67">
        <v>0</v>
      </c>
      <c r="M88" s="54">
        <v>46098</v>
      </c>
      <c r="N88" s="55">
        <v>0</v>
      </c>
      <c r="O88" s="70">
        <v>46098</v>
      </c>
      <c r="P88" s="71">
        <v>0</v>
      </c>
      <c r="Q88" s="36">
        <v>46098</v>
      </c>
      <c r="R88" s="26">
        <f>+I88+L88+N88-P88</f>
        <v>34</v>
      </c>
      <c r="S88" s="85"/>
      <c r="T88" s="84"/>
      <c r="U88" s="27"/>
      <c r="V88" s="70"/>
      <c r="W88" s="67"/>
      <c r="X88" s="54"/>
      <c r="Y88" s="55"/>
      <c r="Z88" s="70"/>
      <c r="AA88" s="71"/>
      <c r="AB88" s="31"/>
      <c r="AC88" s="26">
        <f>+R88+W88+Y88-AA88</f>
        <v>34</v>
      </c>
      <c r="AD88" s="25"/>
      <c r="AE88" s="25"/>
      <c r="AF88" s="77">
        <v>8</v>
      </c>
      <c r="AG88" s="77">
        <v>2</v>
      </c>
      <c r="AH88" s="77" t="s">
        <v>251</v>
      </c>
    </row>
    <row r="89" spans="1:35" ht="43.2" x14ac:dyDescent="0.3">
      <c r="A89" s="65">
        <v>86</v>
      </c>
      <c r="B89" s="25">
        <v>10</v>
      </c>
      <c r="C89" s="25">
        <v>42</v>
      </c>
      <c r="D89" s="25">
        <v>268</v>
      </c>
      <c r="E89" s="89" t="str">
        <f>CONCATENATE(B89,"-",C89,"-",D89)</f>
        <v>10-42-268</v>
      </c>
      <c r="F89" s="13" t="str">
        <f>VLOOKUP(E89,'LISTA ITEMS'!$E$2:$G$875,2,FALSE)</f>
        <v>PATA ALUMINIO PARA ESTRUCTURA PLACA SOLAR ANGULO 30º</v>
      </c>
      <c r="G89" s="25" t="str">
        <f>VLOOKUP(E89,'LISTA ITEMS'!$E$2:$G$875,3,FALSE)</f>
        <v>UND</v>
      </c>
      <c r="H89" s="74">
        <v>46083</v>
      </c>
      <c r="I89" s="75">
        <v>25</v>
      </c>
      <c r="J89" s="27"/>
      <c r="K89" s="70">
        <v>46098</v>
      </c>
      <c r="L89" s="67">
        <v>5</v>
      </c>
      <c r="M89" s="54">
        <v>46098</v>
      </c>
      <c r="N89" s="55">
        <v>30</v>
      </c>
      <c r="O89" s="70">
        <v>46098</v>
      </c>
      <c r="P89" s="71">
        <v>39</v>
      </c>
      <c r="Q89" s="36">
        <v>46098</v>
      </c>
      <c r="R89" s="26">
        <f>+I89+L89+N89-P89</f>
        <v>21</v>
      </c>
      <c r="S89" s="85"/>
      <c r="T89" s="84"/>
      <c r="U89" s="27"/>
      <c r="V89" s="70"/>
      <c r="W89" s="67"/>
      <c r="X89" s="54"/>
      <c r="Y89" s="55"/>
      <c r="Z89" s="70"/>
      <c r="AA89" s="71"/>
      <c r="AB89" s="36"/>
      <c r="AC89" s="26">
        <f>+R89+W89+Y89-AA89</f>
        <v>21</v>
      </c>
      <c r="AD89" s="25"/>
      <c r="AE89" s="25"/>
      <c r="AF89" s="77">
        <v>8</v>
      </c>
      <c r="AG89" s="77">
        <v>1</v>
      </c>
      <c r="AH89" s="77" t="s">
        <v>367</v>
      </c>
    </row>
    <row r="90" spans="1:35" ht="43.2" x14ac:dyDescent="0.3">
      <c r="A90" s="65">
        <v>87</v>
      </c>
      <c r="B90" s="25">
        <v>10</v>
      </c>
      <c r="C90" s="25">
        <v>15</v>
      </c>
      <c r="D90" s="25">
        <v>269</v>
      </c>
      <c r="E90" s="89" t="str">
        <f>CONCATENATE(B90,"-",C90,"-",D90)</f>
        <v>10-15-269</v>
      </c>
      <c r="F90" s="13" t="str">
        <f>VLOOKUP(E90,'LISTA ITEMS'!$E$2:$G$875,2,FALSE)</f>
        <v xml:space="preserve">BARRA ALUMINIO PARA ESTRUCTURA </v>
      </c>
      <c r="G90" s="25" t="str">
        <f>VLOOKUP(E90,'LISTA ITEMS'!$E$2:$G$875,3,FALSE)</f>
        <v>UND</v>
      </c>
      <c r="H90" s="74">
        <v>46083</v>
      </c>
      <c r="I90" s="75">
        <v>441</v>
      </c>
      <c r="J90" s="27"/>
      <c r="K90" s="70">
        <v>46098</v>
      </c>
      <c r="L90" s="67">
        <v>34</v>
      </c>
      <c r="M90" s="54">
        <v>46098</v>
      </c>
      <c r="N90" s="55">
        <v>0</v>
      </c>
      <c r="O90" s="70">
        <v>46098</v>
      </c>
      <c r="P90" s="71">
        <v>118</v>
      </c>
      <c r="Q90" s="36">
        <v>46098</v>
      </c>
      <c r="R90" s="26">
        <f>+I90+L90+N90-P90</f>
        <v>357</v>
      </c>
      <c r="S90" s="85"/>
      <c r="T90" s="84"/>
      <c r="U90" s="27"/>
      <c r="V90" s="70"/>
      <c r="W90" s="67"/>
      <c r="X90" s="54"/>
      <c r="Y90" s="55"/>
      <c r="Z90" s="70"/>
      <c r="AA90" s="71"/>
      <c r="AB90" s="31"/>
      <c r="AC90" s="26">
        <f>+R90+W90+Y90-AA90</f>
        <v>357</v>
      </c>
      <c r="AD90" s="25"/>
      <c r="AE90" s="25"/>
      <c r="AF90" s="77">
        <v>8</v>
      </c>
      <c r="AG90" s="77">
        <v>4</v>
      </c>
      <c r="AH90" s="77" t="s">
        <v>367</v>
      </c>
    </row>
    <row r="91" spans="1:35" ht="29.4" customHeight="1" x14ac:dyDescent="0.3">
      <c r="A91" s="65">
        <v>88</v>
      </c>
      <c r="B91" s="25">
        <v>16</v>
      </c>
      <c r="C91" s="25">
        <v>45</v>
      </c>
      <c r="D91" s="25">
        <v>276</v>
      </c>
      <c r="E91" s="30" t="str">
        <f>CONCATENATE(B91,"-",C91,"-",D91)</f>
        <v>16-45-276</v>
      </c>
      <c r="F91" s="13" t="str">
        <f>VLOOKUP(E91,'LISTA ITEMS'!$E$2:$G$875,2,FALSE)</f>
        <v>CAJA ESTANCA (COCHERA) EXTERIOR 18PT (IDE)</v>
      </c>
      <c r="G91" s="25" t="str">
        <f>VLOOKUP(E91,'LISTA ITEMS'!$E$2:$G$875,3,FALSE)</f>
        <v>UND</v>
      </c>
      <c r="H91" s="74">
        <v>46083</v>
      </c>
      <c r="I91" s="75">
        <v>4</v>
      </c>
      <c r="J91" s="27"/>
      <c r="K91" s="70">
        <v>46098</v>
      </c>
      <c r="L91" s="67">
        <v>0</v>
      </c>
      <c r="M91" s="54">
        <v>46098</v>
      </c>
      <c r="N91" s="55">
        <v>0</v>
      </c>
      <c r="O91" s="70">
        <v>46098</v>
      </c>
      <c r="P91" s="71">
        <v>1</v>
      </c>
      <c r="Q91" s="36">
        <v>46098</v>
      </c>
      <c r="R91" s="26">
        <f>+I91+L91+N91-P91</f>
        <v>3</v>
      </c>
      <c r="S91" s="85">
        <v>46098</v>
      </c>
      <c r="T91" s="84">
        <v>8</v>
      </c>
      <c r="U91" s="27"/>
      <c r="V91" s="70"/>
      <c r="W91" s="67"/>
      <c r="X91" s="54"/>
      <c r="Y91" s="55"/>
      <c r="Z91" s="70"/>
      <c r="AA91" s="71"/>
      <c r="AB91" s="31"/>
      <c r="AC91" s="26">
        <f>+R91+W91+Y91-AA91</f>
        <v>3</v>
      </c>
      <c r="AD91" s="25"/>
      <c r="AE91" s="25"/>
      <c r="AF91" s="48">
        <v>10</v>
      </c>
      <c r="AG91" s="48">
        <v>2</v>
      </c>
      <c r="AH91" s="48" t="s">
        <v>252</v>
      </c>
      <c r="AI91" s="2" t="s">
        <v>467</v>
      </c>
    </row>
    <row r="92" spans="1:35" ht="29.4" customHeight="1" x14ac:dyDescent="0.3">
      <c r="A92" s="65">
        <v>89</v>
      </c>
      <c r="B92" s="25">
        <v>16</v>
      </c>
      <c r="C92" s="25">
        <v>46</v>
      </c>
      <c r="D92" s="25">
        <v>279</v>
      </c>
      <c r="E92" s="89" t="str">
        <f>CONCATENATE(B92,"-",C92,"-",D92)</f>
        <v>16-46-279</v>
      </c>
      <c r="F92" s="13" t="str">
        <f>VLOOKUP(E92,'LISTA ITEMS'!$E$2:$G$875,2,FALSE)</f>
        <v>MANGUERA CORRUGADA 25mm NEGRA</v>
      </c>
      <c r="G92" s="25" t="str">
        <f>VLOOKUP(E92,'LISTA ITEMS'!$E$2:$G$875,3,FALSE)</f>
        <v>MT</v>
      </c>
      <c r="H92" s="74">
        <v>46083</v>
      </c>
      <c r="I92" s="75">
        <v>4</v>
      </c>
      <c r="J92" s="27"/>
      <c r="K92" s="70">
        <v>46098</v>
      </c>
      <c r="L92" s="67">
        <v>0</v>
      </c>
      <c r="M92" s="54">
        <v>46098</v>
      </c>
      <c r="N92" s="55">
        <v>0</v>
      </c>
      <c r="O92" s="70">
        <v>46098</v>
      </c>
      <c r="P92" s="71">
        <v>0</v>
      </c>
      <c r="Q92" s="36">
        <v>46098</v>
      </c>
      <c r="R92" s="26">
        <f>+I92+L92+N92-P92</f>
        <v>4</v>
      </c>
      <c r="S92" s="85"/>
      <c r="T92" s="84"/>
      <c r="U92" s="27"/>
      <c r="V92" s="70"/>
      <c r="W92" s="67"/>
      <c r="X92" s="54"/>
      <c r="Y92" s="55"/>
      <c r="Z92" s="70"/>
      <c r="AA92" s="71"/>
      <c r="AB92" s="31"/>
      <c r="AC92" s="26">
        <f>+R92+W92+Y92-AA92</f>
        <v>4</v>
      </c>
      <c r="AD92" s="25"/>
      <c r="AE92" s="25"/>
      <c r="AF92" s="77">
        <v>10</v>
      </c>
      <c r="AG92" s="77">
        <v>1</v>
      </c>
      <c r="AH92" s="77" t="s">
        <v>271</v>
      </c>
    </row>
    <row r="93" spans="1:35" ht="29.4" customHeight="1" x14ac:dyDescent="0.3">
      <c r="A93" s="65">
        <v>90</v>
      </c>
      <c r="B93" s="25">
        <v>16</v>
      </c>
      <c r="C93" s="25">
        <v>48</v>
      </c>
      <c r="D93" s="25">
        <v>281</v>
      </c>
      <c r="E93" s="30" t="str">
        <f>CONCATENATE(B93,"-",C93,"-",D93)</f>
        <v>16-48-281</v>
      </c>
      <c r="F93" s="13" t="str">
        <f>VLOOKUP(E93,'LISTA ITEMS'!$E$2:$G$875,2,FALSE)</f>
        <v>PORTA FUSIBLE SGF-32-DC (MAXGE)</v>
      </c>
      <c r="G93" s="25" t="str">
        <f>VLOOKUP(E93,'LISTA ITEMS'!$E$2:$G$875,3,FALSE)</f>
        <v>UND</v>
      </c>
      <c r="H93" s="74">
        <v>46083</v>
      </c>
      <c r="I93" s="75">
        <v>35</v>
      </c>
      <c r="J93" s="27"/>
      <c r="K93" s="70">
        <v>46098</v>
      </c>
      <c r="L93" s="67">
        <v>0</v>
      </c>
      <c r="M93" s="54">
        <v>46098</v>
      </c>
      <c r="N93" s="55">
        <v>36</v>
      </c>
      <c r="O93" s="70">
        <v>46098</v>
      </c>
      <c r="P93" s="71">
        <v>14</v>
      </c>
      <c r="Q93" s="36">
        <v>46098</v>
      </c>
      <c r="R93" s="26">
        <f>+I93+L93+N93-P93</f>
        <v>57</v>
      </c>
      <c r="S93" s="85">
        <v>46098</v>
      </c>
      <c r="T93" s="84">
        <v>32</v>
      </c>
      <c r="U93" s="27"/>
      <c r="V93" s="70"/>
      <c r="W93" s="67"/>
      <c r="X93" s="54"/>
      <c r="Y93" s="55"/>
      <c r="Z93" s="70"/>
      <c r="AA93" s="71"/>
      <c r="AB93" s="31"/>
      <c r="AC93" s="26">
        <f>+R93+W93+Y93-AA93</f>
        <v>57</v>
      </c>
      <c r="AD93" s="25"/>
      <c r="AE93" s="25"/>
      <c r="AF93" s="48">
        <v>10</v>
      </c>
      <c r="AG93" s="48">
        <v>2</v>
      </c>
      <c r="AH93" s="48" t="s">
        <v>251</v>
      </c>
    </row>
    <row r="94" spans="1:35" ht="29.4" customHeight="1" x14ac:dyDescent="0.3">
      <c r="A94" s="65">
        <v>91</v>
      </c>
      <c r="B94" s="25">
        <v>16</v>
      </c>
      <c r="C94" s="25">
        <v>50</v>
      </c>
      <c r="D94" s="25">
        <v>283</v>
      </c>
      <c r="E94" s="89" t="str">
        <f>CONCATENATE(B94,"-",C94,"-",D94)</f>
        <v>16-50-283</v>
      </c>
      <c r="F94" s="13" t="str">
        <f>VLOOKUP(E94,'LISTA ITEMS'!$E$2:$G$875,2,FALSE)</f>
        <v>FUSIBLE 32A-1000VDC (SASSIN)</v>
      </c>
      <c r="G94" s="25" t="str">
        <f>VLOOKUP(E94,'LISTA ITEMS'!$E$2:$G$875,3,FALSE)</f>
        <v>UND</v>
      </c>
      <c r="H94" s="74">
        <v>46083</v>
      </c>
      <c r="I94" s="75">
        <v>22</v>
      </c>
      <c r="J94" s="27"/>
      <c r="K94" s="70">
        <v>46098</v>
      </c>
      <c r="L94" s="67">
        <v>0</v>
      </c>
      <c r="M94" s="54">
        <v>46098</v>
      </c>
      <c r="N94" s="55">
        <v>0</v>
      </c>
      <c r="O94" s="70">
        <v>46098</v>
      </c>
      <c r="P94" s="71">
        <v>4</v>
      </c>
      <c r="Q94" s="36">
        <v>46098</v>
      </c>
      <c r="R94" s="26">
        <f>+I94+L94+N94-P94</f>
        <v>18</v>
      </c>
      <c r="S94" s="85"/>
      <c r="T94" s="84">
        <v>0</v>
      </c>
      <c r="U94" s="27"/>
      <c r="V94" s="70"/>
      <c r="W94" s="67"/>
      <c r="X94" s="54"/>
      <c r="Y94" s="55"/>
      <c r="Z94" s="70"/>
      <c r="AA94" s="71"/>
      <c r="AB94" s="31"/>
      <c r="AC94" s="26">
        <f>+R94+W94+Y94-AA94</f>
        <v>18</v>
      </c>
      <c r="AD94" s="25"/>
      <c r="AE94" s="25"/>
      <c r="AF94" s="119">
        <v>10</v>
      </c>
      <c r="AG94" s="119">
        <v>2</v>
      </c>
      <c r="AH94" s="119" t="s">
        <v>251</v>
      </c>
    </row>
    <row r="95" spans="1:35" ht="28.8" x14ac:dyDescent="0.3">
      <c r="A95" s="65">
        <v>92</v>
      </c>
      <c r="B95" s="25">
        <v>16</v>
      </c>
      <c r="C95" s="25">
        <v>51</v>
      </c>
      <c r="D95" s="25">
        <v>284</v>
      </c>
      <c r="E95" s="89" t="str">
        <f>CONCATENATE(B95,"-",C95,"-",D95)</f>
        <v>16-51-284</v>
      </c>
      <c r="F95" s="13" t="str">
        <f>VLOOKUP(E95,'LISTA ITEMS'!$E$2:$G$875,2,FALSE)</f>
        <v>LIMITADOR/SOBRETENSIONES MONOFASICO 3SUR1 15/30kA-275V (SASSIN)</v>
      </c>
      <c r="G95" s="25" t="str">
        <f>VLOOKUP(E95,'LISTA ITEMS'!$E$2:$G$875,3,FALSE)</f>
        <v>UND</v>
      </c>
      <c r="H95" s="74">
        <v>46083</v>
      </c>
      <c r="I95" s="75">
        <v>-1</v>
      </c>
      <c r="J95" s="27"/>
      <c r="K95" s="70">
        <v>46098</v>
      </c>
      <c r="L95" s="67">
        <v>0</v>
      </c>
      <c r="M95" s="54">
        <v>46098</v>
      </c>
      <c r="N95" s="55">
        <v>0</v>
      </c>
      <c r="O95" s="70">
        <v>46098</v>
      </c>
      <c r="P95" s="71">
        <v>0</v>
      </c>
      <c r="Q95" s="36">
        <v>46098</v>
      </c>
      <c r="R95" s="26">
        <f>+I95+L95+N95-P95</f>
        <v>-1</v>
      </c>
      <c r="S95" s="85"/>
      <c r="T95" s="84"/>
      <c r="U95" s="27"/>
      <c r="V95" s="70"/>
      <c r="W95" s="67"/>
      <c r="X95" s="54"/>
      <c r="Y95" s="55"/>
      <c r="Z95" s="70"/>
      <c r="AA95" s="71"/>
      <c r="AB95" s="31"/>
      <c r="AC95" s="26">
        <f>+R95+W95+Y95-AA95</f>
        <v>-1</v>
      </c>
      <c r="AD95" s="25"/>
      <c r="AE95" s="25"/>
      <c r="AF95" s="77">
        <v>10</v>
      </c>
      <c r="AG95" s="77">
        <v>2</v>
      </c>
      <c r="AH95" s="77" t="s">
        <v>251</v>
      </c>
    </row>
    <row r="96" spans="1:35" ht="27" customHeight="1" x14ac:dyDescent="0.3">
      <c r="A96" s="65">
        <v>93</v>
      </c>
      <c r="B96" s="25">
        <v>10</v>
      </c>
      <c r="C96" s="25">
        <v>37</v>
      </c>
      <c r="D96" s="25">
        <v>287</v>
      </c>
      <c r="E96" s="89" t="str">
        <f>CONCATENATE(B96,"-",C96,"-",D96)</f>
        <v>10-37-287</v>
      </c>
      <c r="F96" s="13" t="str">
        <f>VLOOKUP(E96,'LISTA ITEMS'!$E$2:$G$875,2,FALSE)</f>
        <v>SOPORTE CENTRAL GRIS</v>
      </c>
      <c r="G96" s="25" t="str">
        <f>VLOOKUP(E96,'LISTA ITEMS'!$E$2:$G$875,3,FALSE)</f>
        <v>UND</v>
      </c>
      <c r="H96" s="74">
        <v>46083</v>
      </c>
      <c r="I96" s="75">
        <v>409</v>
      </c>
      <c r="J96" s="27"/>
      <c r="K96" s="70">
        <v>46098</v>
      </c>
      <c r="L96" s="67">
        <v>0</v>
      </c>
      <c r="M96" s="54">
        <v>46098</v>
      </c>
      <c r="N96" s="55">
        <v>0</v>
      </c>
      <c r="O96" s="70">
        <v>46098</v>
      </c>
      <c r="P96" s="71">
        <v>0</v>
      </c>
      <c r="Q96" s="36">
        <v>46098</v>
      </c>
      <c r="R96" s="26">
        <f>+I96+L96+N96-P96</f>
        <v>409</v>
      </c>
      <c r="S96" s="85"/>
      <c r="T96" s="84"/>
      <c r="U96" s="27"/>
      <c r="V96" s="70"/>
      <c r="W96" s="67"/>
      <c r="X96" s="54"/>
      <c r="Y96" s="55"/>
      <c r="Z96" s="70"/>
      <c r="AA96" s="71"/>
      <c r="AB96" s="31"/>
      <c r="AC96" s="26">
        <f>+R96+W96+Y96-AA96</f>
        <v>409</v>
      </c>
      <c r="AD96" s="25"/>
      <c r="AE96" s="25"/>
      <c r="AF96" s="77">
        <v>10</v>
      </c>
      <c r="AG96" s="77">
        <v>1</v>
      </c>
      <c r="AH96" s="77" t="s">
        <v>311</v>
      </c>
    </row>
    <row r="97" spans="1:35" ht="28.8" x14ac:dyDescent="0.3">
      <c r="A97" s="65">
        <v>94</v>
      </c>
      <c r="B97" s="25">
        <v>16</v>
      </c>
      <c r="C97" s="25">
        <v>53</v>
      </c>
      <c r="D97" s="25">
        <v>289</v>
      </c>
      <c r="E97" s="89" t="str">
        <f>CONCATENATE(B97,"-",C97,"-",D97)</f>
        <v>16-53-289</v>
      </c>
      <c r="F97" s="13" t="str">
        <f>VLOOKUP(E97,'LISTA ITEMS'!$E$2:$G$875,2,FALSE)</f>
        <v>PINCHO DE COMUNICACIÓN WIFI SHINEWILAN X (GROWATT)</v>
      </c>
      <c r="G97" s="25" t="str">
        <f>VLOOKUP(E97,'LISTA ITEMS'!$E$2:$G$875,3,FALSE)</f>
        <v>UND</v>
      </c>
      <c r="H97" s="74">
        <v>46083</v>
      </c>
      <c r="I97" s="75">
        <v>1</v>
      </c>
      <c r="J97" s="27"/>
      <c r="K97" s="70">
        <v>46098</v>
      </c>
      <c r="L97" s="67">
        <v>0</v>
      </c>
      <c r="M97" s="54">
        <v>46098</v>
      </c>
      <c r="N97" s="55">
        <v>0</v>
      </c>
      <c r="O97" s="70">
        <v>46098</v>
      </c>
      <c r="P97" s="71">
        <v>0</v>
      </c>
      <c r="Q97" s="36">
        <v>46098</v>
      </c>
      <c r="R97" s="26">
        <f>+I97+L97+N97-P97</f>
        <v>1</v>
      </c>
      <c r="S97" s="85"/>
      <c r="T97" s="84">
        <v>0</v>
      </c>
      <c r="U97" s="27"/>
      <c r="V97" s="70"/>
      <c r="W97" s="67"/>
      <c r="X97" s="54"/>
      <c r="Y97" s="55"/>
      <c r="Z97" s="70"/>
      <c r="AA97" s="71"/>
      <c r="AB97" s="31"/>
      <c r="AC97" s="26">
        <f>+R97+W97+Y97-AA97</f>
        <v>1</v>
      </c>
      <c r="AD97" s="25"/>
      <c r="AE97" s="25"/>
      <c r="AF97" s="116">
        <v>10</v>
      </c>
      <c r="AG97" s="116">
        <v>2</v>
      </c>
      <c r="AH97" s="116" t="s">
        <v>368</v>
      </c>
      <c r="AI97" s="2" t="s">
        <v>467</v>
      </c>
    </row>
    <row r="98" spans="1:35" ht="28.8" x14ac:dyDescent="0.3">
      <c r="A98" s="65">
        <v>95</v>
      </c>
      <c r="B98" s="25">
        <v>16</v>
      </c>
      <c r="C98" s="25">
        <v>53</v>
      </c>
      <c r="D98" s="25">
        <v>290</v>
      </c>
      <c r="E98" s="30" t="str">
        <f>CONCATENATE(B98,"-",C98,"-",D98)</f>
        <v>16-53-290</v>
      </c>
      <c r="F98" s="13" t="str">
        <f>VLOOKUP(E98,'LISTA ITEMS'!$E$2:$G$875,2,FALSE)</f>
        <v>PINCHO DE COMUNICACIÓN WIFI SHINEWILAN X2 (GROWATT)</v>
      </c>
      <c r="G98" s="25" t="str">
        <f>VLOOKUP(E98,'LISTA ITEMS'!$E$2:$G$875,3,FALSE)</f>
        <v>UND</v>
      </c>
      <c r="H98" s="74">
        <v>46083</v>
      </c>
      <c r="I98" s="75">
        <v>4</v>
      </c>
      <c r="J98" s="27"/>
      <c r="K98" s="70">
        <v>46098</v>
      </c>
      <c r="L98" s="67">
        <v>0</v>
      </c>
      <c r="M98" s="54">
        <v>46098</v>
      </c>
      <c r="N98" s="55">
        <v>2</v>
      </c>
      <c r="O98" s="70">
        <v>46098</v>
      </c>
      <c r="P98" s="71">
        <v>5</v>
      </c>
      <c r="Q98" s="36">
        <v>46098</v>
      </c>
      <c r="R98" s="26">
        <f>+I98+L98+N98-P98</f>
        <v>1</v>
      </c>
      <c r="S98" s="85">
        <v>46098</v>
      </c>
      <c r="T98" s="84">
        <v>1</v>
      </c>
      <c r="U98" s="27"/>
      <c r="V98" s="70"/>
      <c r="W98" s="67"/>
      <c r="X98" s="54"/>
      <c r="Y98" s="55"/>
      <c r="Z98" s="70"/>
      <c r="AA98" s="71"/>
      <c r="AB98" s="31"/>
      <c r="AC98" s="26">
        <f>+R98+W98+Y98-AA98</f>
        <v>1</v>
      </c>
      <c r="AD98" s="25"/>
      <c r="AE98" s="25"/>
      <c r="AF98" s="48">
        <v>10</v>
      </c>
      <c r="AG98" s="48">
        <v>2</v>
      </c>
      <c r="AH98" s="48" t="s">
        <v>368</v>
      </c>
      <c r="AI98" s="2" t="s">
        <v>467</v>
      </c>
    </row>
    <row r="99" spans="1:35" ht="29.4" customHeight="1" x14ac:dyDescent="0.3">
      <c r="A99" s="65">
        <v>96</v>
      </c>
      <c r="B99" s="25">
        <v>16</v>
      </c>
      <c r="C99" s="25">
        <v>45</v>
      </c>
      <c r="D99" s="25">
        <v>294</v>
      </c>
      <c r="E99" s="30" t="str">
        <f>CONCATENATE(B99,"-",C99,"-",D99)</f>
        <v>16-45-294</v>
      </c>
      <c r="F99" s="13" t="str">
        <f>VLOOKUP(E99,'LISTA ITEMS'!$E$2:$G$875,2,FALSE)</f>
        <v>CAJA DE ESTANCA 133X180X80 EV161 (IDE)</v>
      </c>
      <c r="G99" s="25" t="str">
        <f>VLOOKUP(E99,'LISTA ITEMS'!$E$2:$G$875,3,FALSE)</f>
        <v>UND</v>
      </c>
      <c r="H99" s="74">
        <v>46083</v>
      </c>
      <c r="I99" s="75">
        <v>22</v>
      </c>
      <c r="J99" s="27"/>
      <c r="K99" s="70">
        <v>46098</v>
      </c>
      <c r="L99" s="67">
        <v>0</v>
      </c>
      <c r="M99" s="54">
        <v>46098</v>
      </c>
      <c r="N99" s="55">
        <v>0</v>
      </c>
      <c r="O99" s="70">
        <v>46098</v>
      </c>
      <c r="P99" s="71">
        <v>13</v>
      </c>
      <c r="Q99" s="36">
        <v>46098</v>
      </c>
      <c r="R99" s="26">
        <f>+I99+L99+N99-P99</f>
        <v>9</v>
      </c>
      <c r="S99" s="85">
        <v>46098</v>
      </c>
      <c r="T99" s="84">
        <v>6</v>
      </c>
      <c r="U99" s="27"/>
      <c r="V99" s="70"/>
      <c r="W99" s="67"/>
      <c r="X99" s="54"/>
      <c r="Y99" s="55"/>
      <c r="Z99" s="70"/>
      <c r="AA99" s="71"/>
      <c r="AB99" s="31"/>
      <c r="AC99" s="26">
        <f>+R99+W99+Y99-AA99</f>
        <v>9</v>
      </c>
      <c r="AD99" s="25"/>
      <c r="AE99" s="25"/>
      <c r="AF99" s="48">
        <v>10</v>
      </c>
      <c r="AG99" s="48">
        <v>2</v>
      </c>
      <c r="AH99" s="48" t="s">
        <v>251</v>
      </c>
      <c r="AI99" s="2" t="s">
        <v>467</v>
      </c>
    </row>
    <row r="100" spans="1:35" ht="21.6" customHeight="1" x14ac:dyDescent="0.3">
      <c r="A100" s="65">
        <v>97</v>
      </c>
      <c r="B100" s="25">
        <v>7</v>
      </c>
      <c r="C100" s="25">
        <v>54</v>
      </c>
      <c r="D100" s="25">
        <v>295</v>
      </c>
      <c r="E100" s="89" t="str">
        <f>CONCATENATE(B100,"-",C100,"-",D100)</f>
        <v>7-54-295</v>
      </c>
      <c r="F100" s="13" t="str">
        <f>VLOOKUP(E100,'LISTA ITEMS'!$E$2:$G$875,2,FALSE)</f>
        <v>BATERIA LFP LITHIUM DL5.OC (DYNESS)</v>
      </c>
      <c r="G100" s="25" t="str">
        <f>VLOOKUP(E100,'LISTA ITEMS'!$E$2:$G$875,3,FALSE)</f>
        <v>UND</v>
      </c>
      <c r="H100" s="74">
        <v>46083</v>
      </c>
      <c r="I100" s="75">
        <v>18</v>
      </c>
      <c r="J100" s="27"/>
      <c r="K100" s="70">
        <v>46098</v>
      </c>
      <c r="L100" s="67">
        <v>0</v>
      </c>
      <c r="M100" s="54">
        <v>46098</v>
      </c>
      <c r="N100" s="55">
        <v>0</v>
      </c>
      <c r="O100" s="70">
        <v>46098</v>
      </c>
      <c r="P100" s="71">
        <v>0</v>
      </c>
      <c r="Q100" s="36">
        <v>46098</v>
      </c>
      <c r="R100" s="26">
        <f>+I100+L100+N100-P100</f>
        <v>18</v>
      </c>
      <c r="S100" s="85"/>
      <c r="T100" s="84"/>
      <c r="U100" s="27"/>
      <c r="V100" s="70"/>
      <c r="W100" s="67"/>
      <c r="X100" s="54"/>
      <c r="Y100" s="55"/>
      <c r="Z100" s="70"/>
      <c r="AA100" s="71"/>
      <c r="AB100" s="31"/>
      <c r="AC100" s="26">
        <f>+R100+W100+Y100-AA100</f>
        <v>18</v>
      </c>
      <c r="AD100" s="25"/>
      <c r="AE100" s="25"/>
      <c r="AF100" s="77">
        <v>5</v>
      </c>
      <c r="AG100" s="77" t="s">
        <v>119</v>
      </c>
      <c r="AH100" s="77" t="s">
        <v>316</v>
      </c>
    </row>
    <row r="101" spans="1:35" s="107" customFormat="1" ht="28.8" x14ac:dyDescent="0.3">
      <c r="A101" s="92">
        <v>98</v>
      </c>
      <c r="B101" s="78">
        <v>16</v>
      </c>
      <c r="C101" s="78">
        <v>55</v>
      </c>
      <c r="D101" s="78">
        <v>297</v>
      </c>
      <c r="E101" s="88" t="str">
        <f>CONCATENATE(B101,"-",C101,"-",D101)</f>
        <v>16-55-297</v>
      </c>
      <c r="F101" s="93" t="str">
        <f>VLOOKUP(E101,'LISTA ITEMS'!$E$2:$G$875,2,FALSE)</f>
        <v>MEDIDOR ENERGIA DE CARRIL MODBUS SDM230V MONOFASICO (EASTRON)</v>
      </c>
      <c r="G101" s="78" t="str">
        <f>VLOOKUP(E101,'LISTA ITEMS'!$E$2:$G$875,3,FALSE)</f>
        <v>UND</v>
      </c>
      <c r="H101" s="94">
        <v>46083</v>
      </c>
      <c r="I101" s="95">
        <v>1</v>
      </c>
      <c r="J101" s="96"/>
      <c r="K101" s="97">
        <v>46098</v>
      </c>
      <c r="L101" s="98">
        <v>0</v>
      </c>
      <c r="M101" s="99">
        <v>46098</v>
      </c>
      <c r="N101" s="100">
        <v>0</v>
      </c>
      <c r="O101" s="97">
        <v>46098</v>
      </c>
      <c r="P101" s="101">
        <v>0</v>
      </c>
      <c r="Q101" s="102">
        <v>46098</v>
      </c>
      <c r="R101" s="103">
        <f>+I101+L101+N101-P101</f>
        <v>1</v>
      </c>
      <c r="S101" s="85">
        <v>46098</v>
      </c>
      <c r="T101" s="104">
        <v>1</v>
      </c>
      <c r="U101" s="96"/>
      <c r="V101" s="70"/>
      <c r="W101" s="67"/>
      <c r="X101" s="54"/>
      <c r="Y101" s="55"/>
      <c r="Z101" s="70"/>
      <c r="AA101" s="71"/>
      <c r="AB101" s="61"/>
      <c r="AC101" s="26">
        <f>+R101+W101+Y101-AA101</f>
        <v>1</v>
      </c>
      <c r="AD101" s="105" t="s">
        <v>479</v>
      </c>
      <c r="AE101" s="78"/>
      <c r="AF101" s="106">
        <v>10</v>
      </c>
      <c r="AG101" s="106">
        <v>2</v>
      </c>
      <c r="AH101" s="106" t="s">
        <v>480</v>
      </c>
    </row>
    <row r="102" spans="1:35" ht="31.2" customHeight="1" x14ac:dyDescent="0.3">
      <c r="A102" s="65">
        <v>99</v>
      </c>
      <c r="B102" s="25">
        <v>16</v>
      </c>
      <c r="C102" s="25">
        <v>45</v>
      </c>
      <c r="D102" s="25">
        <v>299</v>
      </c>
      <c r="E102" s="30" t="str">
        <f>CONCATENATE(B102,"-",C102,"-",D102)</f>
        <v>16-45-299</v>
      </c>
      <c r="F102" s="13" t="str">
        <f>VLOOKUP(E102,'LISTA ITEMS'!$E$2:$G$875,2,FALSE)</f>
        <v>CAJA ESTANCA (COCHERA) EXTERIOR 8PT (IDE)</v>
      </c>
      <c r="G102" s="25" t="str">
        <f>VLOOKUP(E102,'LISTA ITEMS'!$E$2:$G$875,3,FALSE)</f>
        <v>UND</v>
      </c>
      <c r="H102" s="74">
        <v>46083</v>
      </c>
      <c r="I102" s="75">
        <v>10</v>
      </c>
      <c r="J102" s="27"/>
      <c r="K102" s="70">
        <v>46098</v>
      </c>
      <c r="L102" s="67">
        <v>0</v>
      </c>
      <c r="M102" s="54">
        <v>46098</v>
      </c>
      <c r="N102" s="55">
        <v>0</v>
      </c>
      <c r="O102" s="70">
        <v>46098</v>
      </c>
      <c r="P102" s="71">
        <v>1</v>
      </c>
      <c r="Q102" s="36">
        <v>46098</v>
      </c>
      <c r="R102" s="26">
        <f>+I102+L102+N102-P102</f>
        <v>9</v>
      </c>
      <c r="S102" s="85">
        <v>46098</v>
      </c>
      <c r="T102" s="84">
        <v>8</v>
      </c>
      <c r="U102" s="27"/>
      <c r="V102" s="70"/>
      <c r="W102" s="67"/>
      <c r="X102" s="54"/>
      <c r="Y102" s="55"/>
      <c r="Z102" s="70"/>
      <c r="AA102" s="71"/>
      <c r="AB102" s="31"/>
      <c r="AC102" s="26">
        <f>+R102+W102+Y102-AA102</f>
        <v>9</v>
      </c>
      <c r="AD102" s="25"/>
      <c r="AE102" s="25"/>
      <c r="AF102" s="48">
        <v>10</v>
      </c>
      <c r="AG102" s="48">
        <v>2</v>
      </c>
      <c r="AH102" s="48" t="s">
        <v>252</v>
      </c>
      <c r="AI102" s="2" t="s">
        <v>467</v>
      </c>
    </row>
    <row r="103" spans="1:35" ht="31.2" customHeight="1" x14ac:dyDescent="0.3">
      <c r="A103" s="65">
        <v>100</v>
      </c>
      <c r="B103" s="25">
        <v>16</v>
      </c>
      <c r="C103" s="25">
        <v>45</v>
      </c>
      <c r="D103" s="25">
        <v>300</v>
      </c>
      <c r="E103" s="89" t="str">
        <f>CONCATENATE(B103,"-",C103,"-",D103)</f>
        <v>16-45-300</v>
      </c>
      <c r="F103" s="13" t="str">
        <f>VLOOKUP(E103,'LISTA ITEMS'!$E$2:$G$875,2,FALSE)</f>
        <v>CAJA ESTANCA (COCHERA) EXTERIOR 24PT (IDE)</v>
      </c>
      <c r="G103" s="25" t="str">
        <f>VLOOKUP(E103,'LISTA ITEMS'!$E$2:$G$875,3,FALSE)</f>
        <v>UND</v>
      </c>
      <c r="H103" s="74">
        <v>46083</v>
      </c>
      <c r="I103" s="75">
        <v>1</v>
      </c>
      <c r="J103" s="27"/>
      <c r="K103" s="70">
        <v>46098</v>
      </c>
      <c r="L103" s="67">
        <v>0</v>
      </c>
      <c r="M103" s="54">
        <v>46098</v>
      </c>
      <c r="N103" s="55">
        <v>0</v>
      </c>
      <c r="O103" s="70">
        <v>46098</v>
      </c>
      <c r="P103" s="71">
        <v>0</v>
      </c>
      <c r="Q103" s="36">
        <v>46098</v>
      </c>
      <c r="R103" s="26">
        <f>+I103+L103+N103-P103</f>
        <v>1</v>
      </c>
      <c r="S103" s="85"/>
      <c r="T103" s="84">
        <v>0</v>
      </c>
      <c r="U103" s="27"/>
      <c r="V103" s="70"/>
      <c r="W103" s="67"/>
      <c r="X103" s="54"/>
      <c r="Y103" s="55"/>
      <c r="Z103" s="70"/>
      <c r="AA103" s="71"/>
      <c r="AB103" s="31"/>
      <c r="AC103" s="26">
        <f>+R103+W103+Y103-AA103</f>
        <v>1</v>
      </c>
      <c r="AD103" s="25"/>
      <c r="AE103" s="25"/>
      <c r="AF103" s="110">
        <v>10</v>
      </c>
      <c r="AG103" s="110">
        <v>2</v>
      </c>
      <c r="AH103" s="110" t="s">
        <v>252</v>
      </c>
    </row>
    <row r="104" spans="1:35" ht="31.2" customHeight="1" x14ac:dyDescent="0.3">
      <c r="A104" s="65">
        <v>101</v>
      </c>
      <c r="B104" s="25">
        <v>16</v>
      </c>
      <c r="C104" s="25">
        <v>45</v>
      </c>
      <c r="D104" s="25">
        <v>301</v>
      </c>
      <c r="E104" s="30" t="str">
        <f>CONCATENATE(B104,"-",C104,"-",D104)</f>
        <v>16-45-301</v>
      </c>
      <c r="F104" s="13" t="str">
        <f>VLOOKUP(E104,'LISTA ITEMS'!$E$2:$G$875,2,FALSE)</f>
        <v>CAJA ESTANCA (COCHERA) EXTERIOR 36PT (IDE)</v>
      </c>
      <c r="G104" s="25" t="str">
        <f>VLOOKUP(E104,'LISTA ITEMS'!$E$2:$G$875,3,FALSE)</f>
        <v>UND</v>
      </c>
      <c r="H104" s="74">
        <v>46083</v>
      </c>
      <c r="I104" s="75">
        <v>1</v>
      </c>
      <c r="J104" s="27"/>
      <c r="K104" s="70">
        <v>46098</v>
      </c>
      <c r="L104" s="67">
        <v>0</v>
      </c>
      <c r="M104" s="54">
        <v>46098</v>
      </c>
      <c r="N104" s="55">
        <v>0</v>
      </c>
      <c r="O104" s="70">
        <v>46098</v>
      </c>
      <c r="P104" s="71">
        <v>0</v>
      </c>
      <c r="Q104" s="36">
        <v>46098</v>
      </c>
      <c r="R104" s="26">
        <f>+I104+L104+N104-P104</f>
        <v>1</v>
      </c>
      <c r="S104" s="85">
        <v>46098</v>
      </c>
      <c r="T104" s="84">
        <v>1</v>
      </c>
      <c r="U104" s="27"/>
      <c r="V104" s="70"/>
      <c r="W104" s="67"/>
      <c r="X104" s="54"/>
      <c r="Y104" s="55"/>
      <c r="Z104" s="70"/>
      <c r="AA104" s="71"/>
      <c r="AB104" s="31"/>
      <c r="AC104" s="26">
        <f>+R104+W104+Y104-AA104</f>
        <v>1</v>
      </c>
      <c r="AD104" s="25"/>
      <c r="AE104" s="25"/>
      <c r="AF104" s="48">
        <v>10</v>
      </c>
      <c r="AG104" s="48">
        <v>2</v>
      </c>
      <c r="AH104" s="48" t="s">
        <v>252</v>
      </c>
      <c r="AI104" s="2" t="s">
        <v>467</v>
      </c>
    </row>
    <row r="105" spans="1:35" ht="31.2" customHeight="1" x14ac:dyDescent="0.3">
      <c r="A105" s="65">
        <v>102</v>
      </c>
      <c r="B105" s="25">
        <v>16</v>
      </c>
      <c r="C105" s="25">
        <v>56</v>
      </c>
      <c r="D105" s="25">
        <v>302</v>
      </c>
      <c r="E105" s="30" t="str">
        <f>CONCATENATE(B105,"-",C105,"-",D105)</f>
        <v>16-56-302</v>
      </c>
      <c r="F105" s="13" t="str">
        <f>VLOOKUP(E105,'LISTA ITEMS'!$E$2:$G$875,2,FALSE)</f>
        <v>METER TRIFASICO 230/400Vac (GROWATT)</v>
      </c>
      <c r="G105" s="25" t="str">
        <f>VLOOKUP(E105,'LISTA ITEMS'!$E$2:$G$875,3,FALSE)</f>
        <v>UND</v>
      </c>
      <c r="H105" s="74">
        <v>46083</v>
      </c>
      <c r="I105" s="75">
        <v>6</v>
      </c>
      <c r="J105" s="27"/>
      <c r="K105" s="70">
        <v>46098</v>
      </c>
      <c r="L105" s="67">
        <v>0</v>
      </c>
      <c r="M105" s="54">
        <v>46098</v>
      </c>
      <c r="N105" s="55">
        <v>2</v>
      </c>
      <c r="O105" s="70">
        <v>46098</v>
      </c>
      <c r="P105" s="71">
        <v>5</v>
      </c>
      <c r="Q105" s="36">
        <v>46098</v>
      </c>
      <c r="R105" s="26">
        <f>+I105+L105+N105-P105</f>
        <v>3</v>
      </c>
      <c r="S105" s="85">
        <v>46098</v>
      </c>
      <c r="T105" s="84">
        <v>3</v>
      </c>
      <c r="U105" s="27"/>
      <c r="V105" s="70"/>
      <c r="W105" s="67"/>
      <c r="X105" s="54"/>
      <c r="Y105" s="55"/>
      <c r="Z105" s="70"/>
      <c r="AA105" s="71"/>
      <c r="AB105" s="31"/>
      <c r="AC105" s="26">
        <f>+R105+W105+Y105-AA105</f>
        <v>3</v>
      </c>
      <c r="AD105" s="25"/>
      <c r="AE105" s="25"/>
      <c r="AF105" s="48">
        <v>10</v>
      </c>
      <c r="AG105" s="48">
        <v>2</v>
      </c>
      <c r="AH105" s="48" t="s">
        <v>252</v>
      </c>
      <c r="AI105" s="2" t="s">
        <v>467</v>
      </c>
    </row>
    <row r="106" spans="1:35" ht="28.8" x14ac:dyDescent="0.3">
      <c r="A106" s="65">
        <v>103</v>
      </c>
      <c r="B106" s="25">
        <v>16</v>
      </c>
      <c r="C106" s="25">
        <v>56</v>
      </c>
      <c r="D106" s="25">
        <v>303</v>
      </c>
      <c r="E106" s="30" t="str">
        <f>CONCATENATE(B106,"-",C106,"-",D106)</f>
        <v>16-56-303</v>
      </c>
      <c r="F106" s="13" t="str">
        <f>VLOOKUP(E106,'LISTA ITEMS'!$E$2:$G$875,2,FALSE)</f>
        <v>METER MONOFASICO 230/161-276Vac (GROWATT)</v>
      </c>
      <c r="G106" s="25" t="str">
        <f>VLOOKUP(E106,'LISTA ITEMS'!$E$2:$G$875,3,FALSE)</f>
        <v>UND</v>
      </c>
      <c r="H106" s="74">
        <v>46083</v>
      </c>
      <c r="I106" s="75">
        <v>11</v>
      </c>
      <c r="J106" s="27"/>
      <c r="K106" s="70">
        <v>46098</v>
      </c>
      <c r="L106" s="67">
        <v>0</v>
      </c>
      <c r="M106" s="54">
        <v>46098</v>
      </c>
      <c r="N106" s="55">
        <v>0</v>
      </c>
      <c r="O106" s="70">
        <v>46098</v>
      </c>
      <c r="P106" s="71">
        <v>0</v>
      </c>
      <c r="Q106" s="36">
        <v>46098</v>
      </c>
      <c r="R106" s="26">
        <f>+I106+L106+N106-P106</f>
        <v>11</v>
      </c>
      <c r="S106" s="85">
        <v>46098</v>
      </c>
      <c r="T106" s="84">
        <v>10</v>
      </c>
      <c r="U106" s="27"/>
      <c r="V106" s="70"/>
      <c r="W106" s="67"/>
      <c r="X106" s="54"/>
      <c r="Y106" s="55"/>
      <c r="Z106" s="70"/>
      <c r="AA106" s="71"/>
      <c r="AB106" s="31"/>
      <c r="AC106" s="26">
        <f>+R106+W106+Y106-AA106</f>
        <v>11</v>
      </c>
      <c r="AD106" s="25"/>
      <c r="AE106" s="25"/>
      <c r="AF106" s="48">
        <v>10</v>
      </c>
      <c r="AG106" s="48">
        <v>2</v>
      </c>
      <c r="AH106" s="48" t="s">
        <v>252</v>
      </c>
      <c r="AI106" s="2" t="s">
        <v>467</v>
      </c>
    </row>
    <row r="107" spans="1:35" ht="28.2" customHeight="1" x14ac:dyDescent="0.3">
      <c r="A107" s="65">
        <v>104</v>
      </c>
      <c r="B107" s="25">
        <v>16</v>
      </c>
      <c r="C107" s="25">
        <v>45</v>
      </c>
      <c r="D107" s="25">
        <v>304</v>
      </c>
      <c r="E107" s="30" t="str">
        <f>CONCATENATE(B107,"-",C107,"-",D107)</f>
        <v>16-45-304</v>
      </c>
      <c r="F107" s="13" t="str">
        <f>VLOOKUP(E107,'LISTA ITEMS'!$E$2:$G$875,2,FALSE)</f>
        <v>CAJA DE ESTANCA 197X260X100 EV231 (IDE)</v>
      </c>
      <c r="G107" s="25" t="str">
        <f>VLOOKUP(E107,'LISTA ITEMS'!$E$2:$G$875,3,FALSE)</f>
        <v>UND</v>
      </c>
      <c r="H107" s="74">
        <v>46083</v>
      </c>
      <c r="I107" s="75">
        <v>3</v>
      </c>
      <c r="J107" s="27"/>
      <c r="K107" s="70">
        <v>46098</v>
      </c>
      <c r="L107" s="67">
        <v>0</v>
      </c>
      <c r="M107" s="54">
        <v>46098</v>
      </c>
      <c r="N107" s="55">
        <v>0</v>
      </c>
      <c r="O107" s="70">
        <v>46098</v>
      </c>
      <c r="P107" s="71">
        <v>2</v>
      </c>
      <c r="Q107" s="36">
        <v>46098</v>
      </c>
      <c r="R107" s="26">
        <f>+I107+L107+N107-P107</f>
        <v>1</v>
      </c>
      <c r="S107" s="85">
        <v>46098</v>
      </c>
      <c r="T107" s="84">
        <v>1</v>
      </c>
      <c r="U107" s="27"/>
      <c r="V107" s="70"/>
      <c r="W107" s="67"/>
      <c r="X107" s="54"/>
      <c r="Y107" s="55"/>
      <c r="Z107" s="70"/>
      <c r="AA107" s="71"/>
      <c r="AB107" s="31"/>
      <c r="AC107" s="26">
        <f>+R107+W107+Y107-AA107</f>
        <v>1</v>
      </c>
      <c r="AD107" s="25"/>
      <c r="AE107" s="25"/>
      <c r="AF107" s="47">
        <v>10</v>
      </c>
      <c r="AG107" s="47">
        <v>2</v>
      </c>
      <c r="AH107" s="47" t="s">
        <v>251</v>
      </c>
      <c r="AI107" s="2" t="s">
        <v>467</v>
      </c>
    </row>
    <row r="108" spans="1:35" ht="28.2" customHeight="1" x14ac:dyDescent="0.3">
      <c r="A108" s="65">
        <v>105</v>
      </c>
      <c r="B108" s="25">
        <v>16</v>
      </c>
      <c r="C108" s="25">
        <v>45</v>
      </c>
      <c r="D108" s="25">
        <v>305</v>
      </c>
      <c r="E108" s="30" t="str">
        <f>CONCATENATE(B108,"-",C108,"-",D108)</f>
        <v>16-45-305</v>
      </c>
      <c r="F108" s="13" t="str">
        <f>VLOOKUP(E108,'LISTA ITEMS'!$E$2:$G$875,2,FALSE)</f>
        <v>CAJA DE ESTANCA 167X191X100 EV171 (IDE)</v>
      </c>
      <c r="G108" s="25" t="str">
        <f>VLOOKUP(E108,'LISTA ITEMS'!$E$2:$G$875,3,FALSE)</f>
        <v>UND</v>
      </c>
      <c r="H108" s="74">
        <v>46083</v>
      </c>
      <c r="I108" s="75">
        <v>11</v>
      </c>
      <c r="J108" s="27"/>
      <c r="K108" s="70">
        <v>46098</v>
      </c>
      <c r="L108" s="67">
        <v>0</v>
      </c>
      <c r="M108" s="54">
        <v>46098</v>
      </c>
      <c r="N108" s="55">
        <v>0</v>
      </c>
      <c r="O108" s="70">
        <v>46098</v>
      </c>
      <c r="P108" s="71">
        <v>0</v>
      </c>
      <c r="Q108" s="36">
        <v>46098</v>
      </c>
      <c r="R108" s="26">
        <f>+I108+L108+N108-P108</f>
        <v>11</v>
      </c>
      <c r="S108" s="85">
        <v>46098</v>
      </c>
      <c r="T108" s="84">
        <v>11</v>
      </c>
      <c r="U108" s="27"/>
      <c r="V108" s="70"/>
      <c r="W108" s="67"/>
      <c r="X108" s="54"/>
      <c r="Y108" s="55"/>
      <c r="Z108" s="70"/>
      <c r="AA108" s="71"/>
      <c r="AB108" s="31"/>
      <c r="AC108" s="26">
        <f>+R108+W108+Y108-AA108</f>
        <v>11</v>
      </c>
      <c r="AD108" s="25"/>
      <c r="AE108" s="25"/>
      <c r="AF108" s="48">
        <v>10</v>
      </c>
      <c r="AG108" s="48">
        <v>2</v>
      </c>
      <c r="AH108" s="48" t="s">
        <v>251</v>
      </c>
      <c r="AI108" s="2" t="s">
        <v>467</v>
      </c>
    </row>
    <row r="109" spans="1:35" ht="28.2" customHeight="1" x14ac:dyDescent="0.3">
      <c r="A109" s="65">
        <v>106</v>
      </c>
      <c r="B109" s="25">
        <v>9</v>
      </c>
      <c r="C109" s="25">
        <v>32</v>
      </c>
      <c r="D109" s="25">
        <v>306</v>
      </c>
      <c r="E109" s="30" t="str">
        <f>CONCATENATE(B109,"-",C109,"-",D109)</f>
        <v>9-32-306</v>
      </c>
      <c r="F109" s="13" t="str">
        <f>VLOOKUP(E109,'LISTA ITEMS'!$E$2:$G$875,2,FALSE)</f>
        <v>CURVA PVC M-40 GRIS TIPO B</v>
      </c>
      <c r="G109" s="25" t="str">
        <f>VLOOKUP(E109,'LISTA ITEMS'!$E$2:$G$875,3,FALSE)</f>
        <v>UND</v>
      </c>
      <c r="H109" s="74">
        <v>46083</v>
      </c>
      <c r="I109" s="75">
        <v>6</v>
      </c>
      <c r="J109" s="27"/>
      <c r="K109" s="70">
        <v>46098</v>
      </c>
      <c r="L109" s="67">
        <v>0</v>
      </c>
      <c r="M109" s="54">
        <v>46098</v>
      </c>
      <c r="N109" s="55">
        <v>0</v>
      </c>
      <c r="O109" s="70">
        <v>46098</v>
      </c>
      <c r="P109" s="71">
        <v>0</v>
      </c>
      <c r="Q109" s="36">
        <v>46098</v>
      </c>
      <c r="R109" s="26">
        <f>+I109+L109+N109-P109</f>
        <v>6</v>
      </c>
      <c r="S109" s="85">
        <v>46098</v>
      </c>
      <c r="T109" s="84">
        <v>4</v>
      </c>
      <c r="U109" s="27"/>
      <c r="V109" s="70"/>
      <c r="W109" s="67"/>
      <c r="X109" s="54"/>
      <c r="Y109" s="55"/>
      <c r="Z109" s="70"/>
      <c r="AA109" s="71"/>
      <c r="AB109" s="31"/>
      <c r="AC109" s="26">
        <f>+R109+W109+Y109-AA109</f>
        <v>6</v>
      </c>
      <c r="AD109" s="25"/>
      <c r="AE109" s="25"/>
      <c r="AF109" s="48">
        <v>10</v>
      </c>
      <c r="AG109" s="48">
        <v>2</v>
      </c>
      <c r="AH109" s="48" t="s">
        <v>251</v>
      </c>
      <c r="AI109" s="2" t="s">
        <v>467</v>
      </c>
    </row>
    <row r="110" spans="1:35" ht="44.4" customHeight="1" x14ac:dyDescent="0.3">
      <c r="A110" s="65">
        <v>107</v>
      </c>
      <c r="B110" s="25">
        <v>9</v>
      </c>
      <c r="C110" s="25">
        <v>32</v>
      </c>
      <c r="D110" s="25">
        <v>307</v>
      </c>
      <c r="E110" s="30" t="str">
        <f>CONCATENATE(B110,"-",C110,"-",D110)</f>
        <v>9-32-307</v>
      </c>
      <c r="F110" s="13" t="str">
        <f>VLOOKUP(E110,'LISTA ITEMS'!$E$2:$G$875,2,FALSE)</f>
        <v>CURVA PVC DN-20 GRIS (PEMSA)</v>
      </c>
      <c r="G110" s="25" t="str">
        <f>VLOOKUP(E110,'LISTA ITEMS'!$E$2:$G$875,3,FALSE)</f>
        <v>UND</v>
      </c>
      <c r="H110" s="74">
        <v>46083</v>
      </c>
      <c r="I110" s="75">
        <v>16</v>
      </c>
      <c r="J110" s="27"/>
      <c r="K110" s="70">
        <v>46098</v>
      </c>
      <c r="L110" s="67">
        <v>0</v>
      </c>
      <c r="M110" s="54">
        <v>46098</v>
      </c>
      <c r="N110" s="55">
        <v>0</v>
      </c>
      <c r="O110" s="70">
        <v>46098</v>
      </c>
      <c r="P110" s="71">
        <v>0</v>
      </c>
      <c r="Q110" s="36">
        <v>46098</v>
      </c>
      <c r="R110" s="26">
        <f>+I110+L110+N110-P110</f>
        <v>16</v>
      </c>
      <c r="S110" s="85">
        <v>46098</v>
      </c>
      <c r="T110" s="84">
        <v>16</v>
      </c>
      <c r="U110" s="27"/>
      <c r="V110" s="70"/>
      <c r="W110" s="67"/>
      <c r="X110" s="54"/>
      <c r="Y110" s="55"/>
      <c r="Z110" s="70"/>
      <c r="AA110" s="71"/>
      <c r="AB110" s="31"/>
      <c r="AC110" s="26">
        <f>+R110+W110+Y110-AA110</f>
        <v>16</v>
      </c>
      <c r="AD110" s="25"/>
      <c r="AE110" s="25"/>
      <c r="AF110" s="48">
        <v>10</v>
      </c>
      <c r="AG110" s="48">
        <v>2</v>
      </c>
      <c r="AH110" s="48" t="s">
        <v>251</v>
      </c>
      <c r="AI110" s="2" t="s">
        <v>467</v>
      </c>
    </row>
    <row r="111" spans="1:35" ht="28.2" customHeight="1" x14ac:dyDescent="0.3">
      <c r="A111" s="65">
        <v>108</v>
      </c>
      <c r="B111" s="25">
        <v>9</v>
      </c>
      <c r="C111" s="25">
        <v>32</v>
      </c>
      <c r="D111" s="25">
        <v>308</v>
      </c>
      <c r="E111" s="30" t="str">
        <f>CONCATENATE(B111,"-",C111,"-",D111)</f>
        <v>9-32-308</v>
      </c>
      <c r="F111" s="13" t="str">
        <f>VLOOKUP(E111,'LISTA ITEMS'!$E$2:$G$875,2,FALSE)</f>
        <v>CURVA PVC M-32 GRIS</v>
      </c>
      <c r="G111" s="25" t="str">
        <f>VLOOKUP(E111,'LISTA ITEMS'!$E$2:$G$875,3,FALSE)</f>
        <v>UND</v>
      </c>
      <c r="H111" s="74">
        <v>46083</v>
      </c>
      <c r="I111" s="75">
        <v>6</v>
      </c>
      <c r="J111" s="27"/>
      <c r="K111" s="70">
        <v>46098</v>
      </c>
      <c r="L111" s="67">
        <v>0</v>
      </c>
      <c r="M111" s="54">
        <v>46098</v>
      </c>
      <c r="N111" s="55">
        <v>20</v>
      </c>
      <c r="O111" s="70">
        <v>46098</v>
      </c>
      <c r="P111" s="71">
        <v>0</v>
      </c>
      <c r="Q111" s="36">
        <v>46098</v>
      </c>
      <c r="R111" s="26">
        <f>+I111+L111+N111-P111</f>
        <v>26</v>
      </c>
      <c r="S111" s="85">
        <v>46098</v>
      </c>
      <c r="T111" s="84">
        <v>30</v>
      </c>
      <c r="U111" s="27"/>
      <c r="V111" s="70"/>
      <c r="W111" s="67"/>
      <c r="X111" s="54"/>
      <c r="Y111" s="55"/>
      <c r="Z111" s="70"/>
      <c r="AA111" s="71"/>
      <c r="AB111" s="31"/>
      <c r="AC111" s="26">
        <f>+R111+W111+Y111-AA111</f>
        <v>26</v>
      </c>
      <c r="AD111" s="25"/>
      <c r="AE111" s="25"/>
      <c r="AF111" s="48">
        <v>10</v>
      </c>
      <c r="AG111" s="48">
        <v>2</v>
      </c>
      <c r="AH111" s="48" t="s">
        <v>251</v>
      </c>
      <c r="AI111" s="2" t="s">
        <v>467</v>
      </c>
    </row>
    <row r="112" spans="1:35" ht="28.8" x14ac:dyDescent="0.3">
      <c r="A112" s="65">
        <v>109</v>
      </c>
      <c r="B112" s="25">
        <v>16</v>
      </c>
      <c r="C112" s="25">
        <v>51</v>
      </c>
      <c r="D112" s="25">
        <v>309</v>
      </c>
      <c r="E112" s="30" t="str">
        <f>CONCATENATE(B112,"-",C112,"-",D112)</f>
        <v>16-51-309</v>
      </c>
      <c r="F112" s="13" t="str">
        <f>VLOOKUP(E112,'LISTA ITEMS'!$E$2:$G$875,2,FALSE)</f>
        <v>LIMITADOR/SOBRETENSIONES MONOFASICO EPS1 C/2 - 275-40 (MAXGE)</v>
      </c>
      <c r="G112" s="25" t="str">
        <f>VLOOKUP(E112,'LISTA ITEMS'!$E$2:$G$875,3,FALSE)</f>
        <v>UND</v>
      </c>
      <c r="H112" s="74">
        <v>46083</v>
      </c>
      <c r="I112" s="75">
        <v>9</v>
      </c>
      <c r="J112" s="27"/>
      <c r="K112" s="70">
        <v>46098</v>
      </c>
      <c r="L112" s="67">
        <v>0</v>
      </c>
      <c r="M112" s="54">
        <v>46098</v>
      </c>
      <c r="N112" s="55">
        <v>20</v>
      </c>
      <c r="O112" s="70">
        <v>46098</v>
      </c>
      <c r="P112" s="71">
        <v>2</v>
      </c>
      <c r="Q112" s="36">
        <v>46098</v>
      </c>
      <c r="R112" s="26">
        <f>+I112+L112+N112-P112</f>
        <v>27</v>
      </c>
      <c r="S112" s="85">
        <v>46098</v>
      </c>
      <c r="T112" s="84">
        <v>14</v>
      </c>
      <c r="U112" s="27"/>
      <c r="V112" s="70"/>
      <c r="W112" s="67"/>
      <c r="X112" s="54"/>
      <c r="Y112" s="55"/>
      <c r="Z112" s="70"/>
      <c r="AA112" s="71"/>
      <c r="AB112" s="31"/>
      <c r="AC112" s="26">
        <f>+R112+W112+Y112-AA112</f>
        <v>27</v>
      </c>
      <c r="AD112" s="25"/>
      <c r="AE112" s="25"/>
      <c r="AF112" s="48">
        <v>10</v>
      </c>
      <c r="AG112" s="48">
        <v>2</v>
      </c>
      <c r="AH112" s="48" t="s">
        <v>251</v>
      </c>
      <c r="AI112" s="2" t="s">
        <v>467</v>
      </c>
    </row>
    <row r="113" spans="1:35" ht="28.8" x14ac:dyDescent="0.3">
      <c r="A113" s="65">
        <v>110</v>
      </c>
      <c r="B113" s="25">
        <v>16</v>
      </c>
      <c r="C113" s="25">
        <v>51</v>
      </c>
      <c r="D113" s="25">
        <v>310</v>
      </c>
      <c r="E113" s="30" t="str">
        <f>CONCATENATE(B113,"-",C113,"-",D113)</f>
        <v>16-51-310</v>
      </c>
      <c r="F113" s="13" t="str">
        <f>VLOOKUP(E113,'LISTA ITEMS'!$E$2:$G$875,2,FALSE)</f>
        <v>LIMITADOR/SOBRETENSIONES CORRIENTE CONTINUA 2P/40HA 2.5KV (APARELEC)</v>
      </c>
      <c r="G113" s="25" t="str">
        <f>VLOOKUP(E113,'LISTA ITEMS'!$E$2:$G$875,3,FALSE)</f>
        <v>UND</v>
      </c>
      <c r="H113" s="74">
        <v>46083</v>
      </c>
      <c r="I113" s="75">
        <v>51</v>
      </c>
      <c r="J113" s="27"/>
      <c r="K113" s="70">
        <v>46098</v>
      </c>
      <c r="L113" s="67">
        <v>0</v>
      </c>
      <c r="M113" s="54">
        <v>46098</v>
      </c>
      <c r="N113" s="55">
        <v>0</v>
      </c>
      <c r="O113" s="70">
        <v>46098</v>
      </c>
      <c r="P113" s="71">
        <v>0</v>
      </c>
      <c r="Q113" s="36">
        <v>46098</v>
      </c>
      <c r="R113" s="26">
        <f>+I113+L113+N113-P113</f>
        <v>51</v>
      </c>
      <c r="S113" s="85">
        <v>46098</v>
      </c>
      <c r="T113" s="84">
        <v>49</v>
      </c>
      <c r="U113" s="27"/>
      <c r="V113" s="70"/>
      <c r="W113" s="67"/>
      <c r="X113" s="54"/>
      <c r="Y113" s="55"/>
      <c r="Z113" s="70"/>
      <c r="AA113" s="71"/>
      <c r="AB113" s="31"/>
      <c r="AC113" s="26">
        <f>+R113+W113+Y113-AA113</f>
        <v>51</v>
      </c>
      <c r="AD113" s="25"/>
      <c r="AE113" s="25"/>
      <c r="AF113" s="48">
        <v>10</v>
      </c>
      <c r="AG113" s="48">
        <v>2</v>
      </c>
      <c r="AH113" s="48" t="s">
        <v>251</v>
      </c>
      <c r="AI113" s="2" t="s">
        <v>467</v>
      </c>
    </row>
    <row r="114" spans="1:35" ht="28.8" x14ac:dyDescent="0.3">
      <c r="A114" s="65">
        <v>111</v>
      </c>
      <c r="B114" s="25">
        <v>16</v>
      </c>
      <c r="C114" s="25">
        <v>57</v>
      </c>
      <c r="D114" s="25">
        <v>311</v>
      </c>
      <c r="E114" s="30" t="str">
        <f>CONCATENATE(B114,"-",C114,"-",D114)</f>
        <v>16-57-311</v>
      </c>
      <c r="F114" s="13" t="str">
        <f>VLOOKUP(E114,'LISTA ITEMS'!$E$2:$G$875,2,FALSE)</f>
        <v>PROTECTOR ALTA TENSION FV1250/3S 1500V DC 5.2KV (TOSCANO VIGIVOLT)</v>
      </c>
      <c r="G114" s="25" t="str">
        <f>VLOOKUP(E114,'LISTA ITEMS'!$E$2:$G$875,3,FALSE)</f>
        <v>UND</v>
      </c>
      <c r="H114" s="74">
        <v>46083</v>
      </c>
      <c r="I114" s="75">
        <v>8</v>
      </c>
      <c r="J114" s="27"/>
      <c r="K114" s="70">
        <v>46098</v>
      </c>
      <c r="L114" s="67">
        <v>0</v>
      </c>
      <c r="M114" s="54">
        <v>46098</v>
      </c>
      <c r="N114" s="55">
        <v>0</v>
      </c>
      <c r="O114" s="70">
        <v>46098</v>
      </c>
      <c r="P114" s="71">
        <v>2</v>
      </c>
      <c r="Q114" s="36">
        <v>46098</v>
      </c>
      <c r="R114" s="26">
        <f>+I114+L114+N114-P114</f>
        <v>6</v>
      </c>
      <c r="S114" s="85">
        <v>46098</v>
      </c>
      <c r="T114" s="84">
        <v>8</v>
      </c>
      <c r="U114" s="27"/>
      <c r="V114" s="70"/>
      <c r="W114" s="67"/>
      <c r="X114" s="54"/>
      <c r="Y114" s="55"/>
      <c r="Z114" s="70"/>
      <c r="AA114" s="71"/>
      <c r="AB114" s="31"/>
      <c r="AC114" s="26">
        <f>+R114+W114+Y114-AA114</f>
        <v>6</v>
      </c>
      <c r="AD114" s="25"/>
      <c r="AE114" s="25"/>
      <c r="AF114" s="48">
        <v>10</v>
      </c>
      <c r="AG114" s="48">
        <v>2</v>
      </c>
      <c r="AH114" s="48" t="s">
        <v>251</v>
      </c>
      <c r="AI114" s="2" t="s">
        <v>467</v>
      </c>
    </row>
    <row r="115" spans="1:35" ht="43.2" x14ac:dyDescent="0.3">
      <c r="A115" s="65">
        <v>112</v>
      </c>
      <c r="B115" s="25">
        <v>16</v>
      </c>
      <c r="C115" s="25">
        <v>58</v>
      </c>
      <c r="D115" s="25">
        <v>312</v>
      </c>
      <c r="E115" s="89" t="str">
        <f>CONCATENATE(B115,"-",C115,"-",D115)</f>
        <v>16-58-312</v>
      </c>
      <c r="F115" s="13" t="str">
        <f>VLOOKUP(E115,'LISTA ITEMS'!$E$2:$G$875,2,FALSE)</f>
        <v>INTERRUPTOR DIFERENCIAL PROTECTOR PERSONA CONTRA DESCARGAS RX3 40A (LEGRAND)</v>
      </c>
      <c r="G115" s="25" t="str">
        <f>VLOOKUP(E115,'LISTA ITEMS'!$E$2:$G$875,3,FALSE)</f>
        <v>UND</v>
      </c>
      <c r="H115" s="74">
        <v>46083</v>
      </c>
      <c r="I115" s="75">
        <v>1</v>
      </c>
      <c r="J115" s="27"/>
      <c r="K115" s="70">
        <v>46098</v>
      </c>
      <c r="L115" s="67">
        <v>0</v>
      </c>
      <c r="M115" s="54">
        <v>46098</v>
      </c>
      <c r="N115" s="55">
        <v>0</v>
      </c>
      <c r="O115" s="70">
        <v>46098</v>
      </c>
      <c r="P115" s="71">
        <v>0</v>
      </c>
      <c r="Q115" s="36">
        <v>46098</v>
      </c>
      <c r="R115" s="26">
        <f>+I115+L115+N115-P115</f>
        <v>1</v>
      </c>
      <c r="S115" s="85"/>
      <c r="T115" s="84"/>
      <c r="U115" s="27"/>
      <c r="V115" s="70"/>
      <c r="W115" s="67"/>
      <c r="X115" s="54"/>
      <c r="Y115" s="55"/>
      <c r="Z115" s="70"/>
      <c r="AA115" s="71"/>
      <c r="AB115" s="31"/>
      <c r="AC115" s="26">
        <f>+R115+W115+Y115-AA115</f>
        <v>1</v>
      </c>
      <c r="AD115" s="25"/>
      <c r="AE115" s="25"/>
      <c r="AF115" s="119">
        <v>10</v>
      </c>
      <c r="AG115" s="119">
        <v>2</v>
      </c>
      <c r="AH115" s="119" t="s">
        <v>251</v>
      </c>
    </row>
    <row r="116" spans="1:35" ht="43.2" x14ac:dyDescent="0.3">
      <c r="A116" s="65">
        <v>113</v>
      </c>
      <c r="B116" s="25">
        <v>16</v>
      </c>
      <c r="C116" s="25">
        <v>58</v>
      </c>
      <c r="D116" s="25">
        <v>313</v>
      </c>
      <c r="E116" s="30" t="str">
        <f>CONCATENATE(B116,"-",C116,"-",D116)</f>
        <v>16-58-313</v>
      </c>
      <c r="F116" s="13" t="str">
        <f>VLOOKUP(E116,'LISTA ITEMS'!$E$2:$G$875,2,FALSE)</f>
        <v>INTERRUPTOR DIFERENCIAL PROTECTOR PERSONA CONTRA DESCARGAS CDC 748m 40A (HAGER)</v>
      </c>
      <c r="G116" s="25" t="str">
        <f>VLOOKUP(E116,'LISTA ITEMS'!$E$2:$G$875,3,FALSE)</f>
        <v>UND</v>
      </c>
      <c r="H116" s="74">
        <v>46083</v>
      </c>
      <c r="I116" s="75">
        <v>1</v>
      </c>
      <c r="J116" s="27"/>
      <c r="K116" s="70">
        <v>46098</v>
      </c>
      <c r="L116" s="67">
        <v>0</v>
      </c>
      <c r="M116" s="54">
        <v>46098</v>
      </c>
      <c r="N116" s="55">
        <v>0</v>
      </c>
      <c r="O116" s="70">
        <v>46098</v>
      </c>
      <c r="P116" s="71">
        <v>0</v>
      </c>
      <c r="Q116" s="36">
        <v>46098</v>
      </c>
      <c r="R116" s="26">
        <f>+I116+L116+N116-P116</f>
        <v>1</v>
      </c>
      <c r="S116" s="85">
        <v>46098</v>
      </c>
      <c r="T116" s="84">
        <v>1</v>
      </c>
      <c r="U116" s="27"/>
      <c r="V116" s="70"/>
      <c r="W116" s="67"/>
      <c r="X116" s="54"/>
      <c r="Y116" s="55"/>
      <c r="Z116" s="70"/>
      <c r="AA116" s="71"/>
      <c r="AB116" s="31"/>
      <c r="AC116" s="26">
        <f>+R116+W116+Y116-AA116</f>
        <v>1</v>
      </c>
      <c r="AD116" s="25"/>
      <c r="AE116" s="25"/>
      <c r="AF116" s="48">
        <v>10</v>
      </c>
      <c r="AG116" s="48">
        <v>2</v>
      </c>
      <c r="AH116" s="48" t="s">
        <v>251</v>
      </c>
      <c r="AI116" s="2" t="s">
        <v>467</v>
      </c>
    </row>
    <row r="117" spans="1:35" ht="24" customHeight="1" x14ac:dyDescent="0.3">
      <c r="A117" s="65">
        <v>114</v>
      </c>
      <c r="B117" s="25">
        <v>16</v>
      </c>
      <c r="C117" s="25">
        <v>50</v>
      </c>
      <c r="D117" s="25">
        <v>314</v>
      </c>
      <c r="E117" s="30" t="str">
        <f>CONCATENATE(B117,"-",C117,"-",D117)</f>
        <v>16-50-314</v>
      </c>
      <c r="F117" s="13" t="str">
        <f>VLOOKUP(E117,'LISTA ITEMS'!$E$2:$G$875,2,FALSE)</f>
        <v>FUSIBLE MG10PV32A (MAXGE)</v>
      </c>
      <c r="G117" s="25" t="str">
        <f>VLOOKUP(E117,'LISTA ITEMS'!$E$2:$G$875,3,FALSE)</f>
        <v>UND</v>
      </c>
      <c r="H117" s="74">
        <v>46083</v>
      </c>
      <c r="I117" s="75">
        <v>23</v>
      </c>
      <c r="J117" s="27"/>
      <c r="K117" s="70">
        <v>46098</v>
      </c>
      <c r="L117" s="67">
        <v>0</v>
      </c>
      <c r="M117" s="54">
        <v>46098</v>
      </c>
      <c r="N117" s="55">
        <v>0</v>
      </c>
      <c r="O117" s="70">
        <v>46098</v>
      </c>
      <c r="P117" s="71">
        <v>10</v>
      </c>
      <c r="Q117" s="36">
        <v>46098</v>
      </c>
      <c r="R117" s="26">
        <f>+I117+L117+N117-P117</f>
        <v>13</v>
      </c>
      <c r="S117" s="85">
        <v>46098</v>
      </c>
      <c r="T117" s="84">
        <v>20</v>
      </c>
      <c r="U117" s="27"/>
      <c r="V117" s="70"/>
      <c r="W117" s="67"/>
      <c r="X117" s="54"/>
      <c r="Y117" s="55"/>
      <c r="Z117" s="70"/>
      <c r="AA117" s="71"/>
      <c r="AB117" s="31"/>
      <c r="AC117" s="26">
        <f>+R117+W117+Y117-AA117</f>
        <v>13</v>
      </c>
      <c r="AD117" s="25"/>
      <c r="AE117" s="25"/>
      <c r="AF117" s="48">
        <v>10</v>
      </c>
      <c r="AG117" s="48">
        <v>2</v>
      </c>
      <c r="AH117" s="48" t="s">
        <v>251</v>
      </c>
    </row>
    <row r="118" spans="1:35" ht="30.6" customHeight="1" x14ac:dyDescent="0.3">
      <c r="A118" s="65">
        <v>115</v>
      </c>
      <c r="B118" s="25">
        <v>7</v>
      </c>
      <c r="C118" s="25">
        <v>54</v>
      </c>
      <c r="D118" s="25">
        <v>323</v>
      </c>
      <c r="E118" s="89" t="str">
        <f>CONCATENATE(B118,"-",C118,"-",D118)</f>
        <v>7-54-323</v>
      </c>
      <c r="F118" s="13" t="str">
        <f>VLOOKUP(E118,'LISTA ITEMS'!$E$2:$G$875,2,FALSE)</f>
        <v>BATERIA LPF LITHIUM B3 48V 3.6kWh (DYNESS)</v>
      </c>
      <c r="G118" s="25" t="str">
        <f>VLOOKUP(E118,'LISTA ITEMS'!$E$2:$G$875,3,FALSE)</f>
        <v>UND</v>
      </c>
      <c r="H118" s="74">
        <v>46083</v>
      </c>
      <c r="I118" s="75">
        <v>1</v>
      </c>
      <c r="J118" s="27"/>
      <c r="K118" s="70">
        <v>46098</v>
      </c>
      <c r="L118" s="67">
        <v>0</v>
      </c>
      <c r="M118" s="54">
        <v>46098</v>
      </c>
      <c r="N118" s="55">
        <v>1</v>
      </c>
      <c r="O118" s="70">
        <v>46098</v>
      </c>
      <c r="P118" s="71">
        <v>1</v>
      </c>
      <c r="Q118" s="36">
        <v>46098</v>
      </c>
      <c r="R118" s="26">
        <f>+I118+L118+N118-P118</f>
        <v>1</v>
      </c>
      <c r="S118" s="85"/>
      <c r="T118" s="84"/>
      <c r="U118" s="27"/>
      <c r="V118" s="70"/>
      <c r="W118" s="67"/>
      <c r="X118" s="54"/>
      <c r="Y118" s="55"/>
      <c r="Z118" s="70"/>
      <c r="AA118" s="71"/>
      <c r="AB118" s="31"/>
      <c r="AC118" s="26">
        <f>+R118+W118+Y118-AA118</f>
        <v>1</v>
      </c>
      <c r="AD118" s="25" t="s">
        <v>463</v>
      </c>
      <c r="AE118" s="25" t="s">
        <v>9</v>
      </c>
      <c r="AF118" s="110">
        <v>6</v>
      </c>
      <c r="AG118" s="110" t="s">
        <v>119</v>
      </c>
      <c r="AH118" s="110" t="s">
        <v>316</v>
      </c>
    </row>
    <row r="119" spans="1:35" ht="28.8" x14ac:dyDescent="0.3">
      <c r="A119" s="65">
        <v>116</v>
      </c>
      <c r="B119" s="25">
        <v>7</v>
      </c>
      <c r="C119" s="25">
        <v>35</v>
      </c>
      <c r="D119" s="25">
        <v>327</v>
      </c>
      <c r="E119" s="89" t="str">
        <f>CONCATENATE(B119,"-",C119,"-",D119)</f>
        <v>7-35-327</v>
      </c>
      <c r="F119" s="13" t="str">
        <f>VLOOKUP(E119,'LISTA ITEMS'!$E$2:$G$875,2,FALSE)</f>
        <v xml:space="preserve">INVERSOR 48/5000/70-50-230V MULTIPLUS (VICTROM ENERGY)  </v>
      </c>
      <c r="G119" s="25" t="str">
        <f>VLOOKUP(E119,'LISTA ITEMS'!$E$2:$G$875,3,FALSE)</f>
        <v>UND</v>
      </c>
      <c r="H119" s="74">
        <v>46083</v>
      </c>
      <c r="I119" s="75">
        <v>1</v>
      </c>
      <c r="J119" s="27"/>
      <c r="K119" s="70">
        <v>46098</v>
      </c>
      <c r="L119" s="67">
        <v>0</v>
      </c>
      <c r="M119" s="54">
        <v>46098</v>
      </c>
      <c r="N119" s="55">
        <v>1</v>
      </c>
      <c r="O119" s="70">
        <v>46098</v>
      </c>
      <c r="P119" s="71">
        <v>2</v>
      </c>
      <c r="Q119" s="36">
        <v>46098</v>
      </c>
      <c r="R119" s="26">
        <f>+I119+L119+N119-P119</f>
        <v>0</v>
      </c>
      <c r="S119" s="85"/>
      <c r="T119" s="84"/>
      <c r="U119" s="27"/>
      <c r="V119" s="70"/>
      <c r="W119" s="67"/>
      <c r="X119" s="54"/>
      <c r="Y119" s="55"/>
      <c r="Z119" s="70"/>
      <c r="AA119" s="71"/>
      <c r="AB119" s="31"/>
      <c r="AC119" s="26">
        <f>+R119+W119+Y119-AA119</f>
        <v>0</v>
      </c>
      <c r="AD119" s="78" t="s">
        <v>461</v>
      </c>
      <c r="AE119" s="51" t="s">
        <v>429</v>
      </c>
      <c r="AF119" s="119">
        <v>8</v>
      </c>
      <c r="AG119" s="119">
        <v>3</v>
      </c>
      <c r="AH119" s="119" t="s">
        <v>311</v>
      </c>
    </row>
    <row r="120" spans="1:35" ht="28.8" x14ac:dyDescent="0.3">
      <c r="A120" s="65">
        <v>117</v>
      </c>
      <c r="B120" s="25">
        <v>10</v>
      </c>
      <c r="C120" s="25">
        <v>42</v>
      </c>
      <c r="D120" s="25">
        <v>329</v>
      </c>
      <c r="E120" s="89" t="str">
        <f>CONCATENATE(B120,"-",C120,"-",D120)</f>
        <v>10-42-329</v>
      </c>
      <c r="F120" s="13" t="str">
        <f>VLOOKUP(E120,'LISTA ITEMS'!$E$2:$G$875,2,FALSE)</f>
        <v>PATA ALUMINIO PARA ESTRUCTURA PLACA SOLAR VELA ANGULO 15º</v>
      </c>
      <c r="G120" s="25" t="str">
        <f>VLOOKUP(E120,'LISTA ITEMS'!$E$2:$G$875,3,FALSE)</f>
        <v>UND</v>
      </c>
      <c r="H120" s="74">
        <v>46083</v>
      </c>
      <c r="I120" s="75">
        <v>-8</v>
      </c>
      <c r="J120" s="27"/>
      <c r="K120" s="70">
        <v>46098</v>
      </c>
      <c r="L120" s="67">
        <v>0</v>
      </c>
      <c r="M120" s="54">
        <v>46098</v>
      </c>
      <c r="N120" s="55">
        <v>0</v>
      </c>
      <c r="O120" s="70">
        <v>46098</v>
      </c>
      <c r="P120" s="71">
        <v>0</v>
      </c>
      <c r="Q120" s="36">
        <v>46098</v>
      </c>
      <c r="R120" s="26">
        <f>+I120+L120+N120-P120</f>
        <v>-8</v>
      </c>
      <c r="S120" s="85"/>
      <c r="T120" s="84"/>
      <c r="U120" s="27"/>
      <c r="V120" s="70"/>
      <c r="W120" s="67"/>
      <c r="X120" s="54"/>
      <c r="Y120" s="55"/>
      <c r="Z120" s="70"/>
      <c r="AA120" s="71"/>
      <c r="AB120" s="31"/>
      <c r="AC120" s="26">
        <f>+R120+W120+Y120-AA120</f>
        <v>-8</v>
      </c>
      <c r="AD120" s="25"/>
      <c r="AE120" s="25" t="s">
        <v>9</v>
      </c>
      <c r="AF120" s="77" t="s">
        <v>119</v>
      </c>
      <c r="AG120" s="77" t="s">
        <v>119</v>
      </c>
      <c r="AH120" s="77" t="s">
        <v>119</v>
      </c>
    </row>
    <row r="121" spans="1:35" ht="28.8" x14ac:dyDescent="0.3">
      <c r="A121" s="65">
        <v>118</v>
      </c>
      <c r="B121" s="25">
        <v>4</v>
      </c>
      <c r="C121" s="25">
        <v>15</v>
      </c>
      <c r="D121" s="25">
        <v>326</v>
      </c>
      <c r="E121" s="89" t="str">
        <f>CONCATENATE(B121,"-",C121,"-",D121)</f>
        <v>4-15-326</v>
      </c>
      <c r="F121" s="13" t="str">
        <f>VLOOKUP(E121,'LISTA ITEMS'!$E$2:$G$875,2,FALSE)</f>
        <v>BARRA PERFORADA PARA REFUERZO 27x18x2MT GALV.</v>
      </c>
      <c r="G121" s="25" t="str">
        <f>VLOOKUP(E121,'LISTA ITEMS'!$E$2:$G$875,3,FALSE)</f>
        <v>UND</v>
      </c>
      <c r="H121" s="74">
        <v>46083</v>
      </c>
      <c r="I121" s="75">
        <v>10</v>
      </c>
      <c r="J121" s="27"/>
      <c r="K121" s="70">
        <v>46098</v>
      </c>
      <c r="L121" s="67">
        <v>14</v>
      </c>
      <c r="M121" s="54">
        <v>46098</v>
      </c>
      <c r="N121" s="55">
        <v>0</v>
      </c>
      <c r="O121" s="70">
        <v>46098</v>
      </c>
      <c r="P121" s="71">
        <v>43</v>
      </c>
      <c r="Q121" s="36">
        <v>46098</v>
      </c>
      <c r="R121" s="26">
        <f>+I121+L121+N121-P121</f>
        <v>-19</v>
      </c>
      <c r="S121" s="85"/>
      <c r="T121" s="84"/>
      <c r="U121" s="27"/>
      <c r="V121" s="70"/>
      <c r="W121" s="67"/>
      <c r="X121" s="54"/>
      <c r="Y121" s="55"/>
      <c r="Z121" s="70"/>
      <c r="AA121" s="71"/>
      <c r="AB121" s="31"/>
      <c r="AC121" s="26">
        <f>+R121+W121+Y121-AA121</f>
        <v>-19</v>
      </c>
      <c r="AD121" s="25"/>
      <c r="AE121" s="25"/>
      <c r="AF121" s="77">
        <v>8</v>
      </c>
      <c r="AG121" s="77">
        <v>2</v>
      </c>
      <c r="AH121" s="77" t="s">
        <v>252</v>
      </c>
    </row>
    <row r="122" spans="1:35" ht="21.6" customHeight="1" x14ac:dyDescent="0.3">
      <c r="A122" s="65">
        <v>119</v>
      </c>
      <c r="B122" s="25">
        <v>3</v>
      </c>
      <c r="C122" s="25">
        <v>31</v>
      </c>
      <c r="D122" s="25">
        <v>277</v>
      </c>
      <c r="E122" s="30" t="str">
        <f>CONCATENATE(B122,"-",C122,"-",D122)</f>
        <v>3-31-277</v>
      </c>
      <c r="F122" s="13" t="str">
        <f>VLOOKUP(E122,'LISTA ITEMS'!$E$2:$G$875,2,FALSE)</f>
        <v>CABLE Nª 6 P/PLACA SOLAR NEGRO</v>
      </c>
      <c r="G122" s="25" t="str">
        <f>VLOOKUP(E122,'LISTA ITEMS'!$E$2:$G$875,3,FALSE)</f>
        <v>MT</v>
      </c>
      <c r="H122" s="74">
        <v>46083</v>
      </c>
      <c r="I122" s="75">
        <v>-236</v>
      </c>
      <c r="J122" s="27"/>
      <c r="K122" s="70">
        <v>46098</v>
      </c>
      <c r="L122" s="67">
        <v>159</v>
      </c>
      <c r="M122" s="54">
        <v>46098</v>
      </c>
      <c r="N122" s="55">
        <v>0</v>
      </c>
      <c r="O122" s="70">
        <v>46098</v>
      </c>
      <c r="P122" s="71">
        <v>428</v>
      </c>
      <c r="Q122" s="36">
        <v>46098</v>
      </c>
      <c r="R122" s="26">
        <f>+I122+L122+N122-P122</f>
        <v>-505</v>
      </c>
      <c r="S122" s="85">
        <v>46098</v>
      </c>
      <c r="T122" s="84">
        <v>100</v>
      </c>
      <c r="U122" s="27"/>
      <c r="V122" s="70"/>
      <c r="W122" s="67"/>
      <c r="X122" s="54"/>
      <c r="Y122" s="55"/>
      <c r="Z122" s="70"/>
      <c r="AA122" s="71"/>
      <c r="AB122" s="31"/>
      <c r="AC122" s="26">
        <f>+R122+W122+Y122-AA122</f>
        <v>-505</v>
      </c>
      <c r="AD122" s="25"/>
      <c r="AE122" s="25"/>
      <c r="AF122" s="48">
        <v>10</v>
      </c>
      <c r="AG122" s="48" t="s">
        <v>370</v>
      </c>
      <c r="AH122" s="48" t="s">
        <v>316</v>
      </c>
    </row>
    <row r="123" spans="1:35" ht="21.6" customHeight="1" x14ac:dyDescent="0.3">
      <c r="A123" s="65">
        <v>120</v>
      </c>
      <c r="B123" s="25">
        <v>3</v>
      </c>
      <c r="C123" s="25">
        <v>31</v>
      </c>
      <c r="D123" s="25">
        <v>278</v>
      </c>
      <c r="E123" s="30" t="str">
        <f>CONCATENATE(B123,"-",C123,"-",D123)</f>
        <v>3-31-278</v>
      </c>
      <c r="F123" s="13" t="str">
        <f>VLOOKUP(E123,'LISTA ITEMS'!$E$2:$G$875,2,FALSE)</f>
        <v>CABLE Nª 6 P/PLACA SOLAR ROJO</v>
      </c>
      <c r="G123" s="25" t="str">
        <f>VLOOKUP(E123,'LISTA ITEMS'!$E$2:$G$875,3,FALSE)</f>
        <v>MT</v>
      </c>
      <c r="H123" s="74">
        <v>46083</v>
      </c>
      <c r="I123" s="75">
        <v>-115</v>
      </c>
      <c r="J123" s="27"/>
      <c r="K123" s="70">
        <v>46098</v>
      </c>
      <c r="L123" s="67">
        <v>150</v>
      </c>
      <c r="M123" s="54">
        <v>46098</v>
      </c>
      <c r="N123" s="55">
        <v>0</v>
      </c>
      <c r="O123" s="70">
        <v>46098</v>
      </c>
      <c r="P123" s="71">
        <v>400</v>
      </c>
      <c r="Q123" s="36">
        <v>46098</v>
      </c>
      <c r="R123" s="26">
        <f>+I123+L123+N123-P123</f>
        <v>-365</v>
      </c>
      <c r="S123" s="85">
        <v>46098</v>
      </c>
      <c r="T123" s="84">
        <v>150</v>
      </c>
      <c r="U123" s="27"/>
      <c r="V123" s="70"/>
      <c r="W123" s="67"/>
      <c r="X123" s="54"/>
      <c r="Y123" s="55"/>
      <c r="Z123" s="70"/>
      <c r="AA123" s="71"/>
      <c r="AB123" s="31"/>
      <c r="AC123" s="26">
        <f>+R123+W123+Y123-AA123</f>
        <v>-365</v>
      </c>
      <c r="AD123" s="25"/>
      <c r="AE123" s="25"/>
      <c r="AF123" s="48">
        <v>10</v>
      </c>
      <c r="AG123" s="48" t="s">
        <v>370</v>
      </c>
      <c r="AH123" s="48" t="s">
        <v>316</v>
      </c>
    </row>
    <row r="124" spans="1:35" ht="28.8" x14ac:dyDescent="0.3">
      <c r="A124" s="65">
        <v>121</v>
      </c>
      <c r="B124" s="25">
        <v>16</v>
      </c>
      <c r="C124" s="25">
        <v>45</v>
      </c>
      <c r="D124" s="25">
        <v>275</v>
      </c>
      <c r="E124" s="89" t="str">
        <f>CONCATENATE(B124,"-",C124,"-",D124)</f>
        <v>16-45-275</v>
      </c>
      <c r="F124" s="13" t="str">
        <f>VLOOKUP(E124,'LISTA ITEMS'!$E$2:$G$875,2,FALSE)</f>
        <v>CAJA DISTRIBUCION INTERIOR 18 ELEM. (SOLERA)</v>
      </c>
      <c r="G124" s="25" t="str">
        <f>VLOOKUP(E124,'LISTA ITEMS'!$E$2:$G$875,3,FALSE)</f>
        <v>UND</v>
      </c>
      <c r="H124" s="74">
        <v>46083</v>
      </c>
      <c r="I124" s="75">
        <v>5</v>
      </c>
      <c r="J124" s="27"/>
      <c r="K124" s="70">
        <v>46098</v>
      </c>
      <c r="L124" s="67">
        <v>0</v>
      </c>
      <c r="M124" s="54">
        <v>46098</v>
      </c>
      <c r="N124" s="55">
        <v>10</v>
      </c>
      <c r="O124" s="70">
        <v>46098</v>
      </c>
      <c r="P124" s="71">
        <v>3</v>
      </c>
      <c r="Q124" s="36">
        <v>46098</v>
      </c>
      <c r="R124" s="26">
        <f>+I124+L124+N124-P124</f>
        <v>12</v>
      </c>
      <c r="S124" s="85"/>
      <c r="T124" s="84"/>
      <c r="U124" s="27"/>
      <c r="V124" s="70"/>
      <c r="W124" s="67"/>
      <c r="X124" s="54"/>
      <c r="Y124" s="55"/>
      <c r="Z124" s="70"/>
      <c r="AA124" s="71"/>
      <c r="AB124" s="31"/>
      <c r="AC124" s="26">
        <f>+R124+W124+Y124-AA124</f>
        <v>12</v>
      </c>
      <c r="AD124" s="25"/>
      <c r="AE124" s="25"/>
      <c r="AF124" s="110">
        <v>8</v>
      </c>
      <c r="AG124" s="110">
        <v>3</v>
      </c>
      <c r="AH124" s="110" t="s">
        <v>251</v>
      </c>
    </row>
    <row r="125" spans="1:35" ht="26.4" customHeight="1" x14ac:dyDescent="0.3">
      <c r="A125" s="65">
        <v>122</v>
      </c>
      <c r="B125" s="25">
        <v>16</v>
      </c>
      <c r="C125" s="25">
        <v>45</v>
      </c>
      <c r="D125" s="25">
        <v>317</v>
      </c>
      <c r="E125" s="89" t="str">
        <f>CONCATENATE(B125,"-",C125,"-",D125)</f>
        <v>16-45-317</v>
      </c>
      <c r="F125" s="13" t="str">
        <f>VLOOKUP(E125,'LISTA ITEMS'!$E$2:$G$875,2,FALSE)</f>
        <v>CAJA DISTRIBUCION INTERIOR 8 ELEM. (SOLERA)</v>
      </c>
      <c r="G125" s="25" t="str">
        <f>VLOOKUP(E125,'LISTA ITEMS'!$E$2:$G$875,3,FALSE)</f>
        <v>UND</v>
      </c>
      <c r="H125" s="74">
        <v>46083</v>
      </c>
      <c r="I125" s="75">
        <v>16</v>
      </c>
      <c r="J125" s="27"/>
      <c r="K125" s="70">
        <v>46098</v>
      </c>
      <c r="L125" s="67">
        <v>0</v>
      </c>
      <c r="M125" s="54">
        <v>46098</v>
      </c>
      <c r="N125" s="55">
        <v>0</v>
      </c>
      <c r="O125" s="70">
        <v>46098</v>
      </c>
      <c r="P125" s="71">
        <v>1</v>
      </c>
      <c r="Q125" s="36">
        <v>46098</v>
      </c>
      <c r="R125" s="26">
        <f>+I125+L125+N125-P125</f>
        <v>15</v>
      </c>
      <c r="S125" s="85"/>
      <c r="T125" s="84"/>
      <c r="U125" s="27"/>
      <c r="V125" s="70"/>
      <c r="W125" s="67"/>
      <c r="X125" s="54"/>
      <c r="Y125" s="55"/>
      <c r="Z125" s="70"/>
      <c r="AA125" s="71"/>
      <c r="AB125" s="31"/>
      <c r="AC125" s="26">
        <f>+R125+W125+Y125-AA125</f>
        <v>15</v>
      </c>
      <c r="AD125" s="25"/>
      <c r="AE125" s="25"/>
      <c r="AF125" s="110">
        <v>8</v>
      </c>
      <c r="AG125" s="110">
        <v>3</v>
      </c>
      <c r="AH125" s="110" t="s">
        <v>251</v>
      </c>
    </row>
    <row r="126" spans="1:35" ht="26.4" customHeight="1" x14ac:dyDescent="0.3">
      <c r="A126" s="65">
        <v>123</v>
      </c>
      <c r="B126" s="25">
        <v>16</v>
      </c>
      <c r="C126" s="25">
        <v>59</v>
      </c>
      <c r="D126" s="25">
        <v>322</v>
      </c>
      <c r="E126" s="89" t="str">
        <f>CONCATENATE(B126,"-",C126,"-",D126)</f>
        <v>16-59-322</v>
      </c>
      <c r="F126" s="13" t="str">
        <f>VLOOKUP(E126,'LISTA ITEMS'!$E$2:$G$875,2,FALSE)</f>
        <v>CLAVIJA CAUCHO NEGRA 10/16A</v>
      </c>
      <c r="G126" s="25" t="str">
        <f>VLOOKUP(E126,'LISTA ITEMS'!$E$2:$G$875,3,FALSE)</f>
        <v>UND</v>
      </c>
      <c r="H126" s="74">
        <v>46083</v>
      </c>
      <c r="I126" s="75">
        <v>0</v>
      </c>
      <c r="J126" s="27"/>
      <c r="K126" s="70">
        <v>46098</v>
      </c>
      <c r="L126" s="67">
        <v>0</v>
      </c>
      <c r="M126" s="54">
        <v>46098</v>
      </c>
      <c r="N126" s="55">
        <v>0</v>
      </c>
      <c r="O126" s="70">
        <v>46098</v>
      </c>
      <c r="P126" s="71">
        <v>0</v>
      </c>
      <c r="Q126" s="36">
        <v>46098</v>
      </c>
      <c r="R126" s="26">
        <f>+I126+L126+N126-P126</f>
        <v>0</v>
      </c>
      <c r="S126" s="85"/>
      <c r="T126" s="84"/>
      <c r="U126" s="27"/>
      <c r="V126" s="70"/>
      <c r="W126" s="67"/>
      <c r="X126" s="54"/>
      <c r="Y126" s="55"/>
      <c r="Z126" s="70"/>
      <c r="AA126" s="71"/>
      <c r="AB126" s="31"/>
      <c r="AC126" s="26">
        <f>+R126+W126+Y126-AA126</f>
        <v>0</v>
      </c>
      <c r="AD126" s="25"/>
      <c r="AE126" s="25"/>
      <c r="AF126" s="119">
        <v>7</v>
      </c>
      <c r="AG126" s="119">
        <v>4</v>
      </c>
      <c r="AH126" s="119" t="s">
        <v>339</v>
      </c>
    </row>
    <row r="127" spans="1:35" ht="28.8" x14ac:dyDescent="0.3">
      <c r="A127" s="65">
        <v>124</v>
      </c>
      <c r="B127" s="25">
        <v>16</v>
      </c>
      <c r="C127" s="25">
        <v>61</v>
      </c>
      <c r="D127" s="25">
        <v>331</v>
      </c>
      <c r="E127" s="30" t="str">
        <f>CONCATENATE(B127,"-",C127,"-",D127)</f>
        <v>16-61-331</v>
      </c>
      <c r="F127" s="13" t="str">
        <f>VLOOKUP(E127,'LISTA ITEMS'!$E$2:$G$875,2,FALSE)</f>
        <v>CONECTOR FOTOVOLTAICO HEMBRA M4 NEGRO</v>
      </c>
      <c r="G127" s="25" t="str">
        <f>VLOOKUP(E127,'LISTA ITEMS'!$E$2:$G$875,3,FALSE)</f>
        <v>UND</v>
      </c>
      <c r="H127" s="74">
        <v>46083</v>
      </c>
      <c r="I127" s="75">
        <v>142</v>
      </c>
      <c r="J127" s="27"/>
      <c r="K127" s="70">
        <v>46098</v>
      </c>
      <c r="L127" s="67">
        <v>14</v>
      </c>
      <c r="M127" s="54">
        <v>46098</v>
      </c>
      <c r="N127" s="55">
        <v>0</v>
      </c>
      <c r="O127" s="70">
        <v>46098</v>
      </c>
      <c r="P127" s="71">
        <v>57</v>
      </c>
      <c r="Q127" s="36">
        <v>46098</v>
      </c>
      <c r="R127" s="26">
        <f>+I127+L127+N127-P127</f>
        <v>99</v>
      </c>
      <c r="S127" s="85">
        <v>46098</v>
      </c>
      <c r="T127" s="84">
        <v>73</v>
      </c>
      <c r="U127" s="27"/>
      <c r="V127" s="70"/>
      <c r="W127" s="67"/>
      <c r="X127" s="54"/>
      <c r="Y127" s="55"/>
      <c r="Z127" s="70"/>
      <c r="AA127" s="71"/>
      <c r="AB127" s="31"/>
      <c r="AC127" s="26">
        <f>+R127+W127+Y127-AA127</f>
        <v>99</v>
      </c>
      <c r="AD127" s="25"/>
      <c r="AE127" s="25"/>
      <c r="AF127" s="48">
        <v>10</v>
      </c>
      <c r="AG127" s="48">
        <v>2</v>
      </c>
      <c r="AH127" s="48" t="s">
        <v>349</v>
      </c>
      <c r="AI127" s="2" t="s">
        <v>467</v>
      </c>
    </row>
    <row r="128" spans="1:35" ht="28.8" x14ac:dyDescent="0.3">
      <c r="A128" s="65">
        <v>125</v>
      </c>
      <c r="B128" s="25">
        <v>16</v>
      </c>
      <c r="C128" s="25">
        <v>61</v>
      </c>
      <c r="D128" s="25">
        <v>332</v>
      </c>
      <c r="E128" s="30" t="str">
        <f>CONCATENATE(B128,"-",C128,"-",D128)</f>
        <v>16-61-332</v>
      </c>
      <c r="F128" s="13" t="str">
        <f>VLOOKUP(E128,'LISTA ITEMS'!$E$2:$G$875,2,FALSE)</f>
        <v>CONECTOR FOTOVOLTAICO MACHO M4 NEGRO</v>
      </c>
      <c r="G128" s="25" t="str">
        <f>VLOOKUP(E128,'LISTA ITEMS'!$E$2:$G$875,3,FALSE)</f>
        <v>UND</v>
      </c>
      <c r="H128" s="74">
        <v>46083</v>
      </c>
      <c r="I128" s="75">
        <v>100</v>
      </c>
      <c r="J128" s="27"/>
      <c r="K128" s="70">
        <v>46098</v>
      </c>
      <c r="L128" s="67">
        <v>14</v>
      </c>
      <c r="M128" s="54">
        <v>46098</v>
      </c>
      <c r="N128" s="55">
        <v>0</v>
      </c>
      <c r="O128" s="70">
        <v>46098</v>
      </c>
      <c r="P128" s="71">
        <v>67</v>
      </c>
      <c r="Q128" s="36">
        <v>46098</v>
      </c>
      <c r="R128" s="26">
        <f>+I128+L128+N128-P128</f>
        <v>47</v>
      </c>
      <c r="S128" s="85">
        <v>46098</v>
      </c>
      <c r="T128" s="84">
        <v>38</v>
      </c>
      <c r="U128" s="27"/>
      <c r="V128" s="70"/>
      <c r="W128" s="67"/>
      <c r="X128" s="54"/>
      <c r="Y128" s="55"/>
      <c r="Z128" s="70"/>
      <c r="AA128" s="71"/>
      <c r="AB128" s="31"/>
      <c r="AC128" s="26">
        <f>+R128+W128+Y128-AA128</f>
        <v>47</v>
      </c>
      <c r="AD128" s="25"/>
      <c r="AE128" s="25"/>
      <c r="AF128" s="48">
        <v>10</v>
      </c>
      <c r="AG128" s="48">
        <v>2</v>
      </c>
      <c r="AH128" s="48" t="s">
        <v>349</v>
      </c>
      <c r="AI128" s="2" t="s">
        <v>467</v>
      </c>
    </row>
    <row r="129" spans="1:35" ht="26.4" customHeight="1" x14ac:dyDescent="0.3">
      <c r="A129" s="65">
        <v>126</v>
      </c>
      <c r="B129" s="25">
        <v>16</v>
      </c>
      <c r="C129" s="25">
        <v>49</v>
      </c>
      <c r="D129" s="25">
        <v>288</v>
      </c>
      <c r="E129" s="30" t="str">
        <f>CONCATENATE(B129,"-",C129,"-",D129)</f>
        <v>16-49-288</v>
      </c>
      <c r="F129" s="13" t="str">
        <f>VLOOKUP(E129,'LISTA ITEMS'!$E$2:$G$875,2,FALSE)</f>
        <v>CONTACTOR MODULAR EPC1-6322-P7 (MAXGE)</v>
      </c>
      <c r="G129" s="25" t="str">
        <f>VLOOKUP(E129,'LISTA ITEMS'!$E$2:$G$875,3,FALSE)</f>
        <v>UND</v>
      </c>
      <c r="H129" s="74">
        <v>46083</v>
      </c>
      <c r="I129" s="75">
        <v>30</v>
      </c>
      <c r="J129" s="27"/>
      <c r="K129" s="70">
        <v>46098</v>
      </c>
      <c r="L129" s="67">
        <v>0</v>
      </c>
      <c r="M129" s="54">
        <v>46098</v>
      </c>
      <c r="N129" s="55">
        <v>0</v>
      </c>
      <c r="O129" s="70">
        <v>46098</v>
      </c>
      <c r="P129" s="71">
        <v>3</v>
      </c>
      <c r="Q129" s="36">
        <v>46098</v>
      </c>
      <c r="R129" s="26">
        <f>+I129+L129+N129-P129</f>
        <v>27</v>
      </c>
      <c r="S129" s="85">
        <v>46098</v>
      </c>
      <c r="T129" s="84">
        <v>10</v>
      </c>
      <c r="U129" s="27"/>
      <c r="V129" s="70"/>
      <c r="W129" s="67"/>
      <c r="X129" s="54"/>
      <c r="Y129" s="55"/>
      <c r="Z129" s="70"/>
      <c r="AA129" s="71"/>
      <c r="AB129" s="31"/>
      <c r="AC129" s="26">
        <f>+R129+W129+Y129-AA129</f>
        <v>27</v>
      </c>
      <c r="AD129" s="25"/>
      <c r="AE129" s="25"/>
      <c r="AF129" s="48">
        <v>10</v>
      </c>
      <c r="AG129" s="48">
        <v>2</v>
      </c>
      <c r="AH129" s="48" t="s">
        <v>338</v>
      </c>
      <c r="AI129" s="2" t="s">
        <v>467</v>
      </c>
    </row>
    <row r="130" spans="1:35" ht="26.4" customHeight="1" x14ac:dyDescent="0.3">
      <c r="A130" s="65">
        <v>127</v>
      </c>
      <c r="B130" s="25">
        <v>16</v>
      </c>
      <c r="C130" s="25">
        <v>49</v>
      </c>
      <c r="D130" s="25">
        <v>282</v>
      </c>
      <c r="E130" s="89" t="str">
        <f>CONCATENATE(B130,"-",C130,"-",D130)</f>
        <v>16-49-282</v>
      </c>
      <c r="F130" s="13" t="str">
        <f>VLOOKUP(E130,'LISTA ITEMS'!$E$2:$G$875,2,FALSE)</f>
        <v>CONTACTOR MODULAR RV32 (REVALCO)</v>
      </c>
      <c r="G130" s="25" t="str">
        <f>VLOOKUP(E130,'LISTA ITEMS'!$E$2:$G$875,3,FALSE)</f>
        <v>UND</v>
      </c>
      <c r="H130" s="74">
        <v>46083</v>
      </c>
      <c r="I130" s="75">
        <v>-3</v>
      </c>
      <c r="J130" s="27"/>
      <c r="K130" s="70">
        <v>46098</v>
      </c>
      <c r="L130" s="67">
        <v>0</v>
      </c>
      <c r="M130" s="54">
        <v>46098</v>
      </c>
      <c r="N130" s="55">
        <v>0</v>
      </c>
      <c r="O130" s="70">
        <v>46098</v>
      </c>
      <c r="P130" s="71">
        <v>0</v>
      </c>
      <c r="Q130" s="36">
        <v>46098</v>
      </c>
      <c r="R130" s="26">
        <f>+I130+L130+N130-P130</f>
        <v>-3</v>
      </c>
      <c r="S130" s="85"/>
      <c r="T130" s="84">
        <v>0</v>
      </c>
      <c r="U130" s="27"/>
      <c r="V130" s="70"/>
      <c r="W130" s="67"/>
      <c r="X130" s="54"/>
      <c r="Y130" s="55"/>
      <c r="Z130" s="70"/>
      <c r="AA130" s="71"/>
      <c r="AB130" s="31"/>
      <c r="AC130" s="26">
        <f>+R130+W130+Y130-AA130</f>
        <v>-3</v>
      </c>
      <c r="AD130" s="25"/>
      <c r="AE130" s="25"/>
      <c r="AF130" s="119">
        <v>10</v>
      </c>
      <c r="AG130" s="119">
        <v>2</v>
      </c>
      <c r="AH130" s="119" t="s">
        <v>338</v>
      </c>
      <c r="AI130" s="2" t="s">
        <v>467</v>
      </c>
    </row>
    <row r="131" spans="1:35" ht="28.8" x14ac:dyDescent="0.3">
      <c r="A131" s="65">
        <v>128</v>
      </c>
      <c r="B131" s="25">
        <v>16</v>
      </c>
      <c r="C131" s="25">
        <v>47</v>
      </c>
      <c r="D131" s="25">
        <v>318</v>
      </c>
      <c r="E131" s="30" t="str">
        <f>CONCATENATE(B131,"-",C131,"-",D131)</f>
        <v>16-47-318</v>
      </c>
      <c r="F131" s="13" t="str">
        <f>VLOOKUP(E131,'LISTA ITEMS'!$E$2:$G$875,2,FALSE)</f>
        <v>DIFERENCIAL EPR2A040030 2P-40A-30mA (MAXGE)</v>
      </c>
      <c r="G131" s="25" t="str">
        <f>VLOOKUP(E131,'LISTA ITEMS'!$E$2:$G$875,3,FALSE)</f>
        <v>UND</v>
      </c>
      <c r="H131" s="74">
        <v>46083</v>
      </c>
      <c r="I131" s="75">
        <v>22</v>
      </c>
      <c r="J131" s="27"/>
      <c r="K131" s="70">
        <v>46098</v>
      </c>
      <c r="L131" s="67">
        <v>0</v>
      </c>
      <c r="M131" s="54">
        <v>46098</v>
      </c>
      <c r="N131" s="55">
        <v>0</v>
      </c>
      <c r="O131" s="70">
        <v>46098</v>
      </c>
      <c r="P131" s="71">
        <v>4</v>
      </c>
      <c r="Q131" s="36">
        <v>46098</v>
      </c>
      <c r="R131" s="26">
        <f>+I131+L131+N131-P131</f>
        <v>18</v>
      </c>
      <c r="S131" s="85">
        <v>46098</v>
      </c>
      <c r="T131" s="84">
        <v>22</v>
      </c>
      <c r="U131" s="27"/>
      <c r="V131" s="70"/>
      <c r="W131" s="67"/>
      <c r="X131" s="54"/>
      <c r="Y131" s="55"/>
      <c r="Z131" s="70"/>
      <c r="AA131" s="71"/>
      <c r="AB131" s="31"/>
      <c r="AC131" s="26">
        <f>+R131+W131+Y131-AA131</f>
        <v>18</v>
      </c>
      <c r="AD131" s="25"/>
      <c r="AE131" s="25"/>
      <c r="AF131" s="48">
        <v>10</v>
      </c>
      <c r="AG131" s="48">
        <v>2</v>
      </c>
      <c r="AH131" s="48" t="s">
        <v>311</v>
      </c>
      <c r="AI131" s="2" t="s">
        <v>467</v>
      </c>
    </row>
    <row r="132" spans="1:35" ht="28.8" x14ac:dyDescent="0.3">
      <c r="A132" s="65">
        <v>129</v>
      </c>
      <c r="B132" s="25">
        <v>16</v>
      </c>
      <c r="C132" s="25">
        <v>47</v>
      </c>
      <c r="D132" s="25">
        <v>280</v>
      </c>
      <c r="E132" s="30" t="str">
        <f>CONCATENATE(B132,"-",C132,"-",D132)</f>
        <v>16-47-280</v>
      </c>
      <c r="F132" s="13" t="str">
        <f>VLOOKUP(E132,'LISTA ITEMS'!$E$2:$G$875,2,FALSE)</f>
        <v>DIFERENCIAL EPR2A063030 2P-63A-30mA (MAXGE)</v>
      </c>
      <c r="G132" s="25" t="str">
        <f>VLOOKUP(E132,'LISTA ITEMS'!$E$2:$G$875,3,FALSE)</f>
        <v>UND</v>
      </c>
      <c r="H132" s="74">
        <v>46083</v>
      </c>
      <c r="I132" s="75">
        <v>9</v>
      </c>
      <c r="J132" s="27"/>
      <c r="K132" s="70">
        <v>46098</v>
      </c>
      <c r="L132" s="67">
        <v>0</v>
      </c>
      <c r="M132" s="54">
        <v>46098</v>
      </c>
      <c r="N132" s="55">
        <v>0</v>
      </c>
      <c r="O132" s="70">
        <v>46098</v>
      </c>
      <c r="P132" s="71">
        <v>0</v>
      </c>
      <c r="Q132" s="36">
        <v>46098</v>
      </c>
      <c r="R132" s="26">
        <f>+I132+L132+N132-P132</f>
        <v>9</v>
      </c>
      <c r="S132" s="85">
        <v>46098</v>
      </c>
      <c r="T132" s="84">
        <v>11</v>
      </c>
      <c r="U132" s="27"/>
      <c r="V132" s="70"/>
      <c r="W132" s="67"/>
      <c r="X132" s="54"/>
      <c r="Y132" s="55"/>
      <c r="Z132" s="70"/>
      <c r="AA132" s="71"/>
      <c r="AB132" s="31"/>
      <c r="AC132" s="26">
        <f>+R132+W132+Y132-AA132</f>
        <v>9</v>
      </c>
      <c r="AD132" s="25"/>
      <c r="AE132" s="25"/>
      <c r="AF132" s="48">
        <v>10</v>
      </c>
      <c r="AG132" s="48">
        <v>2</v>
      </c>
      <c r="AH132" s="48" t="s">
        <v>311</v>
      </c>
      <c r="AI132" s="2" t="s">
        <v>467</v>
      </c>
    </row>
    <row r="133" spans="1:35" ht="28.8" x14ac:dyDescent="0.3">
      <c r="A133" s="65">
        <v>130</v>
      </c>
      <c r="B133" s="25">
        <v>16</v>
      </c>
      <c r="C133" s="25">
        <v>47</v>
      </c>
      <c r="D133" s="25">
        <v>338</v>
      </c>
      <c r="E133" s="89" t="str">
        <f>CONCATENATE(B133,"-",C133,"-",D133)</f>
        <v>16-47-338</v>
      </c>
      <c r="F133" s="13" t="str">
        <f>VLOOKUP(E133,'LISTA ITEMS'!$E$2:$G$875,2,FALSE)</f>
        <v>DIFERENCIAL TRIFASICO EPR4A040030 4P-40A-30mA (MAXGE)</v>
      </c>
      <c r="G133" s="25" t="str">
        <f>VLOOKUP(E133,'LISTA ITEMS'!$E$2:$G$875,3,FALSE)</f>
        <v>UND</v>
      </c>
      <c r="H133" s="74">
        <v>46083</v>
      </c>
      <c r="I133" s="75">
        <v>8</v>
      </c>
      <c r="J133" s="27"/>
      <c r="K133" s="70">
        <v>46098</v>
      </c>
      <c r="L133" s="67">
        <v>0</v>
      </c>
      <c r="M133" s="54">
        <v>46098</v>
      </c>
      <c r="N133" s="55">
        <v>0</v>
      </c>
      <c r="O133" s="70">
        <v>46098</v>
      </c>
      <c r="P133" s="71">
        <v>1</v>
      </c>
      <c r="Q133" s="36">
        <v>46098</v>
      </c>
      <c r="R133" s="26">
        <f>+I133+L133+N133-P133</f>
        <v>7</v>
      </c>
      <c r="S133" s="85"/>
      <c r="T133" s="84"/>
      <c r="U133" s="27"/>
      <c r="V133" s="70"/>
      <c r="W133" s="67"/>
      <c r="X133" s="54"/>
      <c r="Y133" s="55"/>
      <c r="Z133" s="70"/>
      <c r="AA133" s="71"/>
      <c r="AB133" s="31"/>
      <c r="AC133" s="26">
        <f>+R133+W133+Y133-AA133</f>
        <v>7</v>
      </c>
      <c r="AD133" s="25"/>
      <c r="AE133" s="25"/>
      <c r="AF133" s="119">
        <v>10</v>
      </c>
      <c r="AG133" s="119">
        <v>1</v>
      </c>
      <c r="AH133" s="119" t="s">
        <v>251</v>
      </c>
    </row>
    <row r="134" spans="1:35" ht="28.8" x14ac:dyDescent="0.3">
      <c r="A134" s="65">
        <v>131</v>
      </c>
      <c r="B134" s="25">
        <v>16</v>
      </c>
      <c r="C134" s="25">
        <v>47</v>
      </c>
      <c r="D134" s="25">
        <v>337</v>
      </c>
      <c r="E134" s="89" t="str">
        <f>CONCATENATE(B134,"-",C134,"-",D134)</f>
        <v>16-47-337</v>
      </c>
      <c r="F134" s="13" t="str">
        <f>VLOOKUP(E134,'LISTA ITEMS'!$E$2:$G$875,2,FALSE)</f>
        <v>DIFERENCIAL TRIFASICO EPR4C063300 (AC TYPE) 4P-63A-300mA AC 10KA (MAXGE)</v>
      </c>
      <c r="G134" s="25" t="str">
        <f>VLOOKUP(E134,'LISTA ITEMS'!$E$2:$G$875,3,FALSE)</f>
        <v>UND</v>
      </c>
      <c r="H134" s="74">
        <v>46083</v>
      </c>
      <c r="I134" s="75">
        <v>1</v>
      </c>
      <c r="J134" s="27"/>
      <c r="K134" s="70">
        <v>46098</v>
      </c>
      <c r="L134" s="67">
        <v>0</v>
      </c>
      <c r="M134" s="54">
        <v>46098</v>
      </c>
      <c r="N134" s="55">
        <v>0</v>
      </c>
      <c r="O134" s="70">
        <v>46098</v>
      </c>
      <c r="P134" s="71">
        <v>0</v>
      </c>
      <c r="Q134" s="36">
        <v>46098</v>
      </c>
      <c r="R134" s="26">
        <f>+I134+L134+N134-P134</f>
        <v>1</v>
      </c>
      <c r="S134" s="85"/>
      <c r="T134" s="84"/>
      <c r="U134" s="27"/>
      <c r="V134" s="70"/>
      <c r="W134" s="67"/>
      <c r="X134" s="54"/>
      <c r="Y134" s="55"/>
      <c r="Z134" s="70"/>
      <c r="AA134" s="71"/>
      <c r="AB134" s="31"/>
      <c r="AC134" s="26">
        <f>+R134+W134+Y134-AA134</f>
        <v>1</v>
      </c>
      <c r="AD134" s="25"/>
      <c r="AE134" s="25"/>
      <c r="AF134" s="119">
        <v>10</v>
      </c>
      <c r="AG134" s="119">
        <v>1</v>
      </c>
      <c r="AH134" s="119" t="s">
        <v>251</v>
      </c>
    </row>
    <row r="135" spans="1:35" ht="22.2" customHeight="1" x14ac:dyDescent="0.3">
      <c r="A135" s="65">
        <v>132</v>
      </c>
      <c r="B135" s="25">
        <v>10</v>
      </c>
      <c r="C135" s="25">
        <v>43</v>
      </c>
      <c r="D135" s="25">
        <v>270</v>
      </c>
      <c r="E135" s="89" t="str">
        <f>CONCATENATE(B135,"-",C135,"-",D135)</f>
        <v>10-43-270</v>
      </c>
      <c r="F135" s="13" t="str">
        <f>VLOOKUP(E135,'LISTA ITEMS'!$E$2:$G$875,2,FALSE)</f>
        <v>EMPALME ALUMINIO P/BARRA</v>
      </c>
      <c r="G135" s="25" t="str">
        <f>VLOOKUP(E135,'LISTA ITEMS'!$E$2:$G$875,3,FALSE)</f>
        <v>UND</v>
      </c>
      <c r="H135" s="74">
        <v>46083</v>
      </c>
      <c r="I135" s="75">
        <v>230</v>
      </c>
      <c r="J135" s="27"/>
      <c r="K135" s="70">
        <v>46098</v>
      </c>
      <c r="L135" s="67">
        <v>17</v>
      </c>
      <c r="M135" s="54">
        <v>46098</v>
      </c>
      <c r="N135" s="55">
        <v>50</v>
      </c>
      <c r="O135" s="70">
        <v>46098</v>
      </c>
      <c r="P135" s="71">
        <v>74</v>
      </c>
      <c r="Q135" s="36">
        <v>46098</v>
      </c>
      <c r="R135" s="26">
        <f>+I135+L135+N135-P135</f>
        <v>223</v>
      </c>
      <c r="S135" s="85"/>
      <c r="T135" s="84"/>
      <c r="U135" s="27"/>
      <c r="V135" s="70"/>
      <c r="W135" s="67"/>
      <c r="X135" s="54"/>
      <c r="Y135" s="55"/>
      <c r="Z135" s="70"/>
      <c r="AA135" s="71"/>
      <c r="AB135" s="31"/>
      <c r="AC135" s="26">
        <f>+R135+W135+Y135-AA135</f>
        <v>223</v>
      </c>
      <c r="AD135" s="25"/>
      <c r="AE135" s="25"/>
      <c r="AF135" s="119">
        <v>10</v>
      </c>
      <c r="AG135" s="119">
        <v>1</v>
      </c>
      <c r="AH135" s="119" t="s">
        <v>311</v>
      </c>
    </row>
    <row r="136" spans="1:35" ht="22.2" customHeight="1" x14ac:dyDescent="0.3">
      <c r="A136" s="65">
        <v>133</v>
      </c>
      <c r="B136" s="25">
        <v>16</v>
      </c>
      <c r="C136" s="25">
        <v>31</v>
      </c>
      <c r="D136" s="25">
        <v>320</v>
      </c>
      <c r="E136" s="89" t="str">
        <f>CONCATENATE(B136,"-",C136,"-",D136)</f>
        <v>16-31-320</v>
      </c>
      <c r="F136" s="13" t="str">
        <f>VLOOKUP(E136,'LISTA ITEMS'!$E$2:$G$875,2,FALSE)</f>
        <v xml:space="preserve">JUEGO CABLE PARA BATERIA DE LITIO B4850 </v>
      </c>
      <c r="G136" s="25" t="str">
        <f>VLOOKUP(E136,'LISTA ITEMS'!$E$2:$G$875,3,FALSE)</f>
        <v>UND</v>
      </c>
      <c r="H136" s="74">
        <v>46083</v>
      </c>
      <c r="I136" s="75">
        <v>3</v>
      </c>
      <c r="J136" s="27"/>
      <c r="K136" s="70">
        <v>46098</v>
      </c>
      <c r="L136" s="67">
        <v>0</v>
      </c>
      <c r="M136" s="54">
        <v>46098</v>
      </c>
      <c r="N136" s="55">
        <v>0</v>
      </c>
      <c r="O136" s="70">
        <v>46098</v>
      </c>
      <c r="P136" s="71">
        <v>0</v>
      </c>
      <c r="Q136" s="36">
        <v>46098</v>
      </c>
      <c r="R136" s="26">
        <f>+I136+L136+N136-P136</f>
        <v>3</v>
      </c>
      <c r="S136" s="85"/>
      <c r="T136" s="84"/>
      <c r="U136" s="27"/>
      <c r="V136" s="70"/>
      <c r="W136" s="67"/>
      <c r="X136" s="54"/>
      <c r="Y136" s="55"/>
      <c r="Z136" s="70"/>
      <c r="AA136" s="71"/>
      <c r="AB136" s="31"/>
      <c r="AC136" s="26">
        <f>+R136+W136+Y136-AA136</f>
        <v>3</v>
      </c>
      <c r="AD136" s="25"/>
      <c r="AE136" s="25"/>
      <c r="AF136" s="77">
        <v>10</v>
      </c>
      <c r="AG136" s="77">
        <v>1</v>
      </c>
      <c r="AH136" s="77" t="s">
        <v>251</v>
      </c>
    </row>
    <row r="137" spans="1:35" ht="28.8" x14ac:dyDescent="0.3">
      <c r="A137" s="65">
        <v>134</v>
      </c>
      <c r="B137" s="25">
        <v>16</v>
      </c>
      <c r="C137" s="25">
        <v>51</v>
      </c>
      <c r="D137" s="25">
        <v>333</v>
      </c>
      <c r="E137" s="89" t="str">
        <f>CONCATENATE(B137,"-",C137,"-",D137)</f>
        <v>16-51-333</v>
      </c>
      <c r="F137" s="13" t="str">
        <f>VLOOKUP(E137,'LISTA ITEMS'!$E$2:$G$875,2,FALSE)</f>
        <v>LIMITADOR/SOBRETENSIONES TRIFASICO 3SU1 20/40kA-400V 4P (SASSIN)</v>
      </c>
      <c r="G137" s="25" t="str">
        <f>VLOOKUP(E137,'LISTA ITEMS'!$E$2:$G$875,3,FALSE)</f>
        <v>UND</v>
      </c>
      <c r="H137" s="74">
        <v>46083</v>
      </c>
      <c r="I137" s="75">
        <v>7</v>
      </c>
      <c r="J137" s="27"/>
      <c r="K137" s="70">
        <v>46098</v>
      </c>
      <c r="L137" s="67">
        <v>0</v>
      </c>
      <c r="M137" s="54">
        <v>46098</v>
      </c>
      <c r="N137" s="55">
        <v>0</v>
      </c>
      <c r="O137" s="70">
        <v>46098</v>
      </c>
      <c r="P137" s="71">
        <v>2</v>
      </c>
      <c r="Q137" s="36">
        <v>46098</v>
      </c>
      <c r="R137" s="26">
        <f>+I137+L137+N137-P137</f>
        <v>5</v>
      </c>
      <c r="S137" s="85"/>
      <c r="T137" s="84"/>
      <c r="U137" s="27"/>
      <c r="V137" s="70"/>
      <c r="W137" s="67"/>
      <c r="X137" s="54"/>
      <c r="Y137" s="55"/>
      <c r="Z137" s="70"/>
      <c r="AA137" s="71"/>
      <c r="AB137" s="31"/>
      <c r="AC137" s="26">
        <f>+R137+W137+Y137-AA137</f>
        <v>5</v>
      </c>
      <c r="AD137" s="25"/>
      <c r="AE137" s="25"/>
      <c r="AF137" s="77">
        <v>10</v>
      </c>
      <c r="AG137" s="77">
        <v>1</v>
      </c>
      <c r="AH137" s="77" t="s">
        <v>251</v>
      </c>
    </row>
    <row r="138" spans="1:35" ht="28.8" x14ac:dyDescent="0.3">
      <c r="A138" s="65">
        <v>135</v>
      </c>
      <c r="B138" s="25">
        <v>16</v>
      </c>
      <c r="C138" s="25">
        <v>53</v>
      </c>
      <c r="D138" s="25">
        <v>328</v>
      </c>
      <c r="E138" s="89" t="str">
        <f>CONCATENATE(B138,"-",C138,"-",D138)</f>
        <v>16-53-328</v>
      </c>
      <c r="F138" s="13" t="str">
        <f>VLOOKUP(E138,'LISTA ITEMS'!$E$2:$G$875,2,FALSE)</f>
        <v>PINCHO DE COMUNICACIÓN WIFI SHINErfsTICK- X  BLANCO (GROWATT)</v>
      </c>
      <c r="G138" s="25" t="str">
        <f>VLOOKUP(E138,'LISTA ITEMS'!$E$2:$G$875,3,FALSE)</f>
        <v>UND</v>
      </c>
      <c r="H138" s="74">
        <v>46083</v>
      </c>
      <c r="I138" s="75">
        <v>2</v>
      </c>
      <c r="J138" s="27"/>
      <c r="K138" s="70">
        <v>46098</v>
      </c>
      <c r="L138" s="67">
        <v>2</v>
      </c>
      <c r="M138" s="54">
        <v>46098</v>
      </c>
      <c r="N138" s="55">
        <v>0</v>
      </c>
      <c r="O138" s="70">
        <v>46098</v>
      </c>
      <c r="P138" s="71">
        <v>2</v>
      </c>
      <c r="Q138" s="36">
        <v>46098</v>
      </c>
      <c r="R138" s="26">
        <f>+I138+L138+N138-P138</f>
        <v>2</v>
      </c>
      <c r="S138" s="85"/>
      <c r="T138" s="84"/>
      <c r="U138" s="27"/>
      <c r="V138" s="70"/>
      <c r="W138" s="67"/>
      <c r="X138" s="54"/>
      <c r="Y138" s="55"/>
      <c r="Z138" s="70"/>
      <c r="AA138" s="71"/>
      <c r="AB138" s="31"/>
      <c r="AC138" s="26">
        <f>+R138+W138+Y138-AA138</f>
        <v>2</v>
      </c>
      <c r="AD138" s="25"/>
      <c r="AE138" s="25"/>
      <c r="AF138" s="116">
        <v>10</v>
      </c>
      <c r="AG138" s="116">
        <v>2</v>
      </c>
      <c r="AH138" s="116" t="s">
        <v>350</v>
      </c>
    </row>
    <row r="139" spans="1:35" ht="28.8" x14ac:dyDescent="0.3">
      <c r="A139" s="65">
        <v>136</v>
      </c>
      <c r="B139" s="25">
        <v>16</v>
      </c>
      <c r="C139" s="25">
        <v>60</v>
      </c>
      <c r="D139" s="25">
        <v>325</v>
      </c>
      <c r="E139" s="89" t="str">
        <f>CONCATENATE(B139,"-",C139,"-",D139)</f>
        <v>16-60-325</v>
      </c>
      <c r="F139" s="13" t="str">
        <f>VLOOKUP(E139,'LISTA ITEMS'!$E$2:$G$875,2,FALSE)</f>
        <v>REGLETA CONEXIÓN ELECTRICA 16mm NEGRA X12</v>
      </c>
      <c r="G139" s="25" t="str">
        <f>VLOOKUP(E139,'LISTA ITEMS'!$E$2:$G$875,3,FALSE)</f>
        <v>UND</v>
      </c>
      <c r="H139" s="74">
        <v>46083</v>
      </c>
      <c r="I139" s="75">
        <v>8</v>
      </c>
      <c r="J139" s="27"/>
      <c r="K139" s="70">
        <v>46098</v>
      </c>
      <c r="L139" s="67">
        <v>0</v>
      </c>
      <c r="M139" s="54">
        <v>46098</v>
      </c>
      <c r="N139" s="55">
        <v>0</v>
      </c>
      <c r="O139" s="70">
        <v>46098</v>
      </c>
      <c r="P139" s="71">
        <v>0</v>
      </c>
      <c r="Q139" s="36">
        <v>46098</v>
      </c>
      <c r="R139" s="26">
        <f>+I139+L139+N139-P139</f>
        <v>8</v>
      </c>
      <c r="S139" s="85"/>
      <c r="T139" s="84"/>
      <c r="U139" s="27"/>
      <c r="V139" s="70"/>
      <c r="W139" s="67"/>
      <c r="X139" s="54"/>
      <c r="Y139" s="55"/>
      <c r="Z139" s="70"/>
      <c r="AA139" s="71"/>
      <c r="AB139" s="31"/>
      <c r="AC139" s="26">
        <f>+R139+W139+Y139-AA139</f>
        <v>8</v>
      </c>
      <c r="AD139" s="25"/>
      <c r="AE139" s="25"/>
      <c r="AF139" s="116">
        <v>7</v>
      </c>
      <c r="AG139" s="116">
        <v>1</v>
      </c>
      <c r="AH139" s="116" t="s">
        <v>251</v>
      </c>
    </row>
    <row r="140" spans="1:35" ht="28.8" x14ac:dyDescent="0.3">
      <c r="A140" s="65">
        <v>137</v>
      </c>
      <c r="B140" s="25">
        <v>16</v>
      </c>
      <c r="C140" s="25">
        <v>60</v>
      </c>
      <c r="D140" s="25">
        <v>324</v>
      </c>
      <c r="E140" s="89" t="str">
        <f>CONCATENATE(B140,"-",C140,"-",D140)</f>
        <v>16-60-324</v>
      </c>
      <c r="F140" s="13" t="str">
        <f>VLOOKUP(E140,'LISTA ITEMS'!$E$2:$G$875,2,FALSE)</f>
        <v>REGLETA CONEXIÓN ELECTRICA 35mm NEGRA X12</v>
      </c>
      <c r="G140" s="25" t="str">
        <f>VLOOKUP(E140,'LISTA ITEMS'!$E$2:$G$875,3,FALSE)</f>
        <v>UND</v>
      </c>
      <c r="H140" s="74">
        <v>46083</v>
      </c>
      <c r="I140" s="75">
        <v>0</v>
      </c>
      <c r="J140" s="27"/>
      <c r="K140" s="70">
        <v>46098</v>
      </c>
      <c r="L140" s="67">
        <v>0</v>
      </c>
      <c r="M140" s="54">
        <v>46098</v>
      </c>
      <c r="N140" s="55">
        <v>0</v>
      </c>
      <c r="O140" s="70">
        <v>46098</v>
      </c>
      <c r="P140" s="71">
        <v>0</v>
      </c>
      <c r="Q140" s="36">
        <v>46098</v>
      </c>
      <c r="R140" s="26">
        <f>+I140+L140+N140-P140</f>
        <v>0</v>
      </c>
      <c r="S140" s="85"/>
      <c r="T140" s="84"/>
      <c r="U140" s="27"/>
      <c r="V140" s="70"/>
      <c r="W140" s="67"/>
      <c r="X140" s="54"/>
      <c r="Y140" s="55"/>
      <c r="Z140" s="70"/>
      <c r="AA140" s="71"/>
      <c r="AB140" s="31"/>
      <c r="AC140" s="26">
        <f>+R140+W140+Y140-AA140</f>
        <v>0</v>
      </c>
      <c r="AD140" s="25"/>
      <c r="AE140" s="25"/>
      <c r="AF140" s="77">
        <v>7</v>
      </c>
      <c r="AG140" s="77">
        <v>1</v>
      </c>
      <c r="AH140" s="77" t="s">
        <v>251</v>
      </c>
    </row>
    <row r="141" spans="1:35" ht="29.4" customHeight="1" x14ac:dyDescent="0.3">
      <c r="A141" s="65">
        <v>138</v>
      </c>
      <c r="B141" s="25">
        <v>17</v>
      </c>
      <c r="C141" s="25">
        <v>44</v>
      </c>
      <c r="D141" s="25">
        <v>271</v>
      </c>
      <c r="E141" s="89" t="str">
        <f>CONCATENATE(B141,"-",C141,"-",D141)</f>
        <v>17-44-271</v>
      </c>
      <c r="F141" s="13" t="str">
        <f>VLOOKUP(E141,'LISTA ITEMS'!$E$2:$G$875,2,FALSE)</f>
        <v>SELLANTE QUIMICO BLANCO</v>
      </c>
      <c r="G141" s="25" t="str">
        <f>VLOOKUP(E141,'LISTA ITEMS'!$E$2:$G$875,3,FALSE)</f>
        <v>UND</v>
      </c>
      <c r="H141" s="74">
        <v>46083</v>
      </c>
      <c r="I141" s="75">
        <v>13</v>
      </c>
      <c r="J141" s="27"/>
      <c r="K141" s="70">
        <v>46098</v>
      </c>
      <c r="L141" s="67">
        <v>7</v>
      </c>
      <c r="M141" s="54">
        <v>46098</v>
      </c>
      <c r="N141" s="55">
        <v>12</v>
      </c>
      <c r="O141" s="70">
        <v>46098</v>
      </c>
      <c r="P141" s="71">
        <v>21</v>
      </c>
      <c r="Q141" s="36">
        <v>46098</v>
      </c>
      <c r="R141" s="26">
        <f>+I141+L141+N141-P141</f>
        <v>11</v>
      </c>
      <c r="S141" s="85"/>
      <c r="T141" s="84"/>
      <c r="U141" s="27"/>
      <c r="V141" s="70"/>
      <c r="W141" s="67"/>
      <c r="X141" s="54"/>
      <c r="Y141" s="55"/>
      <c r="Z141" s="70"/>
      <c r="AA141" s="71"/>
      <c r="AB141" s="31"/>
      <c r="AC141" s="26">
        <f>+R141+W141+Y141-AA141</f>
        <v>11</v>
      </c>
      <c r="AD141" s="25"/>
      <c r="AE141" s="25"/>
      <c r="AF141" s="77">
        <v>7</v>
      </c>
      <c r="AG141" s="77">
        <v>2</v>
      </c>
      <c r="AH141" s="77" t="s">
        <v>311</v>
      </c>
    </row>
    <row r="142" spans="1:35" ht="29.4" customHeight="1" x14ac:dyDescent="0.3">
      <c r="A142" s="65">
        <v>139</v>
      </c>
      <c r="B142" s="25">
        <v>17</v>
      </c>
      <c r="C142" s="25">
        <v>44</v>
      </c>
      <c r="D142" s="25">
        <v>272</v>
      </c>
      <c r="E142" s="89" t="str">
        <f>CONCATENATE(B142,"-",C142,"-",D142)</f>
        <v>17-44-272</v>
      </c>
      <c r="F142" s="13" t="str">
        <f>VLOOKUP(E142,'LISTA ITEMS'!$E$2:$G$875,2,FALSE)</f>
        <v>SELLANTE QUIMICO GRIS</v>
      </c>
      <c r="G142" s="25" t="str">
        <f>VLOOKUP(E142,'LISTA ITEMS'!$E$2:$G$875,3,FALSE)</f>
        <v>UND</v>
      </c>
      <c r="H142" s="74">
        <v>46083</v>
      </c>
      <c r="I142" s="75">
        <v>11.5</v>
      </c>
      <c r="J142" s="27"/>
      <c r="K142" s="70">
        <v>46098</v>
      </c>
      <c r="L142" s="67">
        <v>7</v>
      </c>
      <c r="M142" s="54">
        <v>46098</v>
      </c>
      <c r="N142" s="55">
        <v>12</v>
      </c>
      <c r="O142" s="70">
        <v>46098</v>
      </c>
      <c r="P142" s="71">
        <v>32</v>
      </c>
      <c r="Q142" s="36">
        <v>46098</v>
      </c>
      <c r="R142" s="26">
        <f>+I142+L142+N142-P142</f>
        <v>-1.5</v>
      </c>
      <c r="S142" s="85"/>
      <c r="T142" s="84"/>
      <c r="U142" s="27"/>
      <c r="V142" s="70"/>
      <c r="W142" s="67"/>
      <c r="X142" s="54"/>
      <c r="Y142" s="55"/>
      <c r="Z142" s="70"/>
      <c r="AA142" s="71"/>
      <c r="AB142" s="31"/>
      <c r="AC142" s="26">
        <f>+R142+W142+Y142-AA142</f>
        <v>-1.5</v>
      </c>
      <c r="AD142" s="25"/>
      <c r="AE142" s="25"/>
      <c r="AF142" s="77">
        <v>7</v>
      </c>
      <c r="AG142" s="77">
        <v>2</v>
      </c>
      <c r="AH142" s="77" t="s">
        <v>311</v>
      </c>
    </row>
    <row r="143" spans="1:35" ht="29.4" customHeight="1" x14ac:dyDescent="0.3">
      <c r="A143" s="65">
        <v>140</v>
      </c>
      <c r="B143" s="25">
        <v>17</v>
      </c>
      <c r="C143" s="25">
        <v>44</v>
      </c>
      <c r="D143" s="25">
        <v>273</v>
      </c>
      <c r="E143" s="89" t="str">
        <f>CONCATENATE(B143,"-",C143,"-",D143)</f>
        <v>17-44-273</v>
      </c>
      <c r="F143" s="13" t="str">
        <f>VLOOKUP(E143,'LISTA ITEMS'!$E$2:$G$875,2,FALSE)</f>
        <v>SELLANTE QUIMICO TACO</v>
      </c>
      <c r="G143" s="25" t="str">
        <f>VLOOKUP(E143,'LISTA ITEMS'!$E$2:$G$875,3,FALSE)</f>
        <v>UND</v>
      </c>
      <c r="H143" s="74">
        <v>46083</v>
      </c>
      <c r="I143" s="75">
        <v>14</v>
      </c>
      <c r="J143" s="27"/>
      <c r="K143" s="70">
        <v>46098</v>
      </c>
      <c r="L143" s="67">
        <v>2</v>
      </c>
      <c r="M143" s="54">
        <v>46098</v>
      </c>
      <c r="N143" s="55">
        <v>75</v>
      </c>
      <c r="O143" s="70">
        <v>46098</v>
      </c>
      <c r="P143" s="71">
        <v>6</v>
      </c>
      <c r="Q143" s="36">
        <v>46098</v>
      </c>
      <c r="R143" s="26">
        <f>+I143+L143+N143-P143</f>
        <v>85</v>
      </c>
      <c r="S143" s="85"/>
      <c r="T143" s="84"/>
      <c r="U143" s="27"/>
      <c r="V143" s="70"/>
      <c r="W143" s="67"/>
      <c r="X143" s="54"/>
      <c r="Y143" s="55"/>
      <c r="Z143" s="70"/>
      <c r="AA143" s="71"/>
      <c r="AB143" s="31"/>
      <c r="AC143" s="26">
        <f>+R143+W143+Y143-AA143</f>
        <v>85</v>
      </c>
      <c r="AD143" s="25"/>
      <c r="AE143" s="25"/>
      <c r="AF143" s="77">
        <v>7</v>
      </c>
      <c r="AG143" s="77">
        <v>2</v>
      </c>
      <c r="AH143" s="77" t="s">
        <v>311</v>
      </c>
    </row>
    <row r="144" spans="1:35" ht="29.4" customHeight="1" x14ac:dyDescent="0.3">
      <c r="A144" s="65">
        <v>141</v>
      </c>
      <c r="B144" s="25">
        <v>10</v>
      </c>
      <c r="C144" s="25">
        <v>37</v>
      </c>
      <c r="D144" s="25">
        <v>330</v>
      </c>
      <c r="E144" s="89" t="str">
        <f>CONCATENATE(B144,"-",C144,"-",D144)</f>
        <v>10-37-330</v>
      </c>
      <c r="F144" s="13" t="str">
        <f>VLOOKUP(E144,'LISTA ITEMS'!$E$2:$G$875,2,FALSE)</f>
        <v>SOPORTE EN L ALUMINIO GRIS</v>
      </c>
      <c r="G144" s="25" t="str">
        <f>VLOOKUP(E144,'LISTA ITEMS'!$E$2:$G$875,3,FALSE)</f>
        <v>UND</v>
      </c>
      <c r="H144" s="74">
        <v>46083</v>
      </c>
      <c r="I144" s="75">
        <v>216</v>
      </c>
      <c r="J144" s="27"/>
      <c r="K144" s="70">
        <v>46098</v>
      </c>
      <c r="L144" s="67">
        <v>110</v>
      </c>
      <c r="M144" s="54">
        <v>46098</v>
      </c>
      <c r="N144" s="55">
        <v>450</v>
      </c>
      <c r="O144" s="70">
        <v>46098</v>
      </c>
      <c r="P144" s="71">
        <v>380</v>
      </c>
      <c r="Q144" s="36">
        <v>46098</v>
      </c>
      <c r="R144" s="26">
        <f>+I144+L144+N144-P144</f>
        <v>396</v>
      </c>
      <c r="S144" s="85"/>
      <c r="T144" s="84"/>
      <c r="U144" s="27"/>
      <c r="V144" s="70"/>
      <c r="W144" s="67"/>
      <c r="X144" s="54"/>
      <c r="Y144" s="55"/>
      <c r="Z144" s="70"/>
      <c r="AA144" s="71"/>
      <c r="AB144" s="31"/>
      <c r="AC144" s="26">
        <f>+R144+W144+Y144-AA144</f>
        <v>396</v>
      </c>
      <c r="AD144" s="25"/>
      <c r="AE144" s="25"/>
      <c r="AF144" s="77">
        <v>10</v>
      </c>
      <c r="AG144" s="77">
        <v>1</v>
      </c>
      <c r="AH144" s="77" t="s">
        <v>311</v>
      </c>
    </row>
    <row r="145" spans="1:35" ht="29.4" customHeight="1" x14ac:dyDescent="0.3">
      <c r="A145" s="65">
        <v>142</v>
      </c>
      <c r="B145" s="25">
        <v>10</v>
      </c>
      <c r="C145" s="25">
        <v>37</v>
      </c>
      <c r="D145" s="25">
        <v>316</v>
      </c>
      <c r="E145" s="89" t="str">
        <f>CONCATENATE(B145,"-",C145,"-",D145)</f>
        <v>10-37-316</v>
      </c>
      <c r="F145" s="13" t="str">
        <f>VLOOKUP(E145,'LISTA ITEMS'!$E$2:$G$875,2,FALSE)</f>
        <v>SOPORTE FINAL GRIS</v>
      </c>
      <c r="G145" s="25" t="str">
        <f>VLOOKUP(E145,'LISTA ITEMS'!$E$2:$G$875,3,FALSE)</f>
        <v>UND</v>
      </c>
      <c r="H145" s="74">
        <v>46083</v>
      </c>
      <c r="I145" s="75">
        <v>272</v>
      </c>
      <c r="J145" s="27"/>
      <c r="K145" s="70">
        <v>46098</v>
      </c>
      <c r="L145" s="67">
        <v>0</v>
      </c>
      <c r="M145" s="54">
        <v>46098</v>
      </c>
      <c r="N145" s="55">
        <v>0</v>
      </c>
      <c r="O145" s="70">
        <v>46098</v>
      </c>
      <c r="P145" s="71">
        <v>0</v>
      </c>
      <c r="Q145" s="36">
        <v>46098</v>
      </c>
      <c r="R145" s="26">
        <f>+I145+L145+N145-P145</f>
        <v>272</v>
      </c>
      <c r="S145" s="85"/>
      <c r="T145" s="84"/>
      <c r="U145" s="27"/>
      <c r="V145" s="70"/>
      <c r="W145" s="67"/>
      <c r="X145" s="54"/>
      <c r="Y145" s="55"/>
      <c r="Z145" s="70"/>
      <c r="AA145" s="71"/>
      <c r="AB145" s="31"/>
      <c r="AC145" s="26">
        <f>+R145+W145+Y145-AA145</f>
        <v>272</v>
      </c>
      <c r="AD145" s="25"/>
      <c r="AE145" s="25"/>
      <c r="AF145" s="77">
        <v>10</v>
      </c>
      <c r="AG145" s="77">
        <v>1</v>
      </c>
      <c r="AH145" s="77" t="s">
        <v>311</v>
      </c>
    </row>
    <row r="146" spans="1:35" ht="29.4" customHeight="1" x14ac:dyDescent="0.3">
      <c r="A146" s="65">
        <v>143</v>
      </c>
      <c r="B146" s="25">
        <v>10</v>
      </c>
      <c r="C146" s="25">
        <v>37</v>
      </c>
      <c r="D146" s="25">
        <v>315</v>
      </c>
      <c r="E146" s="89" t="str">
        <f>CONCATENATE(B146,"-",C146,"-",D146)</f>
        <v>10-37-315</v>
      </c>
      <c r="F146" s="13" t="str">
        <f>VLOOKUP(E146,'LISTA ITEMS'!$E$2:$G$875,2,FALSE)</f>
        <v>SOPORTE FINAL NEGRO</v>
      </c>
      <c r="G146" s="25" t="str">
        <f>VLOOKUP(E146,'LISTA ITEMS'!$E$2:$G$875,3,FALSE)</f>
        <v>UND</v>
      </c>
      <c r="H146" s="74">
        <v>46083</v>
      </c>
      <c r="I146" s="75">
        <v>17</v>
      </c>
      <c r="J146" s="27"/>
      <c r="K146" s="70">
        <v>46098</v>
      </c>
      <c r="L146" s="67">
        <v>113</v>
      </c>
      <c r="M146" s="54">
        <v>46098</v>
      </c>
      <c r="N146" s="55">
        <v>150</v>
      </c>
      <c r="O146" s="70">
        <v>46098</v>
      </c>
      <c r="P146" s="71">
        <v>344</v>
      </c>
      <c r="Q146" s="36">
        <v>46098</v>
      </c>
      <c r="R146" s="26">
        <f>+I146+L146+N146-P146</f>
        <v>-64</v>
      </c>
      <c r="S146" s="85"/>
      <c r="T146" s="84"/>
      <c r="U146" s="27"/>
      <c r="V146" s="70"/>
      <c r="W146" s="67"/>
      <c r="X146" s="54"/>
      <c r="Y146" s="55"/>
      <c r="Z146" s="70"/>
      <c r="AA146" s="71"/>
      <c r="AB146" s="31"/>
      <c r="AC146" s="26">
        <f>+R146+W146+Y146-AA146</f>
        <v>-64</v>
      </c>
      <c r="AD146" s="25"/>
      <c r="AE146" s="25"/>
      <c r="AF146" s="77">
        <v>10</v>
      </c>
      <c r="AG146" s="77">
        <v>1</v>
      </c>
      <c r="AH146" s="77" t="s">
        <v>311</v>
      </c>
    </row>
    <row r="147" spans="1:35" ht="29.4" customHeight="1" x14ac:dyDescent="0.3">
      <c r="A147" s="65">
        <v>144</v>
      </c>
      <c r="B147" s="25">
        <v>16</v>
      </c>
      <c r="C147" s="25">
        <v>52</v>
      </c>
      <c r="D147" s="25">
        <v>319</v>
      </c>
      <c r="E147" s="30" t="str">
        <f>CONCATENATE(B147,"-",C147,"-",D147)</f>
        <v>16-52-319</v>
      </c>
      <c r="F147" s="13" t="str">
        <f>VLOOKUP(E147,'LISTA ITEMS'!$E$2:$G$875,2,FALSE)</f>
        <v>TERMICO EPBE63M1NC25 1P+N C25 (MAXGE)</v>
      </c>
      <c r="G147" s="25" t="str">
        <f>VLOOKUP(E147,'LISTA ITEMS'!$E$2:$G$875,3,FALSE)</f>
        <v>UND</v>
      </c>
      <c r="H147" s="74">
        <v>46083</v>
      </c>
      <c r="I147" s="75">
        <v>25</v>
      </c>
      <c r="J147" s="27"/>
      <c r="K147" s="70">
        <v>46098</v>
      </c>
      <c r="L147" s="67">
        <v>0</v>
      </c>
      <c r="M147" s="54">
        <v>46098</v>
      </c>
      <c r="N147" s="55">
        <v>0</v>
      </c>
      <c r="O147" s="70">
        <v>46098</v>
      </c>
      <c r="P147" s="71">
        <v>0</v>
      </c>
      <c r="Q147" s="36">
        <v>46098</v>
      </c>
      <c r="R147" s="26">
        <f>+I147+L147+N147-P147</f>
        <v>25</v>
      </c>
      <c r="S147" s="85">
        <v>46098</v>
      </c>
      <c r="T147" s="84">
        <v>27</v>
      </c>
      <c r="U147" s="27"/>
      <c r="V147" s="70"/>
      <c r="W147" s="67"/>
      <c r="X147" s="54"/>
      <c r="Y147" s="55"/>
      <c r="Z147" s="70"/>
      <c r="AA147" s="71"/>
      <c r="AB147" s="31"/>
      <c r="AC147" s="26">
        <f>+R147+W147+Y147-AA147</f>
        <v>25</v>
      </c>
      <c r="AD147" s="25"/>
      <c r="AE147" s="25" t="s">
        <v>481</v>
      </c>
      <c r="AF147" s="48">
        <v>10</v>
      </c>
      <c r="AG147" s="48">
        <v>2</v>
      </c>
      <c r="AH147" s="48" t="s">
        <v>311</v>
      </c>
      <c r="AI147" s="2" t="s">
        <v>467</v>
      </c>
    </row>
    <row r="148" spans="1:35" ht="29.4" customHeight="1" x14ac:dyDescent="0.3">
      <c r="A148" s="65">
        <v>145</v>
      </c>
      <c r="B148" s="25">
        <v>16</v>
      </c>
      <c r="C148" s="25">
        <v>52</v>
      </c>
      <c r="D148" s="25">
        <v>285</v>
      </c>
      <c r="E148" s="30" t="str">
        <f>CONCATENATE(B148,"-",C148,"-",D148)</f>
        <v>16-52-285</v>
      </c>
      <c r="F148" s="13" t="str">
        <f>VLOOKUP(E148,'LISTA ITEMS'!$E$2:$G$875,2,FALSE)</f>
        <v>TERMICO EPBE63M1NC63 1P+N C63 (MAXGE)</v>
      </c>
      <c r="G148" s="25" t="str">
        <f>VLOOKUP(E148,'LISTA ITEMS'!$E$2:$G$875,3,FALSE)</f>
        <v>UND</v>
      </c>
      <c r="H148" s="74">
        <v>46083</v>
      </c>
      <c r="I148" s="75">
        <v>13</v>
      </c>
      <c r="J148" s="27"/>
      <c r="K148" s="70">
        <v>46098</v>
      </c>
      <c r="L148" s="67">
        <v>0</v>
      </c>
      <c r="M148" s="54">
        <v>46098</v>
      </c>
      <c r="N148" s="55">
        <v>0</v>
      </c>
      <c r="O148" s="70">
        <v>46098</v>
      </c>
      <c r="P148" s="71">
        <v>0</v>
      </c>
      <c r="Q148" s="36">
        <v>46098</v>
      </c>
      <c r="R148" s="26">
        <f>+I148+L148+N148-P148</f>
        <v>13</v>
      </c>
      <c r="S148" s="85">
        <v>46098</v>
      </c>
      <c r="T148" s="84">
        <v>14</v>
      </c>
      <c r="U148" s="27"/>
      <c r="V148" s="70"/>
      <c r="W148" s="67"/>
      <c r="X148" s="54"/>
      <c r="Y148" s="55"/>
      <c r="Z148" s="70"/>
      <c r="AA148" s="71"/>
      <c r="AB148" s="31"/>
      <c r="AC148" s="26">
        <f>+R148+W148+Y148-AA148</f>
        <v>13</v>
      </c>
      <c r="AD148" s="25"/>
      <c r="AE148" s="25"/>
      <c r="AF148" s="48">
        <v>10</v>
      </c>
      <c r="AG148" s="48">
        <v>2</v>
      </c>
      <c r="AH148" s="48" t="s">
        <v>311</v>
      </c>
      <c r="AI148" s="2" t="s">
        <v>467</v>
      </c>
    </row>
    <row r="149" spans="1:35" ht="28.8" x14ac:dyDescent="0.3">
      <c r="A149" s="65">
        <v>146</v>
      </c>
      <c r="B149" s="25">
        <v>16</v>
      </c>
      <c r="C149" s="25">
        <v>52</v>
      </c>
      <c r="D149" s="25">
        <v>293</v>
      </c>
      <c r="E149" s="30" t="str">
        <f>CONCATENATE(B149,"-",C149,"-",D149)</f>
        <v>16-52-293</v>
      </c>
      <c r="F149" s="13" t="str">
        <f>VLOOKUP(E149,'LISTA ITEMS'!$E$2:$G$875,2,FALSE)</f>
        <v>TERMICO EPBE63M1NC63M1NC32 1P+N C32 (MAXGE)</v>
      </c>
      <c r="G149" s="25" t="str">
        <f>VLOOKUP(E149,'LISTA ITEMS'!$E$2:$G$875,3,FALSE)</f>
        <v>UND</v>
      </c>
      <c r="H149" s="74">
        <v>46083</v>
      </c>
      <c r="I149" s="75">
        <v>21</v>
      </c>
      <c r="J149" s="27"/>
      <c r="K149" s="70">
        <v>46098</v>
      </c>
      <c r="L149" s="67">
        <v>0</v>
      </c>
      <c r="M149" s="54">
        <v>46098</v>
      </c>
      <c r="N149" s="55">
        <v>0</v>
      </c>
      <c r="O149" s="70">
        <v>46098</v>
      </c>
      <c r="P149" s="71">
        <v>4</v>
      </c>
      <c r="Q149" s="36">
        <v>46098</v>
      </c>
      <c r="R149" s="26">
        <f>+I149+L149+N149-P149</f>
        <v>17</v>
      </c>
      <c r="S149" s="85">
        <v>46098</v>
      </c>
      <c r="T149" s="84">
        <v>11</v>
      </c>
      <c r="U149" s="27"/>
      <c r="V149" s="70"/>
      <c r="W149" s="67"/>
      <c r="X149" s="54"/>
      <c r="Y149" s="55"/>
      <c r="Z149" s="70"/>
      <c r="AA149" s="71"/>
      <c r="AB149" s="31"/>
      <c r="AC149" s="26">
        <f>+R149+W149+Y149-AA149</f>
        <v>17</v>
      </c>
      <c r="AD149" s="25"/>
      <c r="AE149" s="25"/>
      <c r="AF149" s="48">
        <v>10</v>
      </c>
      <c r="AG149" s="48">
        <v>2</v>
      </c>
      <c r="AH149" s="48" t="s">
        <v>311</v>
      </c>
      <c r="AI149" s="2" t="s">
        <v>467</v>
      </c>
    </row>
    <row r="150" spans="1:35" ht="28.8" x14ac:dyDescent="0.3">
      <c r="A150" s="65">
        <v>147</v>
      </c>
      <c r="B150" s="25">
        <v>16</v>
      </c>
      <c r="C150" s="25">
        <v>52</v>
      </c>
      <c r="D150" s="25">
        <v>292</v>
      </c>
      <c r="E150" s="30" t="str">
        <f>CONCATENATE(B150,"-",C150,"-",D150)</f>
        <v>16-52-292</v>
      </c>
      <c r="F150" s="13" t="str">
        <f>VLOOKUP(E150,'LISTA ITEMS'!$E$2:$G$875,2,FALSE)</f>
        <v>TERMICO EPBE63M1NC63M1NC40 1P+N C40 (MAXGE)</v>
      </c>
      <c r="G150" s="25" t="str">
        <f>VLOOKUP(E150,'LISTA ITEMS'!$E$2:$G$875,3,FALSE)</f>
        <v>UND</v>
      </c>
      <c r="H150" s="74">
        <v>46083</v>
      </c>
      <c r="I150" s="75">
        <v>20</v>
      </c>
      <c r="J150" s="27"/>
      <c r="K150" s="70">
        <v>46098</v>
      </c>
      <c r="L150" s="67">
        <v>0</v>
      </c>
      <c r="M150" s="54">
        <v>46098</v>
      </c>
      <c r="N150" s="55">
        <v>12</v>
      </c>
      <c r="O150" s="70">
        <v>46098</v>
      </c>
      <c r="P150" s="71">
        <v>3</v>
      </c>
      <c r="Q150" s="36">
        <v>46098</v>
      </c>
      <c r="R150" s="26">
        <f>+I150+L150+N150-P150</f>
        <v>29</v>
      </c>
      <c r="S150" s="85">
        <v>46098</v>
      </c>
      <c r="T150" s="84">
        <v>18</v>
      </c>
      <c r="U150" s="27"/>
      <c r="V150" s="70"/>
      <c r="W150" s="67"/>
      <c r="X150" s="54"/>
      <c r="Y150" s="55"/>
      <c r="Z150" s="70"/>
      <c r="AA150" s="71"/>
      <c r="AB150" s="31"/>
      <c r="AC150" s="26">
        <f>+R150+W150+Y150-AA150</f>
        <v>29</v>
      </c>
      <c r="AD150" s="25"/>
      <c r="AE150" s="25"/>
      <c r="AF150" s="48">
        <v>10</v>
      </c>
      <c r="AG150" s="48">
        <v>2</v>
      </c>
      <c r="AH150" s="48" t="s">
        <v>311</v>
      </c>
      <c r="AI150" s="2" t="s">
        <v>467</v>
      </c>
    </row>
    <row r="151" spans="1:35" ht="28.8" x14ac:dyDescent="0.3">
      <c r="A151" s="65">
        <v>148</v>
      </c>
      <c r="B151" s="25">
        <v>16</v>
      </c>
      <c r="C151" s="25">
        <v>52</v>
      </c>
      <c r="D151" s="25">
        <v>341</v>
      </c>
      <c r="E151" s="89" t="str">
        <f>CONCATENATE(B151,"-",C151,"-",D151)</f>
        <v>16-52-341</v>
      </c>
      <c r="F151" s="13" t="str">
        <f>VLOOKUP(E151,'LISTA ITEMS'!$E$2:$G$875,2,FALSE)</f>
        <v>TERMICO TRIFASICO EPB63M4C16 4P-C16  (MAXGE)</v>
      </c>
      <c r="G151" s="25" t="str">
        <f>VLOOKUP(E151,'LISTA ITEMS'!$E$2:$G$875,3,FALSE)</f>
        <v>UND</v>
      </c>
      <c r="H151" s="74">
        <v>46083</v>
      </c>
      <c r="I151" s="75">
        <v>4</v>
      </c>
      <c r="J151" s="27"/>
      <c r="K151" s="70">
        <v>46098</v>
      </c>
      <c r="L151" s="67">
        <v>0</v>
      </c>
      <c r="M151" s="54">
        <v>46098</v>
      </c>
      <c r="N151" s="55">
        <v>0</v>
      </c>
      <c r="O151" s="70">
        <v>46098</v>
      </c>
      <c r="P151" s="71">
        <v>0</v>
      </c>
      <c r="Q151" s="36">
        <v>46098</v>
      </c>
      <c r="R151" s="26">
        <f>+I151+L151+N151-P151</f>
        <v>4</v>
      </c>
      <c r="S151" s="85"/>
      <c r="T151" s="84"/>
      <c r="U151" s="27"/>
      <c r="V151" s="70"/>
      <c r="W151" s="67"/>
      <c r="X151" s="54"/>
      <c r="Y151" s="55"/>
      <c r="Z151" s="70"/>
      <c r="AA151" s="71"/>
      <c r="AB151" s="31"/>
      <c r="AC151" s="26">
        <f>+R151+W151+Y151-AA151</f>
        <v>4</v>
      </c>
      <c r="AD151" s="25"/>
      <c r="AE151" s="25"/>
      <c r="AF151" s="116">
        <v>10</v>
      </c>
      <c r="AG151" s="116">
        <v>1</v>
      </c>
      <c r="AH151" s="116" t="s">
        <v>251</v>
      </c>
    </row>
    <row r="152" spans="1:35" ht="28.8" x14ac:dyDescent="0.3">
      <c r="A152" s="65">
        <v>149</v>
      </c>
      <c r="B152" s="25">
        <v>16</v>
      </c>
      <c r="C152" s="25">
        <v>52</v>
      </c>
      <c r="D152" s="25">
        <v>340</v>
      </c>
      <c r="E152" s="89" t="str">
        <f>CONCATENATE(B152,"-",C152,"-",D152)</f>
        <v>16-52-340</v>
      </c>
      <c r="F152" s="13" t="str">
        <f>VLOOKUP(E152,'LISTA ITEMS'!$E$2:$G$875,2,FALSE)</f>
        <v>TERMICO TRIFASICO EPB63M4C20 4P-C20  (MAXGE)</v>
      </c>
      <c r="G152" s="25" t="str">
        <f>VLOOKUP(E152,'LISTA ITEMS'!$E$2:$G$875,3,FALSE)</f>
        <v>UND</v>
      </c>
      <c r="H152" s="74">
        <v>46083</v>
      </c>
      <c r="I152" s="75">
        <v>5</v>
      </c>
      <c r="J152" s="27"/>
      <c r="K152" s="70">
        <v>46098</v>
      </c>
      <c r="L152" s="67">
        <v>0</v>
      </c>
      <c r="M152" s="54">
        <v>46098</v>
      </c>
      <c r="N152" s="55">
        <v>0</v>
      </c>
      <c r="O152" s="70">
        <v>46098</v>
      </c>
      <c r="P152" s="71">
        <v>3</v>
      </c>
      <c r="Q152" s="36">
        <v>46098</v>
      </c>
      <c r="R152" s="26">
        <f>+I152+L152+N152-P152</f>
        <v>2</v>
      </c>
      <c r="S152" s="85"/>
      <c r="T152" s="84"/>
      <c r="U152" s="27"/>
      <c r="V152" s="70"/>
      <c r="W152" s="67"/>
      <c r="X152" s="54"/>
      <c r="Y152" s="55"/>
      <c r="Z152" s="70"/>
      <c r="AA152" s="71"/>
      <c r="AB152" s="31"/>
      <c r="AC152" s="26">
        <f>+R152+W152+Y152-AA152</f>
        <v>2</v>
      </c>
      <c r="AD152" s="25"/>
      <c r="AE152" s="25"/>
      <c r="AF152" s="116">
        <v>10</v>
      </c>
      <c r="AG152" s="116">
        <v>1</v>
      </c>
      <c r="AH152" s="116" t="s">
        <v>251</v>
      </c>
    </row>
    <row r="153" spans="1:35" ht="28.8" x14ac:dyDescent="0.3">
      <c r="A153" s="65">
        <v>150</v>
      </c>
      <c r="B153" s="25">
        <v>16</v>
      </c>
      <c r="C153" s="25">
        <v>52</v>
      </c>
      <c r="D153" s="25">
        <v>339</v>
      </c>
      <c r="E153" s="89" t="str">
        <f>CONCATENATE(B153,"-",C153,"-",D153)</f>
        <v>16-52-339</v>
      </c>
      <c r="F153" s="13" t="str">
        <f>VLOOKUP(E153,'LISTA ITEMS'!$E$2:$G$875,2,FALSE)</f>
        <v>TERMICO TRIFASICO EPB63MC25 4P-C25  (MAXGE)</v>
      </c>
      <c r="G153" s="25" t="str">
        <f>VLOOKUP(E153,'LISTA ITEMS'!$E$2:$G$875,3,FALSE)</f>
        <v>UND</v>
      </c>
      <c r="H153" s="74">
        <v>46083</v>
      </c>
      <c r="I153" s="75">
        <v>7</v>
      </c>
      <c r="J153" s="27"/>
      <c r="K153" s="70">
        <v>46098</v>
      </c>
      <c r="L153" s="67">
        <v>0</v>
      </c>
      <c r="M153" s="54">
        <v>46098</v>
      </c>
      <c r="N153" s="55">
        <v>0</v>
      </c>
      <c r="O153" s="70">
        <v>46098</v>
      </c>
      <c r="P153" s="71">
        <v>0</v>
      </c>
      <c r="Q153" s="36">
        <v>46098</v>
      </c>
      <c r="R153" s="26">
        <f>+I153+L153+N153-P153</f>
        <v>7</v>
      </c>
      <c r="S153" s="85"/>
      <c r="T153" s="84"/>
      <c r="U153" s="27"/>
      <c r="V153" s="70"/>
      <c r="W153" s="67"/>
      <c r="X153" s="54"/>
      <c r="Y153" s="55"/>
      <c r="Z153" s="70"/>
      <c r="AA153" s="71"/>
      <c r="AB153" s="31"/>
      <c r="AC153" s="26">
        <f>+R153+W153+Y153-AA153</f>
        <v>7</v>
      </c>
      <c r="AD153" s="25"/>
      <c r="AE153" s="25"/>
      <c r="AF153" s="116">
        <v>10</v>
      </c>
      <c r="AG153" s="116">
        <v>1</v>
      </c>
      <c r="AH153" s="116" t="s">
        <v>251</v>
      </c>
    </row>
    <row r="154" spans="1:35" ht="43.2" x14ac:dyDescent="0.3">
      <c r="A154" s="65">
        <v>151</v>
      </c>
      <c r="B154" s="25">
        <v>8</v>
      </c>
      <c r="C154" s="25">
        <v>27</v>
      </c>
      <c r="D154" s="25">
        <v>321</v>
      </c>
      <c r="E154" s="89" t="str">
        <f>CONCATENATE(B154,"-",C154,"-",D154)</f>
        <v>8-27-321</v>
      </c>
      <c r="F154" s="13" t="str">
        <f>VLOOKUP(E154,'LISTA ITEMS'!$E$2:$G$875,2,FALSE)</f>
        <v>TORNILLO AUTOTALADRANTE CON C/HEXAGONAL - R/PARCIAL - ARANDELA CAUCHO 6X120mm  A/GALV.</v>
      </c>
      <c r="G154" s="25" t="str">
        <f>VLOOKUP(E154,'LISTA ITEMS'!$E$2:$G$875,3,FALSE)</f>
        <v>UND</v>
      </c>
      <c r="H154" s="74">
        <v>46083</v>
      </c>
      <c r="I154" s="75">
        <v>13</v>
      </c>
      <c r="J154" s="27"/>
      <c r="K154" s="70">
        <v>46098</v>
      </c>
      <c r="L154" s="67">
        <v>0</v>
      </c>
      <c r="M154" s="54">
        <v>46098</v>
      </c>
      <c r="N154" s="55">
        <v>0</v>
      </c>
      <c r="O154" s="70">
        <v>46098</v>
      </c>
      <c r="P154" s="71">
        <v>0</v>
      </c>
      <c r="Q154" s="36">
        <v>46098</v>
      </c>
      <c r="R154" s="26">
        <f>+I154+L154+N154-P154</f>
        <v>13</v>
      </c>
      <c r="S154" s="85"/>
      <c r="T154" s="84"/>
      <c r="U154" s="27"/>
      <c r="V154" s="70"/>
      <c r="W154" s="67"/>
      <c r="X154" s="54"/>
      <c r="Y154" s="55"/>
      <c r="Z154" s="70"/>
      <c r="AA154" s="71"/>
      <c r="AB154" s="31"/>
      <c r="AC154" s="26">
        <f>+R154+W154+Y154-AA154</f>
        <v>13</v>
      </c>
      <c r="AD154" s="25"/>
      <c r="AE154" s="25"/>
      <c r="AF154" s="116">
        <v>7</v>
      </c>
      <c r="AG154" s="116">
        <v>1</v>
      </c>
      <c r="AH154" s="116" t="s">
        <v>312</v>
      </c>
    </row>
    <row r="155" spans="1:35" ht="27" customHeight="1" x14ac:dyDescent="0.3">
      <c r="A155" s="65">
        <v>152</v>
      </c>
      <c r="B155" s="25">
        <v>9</v>
      </c>
      <c r="C155" s="25">
        <v>2</v>
      </c>
      <c r="D155" s="25">
        <v>291</v>
      </c>
      <c r="E155" s="30" t="str">
        <f>CONCATENATE(B155,"-",C155,"-",D155)</f>
        <v>9-2-291</v>
      </c>
      <c r="F155" s="13" t="str">
        <f>VLOOKUP(E155,'LISTA ITEMS'!$E$2:$G$875,2,FALSE)</f>
        <v>TUBO ELECTRICO PVC 25mm - 3mt(AISCAN)</v>
      </c>
      <c r="G155" s="25" t="str">
        <f>VLOOKUP(E155,'LISTA ITEMS'!$E$2:$G$875,3,FALSE)</f>
        <v>UND</v>
      </c>
      <c r="H155" s="74">
        <v>46083</v>
      </c>
      <c r="I155" s="75">
        <v>-35</v>
      </c>
      <c r="J155" s="27"/>
      <c r="K155" s="70">
        <v>46098</v>
      </c>
      <c r="L155" s="67">
        <v>13</v>
      </c>
      <c r="M155" s="54">
        <v>46098</v>
      </c>
      <c r="N155" s="55">
        <v>171</v>
      </c>
      <c r="O155" s="70">
        <v>46098</v>
      </c>
      <c r="P155" s="71">
        <v>55</v>
      </c>
      <c r="Q155" s="36">
        <v>46098</v>
      </c>
      <c r="R155" s="26">
        <f>+I155+L155+N155-P155</f>
        <v>94</v>
      </c>
      <c r="S155" s="85"/>
      <c r="T155" s="84"/>
      <c r="U155" s="27"/>
      <c r="V155" s="70"/>
      <c r="W155" s="67"/>
      <c r="X155" s="54"/>
      <c r="Y155" s="55"/>
      <c r="Z155" s="70"/>
      <c r="AA155" s="71"/>
      <c r="AB155" s="31"/>
      <c r="AC155" s="26">
        <f>+R155+W155+Y155-AA155</f>
        <v>94</v>
      </c>
      <c r="AD155" s="25"/>
      <c r="AE155" s="25"/>
      <c r="AF155" s="77" t="s">
        <v>315</v>
      </c>
      <c r="AG155" s="77" t="s">
        <v>119</v>
      </c>
      <c r="AH155" s="77" t="s">
        <v>316</v>
      </c>
    </row>
    <row r="156" spans="1:35" x14ac:dyDescent="0.3">
      <c r="A156" s="65">
        <v>153</v>
      </c>
      <c r="B156" s="25">
        <v>13</v>
      </c>
      <c r="C156" s="25">
        <v>23</v>
      </c>
      <c r="D156" s="25">
        <v>334</v>
      </c>
      <c r="E156" s="89" t="str">
        <f>CONCATENATE(B156,"-",C156,"-",D156)</f>
        <v>13-23-334</v>
      </c>
      <c r="F156" s="13" t="str">
        <f>VLOOKUP(E156,'LISTA ITEMS'!$E$2:$G$875,2,FALSE)</f>
        <v>CINTA GRIS AISLANTE PVC 19MM</v>
      </c>
      <c r="G156" s="25" t="str">
        <f>VLOOKUP(E156,'LISTA ITEMS'!$E$2:$G$875,3,FALSE)</f>
        <v>UND</v>
      </c>
      <c r="H156" s="74">
        <v>46083</v>
      </c>
      <c r="I156" s="75">
        <v>1</v>
      </c>
      <c r="J156" s="27"/>
      <c r="K156" s="70">
        <v>46098</v>
      </c>
      <c r="L156" s="67">
        <v>0</v>
      </c>
      <c r="M156" s="54">
        <v>46098</v>
      </c>
      <c r="N156" s="55">
        <v>0</v>
      </c>
      <c r="O156" s="70">
        <v>46098</v>
      </c>
      <c r="P156" s="71">
        <v>0</v>
      </c>
      <c r="Q156" s="36">
        <v>46098</v>
      </c>
      <c r="R156" s="26">
        <f>+I156+L156+N156-P156</f>
        <v>1</v>
      </c>
      <c r="S156" s="85"/>
      <c r="T156" s="84"/>
      <c r="U156" s="27"/>
      <c r="V156" s="70"/>
      <c r="W156" s="67"/>
      <c r="X156" s="54"/>
      <c r="Y156" s="55"/>
      <c r="Z156" s="70"/>
      <c r="AA156" s="71"/>
      <c r="AB156" s="31"/>
      <c r="AC156" s="26">
        <f>+R156+W156+Y156-AA156</f>
        <v>1</v>
      </c>
      <c r="AD156" s="25"/>
      <c r="AE156" s="25"/>
      <c r="AF156" s="112">
        <v>7</v>
      </c>
      <c r="AG156" s="112">
        <v>1</v>
      </c>
      <c r="AH156" s="112" t="s">
        <v>339</v>
      </c>
    </row>
    <row r="157" spans="1:35" x14ac:dyDescent="0.3">
      <c r="A157" s="65">
        <v>154</v>
      </c>
      <c r="B157" s="25">
        <v>13</v>
      </c>
      <c r="C157" s="25">
        <v>23</v>
      </c>
      <c r="D157" s="25">
        <v>335</v>
      </c>
      <c r="E157" s="89" t="str">
        <f>CONCATENATE(B157,"-",C157,"-",D157)</f>
        <v>13-23-335</v>
      </c>
      <c r="F157" s="13" t="str">
        <f>VLOOKUP(E157,'LISTA ITEMS'!$E$2:$G$875,2,FALSE)</f>
        <v>CINTA MARRON AISLANTE PVC 19MM</v>
      </c>
      <c r="G157" s="25" t="str">
        <f>VLOOKUP(E157,'LISTA ITEMS'!$E$2:$G$875,3,FALSE)</f>
        <v>UND</v>
      </c>
      <c r="H157" s="74">
        <v>46083</v>
      </c>
      <c r="I157" s="75">
        <v>11</v>
      </c>
      <c r="J157" s="27"/>
      <c r="K157" s="70">
        <v>46098</v>
      </c>
      <c r="L157" s="67">
        <v>0</v>
      </c>
      <c r="M157" s="54">
        <v>46098</v>
      </c>
      <c r="N157" s="55">
        <v>0</v>
      </c>
      <c r="O157" s="70">
        <v>46098</v>
      </c>
      <c r="P157" s="71">
        <v>0</v>
      </c>
      <c r="Q157" s="36">
        <v>46098</v>
      </c>
      <c r="R157" s="26">
        <f>+I157+L157+N157-P157</f>
        <v>11</v>
      </c>
      <c r="S157" s="85"/>
      <c r="T157" s="84"/>
      <c r="U157" s="27"/>
      <c r="V157" s="70"/>
      <c r="W157" s="67"/>
      <c r="X157" s="54"/>
      <c r="Y157" s="55"/>
      <c r="Z157" s="70"/>
      <c r="AA157" s="71"/>
      <c r="AB157" s="31"/>
      <c r="AC157" s="26">
        <f>+R157+W157+Y157-AA157</f>
        <v>11</v>
      </c>
      <c r="AD157" s="25"/>
      <c r="AE157" s="25" t="s">
        <v>9</v>
      </c>
      <c r="AF157" s="112">
        <v>7</v>
      </c>
      <c r="AG157" s="112">
        <v>1</v>
      </c>
      <c r="AH157" s="112" t="s">
        <v>339</v>
      </c>
    </row>
    <row r="158" spans="1:35" x14ac:dyDescent="0.3">
      <c r="A158" s="65">
        <v>155</v>
      </c>
      <c r="B158" s="25">
        <v>16</v>
      </c>
      <c r="C158" s="25">
        <v>50</v>
      </c>
      <c r="D158" s="25">
        <v>336</v>
      </c>
      <c r="E158" s="30" t="str">
        <f>CONCATENATE(B158,"-",C158,"-",D158)</f>
        <v>16-50-336</v>
      </c>
      <c r="F158" s="13" t="str">
        <f>VLOOKUP(E158,'LISTA ITEMS'!$E$2:$G$875,2,FALSE)</f>
        <v>FUSIBLE 20A</v>
      </c>
      <c r="G158" s="25" t="str">
        <f>VLOOKUP(E158,'LISTA ITEMS'!$E$2:$G$875,3,FALSE)</f>
        <v>UND</v>
      </c>
      <c r="H158" s="74">
        <v>46083</v>
      </c>
      <c r="I158" s="75">
        <v>10</v>
      </c>
      <c r="J158" s="27"/>
      <c r="K158" s="70">
        <v>46098</v>
      </c>
      <c r="L158" s="67">
        <v>0</v>
      </c>
      <c r="M158" s="54">
        <v>46098</v>
      </c>
      <c r="N158" s="55">
        <v>0</v>
      </c>
      <c r="O158" s="70">
        <v>46098</v>
      </c>
      <c r="P158" s="71">
        <v>0</v>
      </c>
      <c r="Q158" s="36">
        <v>46098</v>
      </c>
      <c r="R158" s="26">
        <f>+I158+L158+N158-P158</f>
        <v>10</v>
      </c>
      <c r="S158" s="85">
        <v>46098</v>
      </c>
      <c r="T158" s="84">
        <v>6</v>
      </c>
      <c r="U158" s="27"/>
      <c r="V158" s="70"/>
      <c r="W158" s="67"/>
      <c r="X158" s="54"/>
      <c r="Y158" s="55"/>
      <c r="Z158" s="70"/>
      <c r="AA158" s="71"/>
      <c r="AB158" s="31"/>
      <c r="AC158" s="26">
        <f>+R158+W158+Y158-AA158</f>
        <v>10</v>
      </c>
      <c r="AD158" s="25"/>
      <c r="AE158" s="25"/>
      <c r="AF158" s="48">
        <v>10</v>
      </c>
      <c r="AG158" s="48">
        <v>2</v>
      </c>
      <c r="AH158" s="48" t="s">
        <v>251</v>
      </c>
    </row>
    <row r="159" spans="1:35" x14ac:dyDescent="0.3">
      <c r="A159" s="65">
        <v>156</v>
      </c>
      <c r="B159" s="25">
        <v>16</v>
      </c>
      <c r="C159" s="25">
        <v>62</v>
      </c>
      <c r="D159" s="25">
        <v>342</v>
      </c>
      <c r="E159" s="89" t="str">
        <f>CONCATENATE(B159,"-",C159,"-",D159)</f>
        <v>16-62-342</v>
      </c>
      <c r="F159" s="13" t="str">
        <f>VLOOKUP(E159,'LISTA ITEMS'!$E$2:$G$875,2,FALSE)</f>
        <v>MAGNETO 4P-25A</v>
      </c>
      <c r="G159" s="25" t="str">
        <f>VLOOKUP(E159,'LISTA ITEMS'!$E$2:$G$875,3,FALSE)</f>
        <v>UND</v>
      </c>
      <c r="H159" s="74">
        <v>46083</v>
      </c>
      <c r="I159" s="75">
        <v>1</v>
      </c>
      <c r="J159" s="27"/>
      <c r="K159" s="70">
        <v>46098</v>
      </c>
      <c r="L159" s="67">
        <v>0</v>
      </c>
      <c r="M159" s="54">
        <v>46098</v>
      </c>
      <c r="N159" s="55">
        <v>0</v>
      </c>
      <c r="O159" s="70">
        <v>46098</v>
      </c>
      <c r="P159" s="71">
        <v>0</v>
      </c>
      <c r="Q159" s="36">
        <v>46098</v>
      </c>
      <c r="R159" s="26">
        <f>+I159+L159+N159-P159</f>
        <v>1</v>
      </c>
      <c r="S159" s="85"/>
      <c r="T159" s="84"/>
      <c r="U159" s="27"/>
      <c r="V159" s="70"/>
      <c r="W159" s="67"/>
      <c r="X159" s="54"/>
      <c r="Y159" s="55"/>
      <c r="Z159" s="70"/>
      <c r="AA159" s="71"/>
      <c r="AB159" s="31"/>
      <c r="AC159" s="26">
        <f>+R159+W159+Y159-AA159</f>
        <v>1</v>
      </c>
      <c r="AD159" s="25"/>
      <c r="AE159" s="25"/>
      <c r="AF159" s="114">
        <v>10</v>
      </c>
      <c r="AG159" s="114">
        <v>1</v>
      </c>
      <c r="AH159" s="114" t="s">
        <v>251</v>
      </c>
    </row>
    <row r="160" spans="1:35" x14ac:dyDescent="0.3">
      <c r="A160" s="65">
        <v>157</v>
      </c>
      <c r="B160" s="25">
        <v>16</v>
      </c>
      <c r="C160" s="25">
        <v>52</v>
      </c>
      <c r="D160" s="25">
        <v>343</v>
      </c>
      <c r="E160" s="89" t="str">
        <f>CONCATENATE(B160,"-",C160,"-",D160)</f>
        <v>16-52-343</v>
      </c>
      <c r="F160" s="13" t="str">
        <f>VLOOKUP(E160,'LISTA ITEMS'!$E$2:$G$875,2,FALSE)</f>
        <v>TERMICO EPBE63M1NC20 1P+N C20 (MAXGE)</v>
      </c>
      <c r="G160" s="25" t="str">
        <f>VLOOKUP(E160,'LISTA ITEMS'!$E$2:$G$875,3,FALSE)</f>
        <v>UND</v>
      </c>
      <c r="H160" s="74">
        <v>46083</v>
      </c>
      <c r="I160" s="75">
        <v>1</v>
      </c>
      <c r="J160" s="27"/>
      <c r="K160" s="70">
        <v>46098</v>
      </c>
      <c r="L160" s="67">
        <v>0</v>
      </c>
      <c r="M160" s="54">
        <v>46098</v>
      </c>
      <c r="N160" s="55">
        <v>0</v>
      </c>
      <c r="O160" s="70">
        <v>46098</v>
      </c>
      <c r="P160" s="71">
        <v>0</v>
      </c>
      <c r="Q160" s="36">
        <v>46098</v>
      </c>
      <c r="R160" s="26">
        <f>+I160+L160+N160-P160</f>
        <v>1</v>
      </c>
      <c r="S160" s="85"/>
      <c r="T160" s="84"/>
      <c r="U160" s="27"/>
      <c r="V160" s="70"/>
      <c r="W160" s="67"/>
      <c r="X160" s="54"/>
      <c r="Y160" s="55"/>
      <c r="Z160" s="70"/>
      <c r="AA160" s="71"/>
      <c r="AB160" s="31"/>
      <c r="AC160" s="26">
        <f>+R160+W160+Y160-AA160</f>
        <v>1</v>
      </c>
      <c r="AD160" s="25"/>
      <c r="AE160" s="25"/>
      <c r="AF160" s="114">
        <v>10</v>
      </c>
      <c r="AG160" s="114">
        <v>2</v>
      </c>
      <c r="AH160" s="114" t="s">
        <v>311</v>
      </c>
    </row>
    <row r="161" spans="1:35" ht="28.8" x14ac:dyDescent="0.3">
      <c r="A161" s="65">
        <v>158</v>
      </c>
      <c r="B161" s="25">
        <v>16</v>
      </c>
      <c r="C161" s="25">
        <v>56</v>
      </c>
      <c r="D161" s="25">
        <v>344</v>
      </c>
      <c r="E161" s="89" t="str">
        <f>CONCATENATE(B161,"-",C161,"-",D161)</f>
        <v>16-56-344</v>
      </c>
      <c r="F161" s="13" t="str">
        <f>VLOOKUP(E161,'LISTA ITEMS'!$E$2:$G$875,2,FALSE)</f>
        <v>METER TRIFASICO DTSU666 230/400Vac (CHINT)</v>
      </c>
      <c r="G161" s="25" t="str">
        <f>VLOOKUP(E161,'LISTA ITEMS'!$E$2:$G$875,3,FALSE)</f>
        <v>UND</v>
      </c>
      <c r="H161" s="74">
        <v>46083</v>
      </c>
      <c r="I161" s="75">
        <v>1</v>
      </c>
      <c r="J161" s="27"/>
      <c r="K161" s="70">
        <v>46098</v>
      </c>
      <c r="L161" s="67">
        <v>0</v>
      </c>
      <c r="M161" s="54">
        <v>46098</v>
      </c>
      <c r="N161" s="55">
        <v>0</v>
      </c>
      <c r="O161" s="70">
        <v>46098</v>
      </c>
      <c r="P161" s="71">
        <v>0</v>
      </c>
      <c r="Q161" s="36">
        <v>46098</v>
      </c>
      <c r="R161" s="26">
        <f>+I161+L161+N161-P161</f>
        <v>1</v>
      </c>
      <c r="S161" s="85"/>
      <c r="T161" s="84"/>
      <c r="U161" s="27"/>
      <c r="V161" s="70"/>
      <c r="W161" s="67"/>
      <c r="X161" s="54"/>
      <c r="Y161" s="55"/>
      <c r="Z161" s="70"/>
      <c r="AA161" s="71"/>
      <c r="AB161" s="31"/>
      <c r="AC161" s="26">
        <f>+R161+W161+Y161-AA161</f>
        <v>1</v>
      </c>
      <c r="AD161" s="25"/>
      <c r="AE161" s="25"/>
      <c r="AF161" s="114">
        <v>10</v>
      </c>
      <c r="AG161" s="114">
        <v>1</v>
      </c>
      <c r="AH161" s="114" t="s">
        <v>251</v>
      </c>
    </row>
    <row r="162" spans="1:35" ht="28.8" x14ac:dyDescent="0.3">
      <c r="A162" s="65">
        <v>159</v>
      </c>
      <c r="B162" s="25">
        <v>16</v>
      </c>
      <c r="C162" s="25">
        <v>56</v>
      </c>
      <c r="D162" s="25">
        <v>345</v>
      </c>
      <c r="E162" s="89" t="str">
        <f>CONCATENATE(B162,"-",C162,"-",D162)</f>
        <v>16-56-345</v>
      </c>
      <c r="F162" s="13" t="str">
        <f>VLOOKUP(E162,'LISTA ITEMS'!$E$2:$G$875,2,FALSE)</f>
        <v>METER TRIFASICO SDM630 V2 MID 230/400Vac (STROMZAHLER)</v>
      </c>
      <c r="G162" s="25" t="str">
        <f>VLOOKUP(E162,'LISTA ITEMS'!$E$2:$G$875,3,FALSE)</f>
        <v>UND</v>
      </c>
      <c r="H162" s="74">
        <v>46083</v>
      </c>
      <c r="I162" s="75">
        <v>1</v>
      </c>
      <c r="J162" s="27"/>
      <c r="K162" s="70">
        <v>46098</v>
      </c>
      <c r="L162" s="67">
        <v>0</v>
      </c>
      <c r="M162" s="54">
        <v>46098</v>
      </c>
      <c r="N162" s="55">
        <v>0</v>
      </c>
      <c r="O162" s="70">
        <v>46098</v>
      </c>
      <c r="P162" s="71">
        <v>0</v>
      </c>
      <c r="Q162" s="36">
        <v>46098</v>
      </c>
      <c r="R162" s="26">
        <f>+I162+L162+N162-P162</f>
        <v>1</v>
      </c>
      <c r="S162" s="85"/>
      <c r="T162" s="84"/>
      <c r="U162" s="27"/>
      <c r="V162" s="70"/>
      <c r="W162" s="67"/>
      <c r="X162" s="54"/>
      <c r="Y162" s="55"/>
      <c r="Z162" s="70"/>
      <c r="AA162" s="71"/>
      <c r="AB162" s="31"/>
      <c r="AC162" s="26">
        <f>+R162+W162+Y162-AA162</f>
        <v>1</v>
      </c>
      <c r="AD162" s="25"/>
      <c r="AE162" s="25"/>
      <c r="AF162" s="114">
        <v>10</v>
      </c>
      <c r="AG162" s="114">
        <v>1</v>
      </c>
      <c r="AH162" s="114" t="s">
        <v>251</v>
      </c>
    </row>
    <row r="163" spans="1:35" ht="58.2" customHeight="1" x14ac:dyDescent="0.3">
      <c r="A163" s="65">
        <v>160</v>
      </c>
      <c r="B163" s="25">
        <v>16</v>
      </c>
      <c r="C163" s="25">
        <v>35</v>
      </c>
      <c r="D163" s="25">
        <v>298</v>
      </c>
      <c r="E163" s="89" t="str">
        <f>CONCATENATE(B163,"-",C163,"-",D163)</f>
        <v>16-35-298</v>
      </c>
      <c r="F163" s="13" t="str">
        <f>VLOOKUP(E163,'LISTA ITEMS'!$E$2:$G$875,2,FALSE)</f>
        <v>INVERSOR HIBRIDO TRIFASICO 10KW WIT10K HU C/BACKUP INCORPORADO Y DISEÑADO PARA BATERIA DE BAJO VOLTAJE (GROTWATT)</v>
      </c>
      <c r="G163" s="25" t="str">
        <f>VLOOKUP(E163,'LISTA ITEMS'!$E$2:$G$875,3,FALSE)</f>
        <v>UND</v>
      </c>
      <c r="H163" s="74">
        <v>46083</v>
      </c>
      <c r="I163" s="75">
        <v>1</v>
      </c>
      <c r="J163" s="27"/>
      <c r="K163" s="70">
        <v>46098</v>
      </c>
      <c r="L163" s="67">
        <v>0</v>
      </c>
      <c r="M163" s="54">
        <v>46098</v>
      </c>
      <c r="N163" s="55">
        <v>1</v>
      </c>
      <c r="O163" s="70">
        <v>46098</v>
      </c>
      <c r="P163" s="71">
        <v>1</v>
      </c>
      <c r="Q163" s="36">
        <v>46098</v>
      </c>
      <c r="R163" s="26">
        <f>+I163+L163+N163-P163</f>
        <v>1</v>
      </c>
      <c r="S163" s="85"/>
      <c r="T163" s="84"/>
      <c r="U163" s="27"/>
      <c r="V163" s="70"/>
      <c r="W163" s="67"/>
      <c r="X163" s="54"/>
      <c r="Y163" s="55"/>
      <c r="Z163" s="70"/>
      <c r="AA163" s="71"/>
      <c r="AB163" s="31"/>
      <c r="AC163" s="26">
        <f>+R163+W163+Y163-AA163</f>
        <v>1</v>
      </c>
      <c r="AD163" s="51" t="s">
        <v>246</v>
      </c>
      <c r="AE163" s="51" t="s">
        <v>246</v>
      </c>
      <c r="AF163" s="114">
        <v>5</v>
      </c>
      <c r="AG163" s="114" t="s">
        <v>119</v>
      </c>
      <c r="AH163" s="114" t="s">
        <v>316</v>
      </c>
    </row>
    <row r="164" spans="1:35" ht="28.8" x14ac:dyDescent="0.3">
      <c r="A164" s="65">
        <v>161</v>
      </c>
      <c r="B164" s="25">
        <v>7</v>
      </c>
      <c r="C164" s="25">
        <v>35</v>
      </c>
      <c r="D164" s="25">
        <v>228</v>
      </c>
      <c r="E164" s="89" t="str">
        <f>CONCATENATE(B164,"-",C164,"-",D164)</f>
        <v>7-35-228</v>
      </c>
      <c r="F164" s="13" t="str">
        <f>VLOOKUP(E164,'LISTA ITEMS'!$E$2:$G$875,2,FALSE)</f>
        <v>INVERSOR M-5K-64-PAR- A MARCA ROHS COMPLIANT</v>
      </c>
      <c r="G164" s="25" t="str">
        <f>VLOOKUP(E164,'LISTA ITEMS'!$E$2:$G$875,3,FALSE)</f>
        <v>UND</v>
      </c>
      <c r="H164" s="74">
        <v>46083</v>
      </c>
      <c r="I164" s="75">
        <v>1</v>
      </c>
      <c r="J164" s="27"/>
      <c r="K164" s="70">
        <v>46098</v>
      </c>
      <c r="L164" s="67">
        <v>0</v>
      </c>
      <c r="M164" s="54">
        <v>46098</v>
      </c>
      <c r="N164" s="55">
        <v>0</v>
      </c>
      <c r="O164" s="70">
        <v>46098</v>
      </c>
      <c r="P164" s="71">
        <v>0</v>
      </c>
      <c r="Q164" s="36">
        <v>46098</v>
      </c>
      <c r="R164" s="26">
        <f>+I164+L164+N164-P164</f>
        <v>1</v>
      </c>
      <c r="S164" s="85"/>
      <c r="T164" s="84"/>
      <c r="U164" s="27"/>
      <c r="V164" s="70"/>
      <c r="W164" s="67"/>
      <c r="X164" s="54"/>
      <c r="Y164" s="55"/>
      <c r="Z164" s="70"/>
      <c r="AA164" s="71"/>
      <c r="AB164" s="31"/>
      <c r="AC164" s="26">
        <f>+R164+W164+Y164-AA164</f>
        <v>1</v>
      </c>
      <c r="AD164" s="52">
        <v>92931703102238</v>
      </c>
      <c r="AE164" s="52">
        <v>92931703102239</v>
      </c>
      <c r="AF164" s="114">
        <v>10</v>
      </c>
      <c r="AG164" s="114">
        <v>1</v>
      </c>
      <c r="AH164" s="114" t="s">
        <v>311</v>
      </c>
    </row>
    <row r="165" spans="1:35" ht="28.8" x14ac:dyDescent="0.3">
      <c r="A165" s="65">
        <v>162</v>
      </c>
      <c r="B165" s="25">
        <v>7</v>
      </c>
      <c r="C165" s="25">
        <v>35</v>
      </c>
      <c r="D165" s="25">
        <v>229</v>
      </c>
      <c r="E165" s="89" t="str">
        <f>CONCATENATE(B165,"-",C165,"-",D165)</f>
        <v>7-35-229</v>
      </c>
      <c r="F165" s="13" t="str">
        <f>VLOOKUP(E165,'LISTA ITEMS'!$E$2:$G$875,2,FALSE)</f>
        <v>INVERSOR AXPERT MK5-3K-24V-PLUS MARCA ROHS COMPLIANT</v>
      </c>
      <c r="G165" s="25" t="str">
        <f>VLOOKUP(E165,'LISTA ITEMS'!$E$2:$G$875,3,FALSE)</f>
        <v>UND</v>
      </c>
      <c r="H165" s="74">
        <v>46083</v>
      </c>
      <c r="I165" s="75">
        <v>1</v>
      </c>
      <c r="J165" s="27"/>
      <c r="K165" s="70">
        <v>46098</v>
      </c>
      <c r="L165" s="67">
        <v>0</v>
      </c>
      <c r="M165" s="54">
        <v>46098</v>
      </c>
      <c r="N165" s="55">
        <v>0</v>
      </c>
      <c r="O165" s="70">
        <v>46098</v>
      </c>
      <c r="P165" s="71">
        <v>0</v>
      </c>
      <c r="Q165" s="36">
        <v>46098</v>
      </c>
      <c r="R165" s="26">
        <f>+I165+L165+N165-P165</f>
        <v>1</v>
      </c>
      <c r="S165" s="85"/>
      <c r="T165" s="84"/>
      <c r="U165" s="27"/>
      <c r="V165" s="70"/>
      <c r="W165" s="67"/>
      <c r="X165" s="54"/>
      <c r="Y165" s="55"/>
      <c r="Z165" s="70"/>
      <c r="AA165" s="71"/>
      <c r="AB165" s="31"/>
      <c r="AC165" s="26">
        <f>+R165+W165+Y165-AA165</f>
        <v>1</v>
      </c>
      <c r="AD165" s="52">
        <v>92332011100255</v>
      </c>
      <c r="AE165" s="52">
        <v>92332011100256</v>
      </c>
      <c r="AF165" s="120">
        <v>10</v>
      </c>
      <c r="AG165" s="120">
        <v>1</v>
      </c>
      <c r="AH165" s="120" t="s">
        <v>311</v>
      </c>
    </row>
    <row r="166" spans="1:35" ht="28.8" x14ac:dyDescent="0.3">
      <c r="A166" s="65">
        <v>163</v>
      </c>
      <c r="B166" s="25">
        <v>7</v>
      </c>
      <c r="C166" s="25">
        <v>35</v>
      </c>
      <c r="D166" s="25">
        <v>296</v>
      </c>
      <c r="E166" s="89" t="str">
        <f>CONCATENATE(B166,"-",C166,"-",D166)</f>
        <v>7-35-296</v>
      </c>
      <c r="F166" s="13" t="str">
        <f>VLOOKUP(E166,'LISTA ITEMS'!$E$2:$G$875,2,FALSE)</f>
        <v>INVERSOR HIBRIDO MONOFASICO SUN 12KW AM3 (DEYE)</v>
      </c>
      <c r="G166" s="25" t="str">
        <f>VLOOKUP(E166,'LISTA ITEMS'!$E$2:$G$875,3,FALSE)</f>
        <v>UND</v>
      </c>
      <c r="H166" s="74">
        <v>46083</v>
      </c>
      <c r="I166" s="75">
        <v>1</v>
      </c>
      <c r="J166" s="27"/>
      <c r="K166" s="70">
        <v>46098</v>
      </c>
      <c r="L166" s="67">
        <v>0</v>
      </c>
      <c r="M166" s="54">
        <v>46098</v>
      </c>
      <c r="N166" s="55">
        <v>0</v>
      </c>
      <c r="O166" s="70">
        <v>46098</v>
      </c>
      <c r="P166" s="71">
        <v>0</v>
      </c>
      <c r="Q166" s="36">
        <v>46098</v>
      </c>
      <c r="R166" s="26">
        <f>+I166+L166+N166-P166</f>
        <v>1</v>
      </c>
      <c r="S166" s="85"/>
      <c r="T166" s="84"/>
      <c r="U166" s="27"/>
      <c r="V166" s="70"/>
      <c r="W166" s="67"/>
      <c r="X166" s="54"/>
      <c r="Y166" s="55"/>
      <c r="Z166" s="70"/>
      <c r="AA166" s="71"/>
      <c r="AB166" s="31"/>
      <c r="AC166" s="26">
        <f>+R166+W166+Y166-AA166</f>
        <v>1</v>
      </c>
      <c r="AD166" s="25">
        <v>2509272241</v>
      </c>
      <c r="AE166" s="25">
        <v>2509272242</v>
      </c>
      <c r="AF166" s="114">
        <v>5</v>
      </c>
      <c r="AG166" s="114" t="s">
        <v>119</v>
      </c>
      <c r="AH166" s="114" t="s">
        <v>316</v>
      </c>
    </row>
    <row r="167" spans="1:35" ht="57.6" x14ac:dyDescent="0.3">
      <c r="A167" s="65">
        <v>164</v>
      </c>
      <c r="B167" s="25">
        <v>7</v>
      </c>
      <c r="C167" s="25">
        <v>36</v>
      </c>
      <c r="D167" s="25">
        <v>231</v>
      </c>
      <c r="E167" s="89" t="str">
        <f>CONCATENATE(B167,"-",C167,"-",D167)</f>
        <v>7-36-231</v>
      </c>
      <c r="F167" s="13" t="str">
        <f>VLOOKUP(E167,'LISTA ITEMS'!$E$2:$G$875,2,FALSE)</f>
        <v>CONTROLADOR SMART SOLAR MPPT 250/100-TR VICTROM ENERGY</v>
      </c>
      <c r="G167" s="25" t="str">
        <f>VLOOKUP(E167,'LISTA ITEMS'!$E$2:$G$875,3,FALSE)</f>
        <v>UND</v>
      </c>
      <c r="H167" s="74">
        <v>46083</v>
      </c>
      <c r="I167" s="75">
        <v>2</v>
      </c>
      <c r="J167" s="27"/>
      <c r="K167" s="70">
        <v>46098</v>
      </c>
      <c r="L167" s="67">
        <v>0</v>
      </c>
      <c r="M167" s="54">
        <v>46098</v>
      </c>
      <c r="N167" s="55">
        <v>0</v>
      </c>
      <c r="O167" s="70">
        <v>46098</v>
      </c>
      <c r="P167" s="71">
        <v>0</v>
      </c>
      <c r="Q167" s="36">
        <v>46098</v>
      </c>
      <c r="R167" s="26">
        <f>+I167+L167+N167-P167</f>
        <v>2</v>
      </c>
      <c r="S167" s="85"/>
      <c r="T167" s="84"/>
      <c r="U167" s="27"/>
      <c r="V167" s="70"/>
      <c r="W167" s="67"/>
      <c r="X167" s="54"/>
      <c r="Y167" s="55"/>
      <c r="Z167" s="70"/>
      <c r="AA167" s="71"/>
      <c r="AB167" s="31"/>
      <c r="AC167" s="26">
        <f>+R167+W167+Y167-AA167</f>
        <v>2</v>
      </c>
      <c r="AD167" s="51" t="s">
        <v>369</v>
      </c>
      <c r="AE167" s="51" t="s">
        <v>369</v>
      </c>
      <c r="AF167" s="120">
        <v>8</v>
      </c>
      <c r="AG167" s="120">
        <v>3</v>
      </c>
      <c r="AH167" s="120" t="s">
        <v>311</v>
      </c>
    </row>
    <row r="168" spans="1:35" ht="28.8" x14ac:dyDescent="0.3">
      <c r="A168" s="65">
        <v>165</v>
      </c>
      <c r="B168" s="25">
        <v>7</v>
      </c>
      <c r="C168" s="25">
        <v>35</v>
      </c>
      <c r="D168" s="25">
        <v>230</v>
      </c>
      <c r="E168" s="89" t="str">
        <f>CONCATENATE(B168,"-",C168,"-",D168)</f>
        <v>7-35-230</v>
      </c>
      <c r="F168" s="13" t="str">
        <f>VLOOKUP(E168,'LISTA ITEMS'!$E$2:$G$875,2,FALSE)</f>
        <v>INVERSOR VICTROM ENERGY MULTIPLUS 24/3000/70-16-230V</v>
      </c>
      <c r="G168" s="25" t="str">
        <f>VLOOKUP(E168,'LISTA ITEMS'!$E$2:$G$875,3,FALSE)</f>
        <v>UND</v>
      </c>
      <c r="H168" s="74">
        <v>46083</v>
      </c>
      <c r="I168" s="75">
        <v>1</v>
      </c>
      <c r="J168" s="27"/>
      <c r="K168" s="70">
        <v>46098</v>
      </c>
      <c r="L168" s="67">
        <v>0</v>
      </c>
      <c r="M168" s="54">
        <v>46098</v>
      </c>
      <c r="N168" s="55">
        <v>0</v>
      </c>
      <c r="O168" s="70">
        <v>46098</v>
      </c>
      <c r="P168" s="71">
        <v>0</v>
      </c>
      <c r="Q168" s="36">
        <v>46098</v>
      </c>
      <c r="R168" s="26">
        <f>+I168+L168+N168-P168</f>
        <v>1</v>
      </c>
      <c r="S168" s="85"/>
      <c r="T168" s="84"/>
      <c r="U168" s="27"/>
      <c r="V168" s="70"/>
      <c r="W168" s="67"/>
      <c r="X168" s="54"/>
      <c r="Y168" s="55"/>
      <c r="Z168" s="70"/>
      <c r="AA168" s="71"/>
      <c r="AB168" s="31"/>
      <c r="AC168" s="26">
        <f>+R168+W168+Y168-AA168</f>
        <v>1</v>
      </c>
      <c r="AD168" s="25" t="s">
        <v>284</v>
      </c>
      <c r="AE168" s="25" t="s">
        <v>284</v>
      </c>
      <c r="AF168" s="77">
        <v>8</v>
      </c>
      <c r="AG168" s="77">
        <v>3</v>
      </c>
      <c r="AH168" s="77" t="s">
        <v>311</v>
      </c>
    </row>
    <row r="169" spans="1:35" ht="43.2" x14ac:dyDescent="0.3">
      <c r="A169" s="65">
        <v>166</v>
      </c>
      <c r="B169" s="25">
        <v>7</v>
      </c>
      <c r="C169" s="25">
        <v>35</v>
      </c>
      <c r="D169" s="25">
        <v>274</v>
      </c>
      <c r="E169" s="89" t="str">
        <f>CONCATENATE(B169,"-",C169,"-",D169)</f>
        <v>7-35-274</v>
      </c>
      <c r="F169" s="13" t="str">
        <f>VLOOKUP(E169,'LISTA ITEMS'!$E$2:$G$875,2,FALSE)</f>
        <v>INVERSOR HIBRIDO MONOFASICO SPE 10000ES 10KW BATER. BAJO VOLTAJE Y BACKUP INCORP. (GROWATT)</v>
      </c>
      <c r="G169" s="25" t="str">
        <f>VLOOKUP(E169,'LISTA ITEMS'!$E$2:$G$875,3,FALSE)</f>
        <v>UND</v>
      </c>
      <c r="H169" s="74">
        <v>46083</v>
      </c>
      <c r="I169" s="75">
        <v>0</v>
      </c>
      <c r="J169" s="27"/>
      <c r="K169" s="70">
        <v>46098</v>
      </c>
      <c r="L169" s="67">
        <v>0</v>
      </c>
      <c r="M169" s="54">
        <v>46098</v>
      </c>
      <c r="N169" s="55">
        <v>0</v>
      </c>
      <c r="O169" s="70">
        <v>46098</v>
      </c>
      <c r="P169" s="71">
        <v>0</v>
      </c>
      <c r="Q169" s="36">
        <v>46098</v>
      </c>
      <c r="R169" s="26">
        <f>+I169+L169+N169-P169</f>
        <v>0</v>
      </c>
      <c r="S169" s="85"/>
      <c r="T169" s="84"/>
      <c r="U169" s="27"/>
      <c r="V169" s="70"/>
      <c r="W169" s="67"/>
      <c r="X169" s="54"/>
      <c r="Y169" s="55"/>
      <c r="Z169" s="70"/>
      <c r="AA169" s="71"/>
      <c r="AB169" s="36"/>
      <c r="AC169" s="26">
        <f>+R169+W169+Y169-AA169</f>
        <v>0</v>
      </c>
      <c r="AD169" s="25" t="s">
        <v>245</v>
      </c>
      <c r="AE169" s="25" t="s">
        <v>245</v>
      </c>
      <c r="AF169" s="114">
        <v>5</v>
      </c>
      <c r="AG169" s="114" t="s">
        <v>119</v>
      </c>
      <c r="AH169" s="114" t="s">
        <v>316</v>
      </c>
    </row>
    <row r="170" spans="1:35" ht="28.8" x14ac:dyDescent="0.3">
      <c r="A170" s="65">
        <v>167</v>
      </c>
      <c r="B170" s="25">
        <v>16</v>
      </c>
      <c r="C170" s="25">
        <v>16</v>
      </c>
      <c r="D170" s="25">
        <v>346</v>
      </c>
      <c r="E170" s="89" t="str">
        <f>CONCATENATE(B170,"-",C170,"-",D170)</f>
        <v>16-16-346</v>
      </c>
      <c r="F170" s="13" t="str">
        <f>VLOOKUP(E170,'LISTA ITEMS'!$E$2:$G$875,2,FALSE)</f>
        <v>REGLETA CONEXIÓN ELECTRICA 10mm NEGRA X12</v>
      </c>
      <c r="G170" s="25" t="str">
        <f>VLOOKUP(E170,'LISTA ITEMS'!$E$2:$G$875,3,FALSE)</f>
        <v>UND</v>
      </c>
      <c r="H170" s="74">
        <v>46083</v>
      </c>
      <c r="I170" s="75">
        <v>13</v>
      </c>
      <c r="J170" s="27"/>
      <c r="K170" s="70">
        <v>46098</v>
      </c>
      <c r="L170" s="67">
        <v>0</v>
      </c>
      <c r="M170" s="54">
        <v>46098</v>
      </c>
      <c r="N170" s="55">
        <v>0</v>
      </c>
      <c r="O170" s="70">
        <v>46098</v>
      </c>
      <c r="P170" s="71">
        <v>0</v>
      </c>
      <c r="Q170" s="36">
        <v>46098</v>
      </c>
      <c r="R170" s="26">
        <f>+I170+L170+N170-P170</f>
        <v>13</v>
      </c>
      <c r="S170" s="85"/>
      <c r="T170" s="84"/>
      <c r="U170" s="27"/>
      <c r="V170" s="70"/>
      <c r="W170" s="67"/>
      <c r="X170" s="54"/>
      <c r="Y170" s="55"/>
      <c r="Z170" s="70"/>
      <c r="AA170" s="71"/>
      <c r="AB170" s="31"/>
      <c r="AC170" s="26">
        <f>+R170+W170+Y170-AA170</f>
        <v>13</v>
      </c>
      <c r="AD170" s="25"/>
      <c r="AE170" s="25"/>
      <c r="AF170" s="116">
        <v>7</v>
      </c>
      <c r="AG170" s="116">
        <v>1</v>
      </c>
      <c r="AH170" s="116" t="s">
        <v>251</v>
      </c>
    </row>
    <row r="171" spans="1:35" ht="28.8" x14ac:dyDescent="0.3">
      <c r="A171" s="65">
        <v>168</v>
      </c>
      <c r="B171" s="25">
        <v>16</v>
      </c>
      <c r="C171" s="25">
        <v>16</v>
      </c>
      <c r="D171" s="25">
        <v>347</v>
      </c>
      <c r="E171" s="89" t="str">
        <f>CONCATENATE(B171,"-",C171,"-",D171)</f>
        <v>16-16-347</v>
      </c>
      <c r="F171" s="13" t="str">
        <f>VLOOKUP(E171,'LISTA ITEMS'!$E$2:$G$875,2,FALSE)</f>
        <v>REGLETA CONEXIÓN ELECTRICA 6mm NEGRA X12</v>
      </c>
      <c r="G171" s="25" t="str">
        <f>VLOOKUP(E171,'LISTA ITEMS'!$E$2:$G$875,3,FALSE)</f>
        <v>UND</v>
      </c>
      <c r="H171" s="74">
        <v>46083</v>
      </c>
      <c r="I171" s="75">
        <v>14</v>
      </c>
      <c r="J171" s="27"/>
      <c r="K171" s="70">
        <v>46098</v>
      </c>
      <c r="L171" s="67">
        <v>0</v>
      </c>
      <c r="M171" s="54">
        <v>46098</v>
      </c>
      <c r="N171" s="55">
        <v>0</v>
      </c>
      <c r="O171" s="70">
        <v>46098</v>
      </c>
      <c r="P171" s="71">
        <v>0</v>
      </c>
      <c r="Q171" s="36">
        <v>46098</v>
      </c>
      <c r="R171" s="26">
        <f>+I171+L171+N171-P171</f>
        <v>14</v>
      </c>
      <c r="S171" s="85"/>
      <c r="T171" s="84"/>
      <c r="U171" s="27"/>
      <c r="V171" s="70"/>
      <c r="W171" s="67"/>
      <c r="X171" s="54"/>
      <c r="Y171" s="55"/>
      <c r="Z171" s="70"/>
      <c r="AA171" s="71"/>
      <c r="AB171" s="31"/>
      <c r="AC171" s="26">
        <f>+R171+W171+Y171-AA171</f>
        <v>14</v>
      </c>
      <c r="AD171" s="25"/>
      <c r="AE171" s="25"/>
      <c r="AF171" s="77">
        <v>7</v>
      </c>
      <c r="AG171" s="77">
        <v>1</v>
      </c>
      <c r="AH171" s="77" t="s">
        <v>251</v>
      </c>
    </row>
    <row r="172" spans="1:35" ht="28.8" x14ac:dyDescent="0.3">
      <c r="A172" s="65">
        <v>169</v>
      </c>
      <c r="B172" s="25">
        <v>16</v>
      </c>
      <c r="C172" s="25">
        <v>16</v>
      </c>
      <c r="D172" s="25">
        <v>348</v>
      </c>
      <c r="E172" s="89" t="str">
        <f>CONCATENATE(B172,"-",C172,"-",D172)</f>
        <v>16-16-348</v>
      </c>
      <c r="F172" s="13" t="str">
        <f>VLOOKUP(E172,'LISTA ITEMS'!$E$2:$G$875,2,FALSE)</f>
        <v>REGLETA CONEXIÓN ELECTRICA 25mm NEGRA X12</v>
      </c>
      <c r="G172" s="25" t="str">
        <f>VLOOKUP(E172,'LISTA ITEMS'!$E$2:$G$875,3,FALSE)</f>
        <v>UND</v>
      </c>
      <c r="H172" s="74">
        <v>46083</v>
      </c>
      <c r="I172" s="75">
        <v>5</v>
      </c>
      <c r="J172" s="27"/>
      <c r="K172" s="70">
        <v>46098</v>
      </c>
      <c r="L172" s="67">
        <v>0</v>
      </c>
      <c r="M172" s="54">
        <v>46098</v>
      </c>
      <c r="N172" s="55">
        <v>0</v>
      </c>
      <c r="O172" s="70">
        <v>46098</v>
      </c>
      <c r="P172" s="71">
        <v>0</v>
      </c>
      <c r="Q172" s="36">
        <v>46098</v>
      </c>
      <c r="R172" s="26">
        <f>+I172+L172+N172-P172</f>
        <v>5</v>
      </c>
      <c r="S172" s="85"/>
      <c r="T172" s="84"/>
      <c r="U172" s="27"/>
      <c r="V172" s="70"/>
      <c r="W172" s="67"/>
      <c r="X172" s="54"/>
      <c r="Y172" s="55"/>
      <c r="Z172" s="70"/>
      <c r="AA172" s="71"/>
      <c r="AB172" s="31"/>
      <c r="AC172" s="26">
        <f>+R172+W172+Y172-AA172</f>
        <v>5</v>
      </c>
      <c r="AD172" s="25"/>
      <c r="AE172" s="25" t="s">
        <v>9</v>
      </c>
      <c r="AF172" s="77">
        <v>7</v>
      </c>
      <c r="AG172" s="77">
        <v>1</v>
      </c>
      <c r="AH172" s="77" t="s">
        <v>251</v>
      </c>
    </row>
    <row r="173" spans="1:35" ht="28.8" x14ac:dyDescent="0.3">
      <c r="A173" s="65">
        <v>170</v>
      </c>
      <c r="B173" s="25">
        <v>16</v>
      </c>
      <c r="C173" s="25">
        <v>47</v>
      </c>
      <c r="D173" s="25">
        <v>349</v>
      </c>
      <c r="E173" s="89" t="str">
        <f>CONCATENATE(B173,"-",C173,"-",D173)</f>
        <v>16-47-349</v>
      </c>
      <c r="F173" s="13" t="str">
        <f>VLOOKUP(E173,'LISTA ITEMS'!$E$2:$G$875,2,FALSE)</f>
        <v>DIFERENCIAL TRIFASICO TIPO A/C 4P-40A-30mA (AEG)</v>
      </c>
      <c r="G173" s="25" t="str">
        <f>VLOOKUP(E173,'LISTA ITEMS'!$E$2:$G$875,3,FALSE)</f>
        <v>UND</v>
      </c>
      <c r="H173" s="74">
        <v>46083</v>
      </c>
      <c r="I173" s="75">
        <v>1</v>
      </c>
      <c r="J173" s="27"/>
      <c r="K173" s="70">
        <v>46098</v>
      </c>
      <c r="L173" s="67">
        <v>0</v>
      </c>
      <c r="M173" s="54">
        <v>46098</v>
      </c>
      <c r="N173" s="55">
        <v>0</v>
      </c>
      <c r="O173" s="70">
        <v>46098</v>
      </c>
      <c r="P173" s="71">
        <v>2</v>
      </c>
      <c r="Q173" s="36">
        <v>46098</v>
      </c>
      <c r="R173" s="26">
        <f>+I173+L173+N173-P173</f>
        <v>-1</v>
      </c>
      <c r="S173" s="85"/>
      <c r="T173" s="84"/>
      <c r="U173" s="27"/>
      <c r="V173" s="70"/>
      <c r="W173" s="67"/>
      <c r="X173" s="54"/>
      <c r="Y173" s="55"/>
      <c r="Z173" s="70"/>
      <c r="AA173" s="71"/>
      <c r="AB173" s="31"/>
      <c r="AC173" s="26">
        <f>+R173+W173+Y173-AA173</f>
        <v>-1</v>
      </c>
      <c r="AD173" s="25"/>
      <c r="AE173" s="25"/>
      <c r="AF173" s="119">
        <v>10</v>
      </c>
      <c r="AG173" s="119">
        <v>1</v>
      </c>
      <c r="AH173" s="119" t="s">
        <v>251</v>
      </c>
    </row>
    <row r="174" spans="1:35" ht="43.2" x14ac:dyDescent="0.3">
      <c r="A174" s="65">
        <v>171</v>
      </c>
      <c r="B174" s="25">
        <v>16</v>
      </c>
      <c r="C174" s="25">
        <v>52</v>
      </c>
      <c r="D174" s="25">
        <v>350</v>
      </c>
      <c r="E174" s="30" t="str">
        <f>CONCATENATE(B174,"-",C174,"-",D174)</f>
        <v>16-52-350</v>
      </c>
      <c r="F174" s="13" t="str">
        <f>VLOOKUP(E174,'LISTA ITEMS'!$E$2:$G$875,2,FALSE)</f>
        <v>TERMICO EPBE63M1NC20 1P+N C20A 6KA (MAXGE)</v>
      </c>
      <c r="G174" s="25" t="str">
        <f>VLOOKUP(E174,'LISTA ITEMS'!$E$2:$G$875,3,FALSE)</f>
        <v>UND</v>
      </c>
      <c r="H174" s="74">
        <v>46083</v>
      </c>
      <c r="I174" s="75">
        <v>24</v>
      </c>
      <c r="J174" s="27"/>
      <c r="K174" s="70">
        <v>46098</v>
      </c>
      <c r="L174" s="67">
        <v>0</v>
      </c>
      <c r="M174" s="54">
        <v>46098</v>
      </c>
      <c r="N174" s="55">
        <v>0</v>
      </c>
      <c r="O174" s="70">
        <v>46098</v>
      </c>
      <c r="P174" s="71">
        <v>0</v>
      </c>
      <c r="Q174" s="36">
        <v>46098</v>
      </c>
      <c r="R174" s="26">
        <f>+I174+L174+N174-P174</f>
        <v>24</v>
      </c>
      <c r="S174" s="85">
        <v>46098</v>
      </c>
      <c r="T174" s="84">
        <v>28</v>
      </c>
      <c r="U174" s="27"/>
      <c r="V174" s="70"/>
      <c r="W174" s="67"/>
      <c r="X174" s="54"/>
      <c r="Y174" s="55"/>
      <c r="Z174" s="70"/>
      <c r="AA174" s="71"/>
      <c r="AB174" s="31"/>
      <c r="AC174" s="26">
        <f>+R174+W174+Y174-AA174</f>
        <v>24</v>
      </c>
      <c r="AD174" s="25"/>
      <c r="AE174" s="25" t="s">
        <v>483</v>
      </c>
      <c r="AF174" s="48">
        <v>10</v>
      </c>
      <c r="AG174" s="48">
        <v>2</v>
      </c>
      <c r="AH174" s="48" t="s">
        <v>311</v>
      </c>
      <c r="AI174" s="2" t="s">
        <v>467</v>
      </c>
    </row>
    <row r="175" spans="1:35" s="64" customFormat="1" ht="28.8" x14ac:dyDescent="0.3">
      <c r="A175" s="65">
        <v>172</v>
      </c>
      <c r="B175" s="59">
        <v>16</v>
      </c>
      <c r="C175" s="59">
        <v>52</v>
      </c>
      <c r="D175" s="59">
        <v>351</v>
      </c>
      <c r="E175" s="115" t="str">
        <f>CONCATENATE(B175,"-",C175,"-",D175)</f>
        <v>16-52-351</v>
      </c>
      <c r="F175" s="60" t="str">
        <f>VLOOKUP(E175,'LISTA ITEMS'!$E$2:$G$875,2,FALSE)</f>
        <v>TERMICO LIMITADOR ICP-M C32 20A (MERLIN GERIN)</v>
      </c>
      <c r="G175" s="59" t="str">
        <f>VLOOKUP(E175,'LISTA ITEMS'!$E$2:$G$875,3,FALSE)</f>
        <v>UND</v>
      </c>
      <c r="H175" s="74">
        <v>46083</v>
      </c>
      <c r="I175" s="75">
        <v>1</v>
      </c>
      <c r="J175" s="62"/>
      <c r="K175" s="70">
        <v>46098</v>
      </c>
      <c r="L175" s="67">
        <v>0</v>
      </c>
      <c r="M175" s="54">
        <v>46098</v>
      </c>
      <c r="N175" s="55">
        <v>0</v>
      </c>
      <c r="O175" s="70">
        <v>46098</v>
      </c>
      <c r="P175" s="71">
        <v>0</v>
      </c>
      <c r="Q175" s="36">
        <v>46098</v>
      </c>
      <c r="R175" s="26">
        <f>+I175+L175+N175-P175</f>
        <v>1</v>
      </c>
      <c r="S175" s="85"/>
      <c r="T175" s="84"/>
      <c r="U175" s="62"/>
      <c r="V175" s="70"/>
      <c r="W175" s="67"/>
      <c r="X175" s="54"/>
      <c r="Y175" s="55"/>
      <c r="Z175" s="70"/>
      <c r="AA175" s="71"/>
      <c r="AB175" s="61"/>
      <c r="AC175" s="26">
        <f>+R175+W175+Y175-AA175</f>
        <v>1</v>
      </c>
      <c r="AD175" s="59"/>
      <c r="AE175" s="59"/>
      <c r="AF175" s="109">
        <v>10</v>
      </c>
      <c r="AG175" s="109">
        <v>2</v>
      </c>
      <c r="AH175" s="109" t="s">
        <v>311</v>
      </c>
    </row>
    <row r="176" spans="1:35" ht="43.2" x14ac:dyDescent="0.3">
      <c r="A176" s="65">
        <v>173</v>
      </c>
      <c r="B176" s="25">
        <v>16</v>
      </c>
      <c r="C176" s="25">
        <v>52</v>
      </c>
      <c r="D176" s="25">
        <v>352</v>
      </c>
      <c r="E176" s="89" t="str">
        <f>CONCATENATE(B176,"-",C176,"-",D176)</f>
        <v>16-52-352</v>
      </c>
      <c r="F176" s="13" t="str">
        <f>VLOOKUP(E176,'LISTA ITEMS'!$E$2:$G$875,2,FALSE)</f>
        <v>TERMICO NDT C20 (CRADY)</v>
      </c>
      <c r="G176" s="25" t="str">
        <f>VLOOKUP(E176,'LISTA ITEMS'!$E$2:$G$875,3,FALSE)</f>
        <v>UND</v>
      </c>
      <c r="H176" s="74">
        <v>46083</v>
      </c>
      <c r="I176" s="75">
        <v>1</v>
      </c>
      <c r="J176" s="27"/>
      <c r="K176" s="70">
        <v>46098</v>
      </c>
      <c r="L176" s="67">
        <v>0</v>
      </c>
      <c r="M176" s="54">
        <v>46098</v>
      </c>
      <c r="N176" s="55">
        <v>0</v>
      </c>
      <c r="O176" s="70">
        <v>46098</v>
      </c>
      <c r="P176" s="71">
        <v>0</v>
      </c>
      <c r="Q176" s="36">
        <v>46098</v>
      </c>
      <c r="R176" s="26">
        <f>+I176+L176+N176-P176</f>
        <v>1</v>
      </c>
      <c r="S176" s="85"/>
      <c r="T176" s="84"/>
      <c r="U176" s="27"/>
      <c r="V176" s="70"/>
      <c r="W176" s="67"/>
      <c r="X176" s="54"/>
      <c r="Y176" s="55"/>
      <c r="Z176" s="70"/>
      <c r="AA176" s="71"/>
      <c r="AB176" s="31"/>
      <c r="AC176" s="26">
        <f>+R176+W176+Y176-AA176</f>
        <v>1</v>
      </c>
      <c r="AD176" s="25"/>
      <c r="AE176" s="25" t="s">
        <v>484</v>
      </c>
      <c r="AF176" s="77">
        <v>10</v>
      </c>
      <c r="AG176" s="77">
        <v>2</v>
      </c>
      <c r="AH176" s="77" t="s">
        <v>311</v>
      </c>
    </row>
    <row r="177" spans="1:35" ht="43.2" x14ac:dyDescent="0.3">
      <c r="A177" s="65">
        <v>174</v>
      </c>
      <c r="B177" s="25">
        <v>16</v>
      </c>
      <c r="C177" s="25">
        <v>52</v>
      </c>
      <c r="D177" s="25">
        <v>353</v>
      </c>
      <c r="E177" s="89" t="str">
        <f>CONCATENATE(B177,"-",C177,"-",D177)</f>
        <v>16-52-353</v>
      </c>
      <c r="F177" s="13" t="str">
        <f>VLOOKUP(E177,'LISTA ITEMS'!$E$2:$G$875,2,FALSE)</f>
        <v>TERMICO RX3 C20 (LEGRAND)</v>
      </c>
      <c r="G177" s="25" t="str">
        <f>VLOOKUP(E177,'LISTA ITEMS'!$E$2:$G$875,3,FALSE)</f>
        <v>UND</v>
      </c>
      <c r="H177" s="74">
        <v>46083</v>
      </c>
      <c r="I177" s="75">
        <v>3</v>
      </c>
      <c r="J177" s="27"/>
      <c r="K177" s="70">
        <v>46098</v>
      </c>
      <c r="L177" s="67">
        <v>0</v>
      </c>
      <c r="M177" s="54">
        <v>46098</v>
      </c>
      <c r="N177" s="55">
        <v>0</v>
      </c>
      <c r="O177" s="70">
        <v>46098</v>
      </c>
      <c r="P177" s="71">
        <v>0</v>
      </c>
      <c r="Q177" s="36">
        <v>46098</v>
      </c>
      <c r="R177" s="26">
        <f>+I177+L177+N177-P177</f>
        <v>3</v>
      </c>
      <c r="S177" s="85"/>
      <c r="T177" s="84"/>
      <c r="U177" s="27"/>
      <c r="V177" s="70"/>
      <c r="W177" s="67"/>
      <c r="X177" s="54"/>
      <c r="Y177" s="55"/>
      <c r="Z177" s="70"/>
      <c r="AA177" s="71"/>
      <c r="AB177" s="31"/>
      <c r="AC177" s="26">
        <f>+R177+W177+Y177-AA177</f>
        <v>3</v>
      </c>
      <c r="AD177" s="25"/>
      <c r="AE177" s="25" t="s">
        <v>484</v>
      </c>
      <c r="AF177" s="114">
        <v>10</v>
      </c>
      <c r="AG177" s="114">
        <v>2</v>
      </c>
      <c r="AH177" s="114" t="s">
        <v>311</v>
      </c>
    </row>
    <row r="178" spans="1:35" ht="43.2" x14ac:dyDescent="0.3">
      <c r="A178" s="65">
        <v>175</v>
      </c>
      <c r="B178" s="25">
        <v>16</v>
      </c>
      <c r="C178" s="25">
        <v>52</v>
      </c>
      <c r="D178" s="25">
        <v>354</v>
      </c>
      <c r="E178" s="89" t="str">
        <f>CONCATENATE(B178,"-",C178,"-",D178)</f>
        <v>16-52-354</v>
      </c>
      <c r="F178" s="13" t="str">
        <f>VLOOKUP(E178,'LISTA ITEMS'!$E$2:$G$875,2,FALSE)</f>
        <v>TERMICO RX3 C25 (LEGRAND)</v>
      </c>
      <c r="G178" s="25" t="str">
        <f>VLOOKUP(E178,'LISTA ITEMS'!$E$2:$G$875,3,FALSE)</f>
        <v>UND</v>
      </c>
      <c r="H178" s="74">
        <v>46083</v>
      </c>
      <c r="I178" s="75">
        <v>1</v>
      </c>
      <c r="J178" s="27"/>
      <c r="K178" s="70">
        <v>46098</v>
      </c>
      <c r="L178" s="67">
        <v>0</v>
      </c>
      <c r="M178" s="54">
        <v>46098</v>
      </c>
      <c r="N178" s="55">
        <v>0</v>
      </c>
      <c r="O178" s="70">
        <v>46098</v>
      </c>
      <c r="P178" s="71">
        <v>0</v>
      </c>
      <c r="Q178" s="36">
        <v>46098</v>
      </c>
      <c r="R178" s="26">
        <f>+I178+L178+N178-P178</f>
        <v>1</v>
      </c>
      <c r="S178" s="85"/>
      <c r="T178" s="84"/>
      <c r="U178" s="27"/>
      <c r="V178" s="70"/>
      <c r="W178" s="67"/>
      <c r="X178" s="54"/>
      <c r="Y178" s="55"/>
      <c r="Z178" s="70"/>
      <c r="AA178" s="71"/>
      <c r="AB178" s="31"/>
      <c r="AC178" s="26">
        <f>+R178+W178+Y178-AA178</f>
        <v>1</v>
      </c>
      <c r="AD178" s="25"/>
      <c r="AE178" s="25" t="s">
        <v>482</v>
      </c>
      <c r="AF178" s="77">
        <v>10</v>
      </c>
      <c r="AG178" s="77">
        <v>2</v>
      </c>
      <c r="AH178" s="77" t="s">
        <v>311</v>
      </c>
    </row>
    <row r="179" spans="1:35" ht="28.2" customHeight="1" x14ac:dyDescent="0.3">
      <c r="A179" s="65">
        <v>176</v>
      </c>
      <c r="B179" s="25">
        <v>16</v>
      </c>
      <c r="C179" s="25">
        <v>52</v>
      </c>
      <c r="D179" s="25">
        <v>355</v>
      </c>
      <c r="E179" s="89" t="str">
        <f>CONCATENATE(B179,"-",C179,"-",D179)</f>
        <v>16-52-355</v>
      </c>
      <c r="F179" s="13" t="str">
        <f>VLOOKUP(E179,'LISTA ITEMS'!$E$2:$G$875,2,FALSE)</f>
        <v>TERMICO TRIFASICO EP64 - C16  (GE)</v>
      </c>
      <c r="G179" s="25" t="str">
        <f>VLOOKUP(E179,'LISTA ITEMS'!$E$2:$G$875,3,FALSE)</f>
        <v>UND</v>
      </c>
      <c r="H179" s="74">
        <v>46083</v>
      </c>
      <c r="I179" s="75">
        <v>1</v>
      </c>
      <c r="J179" s="27"/>
      <c r="K179" s="70">
        <v>46098</v>
      </c>
      <c r="L179" s="67">
        <v>0</v>
      </c>
      <c r="M179" s="54">
        <v>46098</v>
      </c>
      <c r="N179" s="55">
        <v>0</v>
      </c>
      <c r="O179" s="70">
        <v>46098</v>
      </c>
      <c r="P179" s="71">
        <v>0</v>
      </c>
      <c r="Q179" s="36">
        <v>46098</v>
      </c>
      <c r="R179" s="26">
        <f>+I179+L179+N179-P179</f>
        <v>1</v>
      </c>
      <c r="S179" s="85"/>
      <c r="T179" s="84"/>
      <c r="U179" s="27"/>
      <c r="V179" s="70"/>
      <c r="W179" s="67"/>
      <c r="X179" s="54"/>
      <c r="Y179" s="55"/>
      <c r="Z179" s="70"/>
      <c r="AA179" s="71"/>
      <c r="AB179" s="31"/>
      <c r="AC179" s="26">
        <f>+R179+W179+Y179-AA179</f>
        <v>1</v>
      </c>
      <c r="AD179" s="25"/>
      <c r="AE179" s="25" t="s">
        <v>9</v>
      </c>
      <c r="AF179" s="77">
        <v>10</v>
      </c>
      <c r="AG179" s="77">
        <v>1</v>
      </c>
      <c r="AH179" s="77" t="s">
        <v>251</v>
      </c>
    </row>
    <row r="180" spans="1:35" ht="28.2" customHeight="1" x14ac:dyDescent="0.3">
      <c r="A180" s="65">
        <v>177</v>
      </c>
      <c r="B180" s="25">
        <v>16</v>
      </c>
      <c r="C180" s="25">
        <v>52</v>
      </c>
      <c r="D180" s="25">
        <v>356</v>
      </c>
      <c r="E180" s="89" t="str">
        <f>CONCATENATE(B180,"-",C180,"-",D180)</f>
        <v>16-52-356</v>
      </c>
      <c r="F180" s="13" t="str">
        <f>VLOOKUP(E180,'LISTA ITEMS'!$E$2:$G$875,2,FALSE)</f>
        <v>TERMICO TRIFASICO EP64 - C20  (GE)</v>
      </c>
      <c r="G180" s="25" t="str">
        <f>VLOOKUP(E180,'LISTA ITEMS'!$E$2:$G$875,3,FALSE)</f>
        <v>UND</v>
      </c>
      <c r="H180" s="74">
        <v>46083</v>
      </c>
      <c r="I180" s="75">
        <v>1</v>
      </c>
      <c r="J180" s="27"/>
      <c r="K180" s="70">
        <v>46098</v>
      </c>
      <c r="L180" s="67">
        <v>0</v>
      </c>
      <c r="M180" s="54">
        <v>46098</v>
      </c>
      <c r="N180" s="55">
        <v>0</v>
      </c>
      <c r="O180" s="70">
        <v>46098</v>
      </c>
      <c r="P180" s="71">
        <v>0</v>
      </c>
      <c r="Q180" s="36">
        <v>46098</v>
      </c>
      <c r="R180" s="26">
        <f>+I180+L180+N180-P180</f>
        <v>1</v>
      </c>
      <c r="S180" s="85"/>
      <c r="T180" s="84"/>
      <c r="U180" s="27"/>
      <c r="V180" s="70"/>
      <c r="W180" s="67"/>
      <c r="X180" s="54"/>
      <c r="Y180" s="55"/>
      <c r="Z180" s="70"/>
      <c r="AA180" s="71"/>
      <c r="AB180" s="31"/>
      <c r="AC180" s="26">
        <f>+R180+W180+Y180-AA180</f>
        <v>1</v>
      </c>
      <c r="AD180" s="25"/>
      <c r="AE180" s="25"/>
      <c r="AF180" s="116">
        <v>10</v>
      </c>
      <c r="AG180" s="116">
        <v>1</v>
      </c>
      <c r="AH180" s="116" t="s">
        <v>251</v>
      </c>
    </row>
    <row r="181" spans="1:35" ht="43.2" x14ac:dyDescent="0.3">
      <c r="A181" s="65">
        <v>178</v>
      </c>
      <c r="B181" s="25">
        <v>16</v>
      </c>
      <c r="C181" s="25">
        <v>63</v>
      </c>
      <c r="D181" s="25">
        <v>357</v>
      </c>
      <c r="E181" s="30" t="str">
        <f>CONCATENATE(B181,"-",C181,"-",D181)</f>
        <v>16-63-357</v>
      </c>
      <c r="F181" s="13" t="str">
        <f>VLOOKUP(E181,'LISTA ITEMS'!$E$2:$G$875,2,FALSE)</f>
        <v>TORO IDAL CURRENT TRANSFORMER 100A:50mA For MULTIPLUS-II (VICTRON ENERGY)</v>
      </c>
      <c r="G181" s="25" t="str">
        <f>VLOOKUP(E181,'LISTA ITEMS'!$E$2:$G$875,3,FALSE)</f>
        <v>UND</v>
      </c>
      <c r="H181" s="74">
        <v>46083</v>
      </c>
      <c r="I181" s="75">
        <v>4</v>
      </c>
      <c r="J181" s="27"/>
      <c r="K181" s="70">
        <v>46098</v>
      </c>
      <c r="L181" s="67">
        <v>0</v>
      </c>
      <c r="M181" s="54">
        <v>46098</v>
      </c>
      <c r="N181" s="55">
        <v>0</v>
      </c>
      <c r="O181" s="70">
        <v>46098</v>
      </c>
      <c r="P181" s="71">
        <v>0</v>
      </c>
      <c r="Q181" s="36">
        <v>46098</v>
      </c>
      <c r="R181" s="26">
        <f>+I181+L181+N181-P181</f>
        <v>4</v>
      </c>
      <c r="S181" s="85"/>
      <c r="T181" s="84"/>
      <c r="U181" s="27"/>
      <c r="V181" s="70"/>
      <c r="W181" s="67"/>
      <c r="X181" s="54"/>
      <c r="Y181" s="55"/>
      <c r="Z181" s="70"/>
      <c r="AA181" s="71"/>
      <c r="AB181" s="31"/>
      <c r="AC181" s="26">
        <f>+R181+W181+Y181-AA181</f>
        <v>4</v>
      </c>
      <c r="AD181" s="25" t="s">
        <v>328</v>
      </c>
      <c r="AE181" s="25" t="s">
        <v>430</v>
      </c>
      <c r="AF181" s="77">
        <v>10</v>
      </c>
      <c r="AG181" s="77">
        <v>1</v>
      </c>
      <c r="AH181" s="77" t="s">
        <v>251</v>
      </c>
    </row>
    <row r="182" spans="1:35" ht="23.4" customHeight="1" x14ac:dyDescent="0.3">
      <c r="A182" s="65">
        <v>179</v>
      </c>
      <c r="B182" s="25">
        <v>8</v>
      </c>
      <c r="C182" s="25">
        <v>64</v>
      </c>
      <c r="D182" s="25">
        <v>358</v>
      </c>
      <c r="E182" s="89" t="str">
        <f>CONCATENATE(B182,"-",C182,"-",D182)</f>
        <v>8-64-358</v>
      </c>
      <c r="F182" s="13" t="str">
        <f>VLOOKUP(E182,'LISTA ITEMS'!$E$2:$G$875,2,FALSE)</f>
        <v>BARILLA ROSCADA M8 A/GALV X1000</v>
      </c>
      <c r="G182" s="25" t="str">
        <f>VLOOKUP(E182,'LISTA ITEMS'!$E$2:$G$875,3,FALSE)</f>
        <v>UND</v>
      </c>
      <c r="H182" s="74">
        <v>46083</v>
      </c>
      <c r="I182" s="75">
        <v>123</v>
      </c>
      <c r="J182" s="27"/>
      <c r="K182" s="70">
        <v>46098</v>
      </c>
      <c r="L182" s="67">
        <v>10</v>
      </c>
      <c r="M182" s="54">
        <v>46098</v>
      </c>
      <c r="N182" s="55">
        <v>0</v>
      </c>
      <c r="O182" s="70">
        <v>46098</v>
      </c>
      <c r="P182" s="71">
        <v>20</v>
      </c>
      <c r="Q182" s="36">
        <v>46098</v>
      </c>
      <c r="R182" s="26">
        <f>+I182+L182+N182-P182</f>
        <v>113</v>
      </c>
      <c r="S182" s="85"/>
      <c r="T182" s="84"/>
      <c r="U182" s="27"/>
      <c r="V182" s="70"/>
      <c r="W182" s="67"/>
      <c r="X182" s="54"/>
      <c r="Y182" s="55"/>
      <c r="Z182" s="70"/>
      <c r="AA182" s="71"/>
      <c r="AB182" s="31"/>
      <c r="AC182" s="26">
        <f>+R182+W182+Y182-AA182</f>
        <v>113</v>
      </c>
      <c r="AD182" s="25"/>
      <c r="AE182" s="25"/>
      <c r="AF182" s="77">
        <v>7</v>
      </c>
      <c r="AG182" s="77">
        <v>1</v>
      </c>
      <c r="AH182" s="77" t="s">
        <v>271</v>
      </c>
    </row>
    <row r="183" spans="1:35" ht="144" x14ac:dyDescent="0.3">
      <c r="A183" s="65">
        <v>180</v>
      </c>
      <c r="B183" s="25">
        <v>7</v>
      </c>
      <c r="C183" s="25">
        <v>35</v>
      </c>
      <c r="D183" s="25">
        <v>286</v>
      </c>
      <c r="E183" s="89" t="str">
        <f>CONCATENATE(B183,"-",C183,"-",D183)</f>
        <v>7-35-286</v>
      </c>
      <c r="F183" s="13" t="str">
        <f>VLOOKUP(E183,'LISTA ITEMS'!$E$2:$G$875,2,FALSE)</f>
        <v>INVERSOR SPH 6000TL BL-UP 6KW (GROWATT)</v>
      </c>
      <c r="G183" s="25" t="str">
        <f>VLOOKUP(E183,'LISTA ITEMS'!$E$2:$G$875,3,FALSE)</f>
        <v>UND</v>
      </c>
      <c r="H183" s="74">
        <v>46083</v>
      </c>
      <c r="I183" s="75">
        <v>4</v>
      </c>
      <c r="J183" s="27"/>
      <c r="K183" s="70">
        <v>46098</v>
      </c>
      <c r="L183" s="67">
        <v>0</v>
      </c>
      <c r="M183" s="54">
        <v>46098</v>
      </c>
      <c r="N183" s="55">
        <v>7</v>
      </c>
      <c r="O183" s="70">
        <v>46098</v>
      </c>
      <c r="P183" s="71">
        <v>0</v>
      </c>
      <c r="Q183" s="36">
        <v>46098</v>
      </c>
      <c r="R183" s="26">
        <f>+I183+L183+N183-P183</f>
        <v>11</v>
      </c>
      <c r="S183" s="85"/>
      <c r="T183" s="84"/>
      <c r="U183" s="27"/>
      <c r="V183" s="70"/>
      <c r="W183" s="67"/>
      <c r="X183" s="54"/>
      <c r="Y183" s="55"/>
      <c r="Z183" s="70"/>
      <c r="AA183" s="71"/>
      <c r="AB183" s="31"/>
      <c r="AC183" s="26">
        <f>+R183+W183+Y183-AA183</f>
        <v>11</v>
      </c>
      <c r="AD183" s="25" t="s">
        <v>432</v>
      </c>
      <c r="AE183" s="25" t="s">
        <v>333</v>
      </c>
      <c r="AF183" s="114">
        <v>5</v>
      </c>
      <c r="AG183" s="114" t="s">
        <v>119</v>
      </c>
      <c r="AH183" s="114" t="s">
        <v>316</v>
      </c>
    </row>
    <row r="184" spans="1:35" ht="72" x14ac:dyDescent="0.3">
      <c r="A184" s="65">
        <v>181</v>
      </c>
      <c r="B184" s="25">
        <v>16</v>
      </c>
      <c r="C184" s="25">
        <v>52</v>
      </c>
      <c r="D184" s="25">
        <v>359</v>
      </c>
      <c r="E184" s="30" t="str">
        <f>CONCATENATE(B184,"-",C184,"-",D184)</f>
        <v>16-52-359</v>
      </c>
      <c r="F184" s="13" t="str">
        <f>VLOOKUP(E184,'LISTA ITEMS'!$E$2:$G$875,2,FALSE)</f>
        <v>TERMICO MONOFASICO 230V C16</v>
      </c>
      <c r="G184" s="25" t="str">
        <f>VLOOKUP(E184,'LISTA ITEMS'!$E$2:$G$875,3,FALSE)</f>
        <v>UND</v>
      </c>
      <c r="H184" s="74">
        <v>46083</v>
      </c>
      <c r="I184" s="75">
        <v>7</v>
      </c>
      <c r="J184" s="27"/>
      <c r="K184" s="70">
        <v>46098</v>
      </c>
      <c r="L184" s="67">
        <v>0</v>
      </c>
      <c r="M184" s="54">
        <v>46098</v>
      </c>
      <c r="N184" s="55">
        <v>0</v>
      </c>
      <c r="O184" s="70">
        <v>46098</v>
      </c>
      <c r="P184" s="71">
        <v>2</v>
      </c>
      <c r="Q184" s="36">
        <v>46098</v>
      </c>
      <c r="R184" s="26">
        <f>+I184+L184+N184-P184</f>
        <v>5</v>
      </c>
      <c r="S184" s="85">
        <v>46098</v>
      </c>
      <c r="T184" s="84">
        <v>4</v>
      </c>
      <c r="U184" s="27"/>
      <c r="V184" s="70"/>
      <c r="W184" s="67"/>
      <c r="X184" s="54"/>
      <c r="Y184" s="55"/>
      <c r="Z184" s="70"/>
      <c r="AA184" s="71"/>
      <c r="AB184" s="31"/>
      <c r="AC184" s="26">
        <f>+R184+W184+Y184-AA184</f>
        <v>5</v>
      </c>
      <c r="AD184" s="25"/>
      <c r="AE184" s="25" t="s">
        <v>470</v>
      </c>
      <c r="AF184" s="48">
        <v>10</v>
      </c>
      <c r="AG184" s="48">
        <v>2</v>
      </c>
      <c r="AH184" s="48" t="s">
        <v>251</v>
      </c>
      <c r="AI184" s="2" t="s">
        <v>467</v>
      </c>
    </row>
    <row r="185" spans="1:35" ht="33" customHeight="1" x14ac:dyDescent="0.3">
      <c r="A185" s="65">
        <v>182</v>
      </c>
      <c r="B185" s="25">
        <v>16</v>
      </c>
      <c r="C185" s="25">
        <v>63</v>
      </c>
      <c r="D185" s="25">
        <v>360</v>
      </c>
      <c r="E185" s="30" t="str">
        <f>CONCATENATE(B185,"-",C185,"-",D185)</f>
        <v>16-63-360</v>
      </c>
      <c r="F185" s="13" t="str">
        <f>VLOOKUP(E185,'LISTA ITEMS'!$E$2:$G$875,2,FALSE)</f>
        <v>TORO IDAL MONOFASICO 100A/5mA (HUAWEI)</v>
      </c>
      <c r="G185" s="25" t="str">
        <f>VLOOKUP(E185,'LISTA ITEMS'!$E$2:$G$875,3,FALSE)</f>
        <v>UND</v>
      </c>
      <c r="H185" s="74">
        <v>46083</v>
      </c>
      <c r="I185" s="75">
        <v>2</v>
      </c>
      <c r="J185" s="27"/>
      <c r="K185" s="70">
        <v>46098</v>
      </c>
      <c r="L185" s="67">
        <v>0</v>
      </c>
      <c r="M185" s="54">
        <v>46098</v>
      </c>
      <c r="N185" s="55">
        <v>0</v>
      </c>
      <c r="O185" s="70">
        <v>46098</v>
      </c>
      <c r="P185" s="71">
        <v>0</v>
      </c>
      <c r="Q185" s="36">
        <v>46098</v>
      </c>
      <c r="R185" s="26">
        <f>+I185+L185+N185-P185</f>
        <v>2</v>
      </c>
      <c r="S185" s="85"/>
      <c r="T185" s="84"/>
      <c r="U185" s="27"/>
      <c r="V185" s="70"/>
      <c r="W185" s="67"/>
      <c r="X185" s="54"/>
      <c r="Y185" s="55"/>
      <c r="Z185" s="70"/>
      <c r="AA185" s="71"/>
      <c r="AB185" s="31"/>
      <c r="AC185" s="26">
        <f>+R185+W185+Y185-AA185</f>
        <v>2</v>
      </c>
      <c r="AD185" s="25"/>
      <c r="AE185" s="25"/>
      <c r="AF185" s="77">
        <v>10</v>
      </c>
      <c r="AG185" s="77">
        <v>1</v>
      </c>
      <c r="AH185" s="77" t="s">
        <v>252</v>
      </c>
    </row>
    <row r="186" spans="1:35" x14ac:dyDescent="0.3">
      <c r="A186" s="65">
        <v>183</v>
      </c>
      <c r="B186" s="25">
        <v>16</v>
      </c>
      <c r="C186" s="25">
        <v>63</v>
      </c>
      <c r="D186" s="25">
        <v>361</v>
      </c>
      <c r="E186" s="30" t="str">
        <f>CONCATENATE(B186,"-",C186,"-",D186)</f>
        <v>16-63-361</v>
      </c>
      <c r="F186" s="13" t="str">
        <f>VLOOKUP(E186,'LISTA ITEMS'!$E$2:$G$875,2,FALSE)</f>
        <v>TORO IDAL TRIFASICO 250A/5mA (HUAWEI)</v>
      </c>
      <c r="G186" s="25" t="str">
        <f>VLOOKUP(E186,'LISTA ITEMS'!$E$2:$G$875,3,FALSE)</f>
        <v>UND</v>
      </c>
      <c r="H186" s="74">
        <v>46083</v>
      </c>
      <c r="I186" s="75">
        <v>3</v>
      </c>
      <c r="J186" s="27"/>
      <c r="K186" s="70">
        <v>46098</v>
      </c>
      <c r="L186" s="67">
        <v>0</v>
      </c>
      <c r="M186" s="54">
        <v>46098</v>
      </c>
      <c r="N186" s="55">
        <v>0</v>
      </c>
      <c r="O186" s="70">
        <v>46098</v>
      </c>
      <c r="P186" s="71">
        <v>0</v>
      </c>
      <c r="Q186" s="36">
        <v>46098</v>
      </c>
      <c r="R186" s="26">
        <f>+I186+L186+N186-P186</f>
        <v>3</v>
      </c>
      <c r="S186" s="85"/>
      <c r="T186" s="84"/>
      <c r="U186" s="27"/>
      <c r="V186" s="70"/>
      <c r="W186" s="67"/>
      <c r="X186" s="54"/>
      <c r="Y186" s="55"/>
      <c r="Z186" s="70"/>
      <c r="AA186" s="71"/>
      <c r="AB186" s="31"/>
      <c r="AC186" s="26">
        <f>+R186+W186+Y186-AA186</f>
        <v>3</v>
      </c>
      <c r="AD186" s="25"/>
      <c r="AE186" s="25"/>
      <c r="AF186" s="114">
        <v>10</v>
      </c>
      <c r="AG186" s="114">
        <v>1</v>
      </c>
      <c r="AH186" s="114" t="s">
        <v>252</v>
      </c>
    </row>
    <row r="187" spans="1:35" x14ac:dyDescent="0.3">
      <c r="A187" s="65">
        <v>184</v>
      </c>
      <c r="B187" s="25">
        <v>16</v>
      </c>
      <c r="C187" s="25">
        <v>63</v>
      </c>
      <c r="D187" s="25">
        <v>362</v>
      </c>
      <c r="E187" s="89" t="str">
        <f>CONCATENATE(B187,"-",C187,"-",D187)</f>
        <v>16-63-362</v>
      </c>
      <c r="F187" s="13" t="str">
        <f>VLOOKUP(E187,'LISTA ITEMS'!$E$2:$G$875,2,FALSE)</f>
        <v>TORO IDAL 100A/50mA</v>
      </c>
      <c r="G187" s="25" t="str">
        <f>VLOOKUP(E187,'LISTA ITEMS'!$E$2:$G$875,3,FALSE)</f>
        <v>UND</v>
      </c>
      <c r="H187" s="74">
        <v>46083</v>
      </c>
      <c r="I187" s="75">
        <v>6</v>
      </c>
      <c r="J187" s="27"/>
      <c r="K187" s="70">
        <v>46098</v>
      </c>
      <c r="L187" s="67">
        <v>0</v>
      </c>
      <c r="M187" s="54">
        <v>46098</v>
      </c>
      <c r="N187" s="55">
        <v>0</v>
      </c>
      <c r="O187" s="70">
        <v>46098</v>
      </c>
      <c r="P187" s="71">
        <v>0</v>
      </c>
      <c r="Q187" s="36">
        <v>46098</v>
      </c>
      <c r="R187" s="26">
        <f>+I187+L187+N187-P187</f>
        <v>6</v>
      </c>
      <c r="S187" s="85"/>
      <c r="T187" s="84"/>
      <c r="U187" s="27"/>
      <c r="V187" s="70"/>
      <c r="W187" s="67"/>
      <c r="X187" s="54"/>
      <c r="Y187" s="55"/>
      <c r="Z187" s="70"/>
      <c r="AA187" s="71"/>
      <c r="AB187" s="31"/>
      <c r="AC187" s="26">
        <f>+R187+W187+Y187-AA187</f>
        <v>6</v>
      </c>
      <c r="AD187" s="25"/>
      <c r="AE187" s="25"/>
      <c r="AF187" s="116">
        <v>10</v>
      </c>
      <c r="AG187" s="116">
        <v>1</v>
      </c>
      <c r="AH187" s="116" t="s">
        <v>252</v>
      </c>
    </row>
    <row r="188" spans="1:35" x14ac:dyDescent="0.3">
      <c r="A188" s="65">
        <v>185</v>
      </c>
      <c r="B188" s="25">
        <v>16</v>
      </c>
      <c r="C188" s="25">
        <v>63</v>
      </c>
      <c r="D188" s="25">
        <v>363</v>
      </c>
      <c r="E188" s="89" t="str">
        <f>CONCATENATE(B188,"-",C188,"-",D188)</f>
        <v>16-63-363</v>
      </c>
      <c r="F188" s="13" t="str">
        <f>VLOOKUP(E188,'LISTA ITEMS'!$E$2:$G$875,2,FALSE)</f>
        <v>TORO IDAL 100A/40mA</v>
      </c>
      <c r="G188" s="25" t="str">
        <f>VLOOKUP(E188,'LISTA ITEMS'!$E$2:$G$875,3,FALSE)</f>
        <v>UND</v>
      </c>
      <c r="H188" s="74">
        <v>46083</v>
      </c>
      <c r="I188" s="75">
        <v>6</v>
      </c>
      <c r="J188" s="27"/>
      <c r="K188" s="70">
        <v>46098</v>
      </c>
      <c r="L188" s="67">
        <v>0</v>
      </c>
      <c r="M188" s="54">
        <v>46098</v>
      </c>
      <c r="N188" s="55">
        <v>0</v>
      </c>
      <c r="O188" s="70">
        <v>46098</v>
      </c>
      <c r="P188" s="71">
        <v>0</v>
      </c>
      <c r="Q188" s="36">
        <v>46098</v>
      </c>
      <c r="R188" s="26">
        <f>+I188+L188+N188-P188</f>
        <v>6</v>
      </c>
      <c r="S188" s="85"/>
      <c r="T188" s="84"/>
      <c r="U188" s="27"/>
      <c r="V188" s="70"/>
      <c r="W188" s="67"/>
      <c r="X188" s="54"/>
      <c r="Y188" s="55"/>
      <c r="Z188" s="70"/>
      <c r="AA188" s="71"/>
      <c r="AB188" s="31"/>
      <c r="AC188" s="26">
        <f>+R188+W188+Y188-AA188</f>
        <v>6</v>
      </c>
      <c r="AD188" s="25"/>
      <c r="AE188" s="25"/>
      <c r="AF188" s="116">
        <v>10</v>
      </c>
      <c r="AG188" s="116">
        <v>1</v>
      </c>
      <c r="AH188" s="116" t="s">
        <v>252</v>
      </c>
    </row>
    <row r="189" spans="1:35" x14ac:dyDescent="0.3">
      <c r="A189" s="65">
        <v>186</v>
      </c>
      <c r="B189" s="25">
        <v>16</v>
      </c>
      <c r="C189" s="25">
        <v>63</v>
      </c>
      <c r="D189" s="25">
        <v>364</v>
      </c>
      <c r="E189" s="89" t="str">
        <f>CONCATENATE(B189,"-",C189,"-",D189)</f>
        <v>16-63-364</v>
      </c>
      <c r="F189" s="13" t="str">
        <f>VLOOKUP(E189,'LISTA ITEMS'!$E$2:$G$875,2,FALSE)</f>
        <v>TORO IDAL 250A/5A (LOVATO)</v>
      </c>
      <c r="G189" s="25" t="str">
        <f>VLOOKUP(E189,'LISTA ITEMS'!$E$2:$G$875,3,FALSE)</f>
        <v>UND</v>
      </c>
      <c r="H189" s="74">
        <v>46083</v>
      </c>
      <c r="I189" s="75">
        <v>6</v>
      </c>
      <c r="J189" s="27"/>
      <c r="K189" s="70">
        <v>46098</v>
      </c>
      <c r="L189" s="67">
        <v>0</v>
      </c>
      <c r="M189" s="54">
        <v>46098</v>
      </c>
      <c r="N189" s="55">
        <v>0</v>
      </c>
      <c r="O189" s="70">
        <v>46098</v>
      </c>
      <c r="P189" s="71">
        <v>0</v>
      </c>
      <c r="Q189" s="36">
        <v>46098</v>
      </c>
      <c r="R189" s="26">
        <f>+I189+L189+N189-P189</f>
        <v>6</v>
      </c>
      <c r="S189" s="85"/>
      <c r="T189" s="84"/>
      <c r="U189" s="27"/>
      <c r="V189" s="70"/>
      <c r="W189" s="67"/>
      <c r="X189" s="54"/>
      <c r="Y189" s="55"/>
      <c r="Z189" s="70"/>
      <c r="AA189" s="71"/>
      <c r="AB189" s="31"/>
      <c r="AC189" s="26">
        <f>+R189+W189+Y189-AA189</f>
        <v>6</v>
      </c>
      <c r="AD189" s="25"/>
      <c r="AE189" s="25"/>
      <c r="AF189" s="116">
        <v>10</v>
      </c>
      <c r="AG189" s="116">
        <v>1</v>
      </c>
      <c r="AH189" s="116" t="s">
        <v>252</v>
      </c>
    </row>
    <row r="190" spans="1:35" x14ac:dyDescent="0.3">
      <c r="A190" s="65">
        <v>187</v>
      </c>
      <c r="B190" s="25">
        <v>16</v>
      </c>
      <c r="C190" s="25">
        <v>63</v>
      </c>
      <c r="D190" s="25">
        <v>365</v>
      </c>
      <c r="E190" s="89" t="str">
        <f>CONCATENATE(B190,"-",C190,"-",D190)</f>
        <v>16-63-365</v>
      </c>
      <c r="F190" s="13" t="str">
        <f>VLOOKUP(E190,'LISTA ITEMS'!$E$2:$G$875,2,FALSE)</f>
        <v>TORO IDAL 200A/5A (LOVATO)</v>
      </c>
      <c r="G190" s="25" t="str">
        <f>VLOOKUP(E190,'LISTA ITEMS'!$E$2:$G$875,3,FALSE)</f>
        <v>UND</v>
      </c>
      <c r="H190" s="74">
        <v>46083</v>
      </c>
      <c r="I190" s="75">
        <v>5</v>
      </c>
      <c r="J190" s="27"/>
      <c r="K190" s="70">
        <v>46098</v>
      </c>
      <c r="L190" s="67">
        <v>0</v>
      </c>
      <c r="M190" s="54">
        <v>46098</v>
      </c>
      <c r="N190" s="55">
        <v>0</v>
      </c>
      <c r="O190" s="70">
        <v>46098</v>
      </c>
      <c r="P190" s="71">
        <v>0</v>
      </c>
      <c r="Q190" s="36">
        <v>46098</v>
      </c>
      <c r="R190" s="26">
        <f>+I190+L190+N190-P190</f>
        <v>5</v>
      </c>
      <c r="S190" s="85"/>
      <c r="T190" s="84"/>
      <c r="U190" s="27"/>
      <c r="V190" s="70"/>
      <c r="W190" s="67"/>
      <c r="X190" s="54"/>
      <c r="Y190" s="55"/>
      <c r="Z190" s="70"/>
      <c r="AA190" s="71"/>
      <c r="AB190" s="31"/>
      <c r="AC190" s="26">
        <f>+R190+W190+Y190-AA190</f>
        <v>5</v>
      </c>
      <c r="AD190" s="25"/>
      <c r="AE190" s="25"/>
      <c r="AF190" s="116">
        <v>10</v>
      </c>
      <c r="AG190" s="116">
        <v>1</v>
      </c>
      <c r="AH190" s="116" t="s">
        <v>252</v>
      </c>
    </row>
    <row r="191" spans="1:35" x14ac:dyDescent="0.3">
      <c r="A191" s="65">
        <v>188</v>
      </c>
      <c r="B191" s="25">
        <v>16</v>
      </c>
      <c r="C191" s="25">
        <v>63</v>
      </c>
      <c r="D191" s="25">
        <v>366</v>
      </c>
      <c r="E191" s="89" t="str">
        <f>CONCATENATE(B191,"-",C191,"-",D191)</f>
        <v>16-63-366</v>
      </c>
      <c r="F191" s="13" t="str">
        <f>VLOOKUP(E191,'LISTA ITEMS'!$E$2:$G$875,2,FALSE)</f>
        <v>TORO IDAL 400A/5A (SACI)</v>
      </c>
      <c r="G191" s="25" t="str">
        <f>VLOOKUP(E191,'LISTA ITEMS'!$E$2:$G$875,3,FALSE)</f>
        <v>UND</v>
      </c>
      <c r="H191" s="74">
        <v>46083</v>
      </c>
      <c r="I191" s="75">
        <v>1</v>
      </c>
      <c r="J191" s="27"/>
      <c r="K191" s="70">
        <v>46098</v>
      </c>
      <c r="L191" s="67">
        <v>0</v>
      </c>
      <c r="M191" s="54">
        <v>46098</v>
      </c>
      <c r="N191" s="55">
        <v>0</v>
      </c>
      <c r="O191" s="70">
        <v>46098</v>
      </c>
      <c r="P191" s="71">
        <v>0</v>
      </c>
      <c r="Q191" s="36">
        <v>46098</v>
      </c>
      <c r="R191" s="26">
        <f>+I191+L191+N191-P191</f>
        <v>1</v>
      </c>
      <c r="S191" s="85"/>
      <c r="T191" s="84"/>
      <c r="U191" s="27"/>
      <c r="V191" s="70"/>
      <c r="W191" s="67"/>
      <c r="X191" s="54"/>
      <c r="Y191" s="55"/>
      <c r="Z191" s="70"/>
      <c r="AA191" s="71"/>
      <c r="AB191" s="31"/>
      <c r="AC191" s="26">
        <f>+R191+W191+Y191-AA191</f>
        <v>1</v>
      </c>
      <c r="AD191" s="25"/>
      <c r="AE191" s="25"/>
      <c r="AF191" s="116">
        <v>10</v>
      </c>
      <c r="AG191" s="116">
        <v>1</v>
      </c>
      <c r="AH191" s="116" t="s">
        <v>252</v>
      </c>
    </row>
    <row r="192" spans="1:35" x14ac:dyDescent="0.3">
      <c r="A192" s="65">
        <v>189</v>
      </c>
      <c r="B192" s="25">
        <v>16</v>
      </c>
      <c r="C192" s="25">
        <v>63</v>
      </c>
      <c r="D192" s="25">
        <v>367</v>
      </c>
      <c r="E192" s="89" t="str">
        <f>CONCATENATE(B192,"-",C192,"-",D192)</f>
        <v>16-63-367</v>
      </c>
      <c r="F192" s="13" t="str">
        <f>VLOOKUP(E192,'LISTA ITEMS'!$E$2:$G$875,2,FALSE)</f>
        <v>TORO IDAL 600A/5A (SACI)</v>
      </c>
      <c r="G192" s="25" t="str">
        <f>VLOOKUP(E192,'LISTA ITEMS'!$E$2:$G$875,3,FALSE)</f>
        <v>UND</v>
      </c>
      <c r="H192" s="74">
        <v>46083</v>
      </c>
      <c r="I192" s="75">
        <v>3</v>
      </c>
      <c r="J192" s="27"/>
      <c r="K192" s="70">
        <v>46098</v>
      </c>
      <c r="L192" s="67">
        <v>0</v>
      </c>
      <c r="M192" s="54">
        <v>46098</v>
      </c>
      <c r="N192" s="55">
        <v>0</v>
      </c>
      <c r="O192" s="70">
        <v>46098</v>
      </c>
      <c r="P192" s="71">
        <v>0</v>
      </c>
      <c r="Q192" s="36">
        <v>46098</v>
      </c>
      <c r="R192" s="26">
        <f>+I192+L192+N192-P192</f>
        <v>3</v>
      </c>
      <c r="S192" s="85"/>
      <c r="T192" s="84"/>
      <c r="U192" s="27"/>
      <c r="V192" s="70"/>
      <c r="W192" s="67"/>
      <c r="X192" s="54"/>
      <c r="Y192" s="55"/>
      <c r="Z192" s="70"/>
      <c r="AA192" s="71"/>
      <c r="AB192" s="31"/>
      <c r="AC192" s="26">
        <f>+R192+W192+Y192-AA192</f>
        <v>3</v>
      </c>
      <c r="AD192" s="25"/>
      <c r="AE192" s="25" t="s">
        <v>9</v>
      </c>
      <c r="AF192" s="118">
        <v>10</v>
      </c>
      <c r="AG192" s="118">
        <v>1</v>
      </c>
      <c r="AH192" s="118" t="s">
        <v>252</v>
      </c>
    </row>
    <row r="193" spans="1:35" ht="28.8" x14ac:dyDescent="0.3">
      <c r="A193" s="65">
        <v>190</v>
      </c>
      <c r="B193" s="25">
        <v>16</v>
      </c>
      <c r="C193" s="25">
        <v>63</v>
      </c>
      <c r="D193" s="25">
        <v>368</v>
      </c>
      <c r="E193" s="30" t="str">
        <f>CONCATENATE(B193,"-",C193,"-",D193)</f>
        <v>16-63-368</v>
      </c>
      <c r="F193" s="13" t="str">
        <f>VLOOKUP(E193,'LISTA ITEMS'!$E$2:$G$875,2,FALSE)</f>
        <v>TORO IDAL CT-100 P/MICROINVERSORES (ENPHASE)</v>
      </c>
      <c r="G193" s="25" t="str">
        <f>VLOOKUP(E193,'LISTA ITEMS'!$E$2:$G$875,3,FALSE)</f>
        <v>UND</v>
      </c>
      <c r="H193" s="74">
        <v>46083</v>
      </c>
      <c r="I193" s="75">
        <v>11</v>
      </c>
      <c r="J193" s="27"/>
      <c r="K193" s="70">
        <v>46098</v>
      </c>
      <c r="L193" s="67">
        <v>0</v>
      </c>
      <c r="M193" s="54">
        <v>46098</v>
      </c>
      <c r="N193" s="55">
        <v>0</v>
      </c>
      <c r="O193" s="70">
        <v>46098</v>
      </c>
      <c r="P193" s="71">
        <v>0</v>
      </c>
      <c r="Q193" s="36">
        <v>46098</v>
      </c>
      <c r="R193" s="26">
        <f>+I193+L193+N193-P193</f>
        <v>11</v>
      </c>
      <c r="S193" s="85">
        <v>46098</v>
      </c>
      <c r="T193" s="84">
        <v>11</v>
      </c>
      <c r="U193" s="27"/>
      <c r="V193" s="70"/>
      <c r="W193" s="67"/>
      <c r="X193" s="54"/>
      <c r="Y193" s="55"/>
      <c r="Z193" s="70"/>
      <c r="AA193" s="71"/>
      <c r="AB193" s="31"/>
      <c r="AC193" s="26">
        <f>+R193+W193+Y193-AA193</f>
        <v>11</v>
      </c>
      <c r="AD193" s="25"/>
      <c r="AE193" s="25"/>
      <c r="AF193" s="48">
        <v>10</v>
      </c>
      <c r="AG193" s="48">
        <v>2</v>
      </c>
      <c r="AH193" s="48" t="s">
        <v>353</v>
      </c>
      <c r="AI193" s="2" t="s">
        <v>467</v>
      </c>
    </row>
    <row r="194" spans="1:35" x14ac:dyDescent="0.3">
      <c r="A194" s="65">
        <v>191</v>
      </c>
      <c r="B194" s="25">
        <v>16</v>
      </c>
      <c r="C194" s="25">
        <v>33</v>
      </c>
      <c r="D194" s="25">
        <v>369</v>
      </c>
      <c r="E194" s="89" t="str">
        <f>CONCATENATE(B194,"-",C194,"-",D194)</f>
        <v>16-33-369</v>
      </c>
      <c r="F194" s="13" t="str">
        <f>VLOOKUP(E194,'LISTA ITEMS'!$E$2:$G$875,2,FALSE)</f>
        <v>OPTIMIZADOR TS4-A-O (TIGO)</v>
      </c>
      <c r="G194" s="25" t="str">
        <f>VLOOKUP(E194,'LISTA ITEMS'!$E$2:$G$875,3,FALSE)</f>
        <v>UND</v>
      </c>
      <c r="H194" s="74">
        <v>46083</v>
      </c>
      <c r="I194" s="75">
        <v>3</v>
      </c>
      <c r="J194" s="27"/>
      <c r="K194" s="70">
        <v>46098</v>
      </c>
      <c r="L194" s="67">
        <v>0</v>
      </c>
      <c r="M194" s="54">
        <v>46098</v>
      </c>
      <c r="N194" s="55">
        <v>0</v>
      </c>
      <c r="O194" s="70">
        <v>46098</v>
      </c>
      <c r="P194" s="71">
        <v>2</v>
      </c>
      <c r="Q194" s="36">
        <v>46098</v>
      </c>
      <c r="R194" s="26">
        <f>+I194+L194+N194-P194</f>
        <v>1</v>
      </c>
      <c r="S194" s="85"/>
      <c r="T194" s="84"/>
      <c r="U194" s="27"/>
      <c r="V194" s="70"/>
      <c r="W194" s="67"/>
      <c r="X194" s="54"/>
      <c r="Y194" s="55"/>
      <c r="Z194" s="70"/>
      <c r="AA194" s="71"/>
      <c r="AB194" s="31"/>
      <c r="AC194" s="26">
        <f>+R194+W194+Y194-AA194</f>
        <v>1</v>
      </c>
      <c r="AD194" s="25"/>
      <c r="AE194" s="25"/>
      <c r="AF194" s="77">
        <v>10</v>
      </c>
      <c r="AG194" s="77">
        <v>1</v>
      </c>
      <c r="AH194" s="77" t="s">
        <v>251</v>
      </c>
    </row>
    <row r="195" spans="1:35" ht="28.8" x14ac:dyDescent="0.3">
      <c r="A195" s="65">
        <v>192</v>
      </c>
      <c r="B195" s="25">
        <v>16</v>
      </c>
      <c r="C195" s="25">
        <v>65</v>
      </c>
      <c r="D195" s="25">
        <v>370</v>
      </c>
      <c r="E195" s="30" t="str">
        <f>CONCATENATE(B195,"-",C195,"-",D195)</f>
        <v>16-65-370</v>
      </c>
      <c r="F195" s="13" t="str">
        <f>VLOOKUP(E195,'LISTA ITEMS'!$E$2:$G$875,2,FALSE)</f>
        <v>ANTENA LSW-3 (IGEN)</v>
      </c>
      <c r="G195" s="25" t="str">
        <f>VLOOKUP(E195,'LISTA ITEMS'!$E$2:$G$875,3,FALSE)</f>
        <v>UND</v>
      </c>
      <c r="H195" s="74">
        <v>46083</v>
      </c>
      <c r="I195" s="75">
        <v>2</v>
      </c>
      <c r="J195" s="27"/>
      <c r="K195" s="70">
        <v>46098</v>
      </c>
      <c r="L195" s="67">
        <v>0</v>
      </c>
      <c r="M195" s="54">
        <v>46098</v>
      </c>
      <c r="N195" s="55">
        <v>0</v>
      </c>
      <c r="O195" s="70">
        <v>46098</v>
      </c>
      <c r="P195" s="71">
        <v>0</v>
      </c>
      <c r="Q195" s="36">
        <v>46098</v>
      </c>
      <c r="R195" s="26">
        <f>+I195+L195+N195-P195</f>
        <v>2</v>
      </c>
      <c r="S195" s="85">
        <v>46098</v>
      </c>
      <c r="T195" s="84">
        <v>2</v>
      </c>
      <c r="U195" s="27"/>
      <c r="V195" s="70"/>
      <c r="W195" s="67"/>
      <c r="X195" s="54"/>
      <c r="Y195" s="55"/>
      <c r="Z195" s="70"/>
      <c r="AA195" s="71"/>
      <c r="AB195" s="31"/>
      <c r="AC195" s="26">
        <f>+R195+W195+Y195-AA195</f>
        <v>2</v>
      </c>
      <c r="AD195" s="25" t="s">
        <v>471</v>
      </c>
      <c r="AE195" s="25"/>
      <c r="AF195" s="48">
        <v>10</v>
      </c>
      <c r="AG195" s="48">
        <v>2</v>
      </c>
      <c r="AH195" s="48" t="s">
        <v>353</v>
      </c>
      <c r="AI195" s="2" t="s">
        <v>467</v>
      </c>
    </row>
    <row r="196" spans="1:35" ht="28.8" x14ac:dyDescent="0.3">
      <c r="A196" s="65">
        <v>193</v>
      </c>
      <c r="B196" s="25">
        <v>16</v>
      </c>
      <c r="C196" s="25">
        <v>55</v>
      </c>
      <c r="D196" s="25">
        <v>371</v>
      </c>
      <c r="E196" s="30" t="str">
        <f>CONCATENATE(B196,"-",C196,"-",D196)</f>
        <v>16-55-371</v>
      </c>
      <c r="F196" s="13" t="str">
        <f>VLOOKUP(E196,'LISTA ITEMS'!$E$2:$G$875,2,FALSE)</f>
        <v>MEDIDOR ESM1-EQX (SALICRU)</v>
      </c>
      <c r="G196" s="25" t="str">
        <f>VLOOKUP(E196,'LISTA ITEMS'!$E$2:$G$875,3,FALSE)</f>
        <v>UND</v>
      </c>
      <c r="H196" s="74">
        <v>46083</v>
      </c>
      <c r="I196" s="75">
        <v>2</v>
      </c>
      <c r="J196" s="27"/>
      <c r="K196" s="70">
        <v>46098</v>
      </c>
      <c r="L196" s="67">
        <v>0</v>
      </c>
      <c r="M196" s="54">
        <v>46098</v>
      </c>
      <c r="N196" s="55">
        <v>0</v>
      </c>
      <c r="O196" s="70">
        <v>46098</v>
      </c>
      <c r="P196" s="71">
        <v>0</v>
      </c>
      <c r="Q196" s="36">
        <v>46098</v>
      </c>
      <c r="R196" s="26">
        <f>+I196+L196+N196-P196</f>
        <v>2</v>
      </c>
      <c r="S196" s="85">
        <v>46098</v>
      </c>
      <c r="T196" s="84">
        <v>2</v>
      </c>
      <c r="U196" s="27"/>
      <c r="V196" s="70"/>
      <c r="W196" s="67"/>
      <c r="X196" s="54"/>
      <c r="Y196" s="55"/>
      <c r="Z196" s="70"/>
      <c r="AA196" s="71"/>
      <c r="AB196" s="31"/>
      <c r="AC196" s="26">
        <f>+R196+W196+Y196-AA196</f>
        <v>2</v>
      </c>
      <c r="AD196" s="25" t="s">
        <v>472</v>
      </c>
      <c r="AE196" s="25"/>
      <c r="AF196" s="48">
        <v>10</v>
      </c>
      <c r="AG196" s="48">
        <v>2</v>
      </c>
      <c r="AH196" s="48" t="s">
        <v>353</v>
      </c>
      <c r="AI196" s="2" t="s">
        <v>467</v>
      </c>
    </row>
    <row r="197" spans="1:35" ht="28.8" x14ac:dyDescent="0.3">
      <c r="A197" s="65">
        <v>194</v>
      </c>
      <c r="B197" s="25">
        <v>16</v>
      </c>
      <c r="C197" s="25">
        <v>13</v>
      </c>
      <c r="D197" s="25">
        <v>372</v>
      </c>
      <c r="E197" s="30" t="str">
        <f>CONCATENATE(B197,"-",C197,"-",D197)</f>
        <v>16-13-372</v>
      </c>
      <c r="F197" s="13" t="str">
        <f>VLOOKUP(E197,'LISTA ITEMS'!$E$2:$G$875,2,FALSE)</f>
        <v>KIT CABLE BATERIA ARK</v>
      </c>
      <c r="G197" s="25" t="str">
        <f>VLOOKUP(E197,'LISTA ITEMS'!$E$2:$G$875,3,FALSE)</f>
        <v>UND</v>
      </c>
      <c r="H197" s="74">
        <v>46083</v>
      </c>
      <c r="I197" s="75">
        <v>-1</v>
      </c>
      <c r="J197" s="27"/>
      <c r="K197" s="70">
        <v>46098</v>
      </c>
      <c r="L197" s="67">
        <v>0</v>
      </c>
      <c r="M197" s="54">
        <v>46098</v>
      </c>
      <c r="N197" s="55">
        <v>0</v>
      </c>
      <c r="O197" s="70">
        <v>46098</v>
      </c>
      <c r="P197" s="71">
        <v>1</v>
      </c>
      <c r="Q197" s="36">
        <v>46098</v>
      </c>
      <c r="R197" s="26">
        <f>+I197+L197+N197-P197</f>
        <v>-2</v>
      </c>
      <c r="S197" s="85">
        <v>46098</v>
      </c>
      <c r="T197" s="84">
        <v>1</v>
      </c>
      <c r="U197" s="27"/>
      <c r="V197" s="70"/>
      <c r="W197" s="67"/>
      <c r="X197" s="54"/>
      <c r="Y197" s="55"/>
      <c r="Z197" s="70"/>
      <c r="AA197" s="71"/>
      <c r="AB197" s="31"/>
      <c r="AC197" s="26">
        <f>+R197+W197+Y197-AA197</f>
        <v>-2</v>
      </c>
      <c r="AD197" s="91" t="s">
        <v>473</v>
      </c>
      <c r="AE197" s="25"/>
      <c r="AF197" s="48">
        <v>10</v>
      </c>
      <c r="AG197" s="48">
        <v>2</v>
      </c>
      <c r="AH197" s="48" t="s">
        <v>353</v>
      </c>
    </row>
    <row r="198" spans="1:35" ht="28.8" x14ac:dyDescent="0.3">
      <c r="A198" s="65">
        <v>195</v>
      </c>
      <c r="B198" s="25">
        <v>16</v>
      </c>
      <c r="C198" s="25">
        <v>63</v>
      </c>
      <c r="D198" s="25">
        <v>373</v>
      </c>
      <c r="E198" s="30" t="str">
        <f>CONCATENATE(B198,"-",C198,"-",D198)</f>
        <v>16-63-373</v>
      </c>
      <c r="F198" s="13" t="str">
        <f>VLOOKUP(E198,'LISTA ITEMS'!$E$2:$G$875,2,FALSE)</f>
        <v>TORO IDAL 90A SPH (LEM)</v>
      </c>
      <c r="G198" s="25" t="str">
        <f>VLOOKUP(E198,'LISTA ITEMS'!$E$2:$G$875,3,FALSE)</f>
        <v>UND</v>
      </c>
      <c r="H198" s="74">
        <v>46083</v>
      </c>
      <c r="I198" s="75">
        <v>4</v>
      </c>
      <c r="J198" s="27"/>
      <c r="K198" s="70">
        <v>46098</v>
      </c>
      <c r="L198" s="67">
        <v>0</v>
      </c>
      <c r="M198" s="54">
        <v>46098</v>
      </c>
      <c r="N198" s="55">
        <v>0</v>
      </c>
      <c r="O198" s="70">
        <v>46098</v>
      </c>
      <c r="P198" s="71">
        <v>0</v>
      </c>
      <c r="Q198" s="36">
        <v>46098</v>
      </c>
      <c r="R198" s="26">
        <f>+I198+L198+N198-P198</f>
        <v>4</v>
      </c>
      <c r="S198" s="85">
        <v>46098</v>
      </c>
      <c r="T198" s="84">
        <v>4</v>
      </c>
      <c r="U198" s="27"/>
      <c r="V198" s="70"/>
      <c r="W198" s="67"/>
      <c r="X198" s="54"/>
      <c r="Y198" s="55"/>
      <c r="Z198" s="70"/>
      <c r="AA198" s="71"/>
      <c r="AB198" s="31"/>
      <c r="AC198" s="26">
        <f>+R198+W198+Y198-AA198</f>
        <v>4</v>
      </c>
      <c r="AD198" s="25"/>
      <c r="AE198" s="25"/>
      <c r="AF198" s="48">
        <v>10</v>
      </c>
      <c r="AG198" s="48">
        <v>2</v>
      </c>
      <c r="AH198" s="48" t="s">
        <v>353</v>
      </c>
      <c r="AI198" s="2" t="s">
        <v>467</v>
      </c>
    </row>
    <row r="199" spans="1:35" ht="28.8" x14ac:dyDescent="0.3">
      <c r="A199" s="65">
        <v>196</v>
      </c>
      <c r="B199" s="25">
        <v>16</v>
      </c>
      <c r="C199" s="25">
        <v>55</v>
      </c>
      <c r="D199" s="25">
        <v>374</v>
      </c>
      <c r="E199" s="30" t="str">
        <f>CONCATENATE(B199,"-",C199,"-",D199)</f>
        <v>16-55-374</v>
      </c>
      <c r="F199" s="13" t="str">
        <f>VLOOKUP(E199,'LISTA ITEMS'!$E$2:$G$875,2,FALSE)</f>
        <v>MEDIDOR FRONIUS SMART METER TRIFASICO M/INDIRECTA</v>
      </c>
      <c r="G199" s="25" t="str">
        <f>VLOOKUP(E199,'LISTA ITEMS'!$E$2:$G$875,3,FALSE)</f>
        <v>UND</v>
      </c>
      <c r="H199" s="74">
        <v>46083</v>
      </c>
      <c r="I199" s="75">
        <v>2</v>
      </c>
      <c r="J199" s="27"/>
      <c r="K199" s="70">
        <v>46098</v>
      </c>
      <c r="L199" s="67">
        <v>0</v>
      </c>
      <c r="M199" s="54">
        <v>46098</v>
      </c>
      <c r="N199" s="55">
        <v>0</v>
      </c>
      <c r="O199" s="70">
        <v>46098</v>
      </c>
      <c r="P199" s="71">
        <v>0</v>
      </c>
      <c r="Q199" s="36">
        <v>46098</v>
      </c>
      <c r="R199" s="26">
        <f>+I199+L199+N199-P199</f>
        <v>2</v>
      </c>
      <c r="S199" s="85">
        <v>46098</v>
      </c>
      <c r="T199" s="84">
        <v>2</v>
      </c>
      <c r="U199" s="27"/>
      <c r="V199" s="70"/>
      <c r="W199" s="67"/>
      <c r="X199" s="54"/>
      <c r="Y199" s="55"/>
      <c r="Z199" s="70"/>
      <c r="AA199" s="71"/>
      <c r="AB199" s="31"/>
      <c r="AC199" s="26">
        <f>+R199+W199+Y199-AA199</f>
        <v>2</v>
      </c>
      <c r="AD199" s="91" t="s">
        <v>477</v>
      </c>
      <c r="AE199" s="25"/>
      <c r="AF199" s="48">
        <v>10</v>
      </c>
      <c r="AG199" s="48">
        <v>2</v>
      </c>
      <c r="AH199" s="48" t="s">
        <v>353</v>
      </c>
      <c r="AI199" s="2" t="s">
        <v>467</v>
      </c>
    </row>
    <row r="200" spans="1:35" ht="28.8" x14ac:dyDescent="0.3">
      <c r="A200" s="65">
        <v>197</v>
      </c>
      <c r="B200" s="25">
        <v>16</v>
      </c>
      <c r="C200" s="25">
        <v>55</v>
      </c>
      <c r="D200" s="25">
        <v>375</v>
      </c>
      <c r="E200" s="30" t="str">
        <f>CONCATENATE(B200,"-",C200,"-",D200)</f>
        <v>16-55-375</v>
      </c>
      <c r="F200" s="13" t="str">
        <f>VLOOKUP(E200,'LISTA ITEMS'!$E$2:$G$875,2,FALSE)</f>
        <v>MEDIDOR FRONIUS 63A-1 MONOFASICO M/DIRECTA</v>
      </c>
      <c r="G200" s="25" t="str">
        <f>VLOOKUP(E200,'LISTA ITEMS'!$E$2:$G$875,3,FALSE)</f>
        <v>UND</v>
      </c>
      <c r="H200" s="74">
        <v>46083</v>
      </c>
      <c r="I200" s="75">
        <v>1</v>
      </c>
      <c r="J200" s="27"/>
      <c r="K200" s="70">
        <v>46098</v>
      </c>
      <c r="L200" s="67">
        <v>0</v>
      </c>
      <c r="M200" s="54">
        <v>46098</v>
      </c>
      <c r="N200" s="55">
        <v>0</v>
      </c>
      <c r="O200" s="70">
        <v>46098</v>
      </c>
      <c r="P200" s="71">
        <v>0</v>
      </c>
      <c r="Q200" s="36">
        <v>46098</v>
      </c>
      <c r="R200" s="26">
        <f>+I200+L200+N200-P200</f>
        <v>1</v>
      </c>
      <c r="S200" s="85">
        <v>46098</v>
      </c>
      <c r="T200" s="84">
        <v>1</v>
      </c>
      <c r="U200" s="27"/>
      <c r="V200" s="70"/>
      <c r="W200" s="67"/>
      <c r="X200" s="54"/>
      <c r="Y200" s="55"/>
      <c r="Z200" s="70"/>
      <c r="AA200" s="71"/>
      <c r="AB200" s="31"/>
      <c r="AC200" s="26">
        <f>+R200+W200+Y200-AA200</f>
        <v>1</v>
      </c>
      <c r="AD200" s="91" t="s">
        <v>475</v>
      </c>
      <c r="AE200" s="25"/>
      <c r="AF200" s="48">
        <v>10</v>
      </c>
      <c r="AG200" s="48">
        <v>2</v>
      </c>
      <c r="AH200" s="48" t="s">
        <v>353</v>
      </c>
      <c r="AI200" s="2" t="s">
        <v>467</v>
      </c>
    </row>
    <row r="201" spans="1:35" ht="28.8" x14ac:dyDescent="0.3">
      <c r="A201" s="65">
        <v>198</v>
      </c>
      <c r="B201" s="25">
        <v>16</v>
      </c>
      <c r="C201" s="25">
        <v>55</v>
      </c>
      <c r="D201" s="25">
        <v>376</v>
      </c>
      <c r="E201" s="30" t="str">
        <f>CONCATENATE(B201,"-",C201,"-",D201)</f>
        <v>16-55-376</v>
      </c>
      <c r="F201" s="13" t="str">
        <f>VLOOKUP(E201,'LISTA ITEMS'!$E$2:$G$875,2,FALSE)</f>
        <v>MEDIDOR FRONIUS 63A TRIFASICO M/DIRECTA</v>
      </c>
      <c r="G201" s="25" t="str">
        <f>VLOOKUP(E201,'LISTA ITEMS'!$E$2:$G$875,3,FALSE)</f>
        <v>UND</v>
      </c>
      <c r="H201" s="74">
        <v>46083</v>
      </c>
      <c r="I201" s="75">
        <v>1</v>
      </c>
      <c r="J201" s="27"/>
      <c r="K201" s="70">
        <v>46098</v>
      </c>
      <c r="L201" s="67">
        <v>0</v>
      </c>
      <c r="M201" s="54">
        <v>46098</v>
      </c>
      <c r="N201" s="55">
        <v>0</v>
      </c>
      <c r="O201" s="70">
        <v>46098</v>
      </c>
      <c r="P201" s="71">
        <v>0</v>
      </c>
      <c r="Q201" s="36">
        <v>46098</v>
      </c>
      <c r="R201" s="26">
        <f>+I201+L201+N201-P201</f>
        <v>1</v>
      </c>
      <c r="S201" s="85">
        <v>46098</v>
      </c>
      <c r="T201" s="84">
        <v>1</v>
      </c>
      <c r="U201" s="27"/>
      <c r="V201" s="70"/>
      <c r="W201" s="67"/>
      <c r="X201" s="54"/>
      <c r="Y201" s="55"/>
      <c r="Z201" s="70"/>
      <c r="AA201" s="71"/>
      <c r="AB201" s="31"/>
      <c r="AC201" s="26">
        <f>+R201+W201+Y201-AA201</f>
        <v>1</v>
      </c>
      <c r="AD201" s="91" t="s">
        <v>476</v>
      </c>
      <c r="AE201" s="25"/>
      <c r="AF201" s="48">
        <v>10</v>
      </c>
      <c r="AG201" s="48">
        <v>2</v>
      </c>
      <c r="AH201" s="48" t="s">
        <v>353</v>
      </c>
      <c r="AI201" s="2" t="s">
        <v>467</v>
      </c>
    </row>
    <row r="202" spans="1:35" ht="28.8" x14ac:dyDescent="0.3">
      <c r="A202" s="65">
        <v>199</v>
      </c>
      <c r="B202" s="25">
        <v>16</v>
      </c>
      <c r="C202" s="25">
        <v>66</v>
      </c>
      <c r="D202" s="25">
        <v>377</v>
      </c>
      <c r="E202" s="30" t="str">
        <f>CONCATENATE(B202,"-",C202,"-",D202)</f>
        <v>16-66-377</v>
      </c>
      <c r="F202" s="13" t="str">
        <f>VLOOKUP(E202,'LISTA ITEMS'!$E$2:$G$875,2,FALSE)</f>
        <v>RELED DE RED Q-RELAY 3P-INT (ENPHASE)</v>
      </c>
      <c r="G202" s="25" t="str">
        <f>VLOOKUP(E202,'LISTA ITEMS'!$E$2:$G$875,3,FALSE)</f>
        <v>UND</v>
      </c>
      <c r="H202" s="74">
        <v>46083</v>
      </c>
      <c r="I202" s="75">
        <v>1</v>
      </c>
      <c r="J202" s="27"/>
      <c r="K202" s="70">
        <v>46098</v>
      </c>
      <c r="L202" s="67">
        <v>0</v>
      </c>
      <c r="M202" s="54">
        <v>46098</v>
      </c>
      <c r="N202" s="55">
        <v>0</v>
      </c>
      <c r="O202" s="70">
        <v>46098</v>
      </c>
      <c r="P202" s="71">
        <v>0</v>
      </c>
      <c r="Q202" s="36">
        <v>46098</v>
      </c>
      <c r="R202" s="26">
        <f>+I202+L202+N202-P202</f>
        <v>1</v>
      </c>
      <c r="S202" s="85">
        <v>46098</v>
      </c>
      <c r="T202" s="84">
        <v>1</v>
      </c>
      <c r="U202" s="27"/>
      <c r="V202" s="70"/>
      <c r="W202" s="67"/>
      <c r="X202" s="54"/>
      <c r="Y202" s="55"/>
      <c r="Z202" s="70"/>
      <c r="AA202" s="71"/>
      <c r="AB202" s="31"/>
      <c r="AC202" s="26">
        <f>+R202+W202+Y202-AA202</f>
        <v>1</v>
      </c>
      <c r="AD202" s="91" t="s">
        <v>474</v>
      </c>
      <c r="AE202" s="25"/>
      <c r="AF202" s="48">
        <v>10</v>
      </c>
      <c r="AG202" s="48">
        <v>2</v>
      </c>
      <c r="AH202" s="48" t="s">
        <v>353</v>
      </c>
      <c r="AI202" s="2" t="s">
        <v>467</v>
      </c>
    </row>
    <row r="203" spans="1:35" ht="28.8" x14ac:dyDescent="0.3">
      <c r="A203" s="65">
        <v>200</v>
      </c>
      <c r="B203" s="25">
        <v>16</v>
      </c>
      <c r="C203" s="25">
        <v>13</v>
      </c>
      <c r="D203" s="25">
        <v>378</v>
      </c>
      <c r="E203" s="30" t="str">
        <f>CONCATENATE(B203,"-",C203,"-",D203)</f>
        <v>16-13-378</v>
      </c>
      <c r="F203" s="13" t="str">
        <f>VLOOKUP(E203,'LISTA ITEMS'!$E$2:$G$875,2,FALSE)</f>
        <v>KIT MEDIDOR TORO IDAL M/INDIRECTA (CHINT)</v>
      </c>
      <c r="G203" s="25" t="str">
        <f>VLOOKUP(E203,'LISTA ITEMS'!$E$2:$G$875,3,FALSE)</f>
        <v>UND</v>
      </c>
      <c r="H203" s="74">
        <v>46083</v>
      </c>
      <c r="I203" s="75">
        <v>1</v>
      </c>
      <c r="J203" s="27"/>
      <c r="K203" s="70">
        <v>46098</v>
      </c>
      <c r="L203" s="67">
        <v>0</v>
      </c>
      <c r="M203" s="54">
        <v>46098</v>
      </c>
      <c r="N203" s="55">
        <v>0</v>
      </c>
      <c r="O203" s="70">
        <v>46098</v>
      </c>
      <c r="P203" s="71">
        <v>0</v>
      </c>
      <c r="Q203" s="36">
        <v>46098</v>
      </c>
      <c r="R203" s="26">
        <f>+I203+L203+N203-P203</f>
        <v>1</v>
      </c>
      <c r="S203" s="85">
        <v>46098</v>
      </c>
      <c r="T203" s="84">
        <v>1</v>
      </c>
      <c r="U203" s="27"/>
      <c r="V203" s="70"/>
      <c r="W203" s="67"/>
      <c r="X203" s="54"/>
      <c r="Y203" s="55"/>
      <c r="Z203" s="70"/>
      <c r="AA203" s="71"/>
      <c r="AB203" s="31"/>
      <c r="AC203" s="26">
        <f>+R203+W203+Y203-AA203</f>
        <v>1</v>
      </c>
      <c r="AD203" s="25"/>
      <c r="AE203" s="25"/>
      <c r="AF203" s="48">
        <v>10</v>
      </c>
      <c r="AG203" s="48">
        <v>2</v>
      </c>
      <c r="AH203" s="48" t="s">
        <v>353</v>
      </c>
      <c r="AI203" s="2" t="s">
        <v>467</v>
      </c>
    </row>
    <row r="204" spans="1:35" ht="28.8" x14ac:dyDescent="0.3">
      <c r="A204" s="65">
        <v>201</v>
      </c>
      <c r="B204" s="25">
        <v>16</v>
      </c>
      <c r="C204" s="25">
        <v>55</v>
      </c>
      <c r="D204" s="25">
        <v>379</v>
      </c>
      <c r="E204" s="30" t="str">
        <f>CONCATENATE(B204,"-",C204,"-",D204)</f>
        <v>16-55-379</v>
      </c>
      <c r="F204" s="13" t="str">
        <f>VLOOKUP(E204,'LISTA ITEMS'!$E$2:$G$875,2,FALSE)</f>
        <v>MEDIDOR MONOFASICO M/INDIRECTA (CHINT)</v>
      </c>
      <c r="G204" s="25" t="str">
        <f>VLOOKUP(E204,'LISTA ITEMS'!$E$2:$G$875,3,FALSE)</f>
        <v>UND</v>
      </c>
      <c r="H204" s="74">
        <v>46083</v>
      </c>
      <c r="I204" s="75">
        <v>1</v>
      </c>
      <c r="J204" s="27"/>
      <c r="K204" s="70">
        <v>46098</v>
      </c>
      <c r="L204" s="67">
        <v>0</v>
      </c>
      <c r="M204" s="54">
        <v>46098</v>
      </c>
      <c r="N204" s="55">
        <v>0</v>
      </c>
      <c r="O204" s="70">
        <v>46098</v>
      </c>
      <c r="P204" s="71">
        <v>0</v>
      </c>
      <c r="Q204" s="36">
        <v>46098</v>
      </c>
      <c r="R204" s="26">
        <f>+I204+L204+N204-P204</f>
        <v>1</v>
      </c>
      <c r="S204" s="85">
        <v>46098</v>
      </c>
      <c r="T204" s="84">
        <v>1</v>
      </c>
      <c r="U204" s="27"/>
      <c r="V204" s="70"/>
      <c r="W204" s="67"/>
      <c r="X204" s="54"/>
      <c r="Y204" s="55"/>
      <c r="Z204" s="70"/>
      <c r="AA204" s="71"/>
      <c r="AB204" s="31"/>
      <c r="AC204" s="26">
        <f>+R204+W204+Y204-AA204</f>
        <v>1</v>
      </c>
      <c r="AD204" s="91" t="s">
        <v>478</v>
      </c>
      <c r="AE204" s="25"/>
      <c r="AF204" s="48">
        <v>10</v>
      </c>
      <c r="AG204" s="48">
        <v>2</v>
      </c>
      <c r="AH204" s="48" t="s">
        <v>353</v>
      </c>
      <c r="AI204" s="2" t="s">
        <v>467</v>
      </c>
    </row>
    <row r="205" spans="1:35" x14ac:dyDescent="0.3">
      <c r="A205" s="65">
        <v>202</v>
      </c>
      <c r="B205" s="25">
        <v>16</v>
      </c>
      <c r="C205" s="25">
        <v>50</v>
      </c>
      <c r="D205" s="25">
        <v>380</v>
      </c>
      <c r="E205" s="30" t="str">
        <f>CONCATENATE(B205,"-",C205,"-",D205)</f>
        <v>16-50-380</v>
      </c>
      <c r="F205" s="13" t="str">
        <f>VLOOKUP(E205,'LISTA ITEMS'!$E$2:$G$875,2,FALSE)</f>
        <v>FUSIBLE 25A</v>
      </c>
      <c r="G205" s="25" t="str">
        <f>VLOOKUP(E205,'LISTA ITEMS'!$E$2:$G$875,3,FALSE)</f>
        <v>UND</v>
      </c>
      <c r="H205" s="74">
        <v>46083</v>
      </c>
      <c r="I205" s="75">
        <v>40</v>
      </c>
      <c r="J205" s="27"/>
      <c r="K205" s="70">
        <v>46098</v>
      </c>
      <c r="L205" s="67">
        <v>0</v>
      </c>
      <c r="M205" s="54">
        <v>46098</v>
      </c>
      <c r="N205" s="55">
        <v>100</v>
      </c>
      <c r="O205" s="70">
        <v>46098</v>
      </c>
      <c r="P205" s="71">
        <v>0</v>
      </c>
      <c r="Q205" s="36">
        <v>46098</v>
      </c>
      <c r="R205" s="26">
        <f>+I205+L205+N205-P205</f>
        <v>140</v>
      </c>
      <c r="S205" s="85">
        <v>46098</v>
      </c>
      <c r="T205" s="84">
        <v>102</v>
      </c>
      <c r="U205" s="27"/>
      <c r="V205" s="70"/>
      <c r="W205" s="67"/>
      <c r="X205" s="54"/>
      <c r="Y205" s="55"/>
      <c r="Z205" s="70"/>
      <c r="AA205" s="71"/>
      <c r="AB205" s="31"/>
      <c r="AC205" s="26">
        <f>+R205+W205+Y205-AA205</f>
        <v>140</v>
      </c>
      <c r="AD205" s="25"/>
      <c r="AE205" s="25"/>
      <c r="AF205" s="48">
        <v>10</v>
      </c>
      <c r="AG205" s="48">
        <v>2</v>
      </c>
      <c r="AH205" s="48" t="s">
        <v>251</v>
      </c>
    </row>
    <row r="206" spans="1:35" x14ac:dyDescent="0.3">
      <c r="A206" s="65">
        <v>203</v>
      </c>
      <c r="B206" s="25">
        <v>13</v>
      </c>
      <c r="C206" s="25">
        <v>67</v>
      </c>
      <c r="D206" s="25">
        <v>381</v>
      </c>
      <c r="E206" s="89" t="str">
        <f>CONCATENATE(B206,"-",C206,"-",D206)</f>
        <v>13-67-381</v>
      </c>
      <c r="F206" s="13" t="str">
        <f>VLOOKUP(E206,'LISTA ITEMS'!$E$2:$G$875,2,FALSE)</f>
        <v>CANALETA PLASTICA 40X40</v>
      </c>
      <c r="G206" s="25" t="str">
        <f>VLOOKUP(E206,'LISTA ITEMS'!$E$2:$G$875,3,FALSE)</f>
        <v>UND</v>
      </c>
      <c r="H206" s="74">
        <v>46083</v>
      </c>
      <c r="I206" s="75">
        <v>34</v>
      </c>
      <c r="J206" s="27"/>
      <c r="K206" s="70">
        <v>46098</v>
      </c>
      <c r="L206" s="67">
        <v>0</v>
      </c>
      <c r="M206" s="54">
        <v>46098</v>
      </c>
      <c r="N206" s="55">
        <v>0</v>
      </c>
      <c r="O206" s="70">
        <v>46098</v>
      </c>
      <c r="P206" s="71">
        <v>0</v>
      </c>
      <c r="Q206" s="36">
        <v>46098</v>
      </c>
      <c r="R206" s="26">
        <f>+I206+L206+N206-P206</f>
        <v>34</v>
      </c>
      <c r="S206" s="85"/>
      <c r="T206" s="84"/>
      <c r="U206" s="27"/>
      <c r="V206" s="70"/>
      <c r="W206" s="67"/>
      <c r="X206" s="54"/>
      <c r="Y206" s="55"/>
      <c r="Z206" s="70"/>
      <c r="AA206" s="71"/>
      <c r="AB206" s="31"/>
      <c r="AC206" s="26">
        <f>+R206+W206+Y206-AA206</f>
        <v>34</v>
      </c>
      <c r="AD206" s="25"/>
      <c r="AE206" s="25"/>
      <c r="AF206" s="111"/>
      <c r="AG206" s="111"/>
      <c r="AH206" s="111"/>
    </row>
    <row r="207" spans="1:35" x14ac:dyDescent="0.3">
      <c r="A207" s="65">
        <v>204</v>
      </c>
      <c r="B207" s="25">
        <v>13</v>
      </c>
      <c r="C207" s="25">
        <v>67</v>
      </c>
      <c r="D207" s="25">
        <v>382</v>
      </c>
      <c r="E207" s="89" t="str">
        <f>CONCATENATE(B207,"-",C207,"-",D207)</f>
        <v>13-67-382</v>
      </c>
      <c r="F207" s="13" t="str">
        <f>VLOOKUP(E207,'LISTA ITEMS'!$E$2:$G$875,2,FALSE)</f>
        <v>CANALETA PLASTICA 60X40</v>
      </c>
      <c r="G207" s="25" t="str">
        <f>VLOOKUP(E207,'LISTA ITEMS'!$E$2:$G$875,3,FALSE)</f>
        <v>UND</v>
      </c>
      <c r="H207" s="74">
        <v>46083</v>
      </c>
      <c r="I207" s="75">
        <v>34</v>
      </c>
      <c r="J207" s="27"/>
      <c r="K207" s="70">
        <v>46098</v>
      </c>
      <c r="L207" s="67">
        <v>0</v>
      </c>
      <c r="M207" s="54">
        <v>46098</v>
      </c>
      <c r="N207" s="55">
        <v>0</v>
      </c>
      <c r="O207" s="70">
        <v>46098</v>
      </c>
      <c r="P207" s="71">
        <v>0</v>
      </c>
      <c r="Q207" s="36">
        <v>46098</v>
      </c>
      <c r="R207" s="26">
        <f>+I207+L207+N207-P207</f>
        <v>34</v>
      </c>
      <c r="S207" s="85"/>
      <c r="T207" s="84"/>
      <c r="U207" s="27"/>
      <c r="V207" s="70"/>
      <c r="W207" s="67"/>
      <c r="X207" s="54"/>
      <c r="Y207" s="55"/>
      <c r="Z207" s="70"/>
      <c r="AA207" s="71"/>
      <c r="AB207" s="31"/>
      <c r="AC207" s="26">
        <f>+R207+W207+Y207-AA207</f>
        <v>34</v>
      </c>
      <c r="AD207" s="25"/>
      <c r="AE207" s="25"/>
      <c r="AF207" s="111"/>
      <c r="AG207" s="111"/>
      <c r="AH207" s="111"/>
    </row>
    <row r="208" spans="1:35" x14ac:dyDescent="0.3">
      <c r="A208" s="65">
        <v>205</v>
      </c>
      <c r="B208" s="25">
        <v>16</v>
      </c>
      <c r="C208" s="25">
        <v>45</v>
      </c>
      <c r="D208" s="25">
        <v>383</v>
      </c>
      <c r="E208" s="89" t="str">
        <f>CONCATENATE(B208,"-",C208,"-",D208)</f>
        <v>16-45-383</v>
      </c>
      <c r="F208" s="13" t="str">
        <f>VLOOKUP(E208,'LISTA ITEMS'!$E$2:$G$875,2,FALSE)</f>
        <v xml:space="preserve">CAJA BLANCA P/BATERIA (DYNNES) </v>
      </c>
      <c r="G208" s="25" t="str">
        <f>VLOOKUP(E208,'LISTA ITEMS'!$E$2:$G$875,3,FALSE)</f>
        <v>UND</v>
      </c>
      <c r="H208" s="74">
        <v>46083</v>
      </c>
      <c r="I208" s="75">
        <v>7</v>
      </c>
      <c r="J208" s="27"/>
      <c r="K208" s="70">
        <v>46098</v>
      </c>
      <c r="L208" s="67">
        <v>0</v>
      </c>
      <c r="M208" s="54">
        <v>46098</v>
      </c>
      <c r="N208" s="55">
        <v>0</v>
      </c>
      <c r="O208" s="70">
        <v>46098</v>
      </c>
      <c r="P208" s="71">
        <v>0</v>
      </c>
      <c r="Q208" s="36">
        <v>46098</v>
      </c>
      <c r="R208" s="26">
        <f>+I208+L208+N208-P208</f>
        <v>7</v>
      </c>
      <c r="S208" s="85"/>
      <c r="T208" s="84"/>
      <c r="U208" s="27"/>
      <c r="V208" s="70"/>
      <c r="W208" s="67"/>
      <c r="X208" s="54"/>
      <c r="Y208" s="55"/>
      <c r="Z208" s="70"/>
      <c r="AA208" s="71"/>
      <c r="AB208" s="31"/>
      <c r="AC208" s="26">
        <f>+R208+W208+Y208-AA208</f>
        <v>7</v>
      </c>
      <c r="AD208" s="25"/>
      <c r="AE208" s="25"/>
      <c r="AF208" s="111"/>
      <c r="AG208" s="111"/>
      <c r="AH208" s="111"/>
    </row>
    <row r="209" spans="1:34" ht="43.2" x14ac:dyDescent="0.3">
      <c r="A209" s="65">
        <v>206</v>
      </c>
      <c r="B209" s="25">
        <v>7</v>
      </c>
      <c r="C209" s="25">
        <v>68</v>
      </c>
      <c r="D209" s="25">
        <v>384</v>
      </c>
      <c r="E209" s="89" t="str">
        <f>CONCATENATE(B209,"-",C209,"-",D209)</f>
        <v>7-68-384</v>
      </c>
      <c r="F209" s="13" t="str">
        <f>VLOOKUP(E209,'LISTA ITEMS'!$E$2:$G$875,2,FALSE)</f>
        <v>TECHO SIN ENVOLVENTE FWE12FT FONCOIL D/AGUA (DAIKIN)</v>
      </c>
      <c r="G209" s="25" t="str">
        <f>VLOOKUP(E209,'LISTA ITEMS'!$E$2:$G$875,3,FALSE)</f>
        <v>UND</v>
      </c>
      <c r="H209" s="74">
        <v>46083</v>
      </c>
      <c r="I209" s="75">
        <v>6</v>
      </c>
      <c r="J209" s="27"/>
      <c r="K209" s="70">
        <v>46098</v>
      </c>
      <c r="L209" s="67">
        <v>0</v>
      </c>
      <c r="M209" s="54">
        <v>46098</v>
      </c>
      <c r="N209" s="55">
        <v>0</v>
      </c>
      <c r="O209" s="70">
        <v>46098</v>
      </c>
      <c r="P209" s="71">
        <v>0</v>
      </c>
      <c r="Q209" s="36">
        <v>46098</v>
      </c>
      <c r="R209" s="26">
        <f>+I209+L209+N209-P209</f>
        <v>6</v>
      </c>
      <c r="S209" s="85"/>
      <c r="T209" s="84"/>
      <c r="U209" s="27"/>
      <c r="V209" s="70"/>
      <c r="W209" s="67"/>
      <c r="X209" s="54"/>
      <c r="Y209" s="55"/>
      <c r="Z209" s="70"/>
      <c r="AA209" s="71"/>
      <c r="AB209" s="31"/>
      <c r="AC209" s="26">
        <f>+R209+W209+Y209-AA209</f>
        <v>6</v>
      </c>
      <c r="AD209" s="25" t="s">
        <v>381</v>
      </c>
      <c r="AE209" s="25" t="s">
        <v>431</v>
      </c>
      <c r="AF209" s="108"/>
      <c r="AG209" s="108"/>
      <c r="AH209" s="108"/>
    </row>
    <row r="210" spans="1:34" ht="28.8" x14ac:dyDescent="0.3">
      <c r="A210" s="65">
        <v>207</v>
      </c>
      <c r="B210" s="25">
        <v>16</v>
      </c>
      <c r="C210" s="25">
        <v>69</v>
      </c>
      <c r="D210" s="25">
        <v>385</v>
      </c>
      <c r="E210" s="89" t="str">
        <f>CONCATENATE(B210,"-",C210,"-",D210)</f>
        <v>16-69-385</v>
      </c>
      <c r="F210" s="13" t="str">
        <f>VLOOKUP(E210,'LISTA ITEMS'!$E$2:$G$875,2,FALSE)</f>
        <v>TERMOSTATO ELECTRONICO FWEC1A FANCOIL (DAIKIN)</v>
      </c>
      <c r="G210" s="25" t="str">
        <f>VLOOKUP(E210,'LISTA ITEMS'!$E$2:$G$875,3,FALSE)</f>
        <v>UND</v>
      </c>
      <c r="H210" s="74">
        <v>46083</v>
      </c>
      <c r="I210" s="75">
        <v>6</v>
      </c>
      <c r="J210" s="27"/>
      <c r="K210" s="70">
        <v>46098</v>
      </c>
      <c r="L210" s="67">
        <v>0</v>
      </c>
      <c r="M210" s="54">
        <v>46098</v>
      </c>
      <c r="N210" s="55">
        <v>0</v>
      </c>
      <c r="O210" s="70">
        <v>46098</v>
      </c>
      <c r="P210" s="71">
        <v>0</v>
      </c>
      <c r="Q210" s="36">
        <v>46098</v>
      </c>
      <c r="R210" s="26">
        <f>+I210+L210+N210-P210</f>
        <v>6</v>
      </c>
      <c r="S210" s="85"/>
      <c r="T210" s="84"/>
      <c r="U210" s="27"/>
      <c r="V210" s="70"/>
      <c r="W210" s="67"/>
      <c r="X210" s="54"/>
      <c r="Y210" s="55"/>
      <c r="Z210" s="70"/>
      <c r="AA210" s="71"/>
      <c r="AB210" s="31"/>
      <c r="AC210" s="26">
        <f>+R210+W210+Y210-AA210</f>
        <v>6</v>
      </c>
      <c r="AD210" s="25"/>
      <c r="AE210" s="25"/>
      <c r="AF210" s="117"/>
      <c r="AG210" s="117"/>
      <c r="AH210" s="117"/>
    </row>
    <row r="211" spans="1:34" ht="28.8" x14ac:dyDescent="0.3">
      <c r="A211" s="65">
        <v>208</v>
      </c>
      <c r="B211" s="25">
        <v>16</v>
      </c>
      <c r="C211" s="25">
        <v>10</v>
      </c>
      <c r="D211" s="25">
        <v>386</v>
      </c>
      <c r="E211" s="30" t="str">
        <f>CONCATENATE(B211,"-",C211,"-",D211)</f>
        <v>16-10-386</v>
      </c>
      <c r="F211" s="13" t="str">
        <f>VLOOKUP(E211,'LISTA ITEMS'!$E$2:$G$875,2,FALSE)</f>
        <v>VALVULA 3 VIAS 3/4 M-M 313134 P/FANCOIS (WATTS)</v>
      </c>
      <c r="G211" s="25" t="str">
        <f>VLOOKUP(E211,'LISTA ITEMS'!$E$2:$G$875,3,FALSE)</f>
        <v>UND</v>
      </c>
      <c r="H211" s="74">
        <v>46083</v>
      </c>
      <c r="I211" s="75">
        <v>6</v>
      </c>
      <c r="J211" s="27"/>
      <c r="K211" s="70">
        <v>46098</v>
      </c>
      <c r="L211" s="67">
        <v>0</v>
      </c>
      <c r="M211" s="54">
        <v>46098</v>
      </c>
      <c r="N211" s="55">
        <v>0</v>
      </c>
      <c r="O211" s="70">
        <v>46098</v>
      </c>
      <c r="P211" s="71">
        <v>0</v>
      </c>
      <c r="Q211" s="36">
        <v>46098</v>
      </c>
      <c r="R211" s="26">
        <f>+I211+L211+N211-P211</f>
        <v>6</v>
      </c>
      <c r="S211" s="85"/>
      <c r="T211" s="84"/>
      <c r="U211" s="27"/>
      <c r="V211" s="70"/>
      <c r="W211" s="67"/>
      <c r="X211" s="54"/>
      <c r="Y211" s="55"/>
      <c r="Z211" s="70"/>
      <c r="AA211" s="71"/>
      <c r="AB211" s="31"/>
      <c r="AC211" s="26">
        <f>+R211+W211+Y211-AA211</f>
        <v>6</v>
      </c>
      <c r="AD211" s="25"/>
      <c r="AE211" s="25"/>
      <c r="AF211" s="108"/>
      <c r="AG211" s="108"/>
      <c r="AH211" s="108"/>
    </row>
    <row r="212" spans="1:34" ht="28.8" x14ac:dyDescent="0.3">
      <c r="A212" s="65">
        <v>209</v>
      </c>
      <c r="B212" s="25">
        <v>16</v>
      </c>
      <c r="C212" s="25">
        <v>70</v>
      </c>
      <c r="D212" s="25">
        <v>387</v>
      </c>
      <c r="E212" s="89" t="str">
        <f>CONCATENATE(B212,"-",C212,"-",D212)</f>
        <v>16-70-387</v>
      </c>
      <c r="F212" s="13" t="str">
        <f>VLOOKUP(E212,'LISTA ITEMS'!$E$2:$G$875,2,FALSE)</f>
        <v>ACTUADOR 230V PARA V/FANCOIL 22CX230NC2 (WATTS)</v>
      </c>
      <c r="G212" s="25" t="str">
        <f>VLOOKUP(E212,'LISTA ITEMS'!$E$2:$G$875,3,FALSE)</f>
        <v>UND</v>
      </c>
      <c r="H212" s="74">
        <v>46083</v>
      </c>
      <c r="I212" s="75">
        <v>6</v>
      </c>
      <c r="J212" s="27"/>
      <c r="K212" s="70">
        <v>46098</v>
      </c>
      <c r="L212" s="67">
        <v>0</v>
      </c>
      <c r="M212" s="54">
        <v>46098</v>
      </c>
      <c r="N212" s="55">
        <v>0</v>
      </c>
      <c r="O212" s="70">
        <v>46098</v>
      </c>
      <c r="P212" s="71">
        <v>0</v>
      </c>
      <c r="Q212" s="36">
        <v>46098</v>
      </c>
      <c r="R212" s="26">
        <f>+I212+L212+N212-P212</f>
        <v>6</v>
      </c>
      <c r="S212" s="85"/>
      <c r="T212" s="84"/>
      <c r="U212" s="27"/>
      <c r="V212" s="70"/>
      <c r="W212" s="67"/>
      <c r="X212" s="54"/>
      <c r="Y212" s="55"/>
      <c r="Z212" s="70"/>
      <c r="AA212" s="71"/>
      <c r="AB212" s="31"/>
      <c r="AC212" s="26">
        <f>+R212+W212+Y212-AA212</f>
        <v>6</v>
      </c>
      <c r="AD212" s="25"/>
      <c r="AE212" s="25"/>
      <c r="AF212" s="108"/>
      <c r="AG212" s="108"/>
      <c r="AH212" s="108"/>
    </row>
    <row r="213" spans="1:34" ht="43.2" x14ac:dyDescent="0.3">
      <c r="A213" s="65">
        <v>210</v>
      </c>
      <c r="B213" s="25">
        <v>8</v>
      </c>
      <c r="C213" s="25">
        <v>27</v>
      </c>
      <c r="D213" s="25">
        <v>388</v>
      </c>
      <c r="E213" s="89" t="str">
        <f>CONCATENATE(B213,"-",C213,"-",D213)</f>
        <v>8-27-388</v>
      </c>
      <c r="F213" s="13" t="str">
        <f>VLOOKUP(E213,'LISTA ITEMS'!$E$2:$G$875,2,FALSE)</f>
        <v>TORNILLO A/GALVANIZADO CON C/HEZAGONAL, R/COMPLETA, C/ARANDELA Y AUTOTALADRANTE 6.3X35</v>
      </c>
      <c r="G213" s="25" t="str">
        <f>VLOOKUP(E213,'LISTA ITEMS'!$E$2:$G$875,3,FALSE)</f>
        <v>UND</v>
      </c>
      <c r="H213" s="74">
        <v>46083</v>
      </c>
      <c r="I213" s="75">
        <v>400</v>
      </c>
      <c r="J213" s="27"/>
      <c r="K213" s="70">
        <v>46098</v>
      </c>
      <c r="L213" s="67">
        <v>0</v>
      </c>
      <c r="M213" s="54">
        <v>46098</v>
      </c>
      <c r="N213" s="55">
        <v>200</v>
      </c>
      <c r="O213" s="70">
        <v>46098</v>
      </c>
      <c r="P213" s="71">
        <v>0</v>
      </c>
      <c r="Q213" s="36">
        <v>46098</v>
      </c>
      <c r="R213" s="26">
        <f>+I213+L213+N213-P213</f>
        <v>600</v>
      </c>
      <c r="S213" s="85"/>
      <c r="T213" s="84"/>
      <c r="U213" s="27"/>
      <c r="V213" s="70"/>
      <c r="W213" s="67"/>
      <c r="X213" s="54"/>
      <c r="Y213" s="55"/>
      <c r="Z213" s="70"/>
      <c r="AA213" s="71"/>
      <c r="AB213" s="31"/>
      <c r="AC213" s="26">
        <f>+R213+W213+Y213-AA213</f>
        <v>600</v>
      </c>
      <c r="AD213" s="25"/>
      <c r="AE213" s="25"/>
      <c r="AF213" s="117"/>
      <c r="AG213" s="117"/>
      <c r="AH213" s="117"/>
    </row>
    <row r="214" spans="1:34" x14ac:dyDescent="0.3">
      <c r="A214" s="65">
        <v>211</v>
      </c>
      <c r="B214" s="25">
        <v>18</v>
      </c>
      <c r="C214" s="25">
        <v>71</v>
      </c>
      <c r="D214" s="25">
        <v>389</v>
      </c>
      <c r="E214" s="89" t="str">
        <f>CONCATENATE(B214,"-",C214,"-",D214)</f>
        <v>18-71-389</v>
      </c>
      <c r="F214" s="13" t="str">
        <f>VLOOKUP(E214,'LISTA ITEMS'!$E$2:$G$875,2,FALSE)</f>
        <v>BROCA HELICOIDAL CONICA 8,5mm</v>
      </c>
      <c r="G214" s="25" t="str">
        <f>VLOOKUP(E214,'LISTA ITEMS'!$E$2:$G$875,3,FALSE)</f>
        <v>UND</v>
      </c>
      <c r="H214" s="74">
        <v>46083</v>
      </c>
      <c r="I214" s="75">
        <v>2</v>
      </c>
      <c r="J214" s="27"/>
      <c r="K214" s="70">
        <v>46098</v>
      </c>
      <c r="L214" s="67">
        <v>0</v>
      </c>
      <c r="M214" s="54">
        <v>46098</v>
      </c>
      <c r="N214" s="55">
        <v>0</v>
      </c>
      <c r="O214" s="70">
        <v>46098</v>
      </c>
      <c r="P214" s="71">
        <v>0</v>
      </c>
      <c r="Q214" s="36">
        <v>46098</v>
      </c>
      <c r="R214" s="26">
        <f>+I214+L214+N214-P214</f>
        <v>2</v>
      </c>
      <c r="S214" s="85"/>
      <c r="T214" s="84"/>
      <c r="U214" s="27"/>
      <c r="V214" s="70"/>
      <c r="W214" s="67"/>
      <c r="X214" s="54"/>
      <c r="Y214" s="55"/>
      <c r="Z214" s="70"/>
      <c r="AA214" s="71"/>
      <c r="AB214" s="31"/>
      <c r="AC214" s="26">
        <f>+R214+W214+Y214-AA214</f>
        <v>2</v>
      </c>
      <c r="AD214" s="25"/>
      <c r="AE214" s="25"/>
      <c r="AF214" s="111"/>
      <c r="AG214" s="111"/>
      <c r="AH214" s="111"/>
    </row>
    <row r="215" spans="1:34" x14ac:dyDescent="0.3">
      <c r="A215" s="65">
        <v>212</v>
      </c>
      <c r="B215" s="25">
        <v>13</v>
      </c>
      <c r="C215" s="25">
        <v>67</v>
      </c>
      <c r="D215" s="25">
        <v>390</v>
      </c>
      <c r="E215" s="89" t="str">
        <f>CONCATENATE(B215,"-",C215,"-",D215)</f>
        <v>13-67-390</v>
      </c>
      <c r="F215" s="13" t="str">
        <f>VLOOKUP(E215,'LISTA ITEMS'!$E$2:$G$875,2,FALSE)</f>
        <v>CANALETA PLASTICA 60X60</v>
      </c>
      <c r="G215" s="25" t="str">
        <f>VLOOKUP(E215,'LISTA ITEMS'!$E$2:$G$875,3,FALSE)</f>
        <v>UND</v>
      </c>
      <c r="H215" s="74">
        <v>46083</v>
      </c>
      <c r="I215" s="75">
        <v>24</v>
      </c>
      <c r="J215" s="27"/>
      <c r="K215" s="70">
        <v>46098</v>
      </c>
      <c r="L215" s="67">
        <v>0</v>
      </c>
      <c r="M215" s="54">
        <v>46098</v>
      </c>
      <c r="N215" s="55">
        <v>0</v>
      </c>
      <c r="O215" s="70">
        <v>46098</v>
      </c>
      <c r="P215" s="71">
        <v>0</v>
      </c>
      <c r="Q215" s="36">
        <v>46098</v>
      </c>
      <c r="R215" s="26">
        <f>+I215+L215+N215-P215</f>
        <v>24</v>
      </c>
      <c r="S215" s="85"/>
      <c r="T215" s="84"/>
      <c r="U215" s="27"/>
      <c r="V215" s="70"/>
      <c r="W215" s="67"/>
      <c r="X215" s="54"/>
      <c r="Y215" s="55"/>
      <c r="Z215" s="70"/>
      <c r="AA215" s="71"/>
      <c r="AB215" s="31"/>
      <c r="AC215" s="26">
        <f>+R215+W215+Y215-AA215</f>
        <v>24</v>
      </c>
      <c r="AD215" s="25"/>
      <c r="AE215" s="25"/>
      <c r="AF215" s="111"/>
      <c r="AG215" s="111"/>
      <c r="AH215" s="111"/>
    </row>
    <row r="216" spans="1:34" ht="28.8" x14ac:dyDescent="0.3">
      <c r="A216" s="65">
        <v>213</v>
      </c>
      <c r="B216" s="25">
        <v>16</v>
      </c>
      <c r="C216" s="25">
        <v>72</v>
      </c>
      <c r="D216" s="25">
        <v>391</v>
      </c>
      <c r="E216" s="89" t="str">
        <f>CONCATENATE(B216,"-",C216,"-",D216)</f>
        <v>16-72-391</v>
      </c>
      <c r="F216" s="13" t="str">
        <f>VLOOKUP(E216,'LISTA ITEMS'!$E$2:$G$875,2,FALSE)</f>
        <v>RESISTENCIA D/ENCENDIDO 260W 1B-20X15X6-0 (2016)</v>
      </c>
      <c r="G216" s="25" t="str">
        <f>VLOOKUP(E216,'LISTA ITEMS'!$E$2:$G$875,3,FALSE)</f>
        <v>UND</v>
      </c>
      <c r="H216" s="74">
        <v>46083</v>
      </c>
      <c r="I216" s="75">
        <v>2</v>
      </c>
      <c r="J216" s="27"/>
      <c r="K216" s="70">
        <v>46098</v>
      </c>
      <c r="L216" s="67">
        <v>0</v>
      </c>
      <c r="M216" s="54">
        <v>46098</v>
      </c>
      <c r="N216" s="55">
        <v>0</v>
      </c>
      <c r="O216" s="70">
        <v>46098</v>
      </c>
      <c r="P216" s="71">
        <v>0</v>
      </c>
      <c r="Q216" s="36">
        <v>46098</v>
      </c>
      <c r="R216" s="26">
        <f>+I216+L216+N216-P216</f>
        <v>2</v>
      </c>
      <c r="S216" s="85"/>
      <c r="T216" s="84"/>
      <c r="U216" s="27"/>
      <c r="V216" s="70"/>
      <c r="W216" s="67"/>
      <c r="X216" s="54"/>
      <c r="Y216" s="55"/>
      <c r="Z216" s="70"/>
      <c r="AA216" s="71"/>
      <c r="AB216" s="31"/>
      <c r="AC216" s="26">
        <f>+R216+W216+Y216-AA216</f>
        <v>2</v>
      </c>
      <c r="AD216" s="25"/>
      <c r="AE216" s="25"/>
      <c r="AF216" s="108"/>
      <c r="AG216" s="108"/>
      <c r="AH216" s="108"/>
    </row>
    <row r="217" spans="1:34" x14ac:dyDescent="0.3">
      <c r="A217" s="65">
        <v>214</v>
      </c>
      <c r="B217" s="25">
        <v>16</v>
      </c>
      <c r="C217" s="25">
        <v>73</v>
      </c>
      <c r="D217" s="25">
        <v>392</v>
      </c>
      <c r="E217" s="89" t="str">
        <f>CONCATENATE(B217,"-",C217,"-",D217)</f>
        <v>16-73-392</v>
      </c>
      <c r="F217" s="13" t="str">
        <f>VLOOKUP(E217,'LISTA ITEMS'!$E$2:$G$875,2,FALSE)</f>
        <v>CRISTAL PARA PUERTA EAM/EH/MV</v>
      </c>
      <c r="G217" s="25" t="str">
        <f>VLOOKUP(E217,'LISTA ITEMS'!$E$2:$G$875,3,FALSE)</f>
        <v>UND</v>
      </c>
      <c r="H217" s="74">
        <v>46083</v>
      </c>
      <c r="I217" s="75">
        <v>2</v>
      </c>
      <c r="J217" s="27"/>
      <c r="K217" s="70">
        <v>46098</v>
      </c>
      <c r="L217" s="67">
        <v>0</v>
      </c>
      <c r="M217" s="54">
        <v>46098</v>
      </c>
      <c r="N217" s="55">
        <v>0</v>
      </c>
      <c r="O217" s="70">
        <v>46098</v>
      </c>
      <c r="P217" s="71">
        <v>0</v>
      </c>
      <c r="Q217" s="36">
        <v>46098</v>
      </c>
      <c r="R217" s="26">
        <f>+I217+L217+N217-P217</f>
        <v>2</v>
      </c>
      <c r="S217" s="85"/>
      <c r="T217" s="84"/>
      <c r="U217" s="27"/>
      <c r="V217" s="70"/>
      <c r="W217" s="67"/>
      <c r="X217" s="54"/>
      <c r="Y217" s="55"/>
      <c r="Z217" s="70"/>
      <c r="AA217" s="71"/>
      <c r="AB217" s="31"/>
      <c r="AC217" s="26">
        <f>+R217+W217+Y217-AA217</f>
        <v>2</v>
      </c>
      <c r="AD217" s="25"/>
      <c r="AE217" s="25"/>
      <c r="AF217" s="121"/>
      <c r="AG217" s="121"/>
      <c r="AH217" s="121"/>
    </row>
    <row r="218" spans="1:34" x14ac:dyDescent="0.3">
      <c r="A218" s="65">
        <v>215</v>
      </c>
      <c r="B218" s="25">
        <v>7</v>
      </c>
      <c r="C218" s="25">
        <v>26</v>
      </c>
      <c r="D218" s="25">
        <v>393</v>
      </c>
      <c r="E218" s="89" t="str">
        <f>CONCATENATE(B218,"-",C218,"-",D218)</f>
        <v>7-26-393</v>
      </c>
      <c r="F218" s="13" t="str">
        <f>VLOOKUP(E218,'LISTA ITEMS'!$E$2:$G$875,2,FALSE)</f>
        <v>ESTACION DE CARGA THOR 22AS-S GROWATT</v>
      </c>
      <c r="G218" s="25" t="str">
        <f>VLOOKUP(E218,'LISTA ITEMS'!$E$2:$G$875,3,FALSE)</f>
        <v>UND</v>
      </c>
      <c r="H218" s="74">
        <v>46083</v>
      </c>
      <c r="I218" s="75">
        <v>2</v>
      </c>
      <c r="J218" s="27"/>
      <c r="K218" s="70">
        <v>46098</v>
      </c>
      <c r="L218" s="67">
        <v>0</v>
      </c>
      <c r="M218" s="54">
        <v>46098</v>
      </c>
      <c r="N218" s="55">
        <v>0</v>
      </c>
      <c r="O218" s="70">
        <v>46098</v>
      </c>
      <c r="P218" s="71">
        <v>1</v>
      </c>
      <c r="Q218" s="36">
        <v>46098</v>
      </c>
      <c r="R218" s="26">
        <f>+I218+L218+N218-P218</f>
        <v>1</v>
      </c>
      <c r="S218" s="85"/>
      <c r="T218" s="84"/>
      <c r="U218" s="27"/>
      <c r="V218" s="70"/>
      <c r="W218" s="67"/>
      <c r="X218" s="54"/>
      <c r="Y218" s="55"/>
      <c r="Z218" s="70"/>
      <c r="AA218" s="71"/>
      <c r="AB218" s="31"/>
      <c r="AC218" s="26">
        <f>+R218+W218+Y218-AA218</f>
        <v>1</v>
      </c>
      <c r="AD218" s="25"/>
      <c r="AE218" s="25"/>
      <c r="AF218" s="121"/>
      <c r="AG218" s="121"/>
      <c r="AH218" s="121"/>
    </row>
    <row r="219" spans="1:34" ht="28.8" x14ac:dyDescent="0.3">
      <c r="A219" s="65">
        <v>216</v>
      </c>
      <c r="B219" s="25">
        <v>6</v>
      </c>
      <c r="C219" s="25">
        <v>74</v>
      </c>
      <c r="D219" s="25">
        <v>394</v>
      </c>
      <c r="E219" s="89" t="str">
        <f>CONCATENATE(B219,"-",C219,"-",D219)</f>
        <v>6-74-394</v>
      </c>
      <c r="F219" s="13" t="str">
        <f>VLOOKUP(E219,'LISTA ITEMS'!$E$2:$G$875,2,FALSE)</f>
        <v>REPUESTO LUNA LUMIX FUNDIDA T/GRANDE 135X95mm (SML111-02) (SOLAR)</v>
      </c>
      <c r="G219" s="25" t="str">
        <f>VLOOKUP(E219,'LISTA ITEMS'!$E$2:$G$875,3,FALSE)</f>
        <v>UND</v>
      </c>
      <c r="H219" s="74">
        <v>46083</v>
      </c>
      <c r="I219" s="75">
        <v>2</v>
      </c>
      <c r="J219" s="27"/>
      <c r="K219" s="70">
        <v>46098</v>
      </c>
      <c r="L219" s="67">
        <v>0</v>
      </c>
      <c r="M219" s="54">
        <v>46098</v>
      </c>
      <c r="N219" s="55">
        <v>0</v>
      </c>
      <c r="O219" s="70">
        <v>46098</v>
      </c>
      <c r="P219" s="71">
        <v>0</v>
      </c>
      <c r="Q219" s="36">
        <v>46098</v>
      </c>
      <c r="R219" s="26">
        <f>+I219+L219+N219-P219</f>
        <v>2</v>
      </c>
      <c r="S219" s="85"/>
      <c r="T219" s="84"/>
      <c r="U219" s="27"/>
      <c r="V219" s="70"/>
      <c r="W219" s="67"/>
      <c r="X219" s="54"/>
      <c r="Y219" s="55"/>
      <c r="Z219" s="70"/>
      <c r="AA219" s="71"/>
      <c r="AB219" s="31"/>
      <c r="AC219" s="26">
        <f>+R219+W219+Y219-AA219</f>
        <v>2</v>
      </c>
      <c r="AD219" s="25"/>
      <c r="AE219" s="25"/>
      <c r="AF219" s="108"/>
      <c r="AG219" s="108"/>
      <c r="AH219" s="108"/>
    </row>
    <row r="220" spans="1:34" ht="28.8" x14ac:dyDescent="0.3">
      <c r="A220" s="65">
        <v>217</v>
      </c>
      <c r="B220" s="25">
        <v>7</v>
      </c>
      <c r="C220" s="25">
        <v>75</v>
      </c>
      <c r="D220" s="25">
        <v>395</v>
      </c>
      <c r="E220" s="89" t="str">
        <f>CONCATENATE(B220,"-",C220,"-",D220)</f>
        <v>7-75-395</v>
      </c>
      <c r="F220" s="13" t="str">
        <f>VLOOKUP(E220,'LISTA ITEMS'!$E$2:$G$875,2,FALSE)</f>
        <v>REPUESTO VENTILADOR TANGENCIAL DCHA (BOCA304X40mm) Ꝋ rotor 60mm)</v>
      </c>
      <c r="G220" s="25" t="str">
        <f>VLOOKUP(E220,'LISTA ITEMS'!$E$2:$G$875,3,FALSE)</f>
        <v>UND</v>
      </c>
      <c r="H220" s="74">
        <v>46083</v>
      </c>
      <c r="I220" s="75">
        <v>2</v>
      </c>
      <c r="J220" s="27"/>
      <c r="K220" s="70">
        <v>46098</v>
      </c>
      <c r="L220" s="67">
        <v>0</v>
      </c>
      <c r="M220" s="54">
        <v>46098</v>
      </c>
      <c r="N220" s="55">
        <v>0</v>
      </c>
      <c r="O220" s="70">
        <v>46098</v>
      </c>
      <c r="P220" s="71">
        <v>0</v>
      </c>
      <c r="Q220" s="36">
        <v>46098</v>
      </c>
      <c r="R220" s="26">
        <f>+I220+L220+N220-P220</f>
        <v>2</v>
      </c>
      <c r="S220" s="85"/>
      <c r="T220" s="84"/>
      <c r="U220" s="27"/>
      <c r="V220" s="70"/>
      <c r="W220" s="67"/>
      <c r="X220" s="54"/>
      <c r="Y220" s="55"/>
      <c r="Z220" s="70"/>
      <c r="AA220" s="71"/>
      <c r="AB220" s="31"/>
      <c r="AC220" s="26">
        <f>+R220+W220+Y220-AA220</f>
        <v>2</v>
      </c>
      <c r="AD220" s="25"/>
      <c r="AE220" s="25"/>
      <c r="AF220" s="108"/>
      <c r="AG220" s="108"/>
      <c r="AH220" s="108"/>
    </row>
    <row r="221" spans="1:34" ht="28.8" x14ac:dyDescent="0.3">
      <c r="A221" s="65">
        <v>218</v>
      </c>
      <c r="B221" s="25">
        <v>16</v>
      </c>
      <c r="C221" s="25">
        <v>31</v>
      </c>
      <c r="D221" s="25">
        <v>396</v>
      </c>
      <c r="E221" s="89" t="str">
        <f>CONCATENATE(B221,"-",C221,"-",D221)</f>
        <v>16-31-396</v>
      </c>
      <c r="F221" s="13" t="str">
        <f>VLOOKUP(E221,'LISTA ITEMS'!$E$2:$G$875,2,FALSE)</f>
        <v>REPUESTO CABLE FIAT 1.5mm TARJETA-DISPLAY 16 PINES</v>
      </c>
      <c r="G221" s="25" t="str">
        <f>VLOOKUP(E221,'LISTA ITEMS'!$E$2:$G$875,3,FALSE)</f>
        <v>UND</v>
      </c>
      <c r="H221" s="74">
        <v>46083</v>
      </c>
      <c r="I221" s="75">
        <v>2</v>
      </c>
      <c r="J221" s="27"/>
      <c r="K221" s="70">
        <v>46098</v>
      </c>
      <c r="L221" s="67">
        <v>0</v>
      </c>
      <c r="M221" s="54">
        <v>46098</v>
      </c>
      <c r="N221" s="55">
        <v>0</v>
      </c>
      <c r="O221" s="70">
        <v>46098</v>
      </c>
      <c r="P221" s="71">
        <v>0</v>
      </c>
      <c r="Q221" s="36">
        <v>46098</v>
      </c>
      <c r="R221" s="26">
        <f>+I221+L221+N221-P221</f>
        <v>2</v>
      </c>
      <c r="S221" s="85"/>
      <c r="T221" s="84"/>
      <c r="U221" s="27"/>
      <c r="V221" s="70"/>
      <c r="W221" s="67"/>
      <c r="X221" s="54"/>
      <c r="Y221" s="55"/>
      <c r="Z221" s="70"/>
      <c r="AA221" s="71"/>
      <c r="AB221" s="31"/>
      <c r="AC221" s="26">
        <f>+R221+W221+Y221-AA221</f>
        <v>2</v>
      </c>
      <c r="AD221" s="25"/>
      <c r="AE221" s="25"/>
      <c r="AF221" s="108"/>
      <c r="AG221" s="108"/>
      <c r="AH221" s="108"/>
    </row>
    <row r="222" spans="1:34" x14ac:dyDescent="0.3">
      <c r="A222" s="65">
        <v>219</v>
      </c>
      <c r="B222" s="25">
        <v>16</v>
      </c>
      <c r="C222" s="25">
        <v>76</v>
      </c>
      <c r="D222" s="25">
        <v>397</v>
      </c>
      <c r="E222" s="89" t="str">
        <f>CONCATENATE(B222,"-",C222,"-",D222)</f>
        <v>16-76-397</v>
      </c>
      <c r="F222" s="13" t="str">
        <f>VLOOKUP(E222,'LISTA ITEMS'!$E$2:$G$875,2,FALSE)</f>
        <v>RACK MURAL S.ABI1260 12U 635X600X600mm</v>
      </c>
      <c r="G222" s="25" t="str">
        <f>VLOOKUP(E222,'LISTA ITEMS'!$E$2:$G$875,3,FALSE)</f>
        <v>UND</v>
      </c>
      <c r="H222" s="74">
        <v>46083</v>
      </c>
      <c r="I222" s="75">
        <v>3</v>
      </c>
      <c r="J222" s="27"/>
      <c r="K222" s="70">
        <v>46098</v>
      </c>
      <c r="L222" s="67">
        <v>0</v>
      </c>
      <c r="M222" s="54">
        <v>46098</v>
      </c>
      <c r="N222" s="55">
        <v>0</v>
      </c>
      <c r="O222" s="70">
        <v>46098</v>
      </c>
      <c r="P222" s="71">
        <v>0</v>
      </c>
      <c r="Q222" s="36">
        <v>46098</v>
      </c>
      <c r="R222" s="26">
        <f>+I222+L222+N222-P222</f>
        <v>3</v>
      </c>
      <c r="S222" s="85"/>
      <c r="T222" s="84"/>
      <c r="U222" s="27"/>
      <c r="V222" s="70"/>
      <c r="W222" s="67"/>
      <c r="X222" s="54"/>
      <c r="Y222" s="55"/>
      <c r="Z222" s="70"/>
      <c r="AA222" s="71"/>
      <c r="AB222" s="31"/>
      <c r="AC222" s="26">
        <f>+R222+W222+Y222-AA222</f>
        <v>3</v>
      </c>
      <c r="AD222" s="25"/>
      <c r="AE222" s="25"/>
      <c r="AF222" s="117"/>
      <c r="AG222" s="117"/>
      <c r="AH222" s="117"/>
    </row>
    <row r="223" spans="1:34" x14ac:dyDescent="0.3">
      <c r="A223" s="65">
        <v>220</v>
      </c>
      <c r="B223" s="25">
        <v>18</v>
      </c>
      <c r="C223" s="25">
        <v>77</v>
      </c>
      <c r="D223" s="25">
        <v>398</v>
      </c>
      <c r="E223" s="89" t="str">
        <f>CONCATENATE(B223,"-",C223,"-",D223)</f>
        <v>18-77-398</v>
      </c>
      <c r="F223" s="13" t="str">
        <f>VLOOKUP(E223,'LISTA ITEMS'!$E$2:$G$875,2,FALSE)</f>
        <v>PINZA AMPERIMETRICA SMART PA420MINIKPS</v>
      </c>
      <c r="G223" s="25" t="str">
        <f>VLOOKUP(E223,'LISTA ITEMS'!$E$2:$G$875,3,FALSE)</f>
        <v>UND</v>
      </c>
      <c r="H223" s="74">
        <v>46083</v>
      </c>
      <c r="I223" s="75">
        <v>2</v>
      </c>
      <c r="J223" s="27"/>
      <c r="K223" s="70">
        <v>46098</v>
      </c>
      <c r="L223" s="67">
        <v>0</v>
      </c>
      <c r="M223" s="54">
        <v>46098</v>
      </c>
      <c r="N223" s="55">
        <v>0</v>
      </c>
      <c r="O223" s="70">
        <v>46098</v>
      </c>
      <c r="P223" s="71">
        <v>0</v>
      </c>
      <c r="Q223" s="36">
        <v>46098</v>
      </c>
      <c r="R223" s="26">
        <f>+I223+L223+N223-P223</f>
        <v>2</v>
      </c>
      <c r="S223" s="85"/>
      <c r="T223" s="84"/>
      <c r="U223" s="27"/>
      <c r="V223" s="70"/>
      <c r="W223" s="67"/>
      <c r="X223" s="54"/>
      <c r="Y223" s="55"/>
      <c r="Z223" s="70"/>
      <c r="AA223" s="71"/>
      <c r="AB223" s="31"/>
      <c r="AC223" s="26">
        <f>+R223+W223+Y223-AA223</f>
        <v>2</v>
      </c>
      <c r="AD223" s="25"/>
      <c r="AE223" s="25"/>
      <c r="AF223" s="117"/>
      <c r="AG223" s="117"/>
      <c r="AH223" s="117"/>
    </row>
    <row r="224" spans="1:34" ht="28.8" x14ac:dyDescent="0.3">
      <c r="A224" s="65">
        <v>221</v>
      </c>
      <c r="B224" s="25">
        <v>7</v>
      </c>
      <c r="C224" s="25">
        <v>78</v>
      </c>
      <c r="D224" s="25">
        <v>399</v>
      </c>
      <c r="E224" s="89" t="str">
        <f>CONCATENATE(B224,"-",C224,"-",D224)</f>
        <v>7-78-399</v>
      </c>
      <c r="F224" s="13" t="str">
        <f>VLOOKUP(E224,'LISTA ITEMS'!$E$2:$G$875,2,FALSE)</f>
        <v>ACUMULADOR AEROTERMICO HTW-AT-200SR290A</v>
      </c>
      <c r="G224" s="25" t="str">
        <f>VLOOKUP(E224,'LISTA ITEMS'!$E$2:$G$875,3,FALSE)</f>
        <v>UND</v>
      </c>
      <c r="H224" s="74">
        <v>46083</v>
      </c>
      <c r="I224" s="75">
        <v>2</v>
      </c>
      <c r="J224" s="27"/>
      <c r="K224" s="70">
        <v>46098</v>
      </c>
      <c r="L224" s="67">
        <v>0</v>
      </c>
      <c r="M224" s="54">
        <v>46098</v>
      </c>
      <c r="N224" s="55">
        <v>0</v>
      </c>
      <c r="O224" s="70">
        <v>46098</v>
      </c>
      <c r="P224" s="71">
        <v>0</v>
      </c>
      <c r="Q224" s="36">
        <v>46098</v>
      </c>
      <c r="R224" s="26">
        <f>+I224+L224+N224-P224</f>
        <v>2</v>
      </c>
      <c r="S224" s="85"/>
      <c r="T224" s="84"/>
      <c r="U224" s="27"/>
      <c r="V224" s="70"/>
      <c r="W224" s="67"/>
      <c r="X224" s="54"/>
      <c r="Y224" s="55"/>
      <c r="Z224" s="70"/>
      <c r="AA224" s="71"/>
      <c r="AB224" s="31"/>
      <c r="AC224" s="26">
        <f>+R224+W224+Y224-AA224</f>
        <v>2</v>
      </c>
      <c r="AD224" s="25"/>
      <c r="AE224" s="25"/>
      <c r="AF224" s="108"/>
      <c r="AG224" s="108"/>
      <c r="AH224" s="108"/>
    </row>
    <row r="225" spans="1:34" x14ac:dyDescent="0.3">
      <c r="A225" s="65">
        <v>222</v>
      </c>
      <c r="B225" s="25">
        <v>7</v>
      </c>
      <c r="C225" s="25">
        <v>79</v>
      </c>
      <c r="D225" s="25">
        <v>400</v>
      </c>
      <c r="E225" s="89" t="str">
        <f>CONCATENATE(B225,"-",C225,"-",D225)</f>
        <v>7-79-400</v>
      </c>
      <c r="F225" s="13" t="str">
        <f>VLOOKUP(E225,'LISTA ITEMS'!$E$2:$G$875,2,FALSE)</f>
        <v>DESCALCIFICADOR KINETICO ESSENTIAL 11lts</v>
      </c>
      <c r="G225" s="25" t="str">
        <f>VLOOKUP(E225,'LISTA ITEMS'!$E$2:$G$875,3,FALSE)</f>
        <v>UND</v>
      </c>
      <c r="H225" s="74">
        <v>46083</v>
      </c>
      <c r="I225" s="75">
        <v>1</v>
      </c>
      <c r="J225" s="27"/>
      <c r="K225" s="70">
        <v>46098</v>
      </c>
      <c r="L225" s="67">
        <v>0</v>
      </c>
      <c r="M225" s="54">
        <v>46098</v>
      </c>
      <c r="N225" s="55">
        <v>0</v>
      </c>
      <c r="O225" s="70">
        <v>46098</v>
      </c>
      <c r="P225" s="71">
        <v>0</v>
      </c>
      <c r="Q225" s="36">
        <v>46098</v>
      </c>
      <c r="R225" s="26">
        <f>+I225+L225+N225-P225</f>
        <v>1</v>
      </c>
      <c r="S225" s="85"/>
      <c r="T225" s="84"/>
      <c r="U225" s="27"/>
      <c r="V225" s="70"/>
      <c r="W225" s="67"/>
      <c r="X225" s="54"/>
      <c r="Y225" s="55"/>
      <c r="Z225" s="70"/>
      <c r="AA225" s="71"/>
      <c r="AB225" s="31"/>
      <c r="AC225" s="26">
        <f>+R225+W225+Y225-AA225</f>
        <v>1</v>
      </c>
      <c r="AD225" s="25"/>
      <c r="AE225" s="25"/>
      <c r="AF225" s="121"/>
      <c r="AG225" s="121"/>
      <c r="AH225" s="121"/>
    </row>
    <row r="226" spans="1:34" x14ac:dyDescent="0.3">
      <c r="A226" s="65">
        <v>223</v>
      </c>
      <c r="B226" s="25">
        <v>7</v>
      </c>
      <c r="C226" s="25">
        <v>80</v>
      </c>
      <c r="D226" s="25">
        <v>401</v>
      </c>
      <c r="E226" s="89" t="str">
        <f>CONCATENATE(B226,"-",C226,"-",D226)</f>
        <v>7-80-401</v>
      </c>
      <c r="F226" s="13" t="str">
        <f>VLOOKUP(E226,'LISTA ITEMS'!$E$2:$G$875,2,FALSE)</f>
        <v>CHIMENEA NETFLAME 10KW CANALIZABLE</v>
      </c>
      <c r="G226" s="25" t="str">
        <f>VLOOKUP(E226,'LISTA ITEMS'!$E$2:$G$875,3,FALSE)</f>
        <v>UND</v>
      </c>
      <c r="H226" s="74">
        <v>46083</v>
      </c>
      <c r="I226" s="75">
        <v>1</v>
      </c>
      <c r="J226" s="27"/>
      <c r="K226" s="70">
        <v>46098</v>
      </c>
      <c r="L226" s="67">
        <v>0</v>
      </c>
      <c r="M226" s="54">
        <v>46098</v>
      </c>
      <c r="N226" s="55">
        <v>0</v>
      </c>
      <c r="O226" s="70">
        <v>46098</v>
      </c>
      <c r="P226" s="71">
        <v>0</v>
      </c>
      <c r="Q226" s="36">
        <v>46098</v>
      </c>
      <c r="R226" s="26">
        <f>+I226+L226+N226-P226</f>
        <v>1</v>
      </c>
      <c r="S226" s="85"/>
      <c r="T226" s="84"/>
      <c r="U226" s="27"/>
      <c r="V226" s="70"/>
      <c r="W226" s="67"/>
      <c r="X226" s="54"/>
      <c r="Y226" s="55"/>
      <c r="Z226" s="70"/>
      <c r="AA226" s="71"/>
      <c r="AB226" s="31"/>
      <c r="AC226" s="26">
        <f>+R226+W226+Y226-AA226</f>
        <v>1</v>
      </c>
      <c r="AD226" s="25"/>
      <c r="AE226" s="25"/>
      <c r="AF226" s="111"/>
      <c r="AG226" s="111"/>
      <c r="AH226" s="111"/>
    </row>
    <row r="227" spans="1:34" ht="57.6" x14ac:dyDescent="0.3">
      <c r="A227" s="65">
        <v>224</v>
      </c>
      <c r="B227" s="25">
        <v>16</v>
      </c>
      <c r="C227" s="25">
        <v>13</v>
      </c>
      <c r="D227" s="25">
        <v>402</v>
      </c>
      <c r="E227" s="89" t="str">
        <f>CONCATENATE(B227,"-",C227,"-",D227)</f>
        <v>16-13-402</v>
      </c>
      <c r="F227" s="13" t="str">
        <f>VLOOKUP(E227,'LISTA ITEMS'!$E$2:$G$875,2,FALSE)</f>
        <v>KIT CABLE M4 H/M AIKO 610WP (LATIGUILLO)</v>
      </c>
      <c r="G227" s="25" t="str">
        <f>VLOOKUP(E227,'LISTA ITEMS'!$E$2:$G$875,3,FALSE)</f>
        <v>UND</v>
      </c>
      <c r="H227" s="74">
        <v>46083</v>
      </c>
      <c r="I227" s="75">
        <v>12</v>
      </c>
      <c r="J227" s="27"/>
      <c r="K227" s="70">
        <v>46098</v>
      </c>
      <c r="L227" s="67">
        <v>0</v>
      </c>
      <c r="M227" s="54">
        <v>46098</v>
      </c>
      <c r="N227" s="55">
        <v>6</v>
      </c>
      <c r="O227" s="70">
        <v>46098</v>
      </c>
      <c r="P227" s="71">
        <v>18</v>
      </c>
      <c r="Q227" s="36">
        <v>46098</v>
      </c>
      <c r="R227" s="26">
        <f>+I227+L227+N227-P227</f>
        <v>0</v>
      </c>
      <c r="S227" s="85"/>
      <c r="T227" s="84"/>
      <c r="U227" s="27"/>
      <c r="V227" s="70"/>
      <c r="W227" s="67"/>
      <c r="X227" s="54"/>
      <c r="Y227" s="55"/>
      <c r="Z227" s="70"/>
      <c r="AA227" s="71"/>
      <c r="AB227" s="31"/>
      <c r="AC227" s="26">
        <f>+R227+W227+Y227-AA227</f>
        <v>0</v>
      </c>
      <c r="AD227" s="25"/>
      <c r="AE227" s="25"/>
      <c r="AF227" s="77" t="s">
        <v>418</v>
      </c>
      <c r="AG227" s="77" t="s">
        <v>119</v>
      </c>
      <c r="AH227" s="77" t="s">
        <v>419</v>
      </c>
    </row>
    <row r="228" spans="1:34" ht="57.6" x14ac:dyDescent="0.3">
      <c r="A228" s="65">
        <v>225</v>
      </c>
      <c r="B228" s="25">
        <v>12</v>
      </c>
      <c r="C228" s="25">
        <v>38</v>
      </c>
      <c r="D228" s="25">
        <v>403</v>
      </c>
      <c r="E228" s="89" t="str">
        <f>CONCATENATE(B228,"-",C228,"-",D228)</f>
        <v>12-38-403</v>
      </c>
      <c r="F228" s="13" t="str">
        <f>VLOOKUP(E228,'LISTA ITEMS'!$E$2:$G$875,2,FALSE)</f>
        <v>MODULO PLACA SOLAR AIKO-A610-MAH72MW</v>
      </c>
      <c r="G228" s="25" t="str">
        <f>VLOOKUP(E228,'LISTA ITEMS'!$E$2:$G$875,3,FALSE)</f>
        <v>UND</v>
      </c>
      <c r="H228" s="74">
        <v>46083</v>
      </c>
      <c r="I228" s="75">
        <v>12</v>
      </c>
      <c r="J228" s="27"/>
      <c r="K228" s="70">
        <v>46098</v>
      </c>
      <c r="L228" s="67">
        <v>0</v>
      </c>
      <c r="M228" s="54">
        <v>46098</v>
      </c>
      <c r="N228" s="55">
        <v>6</v>
      </c>
      <c r="O228" s="70">
        <v>46098</v>
      </c>
      <c r="P228" s="71">
        <v>18</v>
      </c>
      <c r="Q228" s="36">
        <v>46098</v>
      </c>
      <c r="R228" s="26">
        <f>+I228+L228+N228-P228</f>
        <v>0</v>
      </c>
      <c r="S228" s="85"/>
      <c r="T228" s="84"/>
      <c r="U228" s="27"/>
      <c r="V228" s="70"/>
      <c r="W228" s="67"/>
      <c r="X228" s="54"/>
      <c r="Y228" s="55"/>
      <c r="Z228" s="70"/>
      <c r="AA228" s="71"/>
      <c r="AB228" s="31"/>
      <c r="AC228" s="26">
        <f>+R228+W228+Y228-AA228</f>
        <v>0</v>
      </c>
      <c r="AD228" s="25"/>
      <c r="AE228" s="25"/>
      <c r="AF228" s="77" t="s">
        <v>418</v>
      </c>
      <c r="AG228" s="77" t="s">
        <v>119</v>
      </c>
      <c r="AH228" s="77" t="s">
        <v>419</v>
      </c>
    </row>
    <row r="229" spans="1:34" ht="28.8" x14ac:dyDescent="0.3">
      <c r="A229" s="65">
        <v>226</v>
      </c>
      <c r="B229" s="25">
        <v>7</v>
      </c>
      <c r="C229" s="25">
        <v>54</v>
      </c>
      <c r="D229" s="25">
        <v>404</v>
      </c>
      <c r="E229" s="89" t="str">
        <f>CONCATENATE(B229,"-",C229,"-",D229)</f>
        <v>7-54-404</v>
      </c>
      <c r="F229" s="13" t="str">
        <f>VLOOKUP(E229,'LISTA ITEMS'!$E$2:$G$875,2,FALSE)</f>
        <v>BATERIA RECARGABLE LITHIUM DL10 POWERBOX G2 (DYNESS)</v>
      </c>
      <c r="G229" s="25" t="str">
        <f>VLOOKUP(E229,'LISTA ITEMS'!$E$2:$G$875,3,FALSE)</f>
        <v>UND</v>
      </c>
      <c r="H229" s="74">
        <v>46083</v>
      </c>
      <c r="I229" s="75">
        <v>1</v>
      </c>
      <c r="J229" s="27"/>
      <c r="K229" s="70">
        <v>46098</v>
      </c>
      <c r="L229" s="67">
        <v>0</v>
      </c>
      <c r="M229" s="54">
        <v>46098</v>
      </c>
      <c r="N229" s="55">
        <v>0</v>
      </c>
      <c r="O229" s="70">
        <v>46098</v>
      </c>
      <c r="P229" s="71">
        <v>0</v>
      </c>
      <c r="Q229" s="36">
        <v>46098</v>
      </c>
      <c r="R229" s="26">
        <f>+I229+L229+N229-P229</f>
        <v>1</v>
      </c>
      <c r="S229" s="85"/>
      <c r="T229" s="84"/>
      <c r="U229" s="27"/>
      <c r="V229" s="70"/>
      <c r="W229" s="67"/>
      <c r="X229" s="54"/>
      <c r="Y229" s="55"/>
      <c r="Z229" s="70"/>
      <c r="AA229" s="71"/>
      <c r="AB229" s="31"/>
      <c r="AC229" s="26">
        <f>+R229+W229+Y229-AA229</f>
        <v>1</v>
      </c>
      <c r="AD229" s="52" t="s">
        <v>422</v>
      </c>
      <c r="AE229" s="52" t="s">
        <v>422</v>
      </c>
      <c r="AF229" s="110" t="s">
        <v>418</v>
      </c>
      <c r="AG229" s="110" t="s">
        <v>119</v>
      </c>
      <c r="AH229" s="111" t="s">
        <v>316</v>
      </c>
    </row>
    <row r="230" spans="1:34" x14ac:dyDescent="0.3">
      <c r="A230" s="65">
        <v>227</v>
      </c>
      <c r="B230" s="25">
        <v>19</v>
      </c>
      <c r="C230" s="25">
        <v>81</v>
      </c>
      <c r="D230" s="25">
        <v>405</v>
      </c>
      <c r="E230" s="89" t="str">
        <f>CONCATENATE(B230,"-",C230,"-",D230)</f>
        <v>19-81-405</v>
      </c>
      <c r="F230" s="13" t="str">
        <f>VLOOKUP(E230,'LISTA ITEMS'!$E$2:$G$875,2,FALSE)</f>
        <v>GUANTE PRO NEGRO T-9</v>
      </c>
      <c r="G230" s="25" t="str">
        <f>VLOOKUP(E230,'LISTA ITEMS'!$E$2:$G$875,3,FALSE)</f>
        <v>PAR</v>
      </c>
      <c r="H230" s="74">
        <v>46083</v>
      </c>
      <c r="I230" s="75">
        <v>24</v>
      </c>
      <c r="J230" s="27"/>
      <c r="K230" s="70">
        <v>46098</v>
      </c>
      <c r="L230" s="67">
        <v>0</v>
      </c>
      <c r="M230" s="54">
        <v>46098</v>
      </c>
      <c r="N230" s="55">
        <v>0</v>
      </c>
      <c r="O230" s="70">
        <v>46098</v>
      </c>
      <c r="P230" s="71">
        <v>0</v>
      </c>
      <c r="Q230" s="36">
        <v>46098</v>
      </c>
      <c r="R230" s="26">
        <f>+I230+L230+N230-P230</f>
        <v>24</v>
      </c>
      <c r="S230" s="85"/>
      <c r="T230" s="84"/>
      <c r="U230" s="27"/>
      <c r="V230" s="70"/>
      <c r="W230" s="67"/>
      <c r="X230" s="54"/>
      <c r="Y230" s="55"/>
      <c r="Z230" s="70"/>
      <c r="AA230" s="71"/>
      <c r="AB230" s="31"/>
      <c r="AC230" s="26">
        <f>+R230+W230+Y230-AA230</f>
        <v>24</v>
      </c>
      <c r="AD230" s="25"/>
      <c r="AE230" s="25"/>
      <c r="AF230" s="121"/>
      <c r="AG230" s="121"/>
      <c r="AH230" s="121"/>
    </row>
    <row r="231" spans="1:34" ht="28.8" x14ac:dyDescent="0.3">
      <c r="A231" s="65">
        <v>228</v>
      </c>
      <c r="B231" s="25">
        <v>7</v>
      </c>
      <c r="C231" s="25">
        <v>82</v>
      </c>
      <c r="D231" s="25">
        <v>406</v>
      </c>
      <c r="E231" s="89" t="str">
        <f>CONCATENATE(B231,"-",C231,"-",D231)</f>
        <v>7-82-406</v>
      </c>
      <c r="F231" s="13" t="str">
        <f>VLOOKUP(E231,'LISTA ITEMS'!$E$2:$G$875,2,FALSE)</f>
        <v>AIRE ACONDICIONADO COMPLETO SPLIT D/PARED SU12H6 (SUNECO)</v>
      </c>
      <c r="G231" s="25" t="str">
        <f>VLOOKUP(E231,'LISTA ITEMS'!$E$2:$G$875,3,FALSE)</f>
        <v>UND</v>
      </c>
      <c r="H231" s="74">
        <v>46083</v>
      </c>
      <c r="I231" s="75">
        <v>1</v>
      </c>
      <c r="J231" s="27"/>
      <c r="K231" s="70">
        <v>46098</v>
      </c>
      <c r="L231" s="67">
        <v>0</v>
      </c>
      <c r="M231" s="54">
        <v>46098</v>
      </c>
      <c r="N231" s="55">
        <v>0</v>
      </c>
      <c r="O231" s="70">
        <v>46098</v>
      </c>
      <c r="P231" s="71">
        <v>0</v>
      </c>
      <c r="Q231" s="36">
        <v>46098</v>
      </c>
      <c r="R231" s="26">
        <f>+I231+L231+N231-P231</f>
        <v>1</v>
      </c>
      <c r="S231" s="85"/>
      <c r="T231" s="84"/>
      <c r="U231" s="27"/>
      <c r="V231" s="70"/>
      <c r="W231" s="67"/>
      <c r="X231" s="54"/>
      <c r="Y231" s="55"/>
      <c r="Z231" s="70"/>
      <c r="AA231" s="71"/>
      <c r="AB231" s="31"/>
      <c r="AC231" s="26">
        <f>+R231+W231+Y231-AA231</f>
        <v>1</v>
      </c>
      <c r="AD231" s="25"/>
      <c r="AE231" s="25"/>
      <c r="AF231" s="108"/>
      <c r="AG231" s="108"/>
      <c r="AH231" s="108"/>
    </row>
    <row r="232" spans="1:34" ht="43.2" x14ac:dyDescent="0.3">
      <c r="A232" s="65">
        <v>229</v>
      </c>
      <c r="B232" s="25">
        <v>8</v>
      </c>
      <c r="C232" s="25">
        <v>27</v>
      </c>
      <c r="D232" s="25">
        <v>407</v>
      </c>
      <c r="E232" s="89" t="str">
        <f>CONCATENATE(B232,"-",C232,"-",D232)</f>
        <v>8-27-407</v>
      </c>
      <c r="F232" s="13" t="str">
        <f>VLOOKUP(E232,'LISTA ITEMS'!$E$2:$G$875,2,FALSE)</f>
        <v>TORNILLO AUTOTALADRANTE CON C/HEXAGONAL - R/PARCIAL - ARANDELA CAUCHO 3X90mm  A/GALV.</v>
      </c>
      <c r="G232" s="25" t="str">
        <f>VLOOKUP(E232,'LISTA ITEMS'!$E$2:$G$875,3,FALSE)</f>
        <v>UND</v>
      </c>
      <c r="H232" s="74">
        <v>46083</v>
      </c>
      <c r="I232" s="75">
        <v>150</v>
      </c>
      <c r="J232" s="27"/>
      <c r="K232" s="70">
        <v>46098</v>
      </c>
      <c r="L232" s="67">
        <v>0</v>
      </c>
      <c r="M232" s="54">
        <v>46098</v>
      </c>
      <c r="N232" s="55">
        <v>0</v>
      </c>
      <c r="O232" s="70">
        <v>46098</v>
      </c>
      <c r="P232" s="71">
        <v>0</v>
      </c>
      <c r="Q232" s="36">
        <v>46098</v>
      </c>
      <c r="R232" s="26">
        <f>+I232+L232+N232-P232</f>
        <v>150</v>
      </c>
      <c r="S232" s="85"/>
      <c r="T232" s="84"/>
      <c r="U232" s="27"/>
      <c r="V232" s="70"/>
      <c r="W232" s="67"/>
      <c r="X232" s="54"/>
      <c r="Y232" s="55"/>
      <c r="Z232" s="70"/>
      <c r="AA232" s="71"/>
      <c r="AB232" s="31"/>
      <c r="AC232" s="26">
        <f>+R232+W232+Y232-AA232</f>
        <v>150</v>
      </c>
      <c r="AD232" s="25"/>
      <c r="AE232" s="25"/>
      <c r="AF232" s="116">
        <v>7</v>
      </c>
      <c r="AG232" s="116">
        <v>6</v>
      </c>
      <c r="AH232" s="116" t="s">
        <v>45</v>
      </c>
    </row>
    <row r="233" spans="1:34" x14ac:dyDescent="0.3">
      <c r="A233" s="65">
        <v>230</v>
      </c>
      <c r="B233" s="25">
        <v>16</v>
      </c>
      <c r="C233" s="25">
        <v>4</v>
      </c>
      <c r="D233" s="25">
        <v>408</v>
      </c>
      <c r="E233" s="89" t="str">
        <f>CONCATENATE(B233,"-",C233,"-",D233)</f>
        <v>16-4-408</v>
      </c>
      <c r="F233" s="13" t="str">
        <f>VLOOKUP(E233,'LISTA ITEMS'!$E$2:$G$875,2,FALSE)</f>
        <v>ABRAZADERA ESPECIAL P/TUBO PVC 32mm</v>
      </c>
      <c r="G233" s="25" t="str">
        <f>VLOOKUP(E233,'LISTA ITEMS'!$E$2:$G$875,3,FALSE)</f>
        <v>UND</v>
      </c>
      <c r="H233" s="74">
        <v>46083</v>
      </c>
      <c r="I233" s="75">
        <v>0</v>
      </c>
      <c r="J233" s="27"/>
      <c r="K233" s="70">
        <v>46098</v>
      </c>
      <c r="L233" s="67">
        <v>0</v>
      </c>
      <c r="M233" s="54">
        <v>46098</v>
      </c>
      <c r="N233" s="55">
        <v>100</v>
      </c>
      <c r="O233" s="70">
        <v>46098</v>
      </c>
      <c r="P233" s="71">
        <v>100</v>
      </c>
      <c r="Q233" s="36">
        <v>46098</v>
      </c>
      <c r="R233" s="26">
        <f>+I233+L233+N233-P233</f>
        <v>0</v>
      </c>
      <c r="S233" s="85"/>
      <c r="T233" s="84"/>
      <c r="U233" s="27"/>
      <c r="V233" s="70"/>
      <c r="W233" s="67"/>
      <c r="X233" s="54"/>
      <c r="Y233" s="55"/>
      <c r="Z233" s="70"/>
      <c r="AA233" s="71"/>
      <c r="AB233" s="31"/>
      <c r="AC233" s="26">
        <f>+R233+W233+Y233-AA233</f>
        <v>0</v>
      </c>
      <c r="AD233" s="25"/>
      <c r="AE233" s="25"/>
      <c r="AF233" s="108"/>
      <c r="AG233" s="108"/>
      <c r="AH233" s="108"/>
    </row>
    <row r="234" spans="1:34" x14ac:dyDescent="0.3">
      <c r="A234" s="65">
        <v>231</v>
      </c>
      <c r="B234" s="25">
        <v>20</v>
      </c>
      <c r="C234" s="25">
        <v>83</v>
      </c>
      <c r="D234" s="25">
        <v>409</v>
      </c>
      <c r="E234" s="89" t="str">
        <f>CONCATENATE(B234,"-",C234,"-",D234)</f>
        <v>20-83-409</v>
      </c>
      <c r="F234" s="13" t="str">
        <f>VLOOKUP(E234,'LISTA ITEMS'!$E$2:$G$875,2,FALSE)</f>
        <v>TAMIZ NYLON 16X85</v>
      </c>
      <c r="G234" s="25" t="str">
        <f>VLOOKUP(E234,'LISTA ITEMS'!$E$2:$G$875,3,FALSE)</f>
        <v>UND</v>
      </c>
      <c r="H234" s="74">
        <v>46083</v>
      </c>
      <c r="I234" s="75">
        <v>-46</v>
      </c>
      <c r="J234" s="27"/>
      <c r="K234" s="70">
        <v>46098</v>
      </c>
      <c r="L234" s="67">
        <v>0</v>
      </c>
      <c r="M234" s="54">
        <v>46098</v>
      </c>
      <c r="N234" s="55">
        <v>150</v>
      </c>
      <c r="O234" s="70">
        <v>46098</v>
      </c>
      <c r="P234" s="71">
        <v>0</v>
      </c>
      <c r="Q234" s="36">
        <v>46098</v>
      </c>
      <c r="R234" s="26">
        <f>+I234+L234+N234-P234</f>
        <v>104</v>
      </c>
      <c r="S234" s="85"/>
      <c r="T234" s="84"/>
      <c r="U234" s="27"/>
      <c r="V234" s="70"/>
      <c r="W234" s="67"/>
      <c r="X234" s="54"/>
      <c r="Y234" s="55"/>
      <c r="Z234" s="70"/>
      <c r="AA234" s="71"/>
      <c r="AB234" s="31"/>
      <c r="AC234" s="26">
        <f>+R234+W234+Y234-AA234</f>
        <v>104</v>
      </c>
      <c r="AD234" s="25"/>
      <c r="AE234" s="25"/>
      <c r="AF234" s="108"/>
      <c r="AG234" s="108"/>
      <c r="AH234" s="108"/>
    </row>
    <row r="235" spans="1:34" ht="43.2" x14ac:dyDescent="0.3">
      <c r="A235" s="65">
        <v>232</v>
      </c>
      <c r="B235" s="25">
        <v>16</v>
      </c>
      <c r="C235" s="25">
        <v>35</v>
      </c>
      <c r="D235" s="25">
        <v>410</v>
      </c>
      <c r="E235" s="89" t="str">
        <f>CONCATENATE(B235,"-",C235,"-",D235)</f>
        <v>16-35-410</v>
      </c>
      <c r="F235" s="13" t="str">
        <f>VLOOKUP(E235,'LISTA ITEMS'!$E$2:$G$875,2,FALSE)</f>
        <v>INVERSOR C/RED TRIFASICO 10KTL3-HU 10KW SUPPLY C/BACKUP INCORPORADO Y PREPARADO PARA BATERIA APX (GROTWATT)</v>
      </c>
      <c r="G235" s="25" t="str">
        <f>VLOOKUP(E235,'LISTA ITEMS'!$E$2:$G$875,3,FALSE)</f>
        <v>UND</v>
      </c>
      <c r="H235" s="74">
        <v>46083</v>
      </c>
      <c r="I235" s="75">
        <v>0</v>
      </c>
      <c r="J235" s="27"/>
      <c r="K235" s="70">
        <v>46098</v>
      </c>
      <c r="L235" s="67">
        <v>0</v>
      </c>
      <c r="M235" s="54">
        <v>46098</v>
      </c>
      <c r="N235" s="55">
        <v>2</v>
      </c>
      <c r="O235" s="70">
        <v>46098</v>
      </c>
      <c r="P235" s="71">
        <v>4</v>
      </c>
      <c r="Q235" s="36">
        <v>46098</v>
      </c>
      <c r="R235" s="26">
        <f>+I235+L235+N235-P235</f>
        <v>-2</v>
      </c>
      <c r="S235" s="85"/>
      <c r="T235" s="84"/>
      <c r="U235" s="27"/>
      <c r="V235" s="70"/>
      <c r="W235" s="67"/>
      <c r="X235" s="54"/>
      <c r="Y235" s="55"/>
      <c r="Z235" s="70"/>
      <c r="AA235" s="71"/>
      <c r="AB235" s="31"/>
      <c r="AC235" s="26">
        <f>+R235+W235+Y235-AA235</f>
        <v>-2</v>
      </c>
      <c r="AD235" s="25" t="s">
        <v>440</v>
      </c>
      <c r="AE235" s="25"/>
      <c r="AF235" s="121"/>
      <c r="AG235" s="121"/>
      <c r="AH235" s="121"/>
    </row>
    <row r="236" spans="1:34" ht="28.8" x14ac:dyDescent="0.3">
      <c r="A236" s="65">
        <v>233</v>
      </c>
      <c r="B236" s="25">
        <v>7</v>
      </c>
      <c r="C236" s="25">
        <v>85</v>
      </c>
      <c r="D236" s="25">
        <v>413</v>
      </c>
      <c r="E236" s="30" t="str">
        <f>CONCATENATE(B236,"-",C236,"-",D236)</f>
        <v>7-85-413</v>
      </c>
      <c r="F236" s="13" t="str">
        <f>VLOOKUP(E236,'LISTA ITEMS'!$E$2:$G$875,2,FALSE)</f>
        <v>UNIDAD EXTERIOR DE BAMBA DE CALOR WH-UD12HE5 (PANASONIC)</v>
      </c>
      <c r="G236" s="25" t="str">
        <f>VLOOKUP(E236,'LISTA ITEMS'!$E$2:$G$875,3,FALSE)</f>
        <v>UND</v>
      </c>
      <c r="H236" s="74">
        <v>46083</v>
      </c>
      <c r="I236" s="75">
        <v>2</v>
      </c>
      <c r="J236" s="27"/>
      <c r="K236" s="70">
        <v>46098</v>
      </c>
      <c r="L236" s="67">
        <v>0</v>
      </c>
      <c r="M236" s="54">
        <v>46098</v>
      </c>
      <c r="N236" s="55">
        <v>0</v>
      </c>
      <c r="O236" s="70">
        <v>46098</v>
      </c>
      <c r="P236" s="71">
        <v>0</v>
      </c>
      <c r="Q236" s="36">
        <v>46098</v>
      </c>
      <c r="R236" s="26">
        <f>+I236+L236+N236-P236</f>
        <v>2</v>
      </c>
      <c r="S236" s="85"/>
      <c r="T236" s="84"/>
      <c r="U236" s="27"/>
      <c r="V236" s="70"/>
      <c r="W236" s="67"/>
      <c r="X236" s="54"/>
      <c r="Y236" s="55"/>
      <c r="Z236" s="70"/>
      <c r="AA236" s="71"/>
      <c r="AB236" s="31"/>
      <c r="AC236" s="26">
        <f>+R236+W236+Y236-AA236</f>
        <v>2</v>
      </c>
      <c r="AD236" s="25"/>
      <c r="AE236" s="25"/>
      <c r="AF236" s="108"/>
      <c r="AG236" s="108"/>
      <c r="AH236" s="108"/>
    </row>
    <row r="237" spans="1:34" ht="28.8" x14ac:dyDescent="0.3">
      <c r="A237" s="65">
        <v>234</v>
      </c>
      <c r="B237" s="25">
        <v>16</v>
      </c>
      <c r="C237" s="25">
        <v>69</v>
      </c>
      <c r="D237" s="25">
        <v>414</v>
      </c>
      <c r="E237" s="89" t="str">
        <f>CONCATENATE(B237,"-",C237,"-",D237)</f>
        <v>16-69-414</v>
      </c>
      <c r="F237" s="13" t="str">
        <f>VLOOKUP(E237,'LISTA ITEMS'!$E$2:$G$875,2,FALSE)</f>
        <v>TERMOSTATO ELECTRONICO ROOM ECO-FACIL-RADIO (MUNDO CONTROL)</v>
      </c>
      <c r="G237" s="25" t="str">
        <f>VLOOKUP(E237,'LISTA ITEMS'!$E$2:$G$875,3,FALSE)</f>
        <v>UND</v>
      </c>
      <c r="H237" s="74">
        <v>46086</v>
      </c>
      <c r="I237" s="75">
        <v>1</v>
      </c>
      <c r="J237" s="27"/>
      <c r="K237" s="70">
        <v>46098</v>
      </c>
      <c r="L237" s="67">
        <v>0</v>
      </c>
      <c r="M237" s="54">
        <v>46098</v>
      </c>
      <c r="N237" s="55">
        <v>0</v>
      </c>
      <c r="O237" s="70">
        <v>46098</v>
      </c>
      <c r="P237" s="71">
        <v>1</v>
      </c>
      <c r="Q237" s="36">
        <v>46098</v>
      </c>
      <c r="R237" s="26">
        <f>+I237+L237+N237-P237</f>
        <v>0</v>
      </c>
      <c r="S237" s="85"/>
      <c r="T237" s="84"/>
      <c r="U237" s="27"/>
      <c r="V237" s="70"/>
      <c r="W237" s="67"/>
      <c r="X237" s="54"/>
      <c r="Y237" s="55"/>
      <c r="Z237" s="70"/>
      <c r="AA237" s="71"/>
      <c r="AB237" s="31"/>
      <c r="AC237" s="26">
        <f>+R237+W237+Y237-AA237</f>
        <v>0</v>
      </c>
      <c r="AD237" s="25"/>
      <c r="AE237" s="25"/>
      <c r="AF237" s="117"/>
      <c r="AG237" s="117"/>
      <c r="AH237" s="117"/>
    </row>
    <row r="238" spans="1:34" ht="18" customHeight="1" x14ac:dyDescent="0.3">
      <c r="A238" s="65">
        <v>235</v>
      </c>
      <c r="B238" s="25">
        <v>16</v>
      </c>
      <c r="C238" s="25">
        <v>86</v>
      </c>
      <c r="D238" s="25">
        <v>415</v>
      </c>
      <c r="E238" s="89" t="str">
        <f>CONCATENATE(B238,"-",C238,"-",D238)</f>
        <v>16-86-415</v>
      </c>
      <c r="F238" s="13" t="str">
        <f>VLOOKUP(E238,'LISTA ITEMS'!$E$2:$G$875,2,FALSE)</f>
        <v>SOPORTE EN L PARA BANDEJA ELECTRICA</v>
      </c>
      <c r="G238" s="25" t="str">
        <f>VLOOKUP(E238,'LISTA ITEMS'!$E$2:$G$875,3,FALSE)</f>
        <v>UND</v>
      </c>
      <c r="H238" s="74">
        <v>46094</v>
      </c>
      <c r="I238" s="75">
        <v>13</v>
      </c>
      <c r="J238" s="27"/>
      <c r="K238" s="70">
        <v>46098</v>
      </c>
      <c r="L238" s="67">
        <v>0</v>
      </c>
      <c r="M238" s="54">
        <v>46098</v>
      </c>
      <c r="N238" s="55">
        <v>0</v>
      </c>
      <c r="O238" s="70">
        <v>46098</v>
      </c>
      <c r="P238" s="71">
        <v>13</v>
      </c>
      <c r="Q238" s="36">
        <v>46098</v>
      </c>
      <c r="R238" s="26">
        <f>+I238+L238+N238-P238</f>
        <v>0</v>
      </c>
      <c r="S238" s="85"/>
      <c r="T238" s="84"/>
      <c r="U238" s="27"/>
      <c r="V238" s="70"/>
      <c r="W238" s="67"/>
      <c r="X238" s="54"/>
      <c r="Y238" s="55"/>
      <c r="Z238" s="70"/>
      <c r="AA238" s="71"/>
      <c r="AB238" s="31"/>
      <c r="AC238" s="26">
        <f>+R238+W238+Y238-AA238</f>
        <v>0</v>
      </c>
      <c r="AD238" s="25"/>
      <c r="AE238" s="25"/>
      <c r="AF238" s="108"/>
      <c r="AG238" s="108"/>
      <c r="AH238" s="108"/>
    </row>
    <row r="239" spans="1:34" ht="28.8" x14ac:dyDescent="0.3">
      <c r="A239" s="65">
        <v>236</v>
      </c>
      <c r="B239" s="25">
        <v>16</v>
      </c>
      <c r="C239" s="25">
        <v>56</v>
      </c>
      <c r="D239" s="25">
        <v>416</v>
      </c>
      <c r="E239" s="89" t="str">
        <f>CONCATENATE(B239,"-",C239,"-",D239)</f>
        <v>16-56-416</v>
      </c>
      <c r="F239" s="13" t="str">
        <f>VLOOKUP(E239,'LISTA ITEMS'!$E$2:$G$875,2,FALSE)</f>
        <v>METER TRIFASICO 230/400Vac C/BOBINA INCORPORADA(GROWATT)</v>
      </c>
      <c r="G239" s="25" t="str">
        <f>VLOOKUP(E239,'LISTA ITEMS'!$E$2:$G$875,3,FALSE)</f>
        <v>UND</v>
      </c>
      <c r="H239" s="74">
        <v>46094</v>
      </c>
      <c r="I239" s="75">
        <v>0</v>
      </c>
      <c r="J239" s="27"/>
      <c r="K239" s="70">
        <v>46098</v>
      </c>
      <c r="L239" s="67">
        <v>0</v>
      </c>
      <c r="M239" s="54">
        <v>46098</v>
      </c>
      <c r="N239" s="55">
        <v>2</v>
      </c>
      <c r="O239" s="70">
        <v>46098</v>
      </c>
      <c r="P239" s="71">
        <v>1</v>
      </c>
      <c r="Q239" s="36">
        <v>46098</v>
      </c>
      <c r="R239" s="26">
        <f>+I239+L239+N239-P239</f>
        <v>1</v>
      </c>
      <c r="S239" s="85"/>
      <c r="T239" s="84"/>
      <c r="U239" s="27"/>
      <c r="V239" s="70"/>
      <c r="W239" s="67"/>
      <c r="X239" s="54"/>
      <c r="Y239" s="55"/>
      <c r="Z239" s="70"/>
      <c r="AA239" s="71"/>
      <c r="AB239" s="31"/>
      <c r="AC239" s="26">
        <f>+R239+W239+Y239-AA239</f>
        <v>1</v>
      </c>
      <c r="AD239" s="25" t="s">
        <v>452</v>
      </c>
      <c r="AE239" s="25"/>
      <c r="AF239" s="108"/>
      <c r="AG239" s="108"/>
      <c r="AH239" s="108"/>
    </row>
    <row r="240" spans="1:34" x14ac:dyDescent="0.3">
      <c r="A240" s="65">
        <v>237</v>
      </c>
      <c r="B240" s="25">
        <v>16</v>
      </c>
      <c r="C240" s="25">
        <v>31</v>
      </c>
      <c r="D240" s="25">
        <v>412</v>
      </c>
      <c r="E240" s="89" t="str">
        <f>CONCATENATE(B240,"-",C240,"-",D240)</f>
        <v>16-31-412</v>
      </c>
      <c r="F240" s="13" t="str">
        <f>VLOOKUP(E240,'LISTA ITEMS'!$E$2:$G$875,2,FALSE)</f>
        <v>CABLE UTP RJ45 1.8m (VICTRON ENERGY)</v>
      </c>
      <c r="G240" s="25" t="str">
        <f>VLOOKUP(E240,'LISTA ITEMS'!$E$2:$G$875,3,FALSE)</f>
        <v>UND</v>
      </c>
      <c r="H240" s="74">
        <v>46092</v>
      </c>
      <c r="I240" s="75">
        <v>0</v>
      </c>
      <c r="J240" s="27"/>
      <c r="K240" s="70">
        <v>46098</v>
      </c>
      <c r="L240" s="67">
        <v>0</v>
      </c>
      <c r="M240" s="54">
        <v>46098</v>
      </c>
      <c r="N240" s="55">
        <v>1</v>
      </c>
      <c r="O240" s="70">
        <v>46098</v>
      </c>
      <c r="P240" s="71">
        <v>0</v>
      </c>
      <c r="Q240" s="36">
        <v>46098</v>
      </c>
      <c r="R240" s="26">
        <f>+I240+L240+N240-P240</f>
        <v>1</v>
      </c>
      <c r="S240" s="85"/>
      <c r="T240" s="84"/>
      <c r="U240" s="27"/>
      <c r="V240" s="70"/>
      <c r="W240" s="67"/>
      <c r="X240" s="54"/>
      <c r="Y240" s="55"/>
      <c r="Z240" s="70"/>
      <c r="AA240" s="71"/>
      <c r="AB240" s="31"/>
      <c r="AC240" s="26">
        <f>+R240+W240+Y240-AA240</f>
        <v>1</v>
      </c>
      <c r="AD240" s="25"/>
      <c r="AE240" s="25"/>
      <c r="AF240" s="111"/>
      <c r="AG240" s="111"/>
      <c r="AH240" s="111"/>
    </row>
    <row r="241" spans="1:34" ht="28.8" x14ac:dyDescent="0.3">
      <c r="A241" s="65">
        <v>238</v>
      </c>
      <c r="B241" s="25">
        <v>16</v>
      </c>
      <c r="C241" s="25">
        <v>31</v>
      </c>
      <c r="D241" s="25">
        <v>417</v>
      </c>
      <c r="E241" s="89" t="str">
        <f>CONCATENATE(B241,"-",C241,"-",D241)</f>
        <v>16-31-417</v>
      </c>
      <c r="F241" s="13" t="str">
        <f>VLOOKUP(E241,'LISTA ITEMS'!$E$2:$G$875,2,FALSE)</f>
        <v>CABLE DE COMUNICACIÓN VE.Can to  CAN-bus BMS Type A 5m (VICTRON ENERGY)</v>
      </c>
      <c r="G241" s="25" t="str">
        <f>VLOOKUP(E241,'LISTA ITEMS'!$E$2:$G$875,3,FALSE)</f>
        <v>UND</v>
      </c>
      <c r="H241" s="74">
        <v>46092</v>
      </c>
      <c r="I241" s="75">
        <v>0</v>
      </c>
      <c r="J241" s="27"/>
      <c r="K241" s="70">
        <v>46098</v>
      </c>
      <c r="L241" s="67">
        <v>0</v>
      </c>
      <c r="M241" s="54">
        <v>46098</v>
      </c>
      <c r="N241" s="55">
        <v>1</v>
      </c>
      <c r="O241" s="70">
        <v>46098</v>
      </c>
      <c r="P241" s="71">
        <v>1</v>
      </c>
      <c r="Q241" s="36">
        <v>46098</v>
      </c>
      <c r="R241" s="26">
        <f>+I241+L241+N241-P241</f>
        <v>0</v>
      </c>
      <c r="S241" s="85"/>
      <c r="T241" s="84"/>
      <c r="U241" s="27"/>
      <c r="V241" s="70"/>
      <c r="W241" s="67"/>
      <c r="X241" s="54"/>
      <c r="Y241" s="55"/>
      <c r="Z241" s="70"/>
      <c r="AA241" s="71"/>
      <c r="AB241" s="31"/>
      <c r="AC241" s="26">
        <f>+R241+W241+Y241-AA241</f>
        <v>0</v>
      </c>
      <c r="AD241" s="25" t="s">
        <v>454</v>
      </c>
      <c r="AE241" s="25"/>
      <c r="AF241" s="111"/>
      <c r="AG241" s="111"/>
      <c r="AH241" s="111"/>
    </row>
    <row r="242" spans="1:34" ht="28.8" x14ac:dyDescent="0.3">
      <c r="A242" s="65">
        <v>239</v>
      </c>
      <c r="B242" s="25">
        <v>16</v>
      </c>
      <c r="C242" s="25">
        <v>87</v>
      </c>
      <c r="D242" s="25">
        <v>418</v>
      </c>
      <c r="E242" s="89" t="str">
        <f>CONCATENATE(B242,"-",C242,"-",D242)</f>
        <v>16-87-418</v>
      </c>
      <c r="F242" s="13" t="str">
        <f>VLOOKUP(E242,'LISTA ITEMS'!$E$2:$G$875,2,FALSE)</f>
        <v>MODULO DE DISTRIBUCION LYNX POWER M10 (VICTRON ENERGY)</v>
      </c>
      <c r="G242" s="25" t="str">
        <f>VLOOKUP(E242,'LISTA ITEMS'!$E$2:$G$875,3,FALSE)</f>
        <v>UND</v>
      </c>
      <c r="H242" s="74">
        <v>46092</v>
      </c>
      <c r="I242" s="75">
        <v>0</v>
      </c>
      <c r="J242" s="27"/>
      <c r="K242" s="70">
        <v>46098</v>
      </c>
      <c r="L242" s="67">
        <v>0</v>
      </c>
      <c r="M242" s="54">
        <v>46098</v>
      </c>
      <c r="N242" s="55">
        <v>1</v>
      </c>
      <c r="O242" s="70">
        <v>46098</v>
      </c>
      <c r="P242" s="71">
        <v>0</v>
      </c>
      <c r="Q242" s="36">
        <v>46098</v>
      </c>
      <c r="R242" s="26">
        <f>+I242+L242+N242-P242</f>
        <v>1</v>
      </c>
      <c r="S242" s="85"/>
      <c r="T242" s="84"/>
      <c r="U242" s="27"/>
      <c r="V242" s="70"/>
      <c r="W242" s="67"/>
      <c r="X242" s="54"/>
      <c r="Y242" s="55"/>
      <c r="Z242" s="70"/>
      <c r="AA242" s="71"/>
      <c r="AB242" s="31"/>
      <c r="AC242" s="26">
        <f>+R242+W242+Y242-AA242</f>
        <v>1</v>
      </c>
      <c r="AD242" s="25" t="s">
        <v>457</v>
      </c>
      <c r="AE242" s="25"/>
      <c r="AF242" s="108"/>
      <c r="AG242" s="108"/>
      <c r="AH242" s="108"/>
    </row>
    <row r="243" spans="1:34" ht="28.8" x14ac:dyDescent="0.3">
      <c r="A243" s="65">
        <v>240</v>
      </c>
      <c r="B243" s="25">
        <v>16</v>
      </c>
      <c r="C243" s="25">
        <v>31</v>
      </c>
      <c r="D243" s="25">
        <v>419</v>
      </c>
      <c r="E243" s="89" t="str">
        <f>CONCATENATE(B243,"-",C243,"-",D243)</f>
        <v>16-31-419</v>
      </c>
      <c r="F243" s="13" t="str">
        <f>VLOOKUP(E243,'LISTA ITEMS'!$E$2:$G$875,2,FALSE)</f>
        <v>CABLE DE COMUNICACIÓN INTERFAZ VE DIRECTA A USB (VICTRON ENERGY)</v>
      </c>
      <c r="G243" s="25" t="str">
        <f>VLOOKUP(E243,'LISTA ITEMS'!$E$2:$G$875,3,FALSE)</f>
        <v>UND</v>
      </c>
      <c r="H243" s="74">
        <v>46092</v>
      </c>
      <c r="I243" s="75">
        <v>0</v>
      </c>
      <c r="J243" s="27"/>
      <c r="K243" s="70">
        <v>46098</v>
      </c>
      <c r="L243" s="67">
        <v>0</v>
      </c>
      <c r="M243" s="54">
        <v>46098</v>
      </c>
      <c r="N243" s="55">
        <v>1</v>
      </c>
      <c r="O243" s="70">
        <v>46098</v>
      </c>
      <c r="P243" s="71">
        <v>1</v>
      </c>
      <c r="Q243" s="36">
        <v>46098</v>
      </c>
      <c r="R243" s="26">
        <f>+I243+L243+N243-P243</f>
        <v>0</v>
      </c>
      <c r="S243" s="85"/>
      <c r="T243" s="84"/>
      <c r="U243" s="27"/>
      <c r="V243" s="70"/>
      <c r="W243" s="67"/>
      <c r="X243" s="54"/>
      <c r="Y243" s="55"/>
      <c r="Z243" s="70"/>
      <c r="AA243" s="71"/>
      <c r="AB243" s="31"/>
      <c r="AC243" s="26">
        <f>+R243+W243+Y243-AA243</f>
        <v>0</v>
      </c>
      <c r="AD243" s="25" t="s">
        <v>459</v>
      </c>
      <c r="AE243" s="25"/>
      <c r="AF243" s="111"/>
      <c r="AG243" s="111"/>
      <c r="AH243" s="111"/>
    </row>
    <row r="244" spans="1:34" ht="28.8" x14ac:dyDescent="0.3">
      <c r="A244" s="65">
        <v>241</v>
      </c>
      <c r="B244" s="25">
        <v>7</v>
      </c>
      <c r="C244" s="25">
        <v>54</v>
      </c>
      <c r="D244" s="25">
        <v>420</v>
      </c>
      <c r="E244" s="89" t="str">
        <f>CONCATENATE(B244,"-",C244,"-",D244)</f>
        <v>7-54-420</v>
      </c>
      <c r="F244" s="13" t="str">
        <f>VLOOKUP(E244,'LISTA ITEMS'!$E$2:$G$875,2,FALSE)</f>
        <v>BATERIA SWITCH ON/OF 275A/48V M10 (VICTRON ENERGI)</v>
      </c>
      <c r="G244" s="25" t="str">
        <f>VLOOKUP(E244,'LISTA ITEMS'!$E$2:$G$875,3,FALSE)</f>
        <v>UND</v>
      </c>
      <c r="H244" s="74">
        <v>46092</v>
      </c>
      <c r="I244" s="75">
        <v>0</v>
      </c>
      <c r="J244" s="27"/>
      <c r="K244" s="70">
        <v>46098</v>
      </c>
      <c r="L244" s="67">
        <v>0</v>
      </c>
      <c r="M244" s="54">
        <v>46098</v>
      </c>
      <c r="N244" s="55">
        <v>1</v>
      </c>
      <c r="O244" s="70">
        <v>46098</v>
      </c>
      <c r="P244" s="71">
        <v>1</v>
      </c>
      <c r="Q244" s="36">
        <v>46098</v>
      </c>
      <c r="R244" s="26">
        <f>+I244+L244+N244-P244</f>
        <v>0</v>
      </c>
      <c r="S244" s="85"/>
      <c r="T244" s="84"/>
      <c r="U244" s="27"/>
      <c r="V244" s="70"/>
      <c r="W244" s="67"/>
      <c r="X244" s="54"/>
      <c r="Y244" s="55"/>
      <c r="Z244" s="70"/>
      <c r="AA244" s="71"/>
      <c r="AB244" s="31"/>
      <c r="AC244" s="26">
        <f>+R244+W244+Y244-AA244</f>
        <v>0</v>
      </c>
      <c r="AD244" s="25"/>
      <c r="AE244" s="25"/>
      <c r="AF244" s="111"/>
      <c r="AG244" s="111"/>
      <c r="AH244" s="111"/>
    </row>
    <row r="245" spans="1:34" ht="28.8" x14ac:dyDescent="0.3">
      <c r="A245" s="65">
        <v>242</v>
      </c>
      <c r="B245" s="25">
        <v>7</v>
      </c>
      <c r="C245" s="25">
        <v>38</v>
      </c>
      <c r="D245" s="25">
        <v>422</v>
      </c>
      <c r="E245" s="30" t="str">
        <f>CONCATENATE(B245,"-",C245,"-",D245)</f>
        <v>7-38-422</v>
      </c>
      <c r="F245" s="13" t="str">
        <f>VLOOKUP(E245,'LISTA ITEMS'!$E$2:$G$875,2,FALSE)</f>
        <v>PLACA SOLAR PS595M8GFH-24/TNH 595W (PHONO)</v>
      </c>
      <c r="G245" s="25" t="str">
        <f>VLOOKUP(E245,'LISTA ITEMS'!$E$2:$G$875,3,FALSE)</f>
        <v>UND</v>
      </c>
      <c r="H245" s="74">
        <v>46104</v>
      </c>
      <c r="I245" s="75">
        <v>15</v>
      </c>
      <c r="J245" s="27"/>
      <c r="K245" s="70"/>
      <c r="L245" s="67"/>
      <c r="M245" s="56"/>
      <c r="N245" s="55"/>
      <c r="O245" s="13"/>
      <c r="P245" s="71"/>
      <c r="Q245" s="31"/>
      <c r="R245" s="26">
        <f>+I245+L245+N245-P245</f>
        <v>15</v>
      </c>
      <c r="S245" s="85">
        <v>46104</v>
      </c>
      <c r="T245" s="84">
        <v>15</v>
      </c>
      <c r="U245" s="27"/>
      <c r="V245" s="70"/>
      <c r="W245" s="67"/>
      <c r="X245" s="56"/>
      <c r="Y245" s="55"/>
      <c r="Z245" s="13"/>
      <c r="AA245" s="71"/>
      <c r="AB245" s="31"/>
      <c r="AC245" s="26">
        <f>+R245+W245+Y245-AA245</f>
        <v>15</v>
      </c>
      <c r="AD245" s="25"/>
      <c r="AE245" s="25" t="s">
        <v>487</v>
      </c>
      <c r="AF245" s="13">
        <v>5</v>
      </c>
      <c r="AG245" s="13" t="s">
        <v>488</v>
      </c>
      <c r="AH245" s="13" t="s">
        <v>316</v>
      </c>
    </row>
    <row r="246" spans="1:34" x14ac:dyDescent="0.3">
      <c r="A246" s="65">
        <v>243</v>
      </c>
      <c r="B246" s="25">
        <v>7</v>
      </c>
      <c r="C246" s="25">
        <v>54</v>
      </c>
      <c r="D246" s="25">
        <v>423</v>
      </c>
      <c r="E246" s="30" t="str">
        <f>CONCATENATE(B246,"-",C246,"-",D246)</f>
        <v>7-54-423</v>
      </c>
      <c r="F246" s="13" t="str">
        <f>VLOOKUP(E246,'LISTA ITEMS'!$E$2:$G$875,2,FALSE)</f>
        <v>BATERIA LFP LITHIUM DL5.OC RACK (DYNESS)</v>
      </c>
      <c r="G246" s="25" t="str">
        <f>VLOOKUP(E246,'LISTA ITEMS'!$E$2:$G$875,3,FALSE)</f>
        <v>UND</v>
      </c>
      <c r="H246" s="74">
        <v>46104</v>
      </c>
      <c r="I246" s="75">
        <v>8</v>
      </c>
      <c r="J246" s="27"/>
      <c r="K246" s="13"/>
      <c r="L246" s="67"/>
      <c r="M246" s="56"/>
      <c r="N246" s="55"/>
      <c r="O246" s="13"/>
      <c r="P246" s="71"/>
      <c r="Q246" s="31"/>
      <c r="R246" s="26">
        <f>+I246+L246+N246-P246</f>
        <v>8</v>
      </c>
      <c r="S246" s="85">
        <v>46104</v>
      </c>
      <c r="T246" s="84">
        <v>8</v>
      </c>
      <c r="U246" s="27"/>
      <c r="V246" s="13"/>
      <c r="W246" s="67"/>
      <c r="X246" s="56"/>
      <c r="Y246" s="55"/>
      <c r="Z246" s="13"/>
      <c r="AA246" s="71"/>
      <c r="AB246" s="31"/>
      <c r="AC246" s="26">
        <f>+R246+W246+Y246-AA246</f>
        <v>8</v>
      </c>
      <c r="AD246" s="25"/>
      <c r="AE246" s="25"/>
      <c r="AF246" s="13"/>
      <c r="AG246" s="13"/>
      <c r="AH246" s="13"/>
    </row>
    <row r="247" spans="1:34" x14ac:dyDescent="0.3">
      <c r="A247" s="65">
        <v>244</v>
      </c>
      <c r="B247" s="25"/>
      <c r="C247" s="25"/>
      <c r="D247" s="25"/>
      <c r="E247" s="30" t="str">
        <f>CONCATENATE(B247,"-",C247,"-",D247)</f>
        <v>--</v>
      </c>
      <c r="F247" s="13">
        <f>VLOOKUP(E247,'LISTA ITEMS'!$E$2:$G$875,2,FALSE)</f>
        <v>0</v>
      </c>
      <c r="G247" s="25">
        <f>VLOOKUP(E247,'LISTA ITEMS'!$E$2:$G$875,3,FALSE)</f>
        <v>0</v>
      </c>
      <c r="H247" s="76"/>
      <c r="I247" s="75">
        <v>0</v>
      </c>
      <c r="J247" s="27"/>
      <c r="K247" s="13"/>
      <c r="L247" s="67"/>
      <c r="M247" s="56"/>
      <c r="N247" s="55"/>
      <c r="O247" s="13"/>
      <c r="P247" s="71"/>
      <c r="Q247" s="31"/>
      <c r="R247" s="26">
        <f>+I247+L247+N247-P247</f>
        <v>0</v>
      </c>
      <c r="S247" s="85"/>
      <c r="T247" s="84"/>
      <c r="U247" s="27"/>
      <c r="V247" s="13"/>
      <c r="W247" s="67"/>
      <c r="X247" s="56"/>
      <c r="Y247" s="55"/>
      <c r="Z247" s="13"/>
      <c r="AA247" s="71"/>
      <c r="AB247" s="31"/>
      <c r="AC247" s="26">
        <f>+R247+W247+Y247-AA247</f>
        <v>0</v>
      </c>
      <c r="AD247" s="25"/>
      <c r="AE247" s="25"/>
      <c r="AF247" s="13"/>
      <c r="AG247" s="13"/>
      <c r="AH247" s="13"/>
    </row>
    <row r="248" spans="1:34" x14ac:dyDescent="0.3">
      <c r="A248" s="65">
        <v>245</v>
      </c>
      <c r="B248" s="25"/>
      <c r="C248" s="25"/>
      <c r="D248" s="25"/>
      <c r="E248" s="30" t="str">
        <f>CONCATENATE(B248,"-",C248,"-",D248)</f>
        <v>--</v>
      </c>
      <c r="F248" s="13">
        <f>VLOOKUP(E248,'LISTA ITEMS'!$E$2:$G$875,2,FALSE)</f>
        <v>0</v>
      </c>
      <c r="G248" s="25">
        <f>VLOOKUP(E248,'LISTA ITEMS'!$E$2:$G$875,3,FALSE)</f>
        <v>0</v>
      </c>
      <c r="H248" s="76"/>
      <c r="I248" s="75">
        <v>0</v>
      </c>
      <c r="J248" s="27"/>
      <c r="K248" s="13"/>
      <c r="L248" s="67"/>
      <c r="M248" s="56"/>
      <c r="N248" s="55"/>
      <c r="O248" s="13"/>
      <c r="P248" s="71"/>
      <c r="Q248" s="31"/>
      <c r="R248" s="26">
        <f>+I248+L248+N248-P248</f>
        <v>0</v>
      </c>
      <c r="S248" s="85"/>
      <c r="T248" s="84"/>
      <c r="U248" s="27"/>
      <c r="V248" s="13"/>
      <c r="W248" s="67"/>
      <c r="X248" s="56"/>
      <c r="Y248" s="55"/>
      <c r="Z248" s="13"/>
      <c r="AA248" s="71"/>
      <c r="AB248" s="31"/>
      <c r="AC248" s="26">
        <f>+R248+W248+Y248-AA248</f>
        <v>0</v>
      </c>
      <c r="AD248" s="25"/>
      <c r="AE248" s="25"/>
      <c r="AF248" s="13"/>
      <c r="AG248" s="13"/>
      <c r="AH248" s="13"/>
    </row>
    <row r="249" spans="1:34" x14ac:dyDescent="0.3">
      <c r="A249" s="65">
        <v>246</v>
      </c>
      <c r="B249" s="25"/>
      <c r="C249" s="25"/>
      <c r="D249" s="25"/>
      <c r="E249" s="30" t="str">
        <f>CONCATENATE(B249,"-",C249,"-",D249)</f>
        <v>--</v>
      </c>
      <c r="F249" s="13">
        <f>VLOOKUP(E249,'LISTA ITEMS'!$E$2:$G$875,2,FALSE)</f>
        <v>0</v>
      </c>
      <c r="G249" s="25">
        <f>VLOOKUP(E249,'LISTA ITEMS'!$E$2:$G$875,3,FALSE)</f>
        <v>0</v>
      </c>
      <c r="H249" s="76"/>
      <c r="I249" s="75">
        <v>0</v>
      </c>
      <c r="J249" s="27"/>
      <c r="K249" s="13"/>
      <c r="L249" s="67"/>
      <c r="M249" s="56"/>
      <c r="N249" s="55"/>
      <c r="O249" s="13"/>
      <c r="P249" s="71"/>
      <c r="Q249" s="31"/>
      <c r="R249" s="26">
        <f>+I249+L249+N249-P249</f>
        <v>0</v>
      </c>
      <c r="S249" s="85"/>
      <c r="T249" s="84"/>
      <c r="U249" s="27"/>
      <c r="V249" s="13"/>
      <c r="W249" s="67"/>
      <c r="X249" s="56"/>
      <c r="Y249" s="55"/>
      <c r="Z249" s="13"/>
      <c r="AA249" s="71"/>
      <c r="AB249" s="31"/>
      <c r="AC249" s="26">
        <f>+R249+W249+Y249-AA249</f>
        <v>0</v>
      </c>
      <c r="AD249" s="25"/>
      <c r="AE249" s="25"/>
      <c r="AF249" s="13"/>
      <c r="AG249" s="13"/>
      <c r="AH249" s="13"/>
    </row>
    <row r="250" spans="1:34" x14ac:dyDescent="0.3">
      <c r="A250" s="65">
        <v>247</v>
      </c>
      <c r="B250" s="25"/>
      <c r="C250" s="25"/>
      <c r="D250" s="25"/>
      <c r="E250" s="30" t="str">
        <f>CONCATENATE(B250,"-",C250,"-",D250)</f>
        <v>--</v>
      </c>
      <c r="F250" s="13">
        <f>VLOOKUP(E250,'LISTA ITEMS'!$E$2:$G$875,2,FALSE)</f>
        <v>0</v>
      </c>
      <c r="G250" s="25">
        <f>VLOOKUP(E250,'LISTA ITEMS'!$E$2:$G$875,3,FALSE)</f>
        <v>0</v>
      </c>
      <c r="H250" s="76"/>
      <c r="I250" s="75">
        <v>0</v>
      </c>
      <c r="J250" s="27"/>
      <c r="K250" s="13"/>
      <c r="L250" s="67"/>
      <c r="M250" s="56"/>
      <c r="N250" s="55"/>
      <c r="O250" s="13"/>
      <c r="P250" s="71"/>
      <c r="Q250" s="31"/>
      <c r="R250" s="26">
        <f>+I250+L250+N250-P250</f>
        <v>0</v>
      </c>
      <c r="S250" s="85"/>
      <c r="T250" s="84"/>
      <c r="U250" s="27"/>
      <c r="V250" s="13"/>
      <c r="W250" s="67"/>
      <c r="X250" s="56"/>
      <c r="Y250" s="55"/>
      <c r="Z250" s="13"/>
      <c r="AA250" s="71"/>
      <c r="AB250" s="31"/>
      <c r="AC250" s="26">
        <f>+R250+W250+Y250-AA250</f>
        <v>0</v>
      </c>
      <c r="AD250" s="25"/>
      <c r="AE250" s="25"/>
      <c r="AF250" s="13"/>
      <c r="AG250" s="13"/>
      <c r="AH250" s="13"/>
    </row>
    <row r="251" spans="1:34" x14ac:dyDescent="0.3">
      <c r="A251" s="65">
        <v>248</v>
      </c>
      <c r="B251" s="25"/>
      <c r="C251" s="25"/>
      <c r="D251" s="25"/>
      <c r="E251" s="30" t="str">
        <f>CONCATENATE(B251,"-",C251,"-",D251)</f>
        <v>--</v>
      </c>
      <c r="F251" s="13">
        <f>VLOOKUP(E251,'LISTA ITEMS'!$E$2:$G$875,2,FALSE)</f>
        <v>0</v>
      </c>
      <c r="G251" s="25">
        <f>VLOOKUP(E251,'LISTA ITEMS'!$E$2:$G$875,3,FALSE)</f>
        <v>0</v>
      </c>
      <c r="H251" s="76"/>
      <c r="I251" s="75">
        <v>0</v>
      </c>
      <c r="J251" s="27"/>
      <c r="K251" s="13"/>
      <c r="L251" s="67"/>
      <c r="M251" s="56"/>
      <c r="N251" s="55"/>
      <c r="O251" s="13"/>
      <c r="P251" s="71"/>
      <c r="Q251" s="31"/>
      <c r="R251" s="26">
        <f>+I251+L251+N251-P251</f>
        <v>0</v>
      </c>
      <c r="S251" s="85"/>
      <c r="T251" s="84"/>
      <c r="U251" s="27"/>
      <c r="V251" s="13"/>
      <c r="W251" s="67"/>
      <c r="X251" s="56"/>
      <c r="Y251" s="55"/>
      <c r="Z251" s="13"/>
      <c r="AA251" s="71"/>
      <c r="AB251" s="31"/>
      <c r="AC251" s="26">
        <f>+R251+W251+Y251-AA251</f>
        <v>0</v>
      </c>
      <c r="AD251" s="25"/>
      <c r="AE251" s="25"/>
      <c r="AF251" s="13"/>
      <c r="AG251" s="13"/>
      <c r="AH251" s="13"/>
    </row>
    <row r="252" spans="1:34" x14ac:dyDescent="0.3">
      <c r="A252" s="65">
        <v>249</v>
      </c>
      <c r="B252" s="25"/>
      <c r="C252" s="25"/>
      <c r="D252" s="25"/>
      <c r="E252" s="30" t="str">
        <f>CONCATENATE(B252,"-",C252,"-",D252)</f>
        <v>--</v>
      </c>
      <c r="F252" s="13">
        <f>VLOOKUP(E252,'LISTA ITEMS'!$E$2:$G$875,2,FALSE)</f>
        <v>0</v>
      </c>
      <c r="G252" s="25">
        <f>VLOOKUP(E252,'LISTA ITEMS'!$E$2:$G$875,3,FALSE)</f>
        <v>0</v>
      </c>
      <c r="H252" s="76"/>
      <c r="I252" s="75">
        <v>0</v>
      </c>
      <c r="J252" s="27"/>
      <c r="K252" s="13"/>
      <c r="L252" s="67"/>
      <c r="M252" s="56"/>
      <c r="N252" s="55"/>
      <c r="O252" s="13"/>
      <c r="P252" s="71"/>
      <c r="Q252" s="31"/>
      <c r="R252" s="26">
        <f>+I252+L252+N252-P252</f>
        <v>0</v>
      </c>
      <c r="S252" s="85"/>
      <c r="T252" s="84"/>
      <c r="U252" s="27"/>
      <c r="V252" s="13"/>
      <c r="W252" s="67"/>
      <c r="X252" s="56"/>
      <c r="Y252" s="55"/>
      <c r="Z252" s="13"/>
      <c r="AA252" s="71"/>
      <c r="AB252" s="31"/>
      <c r="AC252" s="26">
        <f>+R252+W252+Y252-AA252</f>
        <v>0</v>
      </c>
      <c r="AD252" s="25"/>
      <c r="AE252" s="25"/>
      <c r="AF252" s="13"/>
      <c r="AG252" s="13"/>
      <c r="AH252" s="13"/>
    </row>
    <row r="253" spans="1:34" x14ac:dyDescent="0.3">
      <c r="A253" s="65">
        <v>250</v>
      </c>
      <c r="B253" s="25"/>
      <c r="C253" s="25"/>
      <c r="D253" s="25"/>
      <c r="E253" s="30" t="str">
        <f>CONCATENATE(B253,"-",C253,"-",D253)</f>
        <v>--</v>
      </c>
      <c r="F253" s="13">
        <f>VLOOKUP(E253,'LISTA ITEMS'!$E$2:$G$875,2,FALSE)</f>
        <v>0</v>
      </c>
      <c r="G253" s="25">
        <f>VLOOKUP(E253,'LISTA ITEMS'!$E$2:$G$875,3,FALSE)</f>
        <v>0</v>
      </c>
      <c r="H253" s="76"/>
      <c r="I253" s="75">
        <v>0</v>
      </c>
      <c r="J253" s="27"/>
      <c r="K253" s="13"/>
      <c r="L253" s="67"/>
      <c r="M253" s="56"/>
      <c r="N253" s="55"/>
      <c r="O253" s="13"/>
      <c r="P253" s="71"/>
      <c r="Q253" s="31"/>
      <c r="R253" s="26">
        <f>+I253+L253+N253-P253</f>
        <v>0</v>
      </c>
      <c r="S253" s="85"/>
      <c r="T253" s="84"/>
      <c r="U253" s="27"/>
      <c r="V253" s="13"/>
      <c r="W253" s="67"/>
      <c r="X253" s="56"/>
      <c r="Y253" s="55"/>
      <c r="Z253" s="13"/>
      <c r="AA253" s="71"/>
      <c r="AB253" s="31"/>
      <c r="AC253" s="26">
        <f>+R253+W253+Y253-AA253</f>
        <v>0</v>
      </c>
      <c r="AD253" s="25"/>
      <c r="AE253" s="25"/>
      <c r="AF253" s="13"/>
      <c r="AG253" s="13"/>
      <c r="AH253" s="13"/>
    </row>
    <row r="254" spans="1:34" x14ac:dyDescent="0.3">
      <c r="A254" s="65">
        <v>251</v>
      </c>
      <c r="B254" s="25"/>
      <c r="C254" s="25"/>
      <c r="D254" s="25"/>
      <c r="E254" s="30" t="str">
        <f>CONCATENATE(B254,"-",C254,"-",D254)</f>
        <v>--</v>
      </c>
      <c r="F254" s="13">
        <f>VLOOKUP(E254,'LISTA ITEMS'!$E$2:$G$875,2,FALSE)</f>
        <v>0</v>
      </c>
      <c r="G254" s="25">
        <f>VLOOKUP(E254,'LISTA ITEMS'!$E$2:$G$875,3,FALSE)</f>
        <v>0</v>
      </c>
      <c r="H254" s="76"/>
      <c r="I254" s="75">
        <v>0</v>
      </c>
      <c r="J254" s="27"/>
      <c r="K254" s="13"/>
      <c r="L254" s="67"/>
      <c r="M254" s="56"/>
      <c r="N254" s="55"/>
      <c r="O254" s="13"/>
      <c r="P254" s="71"/>
      <c r="Q254" s="31"/>
      <c r="R254" s="26">
        <f>+I254+L254+N254-P254</f>
        <v>0</v>
      </c>
      <c r="S254" s="85"/>
      <c r="T254" s="84"/>
      <c r="U254" s="27"/>
      <c r="V254" s="13"/>
      <c r="W254" s="67"/>
      <c r="X254" s="56"/>
      <c r="Y254" s="55"/>
      <c r="Z254" s="13"/>
      <c r="AA254" s="71"/>
      <c r="AB254" s="31"/>
      <c r="AC254" s="26">
        <f>+R254+W254+Y254-AA254</f>
        <v>0</v>
      </c>
      <c r="AD254" s="25"/>
      <c r="AE254" s="25"/>
      <c r="AF254" s="13"/>
      <c r="AG254" s="13"/>
      <c r="AH254" s="13"/>
    </row>
    <row r="255" spans="1:34" x14ac:dyDescent="0.3">
      <c r="A255" s="65">
        <v>252</v>
      </c>
      <c r="B255" s="25"/>
      <c r="C255" s="25"/>
      <c r="D255" s="25"/>
      <c r="E255" s="30" t="str">
        <f>CONCATENATE(B255,"-",C255,"-",D255)</f>
        <v>--</v>
      </c>
      <c r="F255" s="13">
        <f>VLOOKUP(E255,'LISTA ITEMS'!$E$2:$G$875,2,FALSE)</f>
        <v>0</v>
      </c>
      <c r="G255" s="25">
        <f>VLOOKUP(E255,'LISTA ITEMS'!$E$2:$G$875,3,FALSE)</f>
        <v>0</v>
      </c>
      <c r="H255" s="76"/>
      <c r="I255" s="75">
        <v>0</v>
      </c>
      <c r="J255" s="27"/>
      <c r="K255" s="13"/>
      <c r="L255" s="67"/>
      <c r="M255" s="56"/>
      <c r="N255" s="55"/>
      <c r="O255" s="13"/>
      <c r="P255" s="71"/>
      <c r="Q255" s="31"/>
      <c r="R255" s="26">
        <f>+I255+L255+N255-P255</f>
        <v>0</v>
      </c>
      <c r="S255" s="85"/>
      <c r="T255" s="84"/>
      <c r="U255" s="27"/>
      <c r="V255" s="13"/>
      <c r="W255" s="67"/>
      <c r="X255" s="56"/>
      <c r="Y255" s="55"/>
      <c r="Z255" s="13"/>
      <c r="AA255" s="71"/>
      <c r="AB255" s="31"/>
      <c r="AC255" s="26">
        <f>+R255+W255+Y255-AA255</f>
        <v>0</v>
      </c>
      <c r="AD255" s="25"/>
      <c r="AE255" s="25"/>
      <c r="AF255" s="13"/>
      <c r="AG255" s="13"/>
      <c r="AH255" s="13"/>
    </row>
    <row r="256" spans="1:34" x14ac:dyDescent="0.3">
      <c r="A256" s="65">
        <v>253</v>
      </c>
      <c r="B256" s="25"/>
      <c r="C256" s="25"/>
      <c r="D256" s="25"/>
      <c r="E256" s="30" t="str">
        <f>CONCATENATE(B256,"-",C256,"-",D256)</f>
        <v>--</v>
      </c>
      <c r="F256" s="13">
        <f>VLOOKUP(E256,'LISTA ITEMS'!$E$2:$G$875,2,FALSE)</f>
        <v>0</v>
      </c>
      <c r="G256" s="25">
        <f>VLOOKUP(E256,'LISTA ITEMS'!$E$2:$G$875,3,FALSE)</f>
        <v>0</v>
      </c>
      <c r="H256" s="76"/>
      <c r="I256" s="75">
        <v>0</v>
      </c>
      <c r="J256" s="27"/>
      <c r="K256" s="13"/>
      <c r="L256" s="67"/>
      <c r="M256" s="56"/>
      <c r="N256" s="55"/>
      <c r="O256" s="13"/>
      <c r="P256" s="71"/>
      <c r="Q256" s="31"/>
      <c r="R256" s="26">
        <f>+I256+L256+N256-P256</f>
        <v>0</v>
      </c>
      <c r="S256" s="85"/>
      <c r="T256" s="84"/>
      <c r="U256" s="27"/>
      <c r="V256" s="13"/>
      <c r="W256" s="67"/>
      <c r="X256" s="56"/>
      <c r="Y256" s="55"/>
      <c r="Z256" s="13"/>
      <c r="AA256" s="71"/>
      <c r="AB256" s="31"/>
      <c r="AC256" s="26">
        <f>+R256+W256+Y256-AA256</f>
        <v>0</v>
      </c>
      <c r="AD256" s="25"/>
      <c r="AE256" s="25"/>
      <c r="AF256" s="13"/>
      <c r="AG256" s="13"/>
      <c r="AH256" s="13"/>
    </row>
    <row r="257" spans="1:34" x14ac:dyDescent="0.3">
      <c r="A257" s="65">
        <v>254</v>
      </c>
      <c r="B257" s="25"/>
      <c r="C257" s="25"/>
      <c r="D257" s="25"/>
      <c r="E257" s="30" t="str">
        <f>CONCATENATE(B257,"-",C257,"-",D257)</f>
        <v>--</v>
      </c>
      <c r="F257" s="13">
        <f>VLOOKUP(E257,'LISTA ITEMS'!$E$2:$G$875,2,FALSE)</f>
        <v>0</v>
      </c>
      <c r="G257" s="25">
        <f>VLOOKUP(E257,'LISTA ITEMS'!$E$2:$G$875,3,FALSE)</f>
        <v>0</v>
      </c>
      <c r="H257" s="76"/>
      <c r="I257" s="75">
        <v>0</v>
      </c>
      <c r="J257" s="27"/>
      <c r="K257" s="13"/>
      <c r="L257" s="67"/>
      <c r="M257" s="56"/>
      <c r="N257" s="55"/>
      <c r="O257" s="13"/>
      <c r="P257" s="71"/>
      <c r="Q257" s="31"/>
      <c r="R257" s="26">
        <f>+I257+L257+N257-P257</f>
        <v>0</v>
      </c>
      <c r="S257" s="85"/>
      <c r="T257" s="84"/>
      <c r="U257" s="27"/>
      <c r="V257" s="13"/>
      <c r="W257" s="67"/>
      <c r="X257" s="56"/>
      <c r="Y257" s="55"/>
      <c r="Z257" s="13"/>
      <c r="AA257" s="71"/>
      <c r="AB257" s="31"/>
      <c r="AC257" s="26">
        <f>+R257+W257+Y257-AA257</f>
        <v>0</v>
      </c>
      <c r="AD257" s="25"/>
      <c r="AE257" s="25"/>
      <c r="AF257" s="13"/>
      <c r="AG257" s="13"/>
      <c r="AH257" s="13"/>
    </row>
    <row r="258" spans="1:34" x14ac:dyDescent="0.3">
      <c r="A258" s="65">
        <v>255</v>
      </c>
      <c r="B258" s="25"/>
      <c r="C258" s="25"/>
      <c r="D258" s="25"/>
      <c r="E258" s="30" t="str">
        <f>CONCATENATE(B258,"-",C258,"-",D258)</f>
        <v>--</v>
      </c>
      <c r="F258" s="13">
        <f>VLOOKUP(E258,'LISTA ITEMS'!$E$2:$G$875,2,FALSE)</f>
        <v>0</v>
      </c>
      <c r="G258" s="25">
        <f>VLOOKUP(E258,'LISTA ITEMS'!$E$2:$G$875,3,FALSE)</f>
        <v>0</v>
      </c>
      <c r="H258" s="76"/>
      <c r="I258" s="75">
        <v>0</v>
      </c>
      <c r="J258" s="27"/>
      <c r="K258" s="13"/>
      <c r="L258" s="67"/>
      <c r="M258" s="56"/>
      <c r="N258" s="55"/>
      <c r="O258" s="13"/>
      <c r="P258" s="71"/>
      <c r="Q258" s="31"/>
      <c r="R258" s="26">
        <f>+I258+L258+N258-P258</f>
        <v>0</v>
      </c>
      <c r="S258" s="85"/>
      <c r="T258" s="84"/>
      <c r="U258" s="27"/>
      <c r="V258" s="13"/>
      <c r="W258" s="67"/>
      <c r="X258" s="56"/>
      <c r="Y258" s="55"/>
      <c r="Z258" s="13"/>
      <c r="AA258" s="71"/>
      <c r="AB258" s="31"/>
      <c r="AC258" s="26">
        <f>+R258+W258+Y258-AA258</f>
        <v>0</v>
      </c>
      <c r="AD258" s="25"/>
      <c r="AE258" s="25"/>
      <c r="AF258" s="13"/>
      <c r="AG258" s="13"/>
      <c r="AH258" s="13"/>
    </row>
    <row r="259" spans="1:34" x14ac:dyDescent="0.3">
      <c r="A259" s="65">
        <v>256</v>
      </c>
      <c r="B259" s="25"/>
      <c r="C259" s="25"/>
      <c r="D259" s="25"/>
      <c r="E259" s="30" t="str">
        <f>CONCATENATE(B259,"-",C259,"-",D259)</f>
        <v>--</v>
      </c>
      <c r="F259" s="13">
        <f>VLOOKUP(E259,'LISTA ITEMS'!$E$2:$G$875,2,FALSE)</f>
        <v>0</v>
      </c>
      <c r="G259" s="25">
        <f>VLOOKUP(E259,'LISTA ITEMS'!$E$2:$G$875,3,FALSE)</f>
        <v>0</v>
      </c>
      <c r="H259" s="76"/>
      <c r="I259" s="75">
        <v>0</v>
      </c>
      <c r="J259" s="27"/>
      <c r="K259" s="13"/>
      <c r="L259" s="67"/>
      <c r="M259" s="56"/>
      <c r="N259" s="55"/>
      <c r="O259" s="13"/>
      <c r="P259" s="71"/>
      <c r="Q259" s="31"/>
      <c r="R259" s="26">
        <f>+I259+L259+N259-P259</f>
        <v>0</v>
      </c>
      <c r="S259" s="85"/>
      <c r="T259" s="84"/>
      <c r="U259" s="27"/>
      <c r="V259" s="13"/>
      <c r="W259" s="67"/>
      <c r="X259" s="56"/>
      <c r="Y259" s="55"/>
      <c r="Z259" s="13"/>
      <c r="AA259" s="71"/>
      <c r="AB259" s="31"/>
      <c r="AC259" s="26">
        <f>+R259+W259+Y259-AA259</f>
        <v>0</v>
      </c>
      <c r="AD259" s="25"/>
      <c r="AE259" s="25"/>
      <c r="AF259" s="13"/>
      <c r="AG259" s="13"/>
      <c r="AH259" s="13"/>
    </row>
    <row r="260" spans="1:34" x14ac:dyDescent="0.3">
      <c r="A260" s="65">
        <v>257</v>
      </c>
      <c r="B260" s="25"/>
      <c r="C260" s="25"/>
      <c r="D260" s="25"/>
      <c r="E260" s="30" t="str">
        <f>CONCATENATE(B260,"-",C260,"-",D260)</f>
        <v>--</v>
      </c>
      <c r="F260" s="13">
        <f>VLOOKUP(E260,'LISTA ITEMS'!$E$2:$G$875,2,FALSE)</f>
        <v>0</v>
      </c>
      <c r="G260" s="25">
        <f>VLOOKUP(E260,'LISTA ITEMS'!$E$2:$G$875,3,FALSE)</f>
        <v>0</v>
      </c>
      <c r="H260" s="76"/>
      <c r="I260" s="75">
        <v>0</v>
      </c>
      <c r="J260" s="27"/>
      <c r="K260" s="13"/>
      <c r="L260" s="67"/>
      <c r="M260" s="56"/>
      <c r="N260" s="55"/>
      <c r="O260" s="13"/>
      <c r="P260" s="71"/>
      <c r="Q260" s="31"/>
      <c r="R260" s="26">
        <f>+I260+L260+N260-P260</f>
        <v>0</v>
      </c>
      <c r="S260" s="85"/>
      <c r="T260" s="84"/>
      <c r="U260" s="27"/>
      <c r="V260" s="13"/>
      <c r="W260" s="67"/>
      <c r="X260" s="56"/>
      <c r="Y260" s="55"/>
      <c r="Z260" s="13"/>
      <c r="AA260" s="71"/>
      <c r="AB260" s="31"/>
      <c r="AC260" s="26">
        <f>+R260+W260+Y260-AA260</f>
        <v>0</v>
      </c>
      <c r="AD260" s="25"/>
      <c r="AE260" s="25"/>
      <c r="AF260" s="13"/>
      <c r="AG260" s="13"/>
      <c r="AH260" s="13"/>
    </row>
    <row r="261" spans="1:34" x14ac:dyDescent="0.3">
      <c r="A261" s="65">
        <v>258</v>
      </c>
      <c r="B261" s="25"/>
      <c r="C261" s="25"/>
      <c r="D261" s="25"/>
      <c r="E261" s="30" t="str">
        <f>CONCATENATE(B261,"-",C261,"-",D261)</f>
        <v>--</v>
      </c>
      <c r="F261" s="13">
        <f>VLOOKUP(E261,'LISTA ITEMS'!$E$2:$G$875,2,FALSE)</f>
        <v>0</v>
      </c>
      <c r="G261" s="25">
        <f>VLOOKUP(E261,'LISTA ITEMS'!$E$2:$G$875,3,FALSE)</f>
        <v>0</v>
      </c>
      <c r="H261" s="76"/>
      <c r="I261" s="75">
        <v>0</v>
      </c>
      <c r="J261" s="27"/>
      <c r="K261" s="13"/>
      <c r="L261" s="67"/>
      <c r="M261" s="56"/>
      <c r="N261" s="55"/>
      <c r="O261" s="13"/>
      <c r="P261" s="71"/>
      <c r="Q261" s="31"/>
      <c r="R261" s="26">
        <f>+I261+L261+N261-P261</f>
        <v>0</v>
      </c>
      <c r="S261" s="85"/>
      <c r="T261" s="84"/>
      <c r="U261" s="27"/>
      <c r="V261" s="13"/>
      <c r="W261" s="67"/>
      <c r="X261" s="56"/>
      <c r="Y261" s="55"/>
      <c r="Z261" s="13"/>
      <c r="AA261" s="71"/>
      <c r="AB261" s="31"/>
      <c r="AC261" s="26">
        <f>+R261+W261+Y261-AA261</f>
        <v>0</v>
      </c>
      <c r="AD261" s="25"/>
      <c r="AE261" s="25"/>
      <c r="AF261" s="13"/>
      <c r="AG261" s="13"/>
      <c r="AH261" s="13"/>
    </row>
    <row r="262" spans="1:34" x14ac:dyDescent="0.3">
      <c r="A262" s="65">
        <v>259</v>
      </c>
      <c r="B262" s="25"/>
      <c r="C262" s="25"/>
      <c r="D262" s="25"/>
      <c r="E262" s="30" t="str">
        <f>CONCATENATE(B262,"-",C262,"-",D262)</f>
        <v>--</v>
      </c>
      <c r="F262" s="13">
        <f>VLOOKUP(E262,'LISTA ITEMS'!$E$2:$G$875,2,FALSE)</f>
        <v>0</v>
      </c>
      <c r="G262" s="25">
        <f>VLOOKUP(E262,'LISTA ITEMS'!$E$2:$G$875,3,FALSE)</f>
        <v>0</v>
      </c>
      <c r="H262" s="76"/>
      <c r="I262" s="75">
        <v>0</v>
      </c>
      <c r="J262" s="27"/>
      <c r="K262" s="13"/>
      <c r="L262" s="67"/>
      <c r="M262" s="56"/>
      <c r="N262" s="55"/>
      <c r="O262" s="13"/>
      <c r="P262" s="71"/>
      <c r="Q262" s="31"/>
      <c r="R262" s="26">
        <f>+I262+L262+N262-P262</f>
        <v>0</v>
      </c>
      <c r="S262" s="85"/>
      <c r="T262" s="84"/>
      <c r="U262" s="27"/>
      <c r="V262" s="13"/>
      <c r="W262" s="67"/>
      <c r="X262" s="56"/>
      <c r="Y262" s="55"/>
      <c r="Z262" s="13"/>
      <c r="AA262" s="71"/>
      <c r="AB262" s="31"/>
      <c r="AC262" s="26">
        <f>+R262+W262+Y262-AA262</f>
        <v>0</v>
      </c>
      <c r="AD262" s="25"/>
      <c r="AE262" s="25"/>
      <c r="AF262" s="13"/>
      <c r="AG262" s="13"/>
      <c r="AH262" s="13"/>
    </row>
    <row r="263" spans="1:34" x14ac:dyDescent="0.3">
      <c r="A263" s="65">
        <v>260</v>
      </c>
      <c r="B263" s="25"/>
      <c r="C263" s="25"/>
      <c r="D263" s="25"/>
      <c r="E263" s="30" t="str">
        <f>CONCATENATE(B263,"-",C263,"-",D263)</f>
        <v>--</v>
      </c>
      <c r="F263" s="13">
        <f>VLOOKUP(E263,'LISTA ITEMS'!$E$2:$G$875,2,FALSE)</f>
        <v>0</v>
      </c>
      <c r="G263" s="25">
        <f>VLOOKUP(E263,'LISTA ITEMS'!$E$2:$G$875,3,FALSE)</f>
        <v>0</v>
      </c>
      <c r="H263" s="76"/>
      <c r="I263" s="75">
        <v>0</v>
      </c>
      <c r="J263" s="27"/>
      <c r="K263" s="13"/>
      <c r="L263" s="67"/>
      <c r="M263" s="56"/>
      <c r="N263" s="55"/>
      <c r="O263" s="13"/>
      <c r="P263" s="71"/>
      <c r="Q263" s="31"/>
      <c r="R263" s="26">
        <f>+I263+L263+N263-P263</f>
        <v>0</v>
      </c>
      <c r="S263" s="85"/>
      <c r="T263" s="84"/>
      <c r="U263" s="27"/>
      <c r="V263" s="13"/>
      <c r="W263" s="67"/>
      <c r="X263" s="56"/>
      <c r="Y263" s="55"/>
      <c r="Z263" s="13"/>
      <c r="AA263" s="71"/>
      <c r="AB263" s="31"/>
      <c r="AC263" s="26">
        <f>+R263+W263+Y263-AA263</f>
        <v>0</v>
      </c>
      <c r="AD263" s="25"/>
      <c r="AE263" s="25"/>
      <c r="AF263" s="13"/>
      <c r="AG263" s="13"/>
      <c r="AH263" s="13"/>
    </row>
    <row r="264" spans="1:34" x14ac:dyDescent="0.3">
      <c r="A264" s="65">
        <v>261</v>
      </c>
      <c r="B264" s="25"/>
      <c r="C264" s="25"/>
      <c r="D264" s="25"/>
      <c r="E264" s="30" t="str">
        <f>CONCATENATE(B264,"-",C264,"-",D264)</f>
        <v>--</v>
      </c>
      <c r="F264" s="13">
        <f>VLOOKUP(E264,'LISTA ITEMS'!$E$2:$G$875,2,FALSE)</f>
        <v>0</v>
      </c>
      <c r="G264" s="25">
        <f>VLOOKUP(E264,'LISTA ITEMS'!$E$2:$G$875,3,FALSE)</f>
        <v>0</v>
      </c>
      <c r="H264" s="76"/>
      <c r="I264" s="75">
        <v>0</v>
      </c>
      <c r="J264" s="27"/>
      <c r="K264" s="13"/>
      <c r="L264" s="67"/>
      <c r="M264" s="56"/>
      <c r="N264" s="55"/>
      <c r="O264" s="13"/>
      <c r="P264" s="71"/>
      <c r="Q264" s="31"/>
      <c r="R264" s="26">
        <f>+I264+L264+N264-P264</f>
        <v>0</v>
      </c>
      <c r="S264" s="85"/>
      <c r="T264" s="84"/>
      <c r="U264" s="27"/>
      <c r="V264" s="13"/>
      <c r="W264" s="67"/>
      <c r="X264" s="56"/>
      <c r="Y264" s="55"/>
      <c r="Z264" s="13"/>
      <c r="AA264" s="71"/>
      <c r="AB264" s="31"/>
      <c r="AC264" s="26">
        <f>+R264+W264+Y264-AA264</f>
        <v>0</v>
      </c>
      <c r="AD264" s="25"/>
      <c r="AE264" s="25"/>
      <c r="AF264" s="13"/>
      <c r="AG264" s="13"/>
      <c r="AH264" s="13"/>
    </row>
    <row r="265" spans="1:34" x14ac:dyDescent="0.3">
      <c r="A265" s="65">
        <v>262</v>
      </c>
      <c r="B265" s="25"/>
      <c r="C265" s="25"/>
      <c r="D265" s="25"/>
      <c r="E265" s="30" t="str">
        <f>CONCATENATE(B265,"-",C265,"-",D265)</f>
        <v>--</v>
      </c>
      <c r="F265" s="13">
        <f>VLOOKUP(E265,'LISTA ITEMS'!$E$2:$G$875,2,FALSE)</f>
        <v>0</v>
      </c>
      <c r="G265" s="25">
        <f>VLOOKUP(E265,'LISTA ITEMS'!$E$2:$G$875,3,FALSE)</f>
        <v>0</v>
      </c>
      <c r="H265" s="76"/>
      <c r="I265" s="75">
        <v>0</v>
      </c>
      <c r="J265" s="27"/>
      <c r="K265" s="13"/>
      <c r="L265" s="67"/>
      <c r="M265" s="56"/>
      <c r="N265" s="55"/>
      <c r="O265" s="13"/>
      <c r="P265" s="71"/>
      <c r="Q265" s="31"/>
      <c r="R265" s="26">
        <f>+I265+L265+N265-P265</f>
        <v>0</v>
      </c>
      <c r="S265" s="85"/>
      <c r="T265" s="84"/>
      <c r="U265" s="27"/>
      <c r="V265" s="13"/>
      <c r="W265" s="67"/>
      <c r="X265" s="56"/>
      <c r="Y265" s="55"/>
      <c r="Z265" s="13"/>
      <c r="AA265" s="71"/>
      <c r="AB265" s="31"/>
      <c r="AC265" s="26">
        <f>+R265+W265+Y265-AA265</f>
        <v>0</v>
      </c>
      <c r="AD265" s="25"/>
      <c r="AE265" s="25"/>
      <c r="AF265" s="13"/>
      <c r="AG265" s="13"/>
      <c r="AH265" s="13"/>
    </row>
    <row r="266" spans="1:34" x14ac:dyDescent="0.3">
      <c r="A266" s="65">
        <v>263</v>
      </c>
      <c r="B266" s="25"/>
      <c r="C266" s="25"/>
      <c r="D266" s="25"/>
      <c r="E266" s="30" t="str">
        <f>CONCATENATE(B266,"-",C266,"-",D266)</f>
        <v>--</v>
      </c>
      <c r="F266" s="13">
        <f>VLOOKUP(E266,'LISTA ITEMS'!$E$2:$G$875,2,FALSE)</f>
        <v>0</v>
      </c>
      <c r="G266" s="25">
        <f>VLOOKUP(E266,'LISTA ITEMS'!$E$2:$G$875,3,FALSE)</f>
        <v>0</v>
      </c>
      <c r="H266" s="76"/>
      <c r="I266" s="75">
        <v>0</v>
      </c>
      <c r="J266" s="27"/>
      <c r="K266" s="13"/>
      <c r="L266" s="67"/>
      <c r="M266" s="56"/>
      <c r="N266" s="55"/>
      <c r="O266" s="13"/>
      <c r="P266" s="71"/>
      <c r="Q266" s="31"/>
      <c r="R266" s="26">
        <f>+I266+L266+N266-P266</f>
        <v>0</v>
      </c>
      <c r="S266" s="85"/>
      <c r="T266" s="84"/>
      <c r="U266" s="27"/>
      <c r="V266" s="13"/>
      <c r="W266" s="67"/>
      <c r="X266" s="56"/>
      <c r="Y266" s="55"/>
      <c r="Z266" s="13"/>
      <c r="AA266" s="71"/>
      <c r="AB266" s="31"/>
      <c r="AC266" s="26">
        <f>+R266+W266+Y266-AA266</f>
        <v>0</v>
      </c>
      <c r="AD266" s="25"/>
      <c r="AE266" s="25"/>
      <c r="AF266" s="13"/>
      <c r="AG266" s="13"/>
      <c r="AH266" s="13"/>
    </row>
    <row r="267" spans="1:34" x14ac:dyDescent="0.3">
      <c r="A267" s="65">
        <v>264</v>
      </c>
      <c r="B267" s="25"/>
      <c r="C267" s="25"/>
      <c r="D267" s="25"/>
      <c r="E267" s="30" t="str">
        <f>CONCATENATE(B267,"-",C267,"-",D267)</f>
        <v>--</v>
      </c>
      <c r="F267" s="13">
        <f>VLOOKUP(E267,'LISTA ITEMS'!$E$2:$G$875,2,FALSE)</f>
        <v>0</v>
      </c>
      <c r="G267" s="25">
        <f>VLOOKUP(E267,'LISTA ITEMS'!$E$2:$G$875,3,FALSE)</f>
        <v>0</v>
      </c>
      <c r="H267" s="76"/>
      <c r="I267" s="75">
        <v>0</v>
      </c>
      <c r="J267" s="27"/>
      <c r="K267" s="13"/>
      <c r="L267" s="67"/>
      <c r="M267" s="56"/>
      <c r="N267" s="55"/>
      <c r="O267" s="13"/>
      <c r="P267" s="71"/>
      <c r="Q267" s="31"/>
      <c r="R267" s="26">
        <f>+I267+L267+N267-P267</f>
        <v>0</v>
      </c>
      <c r="S267" s="85"/>
      <c r="T267" s="84"/>
      <c r="U267" s="27"/>
      <c r="V267" s="13"/>
      <c r="W267" s="67"/>
      <c r="X267" s="56"/>
      <c r="Y267" s="55"/>
      <c r="Z267" s="13"/>
      <c r="AA267" s="71"/>
      <c r="AB267" s="31"/>
      <c r="AC267" s="26">
        <f>+R267+W267+Y267-AA267</f>
        <v>0</v>
      </c>
      <c r="AD267" s="25"/>
      <c r="AE267" s="25"/>
      <c r="AF267" s="13"/>
      <c r="AG267" s="13"/>
      <c r="AH267" s="13"/>
    </row>
    <row r="268" spans="1:34" x14ac:dyDescent="0.3">
      <c r="A268" s="65">
        <v>265</v>
      </c>
      <c r="B268" s="25"/>
      <c r="C268" s="25"/>
      <c r="D268" s="25"/>
      <c r="E268" s="30" t="str">
        <f>CONCATENATE(B268,"-",C268,"-",D268)</f>
        <v>--</v>
      </c>
      <c r="F268" s="13">
        <f>VLOOKUP(E268,'LISTA ITEMS'!$E$2:$G$875,2,FALSE)</f>
        <v>0</v>
      </c>
      <c r="G268" s="25">
        <f>VLOOKUP(E268,'LISTA ITEMS'!$E$2:$G$875,3,FALSE)</f>
        <v>0</v>
      </c>
      <c r="H268" s="76"/>
      <c r="I268" s="75">
        <v>0</v>
      </c>
      <c r="J268" s="27"/>
      <c r="K268" s="13"/>
      <c r="L268" s="67"/>
      <c r="M268" s="56"/>
      <c r="N268" s="55"/>
      <c r="O268" s="13"/>
      <c r="P268" s="71"/>
      <c r="Q268" s="31"/>
      <c r="R268" s="26">
        <f>+I268+L268+N268-P268</f>
        <v>0</v>
      </c>
      <c r="S268" s="85"/>
      <c r="T268" s="84"/>
      <c r="U268" s="27"/>
      <c r="V268" s="13"/>
      <c r="W268" s="67"/>
      <c r="X268" s="56"/>
      <c r="Y268" s="55"/>
      <c r="Z268" s="13"/>
      <c r="AA268" s="71"/>
      <c r="AB268" s="31"/>
      <c r="AC268" s="26">
        <f>+R268+W268+Y268-AA268</f>
        <v>0</v>
      </c>
      <c r="AD268" s="25"/>
      <c r="AE268" s="25"/>
      <c r="AF268" s="13"/>
      <c r="AG268" s="13"/>
      <c r="AH268" s="13"/>
    </row>
    <row r="269" spans="1:34" x14ac:dyDescent="0.3">
      <c r="A269" s="65">
        <v>266</v>
      </c>
      <c r="B269" s="25"/>
      <c r="C269" s="25"/>
      <c r="D269" s="25"/>
      <c r="E269" s="30" t="str">
        <f>CONCATENATE(B269,"-",C269,"-",D269)</f>
        <v>--</v>
      </c>
      <c r="F269" s="13">
        <f>VLOOKUP(E269,'LISTA ITEMS'!$E$2:$G$875,2,FALSE)</f>
        <v>0</v>
      </c>
      <c r="G269" s="25">
        <f>VLOOKUP(E269,'LISTA ITEMS'!$E$2:$G$875,3,FALSE)</f>
        <v>0</v>
      </c>
      <c r="H269" s="76"/>
      <c r="I269" s="75">
        <v>0</v>
      </c>
      <c r="J269" s="27"/>
      <c r="K269" s="13"/>
      <c r="L269" s="67"/>
      <c r="M269" s="56"/>
      <c r="N269" s="55"/>
      <c r="O269" s="13"/>
      <c r="P269" s="71"/>
      <c r="Q269" s="31"/>
      <c r="R269" s="26">
        <f>+I269+L269+N269-P269</f>
        <v>0</v>
      </c>
      <c r="S269" s="85"/>
      <c r="T269" s="84"/>
      <c r="U269" s="27"/>
      <c r="V269" s="13"/>
      <c r="W269" s="67"/>
      <c r="X269" s="56"/>
      <c r="Y269" s="55"/>
      <c r="Z269" s="13"/>
      <c r="AA269" s="71"/>
      <c r="AB269" s="31"/>
      <c r="AC269" s="26">
        <f>+R269+W269+Y269-AA269</f>
        <v>0</v>
      </c>
      <c r="AD269" s="25"/>
      <c r="AE269" s="25"/>
      <c r="AF269" s="13"/>
      <c r="AG269" s="13"/>
      <c r="AH269" s="13"/>
    </row>
    <row r="270" spans="1:34" x14ac:dyDescent="0.3">
      <c r="A270" s="65">
        <v>267</v>
      </c>
      <c r="B270" s="25"/>
      <c r="C270" s="25"/>
      <c r="D270" s="25"/>
      <c r="E270" s="30" t="str">
        <f>CONCATENATE(B270,"-",C270,"-",D270)</f>
        <v>--</v>
      </c>
      <c r="F270" s="13">
        <f>VLOOKUP(E270,'LISTA ITEMS'!$E$2:$G$875,2,FALSE)</f>
        <v>0</v>
      </c>
      <c r="G270" s="25">
        <f>VLOOKUP(E270,'LISTA ITEMS'!$E$2:$G$875,3,FALSE)</f>
        <v>0</v>
      </c>
      <c r="H270" s="76"/>
      <c r="I270" s="75">
        <v>0</v>
      </c>
      <c r="J270" s="27"/>
      <c r="K270" s="13"/>
      <c r="L270" s="67"/>
      <c r="M270" s="56"/>
      <c r="N270" s="55"/>
      <c r="O270" s="13"/>
      <c r="P270" s="71"/>
      <c r="Q270" s="31"/>
      <c r="R270" s="26">
        <f>+I270+L270+N270-P270</f>
        <v>0</v>
      </c>
      <c r="S270" s="85"/>
      <c r="T270" s="84"/>
      <c r="U270" s="27"/>
      <c r="V270" s="13"/>
      <c r="W270" s="67"/>
      <c r="X270" s="56"/>
      <c r="Y270" s="55"/>
      <c r="Z270" s="13"/>
      <c r="AA270" s="71"/>
      <c r="AB270" s="31"/>
      <c r="AC270" s="26">
        <f>+R270+W270+Y270-AA270</f>
        <v>0</v>
      </c>
      <c r="AD270" s="25"/>
      <c r="AE270" s="25"/>
      <c r="AF270" s="13"/>
      <c r="AG270" s="13"/>
      <c r="AH270" s="13"/>
    </row>
    <row r="271" spans="1:34" x14ac:dyDescent="0.3">
      <c r="A271" s="65">
        <v>268</v>
      </c>
      <c r="B271" s="25"/>
      <c r="C271" s="25"/>
      <c r="D271" s="25"/>
      <c r="E271" s="30" t="str">
        <f>CONCATENATE(B271,"-",C271,"-",D271)</f>
        <v>--</v>
      </c>
      <c r="F271" s="13">
        <f>VLOOKUP(E271,'LISTA ITEMS'!$E$2:$G$875,2,FALSE)</f>
        <v>0</v>
      </c>
      <c r="G271" s="25">
        <f>VLOOKUP(E271,'LISTA ITEMS'!$E$2:$G$875,3,FALSE)</f>
        <v>0</v>
      </c>
      <c r="H271" s="76"/>
      <c r="I271" s="75">
        <v>0</v>
      </c>
      <c r="J271" s="27"/>
      <c r="K271" s="13"/>
      <c r="L271" s="67"/>
      <c r="M271" s="56"/>
      <c r="N271" s="55"/>
      <c r="O271" s="13"/>
      <c r="P271" s="71"/>
      <c r="Q271" s="31"/>
      <c r="R271" s="26">
        <f>+I271+L271+N271-P271</f>
        <v>0</v>
      </c>
      <c r="S271" s="85"/>
      <c r="T271" s="84"/>
      <c r="U271" s="27"/>
      <c r="V271" s="13"/>
      <c r="W271" s="67"/>
      <c r="X271" s="56"/>
      <c r="Y271" s="55"/>
      <c r="Z271" s="13"/>
      <c r="AA271" s="71"/>
      <c r="AB271" s="31"/>
      <c r="AC271" s="26">
        <f>+R271+W271+Y271-AA271</f>
        <v>0</v>
      </c>
      <c r="AD271" s="25"/>
      <c r="AE271" s="25"/>
      <c r="AF271" s="13"/>
      <c r="AG271" s="13"/>
      <c r="AH271" s="13"/>
    </row>
    <row r="272" spans="1:34" x14ac:dyDescent="0.3">
      <c r="A272" s="65">
        <v>269</v>
      </c>
      <c r="B272" s="25"/>
      <c r="C272" s="25"/>
      <c r="D272" s="25"/>
      <c r="E272" s="30" t="str">
        <f>CONCATENATE(B272,"-",C272,"-",D272)</f>
        <v>--</v>
      </c>
      <c r="F272" s="13">
        <f>VLOOKUP(E272,'LISTA ITEMS'!$E$2:$G$875,2,FALSE)</f>
        <v>0</v>
      </c>
      <c r="G272" s="25">
        <f>VLOOKUP(E272,'LISTA ITEMS'!$E$2:$G$875,3,FALSE)</f>
        <v>0</v>
      </c>
      <c r="H272" s="76"/>
      <c r="I272" s="75">
        <v>0</v>
      </c>
      <c r="J272" s="27"/>
      <c r="K272" s="13"/>
      <c r="L272" s="67"/>
      <c r="M272" s="56"/>
      <c r="N272" s="55"/>
      <c r="O272" s="13"/>
      <c r="P272" s="71"/>
      <c r="Q272" s="31"/>
      <c r="R272" s="26">
        <f>+I272+L272+N272-P272</f>
        <v>0</v>
      </c>
      <c r="S272" s="85"/>
      <c r="T272" s="84"/>
      <c r="U272" s="27"/>
      <c r="V272" s="13"/>
      <c r="W272" s="67"/>
      <c r="X272" s="56"/>
      <c r="Y272" s="55"/>
      <c r="Z272" s="13"/>
      <c r="AA272" s="71"/>
      <c r="AB272" s="31"/>
      <c r="AC272" s="26">
        <f>+R272+W272+Y272-AA272</f>
        <v>0</v>
      </c>
      <c r="AD272" s="25"/>
      <c r="AE272" s="25"/>
      <c r="AF272" s="13"/>
      <c r="AG272" s="13"/>
      <c r="AH272" s="13"/>
    </row>
    <row r="273" spans="1:34" x14ac:dyDescent="0.3">
      <c r="A273" s="65">
        <v>270</v>
      </c>
      <c r="B273" s="25"/>
      <c r="C273" s="25"/>
      <c r="D273" s="25"/>
      <c r="E273" s="30" t="str">
        <f>CONCATENATE(B273,"-",C273,"-",D273)</f>
        <v>--</v>
      </c>
      <c r="F273" s="13">
        <f>VLOOKUP(E273,'LISTA ITEMS'!$E$2:$G$875,2,FALSE)</f>
        <v>0</v>
      </c>
      <c r="G273" s="25">
        <f>VLOOKUP(E273,'LISTA ITEMS'!$E$2:$G$875,3,FALSE)</f>
        <v>0</v>
      </c>
      <c r="H273" s="76"/>
      <c r="I273" s="75">
        <v>0</v>
      </c>
      <c r="J273" s="27"/>
      <c r="K273" s="13"/>
      <c r="L273" s="67"/>
      <c r="M273" s="56"/>
      <c r="N273" s="55"/>
      <c r="O273" s="13"/>
      <c r="P273" s="71"/>
      <c r="Q273" s="31"/>
      <c r="R273" s="26">
        <f>+I273+L273+N273-P273</f>
        <v>0</v>
      </c>
      <c r="S273" s="85"/>
      <c r="T273" s="84"/>
      <c r="U273" s="27"/>
      <c r="V273" s="13"/>
      <c r="W273" s="67"/>
      <c r="X273" s="56"/>
      <c r="Y273" s="55"/>
      <c r="Z273" s="13"/>
      <c r="AA273" s="71"/>
      <c r="AB273" s="31"/>
      <c r="AC273" s="26">
        <f>+R273+W273+Y273-AA273</f>
        <v>0</v>
      </c>
      <c r="AD273" s="25"/>
      <c r="AE273" s="25"/>
      <c r="AF273" s="13"/>
      <c r="AG273" s="13"/>
      <c r="AH273" s="13"/>
    </row>
    <row r="274" spans="1:34" x14ac:dyDescent="0.3">
      <c r="A274" s="65">
        <v>271</v>
      </c>
      <c r="B274" s="25"/>
      <c r="C274" s="25"/>
      <c r="D274" s="25"/>
      <c r="E274" s="30" t="str">
        <f>CONCATENATE(B274,"-",C274,"-",D274)</f>
        <v>--</v>
      </c>
      <c r="F274" s="13">
        <f>VLOOKUP(E274,'LISTA ITEMS'!$E$2:$G$875,2,FALSE)</f>
        <v>0</v>
      </c>
      <c r="G274" s="25">
        <f>VLOOKUP(E274,'LISTA ITEMS'!$E$2:$G$875,3,FALSE)</f>
        <v>0</v>
      </c>
      <c r="H274" s="76"/>
      <c r="I274" s="75">
        <v>0</v>
      </c>
      <c r="J274" s="27"/>
      <c r="K274" s="13"/>
      <c r="L274" s="67"/>
      <c r="M274" s="56"/>
      <c r="N274" s="55"/>
      <c r="O274" s="13"/>
      <c r="P274" s="71"/>
      <c r="Q274" s="31"/>
      <c r="R274" s="26">
        <f>+I274+L274+N274-P274</f>
        <v>0</v>
      </c>
      <c r="S274" s="85"/>
      <c r="T274" s="84"/>
      <c r="U274" s="27"/>
      <c r="V274" s="13"/>
      <c r="W274" s="67"/>
      <c r="X274" s="56"/>
      <c r="Y274" s="55"/>
      <c r="Z274" s="13"/>
      <c r="AA274" s="71"/>
      <c r="AB274" s="31"/>
      <c r="AC274" s="26">
        <f>+R274+W274+Y274-AA274</f>
        <v>0</v>
      </c>
      <c r="AD274" s="25"/>
      <c r="AE274" s="25"/>
      <c r="AF274" s="13"/>
      <c r="AG274" s="13"/>
      <c r="AH274" s="13"/>
    </row>
    <row r="275" spans="1:34" x14ac:dyDescent="0.3">
      <c r="A275" s="65">
        <v>272</v>
      </c>
      <c r="B275" s="25"/>
      <c r="C275" s="25"/>
      <c r="D275" s="25"/>
      <c r="E275" s="30" t="str">
        <f>CONCATENATE(B275,"-",C275,"-",D275)</f>
        <v>--</v>
      </c>
      <c r="F275" s="13">
        <f>VLOOKUP(E275,'LISTA ITEMS'!$E$2:$G$875,2,FALSE)</f>
        <v>0</v>
      </c>
      <c r="G275" s="25">
        <f>VLOOKUP(E275,'LISTA ITEMS'!$E$2:$G$875,3,FALSE)</f>
        <v>0</v>
      </c>
      <c r="H275" s="76"/>
      <c r="I275" s="75">
        <v>0</v>
      </c>
      <c r="J275" s="27"/>
      <c r="K275" s="13"/>
      <c r="L275" s="67"/>
      <c r="M275" s="56"/>
      <c r="N275" s="55"/>
      <c r="O275" s="13"/>
      <c r="P275" s="71"/>
      <c r="Q275" s="31"/>
      <c r="R275" s="26">
        <f>+I275+L275+N275-P275</f>
        <v>0</v>
      </c>
      <c r="S275" s="85"/>
      <c r="T275" s="84"/>
      <c r="U275" s="27"/>
      <c r="V275" s="13"/>
      <c r="W275" s="67"/>
      <c r="X275" s="56"/>
      <c r="Y275" s="55"/>
      <c r="Z275" s="13"/>
      <c r="AA275" s="71"/>
      <c r="AB275" s="31"/>
      <c r="AC275" s="26">
        <f>+R275+W275+Y275-AA275</f>
        <v>0</v>
      </c>
      <c r="AD275" s="25"/>
      <c r="AE275" s="25"/>
      <c r="AF275" s="13"/>
      <c r="AG275" s="13"/>
      <c r="AH275" s="13"/>
    </row>
    <row r="276" spans="1:34" x14ac:dyDescent="0.3">
      <c r="A276" s="65">
        <v>273</v>
      </c>
      <c r="B276" s="25"/>
      <c r="C276" s="25"/>
      <c r="D276" s="25"/>
      <c r="E276" s="30" t="str">
        <f>CONCATENATE(B276,"-",C276,"-",D276)</f>
        <v>--</v>
      </c>
      <c r="F276" s="13">
        <f>VLOOKUP(E276,'LISTA ITEMS'!$E$2:$G$875,2,FALSE)</f>
        <v>0</v>
      </c>
      <c r="G276" s="25">
        <f>VLOOKUP(E276,'LISTA ITEMS'!$E$2:$G$875,3,FALSE)</f>
        <v>0</v>
      </c>
      <c r="H276" s="76"/>
      <c r="I276" s="75">
        <v>0</v>
      </c>
      <c r="J276" s="27"/>
      <c r="K276" s="13"/>
      <c r="L276" s="67"/>
      <c r="M276" s="56"/>
      <c r="N276" s="55"/>
      <c r="O276" s="13"/>
      <c r="P276" s="71"/>
      <c r="Q276" s="31"/>
      <c r="R276" s="26">
        <f>+I276+L276+N276-P276</f>
        <v>0</v>
      </c>
      <c r="S276" s="85"/>
      <c r="T276" s="84"/>
      <c r="U276" s="27"/>
      <c r="V276" s="13"/>
      <c r="W276" s="67"/>
      <c r="X276" s="56"/>
      <c r="Y276" s="55"/>
      <c r="Z276" s="13"/>
      <c r="AA276" s="71"/>
      <c r="AB276" s="31"/>
      <c r="AC276" s="26">
        <f>+R276+W276+Y276-AA276</f>
        <v>0</v>
      </c>
      <c r="AD276" s="25"/>
      <c r="AE276" s="25"/>
      <c r="AF276" s="13"/>
      <c r="AG276" s="13"/>
      <c r="AH276" s="13"/>
    </row>
    <row r="277" spans="1:34" x14ac:dyDescent="0.3">
      <c r="A277" s="65">
        <v>274</v>
      </c>
      <c r="B277" s="25"/>
      <c r="C277" s="25"/>
      <c r="D277" s="25"/>
      <c r="E277" s="30" t="str">
        <f>CONCATENATE(B277,"-",C277,"-",D277)</f>
        <v>--</v>
      </c>
      <c r="F277" s="13">
        <f>VLOOKUP(E277,'LISTA ITEMS'!$E$2:$G$875,2,FALSE)</f>
        <v>0</v>
      </c>
      <c r="G277" s="25">
        <f>VLOOKUP(E277,'LISTA ITEMS'!$E$2:$G$875,3,FALSE)</f>
        <v>0</v>
      </c>
      <c r="H277" s="76"/>
      <c r="I277" s="75">
        <v>0</v>
      </c>
      <c r="J277" s="27"/>
      <c r="K277" s="13"/>
      <c r="L277" s="67"/>
      <c r="M277" s="56"/>
      <c r="N277" s="55"/>
      <c r="O277" s="13"/>
      <c r="P277" s="71"/>
      <c r="Q277" s="31"/>
      <c r="R277" s="26">
        <f>+I277+L277+N277-P277</f>
        <v>0</v>
      </c>
      <c r="S277" s="85"/>
      <c r="T277" s="84"/>
      <c r="U277" s="27"/>
      <c r="V277" s="13"/>
      <c r="W277" s="67"/>
      <c r="X277" s="56"/>
      <c r="Y277" s="55"/>
      <c r="Z277" s="13"/>
      <c r="AA277" s="71"/>
      <c r="AB277" s="31"/>
      <c r="AC277" s="26">
        <f>+R277+W277+Y277-AA277</f>
        <v>0</v>
      </c>
      <c r="AD277" s="25"/>
      <c r="AE277" s="25"/>
      <c r="AF277" s="13"/>
      <c r="AG277" s="13"/>
      <c r="AH277" s="13"/>
    </row>
    <row r="278" spans="1:34" x14ac:dyDescent="0.3">
      <c r="A278" s="65">
        <v>275</v>
      </c>
      <c r="B278" s="25"/>
      <c r="C278" s="25"/>
      <c r="D278" s="25"/>
      <c r="E278" s="30" t="str">
        <f>CONCATENATE(B278,"-",C278,"-",D278)</f>
        <v>--</v>
      </c>
      <c r="F278" s="13">
        <f>VLOOKUP(E278,'LISTA ITEMS'!$E$2:$G$875,2,FALSE)</f>
        <v>0</v>
      </c>
      <c r="G278" s="25">
        <f>VLOOKUP(E278,'LISTA ITEMS'!$E$2:$G$875,3,FALSE)</f>
        <v>0</v>
      </c>
      <c r="H278" s="76"/>
      <c r="I278" s="75">
        <v>0</v>
      </c>
      <c r="J278" s="27"/>
      <c r="K278" s="13"/>
      <c r="L278" s="67"/>
      <c r="M278" s="56"/>
      <c r="N278" s="55"/>
      <c r="O278" s="13"/>
      <c r="P278" s="71"/>
      <c r="Q278" s="31"/>
      <c r="R278" s="26">
        <f>+I278+L278+N278-P278</f>
        <v>0</v>
      </c>
      <c r="S278" s="85"/>
      <c r="T278" s="84"/>
      <c r="U278" s="27"/>
      <c r="V278" s="13"/>
      <c r="W278" s="67"/>
      <c r="X278" s="56"/>
      <c r="Y278" s="55"/>
      <c r="Z278" s="13"/>
      <c r="AA278" s="71"/>
      <c r="AB278" s="31"/>
      <c r="AC278" s="26">
        <f>+R278+W278+Y278-AA278</f>
        <v>0</v>
      </c>
      <c r="AD278" s="25"/>
      <c r="AE278" s="25"/>
      <c r="AF278" s="13"/>
      <c r="AG278" s="13"/>
      <c r="AH278" s="13"/>
    </row>
    <row r="279" spans="1:34" x14ac:dyDescent="0.3">
      <c r="A279" s="65">
        <v>276</v>
      </c>
      <c r="B279" s="25"/>
      <c r="C279" s="25"/>
      <c r="D279" s="25"/>
      <c r="E279" s="30" t="str">
        <f>CONCATENATE(B279,"-",C279,"-",D279)</f>
        <v>--</v>
      </c>
      <c r="F279" s="13">
        <f>VLOOKUP(E279,'LISTA ITEMS'!$E$2:$G$875,2,FALSE)</f>
        <v>0</v>
      </c>
      <c r="G279" s="25">
        <f>VLOOKUP(E279,'LISTA ITEMS'!$E$2:$G$875,3,FALSE)</f>
        <v>0</v>
      </c>
      <c r="H279" s="76"/>
      <c r="I279" s="75">
        <v>0</v>
      </c>
      <c r="J279" s="27"/>
      <c r="K279" s="13"/>
      <c r="L279" s="67"/>
      <c r="M279" s="56"/>
      <c r="N279" s="55"/>
      <c r="O279" s="13"/>
      <c r="P279" s="71"/>
      <c r="Q279" s="31"/>
      <c r="R279" s="26">
        <f>+I279+L279+N279-P279</f>
        <v>0</v>
      </c>
      <c r="S279" s="85"/>
      <c r="T279" s="84"/>
      <c r="U279" s="27"/>
      <c r="V279" s="13"/>
      <c r="W279" s="67"/>
      <c r="X279" s="56"/>
      <c r="Y279" s="55"/>
      <c r="Z279" s="13"/>
      <c r="AA279" s="71"/>
      <c r="AB279" s="31"/>
      <c r="AC279" s="26">
        <f>+R279+W279+Y279-AA279</f>
        <v>0</v>
      </c>
      <c r="AD279" s="25"/>
      <c r="AE279" s="25"/>
      <c r="AF279" s="13"/>
      <c r="AG279" s="13"/>
      <c r="AH279" s="13"/>
    </row>
    <row r="280" spans="1:34" x14ac:dyDescent="0.3">
      <c r="A280" s="65">
        <v>277</v>
      </c>
      <c r="B280" s="25"/>
      <c r="C280" s="25"/>
      <c r="D280" s="25"/>
      <c r="E280" s="30" t="str">
        <f>CONCATENATE(B280,"-",C280,"-",D280)</f>
        <v>--</v>
      </c>
      <c r="F280" s="13">
        <f>VLOOKUP(E280,'LISTA ITEMS'!$E$2:$G$875,2,FALSE)</f>
        <v>0</v>
      </c>
      <c r="G280" s="25">
        <f>VLOOKUP(E280,'LISTA ITEMS'!$E$2:$G$875,3,FALSE)</f>
        <v>0</v>
      </c>
      <c r="H280" s="76"/>
      <c r="I280" s="75">
        <v>0</v>
      </c>
      <c r="J280" s="27"/>
      <c r="K280" s="13"/>
      <c r="L280" s="67"/>
      <c r="M280" s="56"/>
      <c r="N280" s="55"/>
      <c r="O280" s="13"/>
      <c r="P280" s="71"/>
      <c r="Q280" s="31"/>
      <c r="R280" s="26">
        <f>+I280+L280+N280-P280</f>
        <v>0</v>
      </c>
      <c r="S280" s="85"/>
      <c r="T280" s="84"/>
      <c r="U280" s="27"/>
      <c r="V280" s="13"/>
      <c r="W280" s="67"/>
      <c r="X280" s="56"/>
      <c r="Y280" s="55"/>
      <c r="Z280" s="13"/>
      <c r="AA280" s="71"/>
      <c r="AB280" s="31"/>
      <c r="AC280" s="26">
        <f>+R280+W280+Y280-AA280</f>
        <v>0</v>
      </c>
      <c r="AD280" s="25"/>
      <c r="AE280" s="25"/>
      <c r="AF280" s="13"/>
      <c r="AG280" s="13"/>
      <c r="AH280" s="13"/>
    </row>
    <row r="281" spans="1:34" x14ac:dyDescent="0.3">
      <c r="A281" s="65">
        <v>278</v>
      </c>
      <c r="B281" s="25"/>
      <c r="C281" s="25"/>
      <c r="D281" s="25"/>
      <c r="E281" s="30" t="str">
        <f>CONCATENATE(B281,"-",C281,"-",D281)</f>
        <v>--</v>
      </c>
      <c r="F281" s="13">
        <f>VLOOKUP(E281,'LISTA ITEMS'!$E$2:$G$875,2,FALSE)</f>
        <v>0</v>
      </c>
      <c r="G281" s="25">
        <f>VLOOKUP(E281,'LISTA ITEMS'!$E$2:$G$875,3,FALSE)</f>
        <v>0</v>
      </c>
      <c r="H281" s="76"/>
      <c r="I281" s="75">
        <v>0</v>
      </c>
      <c r="J281" s="27"/>
      <c r="K281" s="13"/>
      <c r="L281" s="67"/>
      <c r="M281" s="56"/>
      <c r="N281" s="55"/>
      <c r="O281" s="13"/>
      <c r="P281" s="71"/>
      <c r="Q281" s="31"/>
      <c r="R281" s="26">
        <f>+I281+L281+N281-P281</f>
        <v>0</v>
      </c>
      <c r="S281" s="85"/>
      <c r="T281" s="84"/>
      <c r="U281" s="27"/>
      <c r="V281" s="13"/>
      <c r="W281" s="67"/>
      <c r="X281" s="56"/>
      <c r="Y281" s="55"/>
      <c r="Z281" s="13"/>
      <c r="AA281" s="71"/>
      <c r="AB281" s="31"/>
      <c r="AC281" s="26">
        <f>+R281+W281+Y281-AA281</f>
        <v>0</v>
      </c>
      <c r="AD281" s="25"/>
      <c r="AE281" s="25"/>
      <c r="AF281" s="13"/>
      <c r="AG281" s="13"/>
      <c r="AH281" s="13"/>
    </row>
    <row r="282" spans="1:34" x14ac:dyDescent="0.3">
      <c r="A282" s="65">
        <v>279</v>
      </c>
      <c r="B282" s="25"/>
      <c r="C282" s="25"/>
      <c r="D282" s="25"/>
      <c r="E282" s="30" t="str">
        <f>CONCATENATE(B282,"-",C282,"-",D282)</f>
        <v>--</v>
      </c>
      <c r="F282" s="13">
        <f>VLOOKUP(E282,'LISTA ITEMS'!$E$2:$G$875,2,FALSE)</f>
        <v>0</v>
      </c>
      <c r="G282" s="25">
        <f>VLOOKUP(E282,'LISTA ITEMS'!$E$2:$G$875,3,FALSE)</f>
        <v>0</v>
      </c>
      <c r="H282" s="76"/>
      <c r="I282" s="75">
        <v>0</v>
      </c>
      <c r="J282" s="27"/>
      <c r="K282" s="13"/>
      <c r="L282" s="67"/>
      <c r="M282" s="56"/>
      <c r="N282" s="55"/>
      <c r="O282" s="13"/>
      <c r="P282" s="71"/>
      <c r="Q282" s="31"/>
      <c r="R282" s="26">
        <f>+I282+L282+N282-P282</f>
        <v>0</v>
      </c>
      <c r="S282" s="85"/>
      <c r="T282" s="84"/>
      <c r="U282" s="27"/>
      <c r="V282" s="13"/>
      <c r="W282" s="67"/>
      <c r="X282" s="56"/>
      <c r="Y282" s="55"/>
      <c r="Z282" s="13"/>
      <c r="AA282" s="71"/>
      <c r="AB282" s="31"/>
      <c r="AC282" s="26">
        <f>+R282+W282+Y282-AA282</f>
        <v>0</v>
      </c>
      <c r="AD282" s="25"/>
      <c r="AE282" s="25"/>
      <c r="AF282" s="13"/>
      <c r="AG282" s="13"/>
      <c r="AH282" s="13"/>
    </row>
    <row r="283" spans="1:34" x14ac:dyDescent="0.3">
      <c r="A283" s="65">
        <v>280</v>
      </c>
      <c r="B283" s="25"/>
      <c r="C283" s="25"/>
      <c r="D283" s="25"/>
      <c r="E283" s="30" t="str">
        <f>CONCATENATE(B283,"-",C283,"-",D283)</f>
        <v>--</v>
      </c>
      <c r="F283" s="13">
        <f>VLOOKUP(E283,'LISTA ITEMS'!$E$2:$G$875,2,FALSE)</f>
        <v>0</v>
      </c>
      <c r="G283" s="25">
        <f>VLOOKUP(E283,'LISTA ITEMS'!$E$2:$G$875,3,FALSE)</f>
        <v>0</v>
      </c>
      <c r="H283" s="76"/>
      <c r="I283" s="75">
        <v>0</v>
      </c>
      <c r="J283" s="27"/>
      <c r="K283" s="13"/>
      <c r="L283" s="67"/>
      <c r="M283" s="56"/>
      <c r="N283" s="55"/>
      <c r="O283" s="13"/>
      <c r="P283" s="71"/>
      <c r="Q283" s="31"/>
      <c r="R283" s="26">
        <f>+I283+L283+N283-P283</f>
        <v>0</v>
      </c>
      <c r="S283" s="85"/>
      <c r="T283" s="84"/>
      <c r="U283" s="27"/>
      <c r="V283" s="13"/>
      <c r="W283" s="67"/>
      <c r="X283" s="56"/>
      <c r="Y283" s="55"/>
      <c r="Z283" s="13"/>
      <c r="AA283" s="71"/>
      <c r="AB283" s="31"/>
      <c r="AC283" s="26">
        <f>+R283+W283+Y283-AA283</f>
        <v>0</v>
      </c>
      <c r="AD283" s="25"/>
      <c r="AE283" s="25"/>
      <c r="AF283" s="13"/>
      <c r="AG283" s="13"/>
      <c r="AH283" s="13"/>
    </row>
    <row r="284" spans="1:34" x14ac:dyDescent="0.3">
      <c r="A284" s="65">
        <v>281</v>
      </c>
      <c r="B284" s="25"/>
      <c r="C284" s="25"/>
      <c r="D284" s="25"/>
      <c r="E284" s="30" t="str">
        <f>CONCATENATE(B284,"-",C284,"-",D284)</f>
        <v>--</v>
      </c>
      <c r="F284" s="13">
        <f>VLOOKUP(E284,'LISTA ITEMS'!$E$2:$G$875,2,FALSE)</f>
        <v>0</v>
      </c>
      <c r="G284" s="25">
        <f>VLOOKUP(E284,'LISTA ITEMS'!$E$2:$G$875,3,FALSE)</f>
        <v>0</v>
      </c>
      <c r="H284" s="76"/>
      <c r="I284" s="75">
        <v>0</v>
      </c>
      <c r="J284" s="27"/>
      <c r="K284" s="13"/>
      <c r="L284" s="67"/>
      <c r="M284" s="56"/>
      <c r="N284" s="55"/>
      <c r="O284" s="13"/>
      <c r="P284" s="71"/>
      <c r="Q284" s="31"/>
      <c r="R284" s="26">
        <f>+I284+L284+N284-P284</f>
        <v>0</v>
      </c>
      <c r="S284" s="85"/>
      <c r="T284" s="84"/>
      <c r="U284" s="27"/>
      <c r="V284" s="13"/>
      <c r="W284" s="67"/>
      <c r="X284" s="56"/>
      <c r="Y284" s="55"/>
      <c r="Z284" s="13"/>
      <c r="AA284" s="71"/>
      <c r="AB284" s="31"/>
      <c r="AC284" s="26">
        <f>+R284+W284+Y284-AA284</f>
        <v>0</v>
      </c>
      <c r="AD284" s="25"/>
      <c r="AE284" s="25"/>
      <c r="AF284" s="13"/>
      <c r="AG284" s="13"/>
      <c r="AH284" s="13"/>
    </row>
    <row r="285" spans="1:34" x14ac:dyDescent="0.3">
      <c r="A285" s="65">
        <v>282</v>
      </c>
      <c r="B285" s="25"/>
      <c r="C285" s="25"/>
      <c r="D285" s="25"/>
      <c r="E285" s="30" t="str">
        <f>CONCATENATE(B285,"-",C285,"-",D285)</f>
        <v>--</v>
      </c>
      <c r="F285" s="13">
        <f>VLOOKUP(E285,'LISTA ITEMS'!$E$2:$G$875,2,FALSE)</f>
        <v>0</v>
      </c>
      <c r="G285" s="25">
        <f>VLOOKUP(E285,'LISTA ITEMS'!$E$2:$G$875,3,FALSE)</f>
        <v>0</v>
      </c>
      <c r="H285" s="76"/>
      <c r="I285" s="75">
        <v>0</v>
      </c>
      <c r="J285" s="27"/>
      <c r="K285" s="13"/>
      <c r="L285" s="67"/>
      <c r="M285" s="56"/>
      <c r="N285" s="55"/>
      <c r="O285" s="13"/>
      <c r="P285" s="71"/>
      <c r="Q285" s="31"/>
      <c r="R285" s="26">
        <f>+I285+L285+N285-P285</f>
        <v>0</v>
      </c>
      <c r="S285" s="85"/>
      <c r="T285" s="84"/>
      <c r="U285" s="27"/>
      <c r="V285" s="13"/>
      <c r="W285" s="67"/>
      <c r="X285" s="56"/>
      <c r="Y285" s="55"/>
      <c r="Z285" s="13"/>
      <c r="AA285" s="71"/>
      <c r="AB285" s="31"/>
      <c r="AC285" s="26">
        <f>+R285+W285+Y285-AA285</f>
        <v>0</v>
      </c>
      <c r="AD285" s="25"/>
      <c r="AE285" s="25"/>
      <c r="AF285" s="13"/>
      <c r="AG285" s="13"/>
      <c r="AH285" s="13"/>
    </row>
    <row r="286" spans="1:34" x14ac:dyDescent="0.3">
      <c r="A286" s="65">
        <v>283</v>
      </c>
      <c r="B286" s="25"/>
      <c r="C286" s="25"/>
      <c r="D286" s="25"/>
      <c r="E286" s="30" t="str">
        <f>CONCATENATE(B286,"-",C286,"-",D286)</f>
        <v>--</v>
      </c>
      <c r="F286" s="13">
        <f>VLOOKUP(E286,'LISTA ITEMS'!$E$2:$G$875,2,FALSE)</f>
        <v>0</v>
      </c>
      <c r="G286" s="25">
        <f>VLOOKUP(E286,'LISTA ITEMS'!$E$2:$G$875,3,FALSE)</f>
        <v>0</v>
      </c>
      <c r="H286" s="76"/>
      <c r="I286" s="75">
        <v>0</v>
      </c>
      <c r="J286" s="27"/>
      <c r="K286" s="13"/>
      <c r="L286" s="67"/>
      <c r="M286" s="56"/>
      <c r="N286" s="55"/>
      <c r="O286" s="13"/>
      <c r="P286" s="71"/>
      <c r="Q286" s="31"/>
      <c r="R286" s="26">
        <f>+I286+L286+N286-P286</f>
        <v>0</v>
      </c>
      <c r="S286" s="85"/>
      <c r="T286" s="84"/>
      <c r="U286" s="27"/>
      <c r="V286" s="13"/>
      <c r="W286" s="67"/>
      <c r="X286" s="56"/>
      <c r="Y286" s="55"/>
      <c r="Z286" s="13"/>
      <c r="AA286" s="71"/>
      <c r="AB286" s="31"/>
      <c r="AC286" s="26">
        <f>+R286+W286+Y286-AA286</f>
        <v>0</v>
      </c>
      <c r="AD286" s="25"/>
      <c r="AE286" s="25"/>
      <c r="AF286" s="13"/>
      <c r="AG286" s="13"/>
      <c r="AH286" s="13"/>
    </row>
    <row r="287" spans="1:34" x14ac:dyDescent="0.3">
      <c r="A287" s="65">
        <v>284</v>
      </c>
      <c r="B287" s="25"/>
      <c r="C287" s="25"/>
      <c r="D287" s="25"/>
      <c r="E287" s="30" t="str">
        <f>CONCATENATE(B287,"-",C287,"-",D287)</f>
        <v>--</v>
      </c>
      <c r="F287" s="13">
        <f>VLOOKUP(E287,'LISTA ITEMS'!$E$2:$G$875,2,FALSE)</f>
        <v>0</v>
      </c>
      <c r="G287" s="25">
        <f>VLOOKUP(E287,'LISTA ITEMS'!$E$2:$G$875,3,FALSE)</f>
        <v>0</v>
      </c>
      <c r="H287" s="76"/>
      <c r="I287" s="75">
        <v>0</v>
      </c>
      <c r="J287" s="27"/>
      <c r="K287" s="13"/>
      <c r="L287" s="67"/>
      <c r="M287" s="56"/>
      <c r="N287" s="55"/>
      <c r="O287" s="13"/>
      <c r="P287" s="71"/>
      <c r="Q287" s="31"/>
      <c r="R287" s="26">
        <f>+I287+L287+N287-P287</f>
        <v>0</v>
      </c>
      <c r="S287" s="85"/>
      <c r="T287" s="84"/>
      <c r="U287" s="27"/>
      <c r="V287" s="13"/>
      <c r="W287" s="67"/>
      <c r="X287" s="56"/>
      <c r="Y287" s="55"/>
      <c r="Z287" s="13"/>
      <c r="AA287" s="71"/>
      <c r="AB287" s="31"/>
      <c r="AC287" s="26">
        <f>+R287+W287+Y287-AA287</f>
        <v>0</v>
      </c>
      <c r="AD287" s="25"/>
      <c r="AE287" s="25"/>
      <c r="AF287" s="13"/>
      <c r="AG287" s="13"/>
      <c r="AH287" s="13"/>
    </row>
    <row r="288" spans="1:34" x14ac:dyDescent="0.3">
      <c r="A288" s="65">
        <v>285</v>
      </c>
      <c r="B288" s="25"/>
      <c r="C288" s="25"/>
      <c r="D288" s="25"/>
      <c r="E288" s="30" t="str">
        <f>CONCATENATE(B288,"-",C288,"-",D288)</f>
        <v>--</v>
      </c>
      <c r="F288" s="13">
        <f>VLOOKUP(E288,'LISTA ITEMS'!$E$2:$G$875,2,FALSE)</f>
        <v>0</v>
      </c>
      <c r="G288" s="25">
        <f>VLOOKUP(E288,'LISTA ITEMS'!$E$2:$G$875,3,FALSE)</f>
        <v>0</v>
      </c>
      <c r="H288" s="76"/>
      <c r="I288" s="75">
        <v>0</v>
      </c>
      <c r="J288" s="27"/>
      <c r="K288" s="13"/>
      <c r="L288" s="67"/>
      <c r="M288" s="56"/>
      <c r="N288" s="55"/>
      <c r="O288" s="13"/>
      <c r="P288" s="71"/>
      <c r="Q288" s="31"/>
      <c r="R288" s="26">
        <f>+I288+L288+N288-P288</f>
        <v>0</v>
      </c>
      <c r="S288" s="85"/>
      <c r="T288" s="84"/>
      <c r="U288" s="27"/>
      <c r="V288" s="13"/>
      <c r="W288" s="67"/>
      <c r="X288" s="56"/>
      <c r="Y288" s="55"/>
      <c r="Z288" s="13"/>
      <c r="AA288" s="71"/>
      <c r="AB288" s="31"/>
      <c r="AC288" s="26">
        <f>+R288+W288+Y288-AA288</f>
        <v>0</v>
      </c>
      <c r="AD288" s="25"/>
      <c r="AE288" s="25"/>
      <c r="AF288" s="13"/>
      <c r="AG288" s="13"/>
      <c r="AH288" s="13"/>
    </row>
    <row r="289" spans="1:34" x14ac:dyDescent="0.3">
      <c r="A289" s="65">
        <v>286</v>
      </c>
      <c r="B289" s="25"/>
      <c r="C289" s="25"/>
      <c r="D289" s="25"/>
      <c r="E289" s="30" t="str">
        <f>CONCATENATE(B289,"-",C289,"-",D289)</f>
        <v>--</v>
      </c>
      <c r="F289" s="13">
        <f>VLOOKUP(E289,'LISTA ITEMS'!$E$2:$G$875,2,FALSE)</f>
        <v>0</v>
      </c>
      <c r="G289" s="25">
        <f>VLOOKUP(E289,'LISTA ITEMS'!$E$2:$G$875,3,FALSE)</f>
        <v>0</v>
      </c>
      <c r="H289" s="76"/>
      <c r="I289" s="75">
        <v>0</v>
      </c>
      <c r="J289" s="27"/>
      <c r="K289" s="13"/>
      <c r="L289" s="67"/>
      <c r="M289" s="56"/>
      <c r="N289" s="55"/>
      <c r="O289" s="13"/>
      <c r="P289" s="71"/>
      <c r="Q289" s="31"/>
      <c r="R289" s="26">
        <f>+I289+L289+N289-P289</f>
        <v>0</v>
      </c>
      <c r="S289" s="85"/>
      <c r="T289" s="84"/>
      <c r="U289" s="27"/>
      <c r="V289" s="13"/>
      <c r="W289" s="67"/>
      <c r="X289" s="56"/>
      <c r="Y289" s="55"/>
      <c r="Z289" s="13"/>
      <c r="AA289" s="71"/>
      <c r="AB289" s="31"/>
      <c r="AC289" s="26">
        <f>+R289+W289+Y289-AA289</f>
        <v>0</v>
      </c>
      <c r="AD289" s="25"/>
      <c r="AE289" s="25"/>
      <c r="AF289" s="13"/>
      <c r="AG289" s="13"/>
      <c r="AH289" s="13"/>
    </row>
    <row r="290" spans="1:34" x14ac:dyDescent="0.3">
      <c r="A290" s="65">
        <v>287</v>
      </c>
      <c r="B290" s="25"/>
      <c r="C290" s="25"/>
      <c r="D290" s="25"/>
      <c r="E290" s="30" t="str">
        <f>CONCATENATE(B290,"-",C290,"-",D290)</f>
        <v>--</v>
      </c>
      <c r="F290" s="13">
        <f>VLOOKUP(E290,'LISTA ITEMS'!$E$2:$G$875,2,FALSE)</f>
        <v>0</v>
      </c>
      <c r="G290" s="25">
        <f>VLOOKUP(E290,'LISTA ITEMS'!$E$2:$G$875,3,FALSE)</f>
        <v>0</v>
      </c>
      <c r="H290" s="76"/>
      <c r="I290" s="75">
        <v>0</v>
      </c>
      <c r="J290" s="27"/>
      <c r="K290" s="13"/>
      <c r="L290" s="67"/>
      <c r="M290" s="56"/>
      <c r="N290" s="55"/>
      <c r="O290" s="13"/>
      <c r="P290" s="71"/>
      <c r="Q290" s="31"/>
      <c r="R290" s="26">
        <f>+I290+L290+N290-P290</f>
        <v>0</v>
      </c>
      <c r="S290" s="85"/>
      <c r="T290" s="84"/>
      <c r="U290" s="27"/>
      <c r="V290" s="13"/>
      <c r="W290" s="67"/>
      <c r="X290" s="56"/>
      <c r="Y290" s="55"/>
      <c r="Z290" s="13"/>
      <c r="AA290" s="71"/>
      <c r="AB290" s="31"/>
      <c r="AC290" s="26">
        <f>+R290+W290+Y290-AA290</f>
        <v>0</v>
      </c>
      <c r="AD290" s="25"/>
      <c r="AE290" s="25"/>
      <c r="AF290" s="13"/>
      <c r="AG290" s="13"/>
      <c r="AH290" s="13"/>
    </row>
    <row r="291" spans="1:34" x14ac:dyDescent="0.3">
      <c r="A291" s="65">
        <v>288</v>
      </c>
      <c r="B291" s="25"/>
      <c r="C291" s="25"/>
      <c r="D291" s="25"/>
      <c r="E291" s="30" t="str">
        <f>CONCATENATE(B291,"-",C291,"-",D291)</f>
        <v>--</v>
      </c>
      <c r="F291" s="13">
        <f>VLOOKUP(E291,'LISTA ITEMS'!$E$2:$G$875,2,FALSE)</f>
        <v>0</v>
      </c>
      <c r="G291" s="25">
        <f>VLOOKUP(E291,'LISTA ITEMS'!$E$2:$G$875,3,FALSE)</f>
        <v>0</v>
      </c>
      <c r="H291" s="76"/>
      <c r="I291" s="75">
        <v>0</v>
      </c>
      <c r="J291" s="27"/>
      <c r="K291" s="13"/>
      <c r="L291" s="67"/>
      <c r="M291" s="56"/>
      <c r="N291" s="55"/>
      <c r="O291" s="13"/>
      <c r="P291" s="71"/>
      <c r="Q291" s="31"/>
      <c r="R291" s="26">
        <f>+I291+L291+N291-P291</f>
        <v>0</v>
      </c>
      <c r="S291" s="85"/>
      <c r="T291" s="84"/>
      <c r="U291" s="27"/>
      <c r="V291" s="13"/>
      <c r="W291" s="67"/>
      <c r="X291" s="56"/>
      <c r="Y291" s="55"/>
      <c r="Z291" s="13"/>
      <c r="AA291" s="71"/>
      <c r="AB291" s="31"/>
      <c r="AC291" s="26">
        <f>+R291+W291+Y291-AA291</f>
        <v>0</v>
      </c>
      <c r="AD291" s="25"/>
      <c r="AE291" s="25"/>
      <c r="AF291" s="13"/>
      <c r="AG291" s="13"/>
      <c r="AH291" s="13"/>
    </row>
    <row r="292" spans="1:34" x14ac:dyDescent="0.3">
      <c r="A292" s="65">
        <v>289</v>
      </c>
      <c r="B292" s="25"/>
      <c r="C292" s="25"/>
      <c r="D292" s="25"/>
      <c r="E292" s="30" t="str">
        <f>CONCATENATE(B292,"-",C292,"-",D292)</f>
        <v>--</v>
      </c>
      <c r="F292" s="13">
        <f>VLOOKUP(E292,'LISTA ITEMS'!$E$2:$G$875,2,FALSE)</f>
        <v>0</v>
      </c>
      <c r="G292" s="25">
        <f>VLOOKUP(E292,'LISTA ITEMS'!$E$2:$G$875,3,FALSE)</f>
        <v>0</v>
      </c>
      <c r="H292" s="76"/>
      <c r="I292" s="75">
        <v>0</v>
      </c>
      <c r="J292" s="27"/>
      <c r="K292" s="13"/>
      <c r="L292" s="67"/>
      <c r="M292" s="56"/>
      <c r="N292" s="55"/>
      <c r="O292" s="13"/>
      <c r="P292" s="71"/>
      <c r="Q292" s="31"/>
      <c r="R292" s="26">
        <f>+I292+L292+N292-P292</f>
        <v>0</v>
      </c>
      <c r="S292" s="85"/>
      <c r="T292" s="84"/>
      <c r="U292" s="27"/>
      <c r="V292" s="13"/>
      <c r="W292" s="67"/>
      <c r="X292" s="56"/>
      <c r="Y292" s="55"/>
      <c r="Z292" s="13"/>
      <c r="AA292" s="71"/>
      <c r="AB292" s="31"/>
      <c r="AC292" s="26">
        <f>+R292+W292+Y292-AA292</f>
        <v>0</v>
      </c>
      <c r="AD292" s="25"/>
      <c r="AE292" s="25"/>
      <c r="AF292" s="13"/>
      <c r="AG292" s="13"/>
      <c r="AH292" s="13"/>
    </row>
    <row r="293" spans="1:34" x14ac:dyDescent="0.3">
      <c r="A293" s="65">
        <v>290</v>
      </c>
      <c r="B293" s="25"/>
      <c r="C293" s="25"/>
      <c r="D293" s="25"/>
      <c r="E293" s="30" t="str">
        <f>CONCATENATE(B293,"-",C293,"-",D293)</f>
        <v>--</v>
      </c>
      <c r="F293" s="13">
        <f>VLOOKUP(E293,'LISTA ITEMS'!$E$2:$G$875,2,FALSE)</f>
        <v>0</v>
      </c>
      <c r="G293" s="25">
        <f>VLOOKUP(E293,'LISTA ITEMS'!$E$2:$G$875,3,FALSE)</f>
        <v>0</v>
      </c>
      <c r="H293" s="76"/>
      <c r="I293" s="75">
        <v>0</v>
      </c>
      <c r="J293" s="27"/>
      <c r="K293" s="13"/>
      <c r="L293" s="67"/>
      <c r="M293" s="56"/>
      <c r="N293" s="55"/>
      <c r="O293" s="13"/>
      <c r="P293" s="71"/>
      <c r="Q293" s="31"/>
      <c r="R293" s="26">
        <f>+I293+L293+N293-P293</f>
        <v>0</v>
      </c>
      <c r="S293" s="85"/>
      <c r="T293" s="84"/>
      <c r="U293" s="27"/>
      <c r="V293" s="13"/>
      <c r="W293" s="67"/>
      <c r="X293" s="56"/>
      <c r="Y293" s="55"/>
      <c r="Z293" s="13"/>
      <c r="AA293" s="71"/>
      <c r="AB293" s="31"/>
      <c r="AC293" s="26">
        <f>+R293+W293+Y293-AA293</f>
        <v>0</v>
      </c>
      <c r="AD293" s="25"/>
      <c r="AE293" s="25"/>
      <c r="AF293" s="13"/>
      <c r="AG293" s="13"/>
      <c r="AH293" s="13"/>
    </row>
    <row r="294" spans="1:34" x14ac:dyDescent="0.3">
      <c r="A294" s="65">
        <v>291</v>
      </c>
      <c r="B294" s="25"/>
      <c r="C294" s="25"/>
      <c r="D294" s="25"/>
      <c r="E294" s="30" t="str">
        <f>CONCATENATE(B294,"-",C294,"-",D294)</f>
        <v>--</v>
      </c>
      <c r="F294" s="13">
        <f>VLOOKUP(E294,'LISTA ITEMS'!$E$2:$G$875,2,FALSE)</f>
        <v>0</v>
      </c>
      <c r="G294" s="25">
        <f>VLOOKUP(E294,'LISTA ITEMS'!$E$2:$G$875,3,FALSE)</f>
        <v>0</v>
      </c>
      <c r="H294" s="76"/>
      <c r="I294" s="75">
        <v>0</v>
      </c>
      <c r="J294" s="27"/>
      <c r="K294" s="13"/>
      <c r="L294" s="67"/>
      <c r="M294" s="56"/>
      <c r="N294" s="55"/>
      <c r="O294" s="13"/>
      <c r="P294" s="71"/>
      <c r="Q294" s="31"/>
      <c r="R294" s="26">
        <f>+I294+L294+N294-P294</f>
        <v>0</v>
      </c>
      <c r="S294" s="85"/>
      <c r="T294" s="84"/>
      <c r="U294" s="27"/>
      <c r="V294" s="13"/>
      <c r="W294" s="67"/>
      <c r="X294" s="56"/>
      <c r="Y294" s="55"/>
      <c r="Z294" s="13"/>
      <c r="AA294" s="71"/>
      <c r="AB294" s="31"/>
      <c r="AC294" s="26">
        <f>+R294+W294+Y294-AA294</f>
        <v>0</v>
      </c>
      <c r="AD294" s="25"/>
      <c r="AE294" s="25"/>
      <c r="AF294" s="13"/>
      <c r="AG294" s="13"/>
      <c r="AH294" s="13"/>
    </row>
    <row r="295" spans="1:34" x14ac:dyDescent="0.3">
      <c r="A295" s="65">
        <v>292</v>
      </c>
      <c r="B295" s="25"/>
      <c r="C295" s="25"/>
      <c r="D295" s="25"/>
      <c r="E295" s="30" t="str">
        <f>CONCATENATE(B295,"-",C295,"-",D295)</f>
        <v>--</v>
      </c>
      <c r="F295" s="13">
        <f>VLOOKUP(E295,'LISTA ITEMS'!$E$2:$G$875,2,FALSE)</f>
        <v>0</v>
      </c>
      <c r="G295" s="25">
        <f>VLOOKUP(E295,'LISTA ITEMS'!$E$2:$G$875,3,FALSE)</f>
        <v>0</v>
      </c>
      <c r="H295" s="76"/>
      <c r="I295" s="75">
        <v>0</v>
      </c>
      <c r="J295" s="27"/>
      <c r="K295" s="13"/>
      <c r="L295" s="67"/>
      <c r="M295" s="56"/>
      <c r="N295" s="55"/>
      <c r="O295" s="13"/>
      <c r="P295" s="71"/>
      <c r="Q295" s="31"/>
      <c r="R295" s="26">
        <f>+I295+L295+N295-P295</f>
        <v>0</v>
      </c>
      <c r="S295" s="85"/>
      <c r="T295" s="84"/>
      <c r="U295" s="27"/>
      <c r="V295" s="13"/>
      <c r="W295" s="67"/>
      <c r="X295" s="56"/>
      <c r="Y295" s="55"/>
      <c r="Z295" s="13"/>
      <c r="AA295" s="71"/>
      <c r="AB295" s="31"/>
      <c r="AC295" s="26">
        <f>+R295+W295+Y295-AA295</f>
        <v>0</v>
      </c>
      <c r="AD295" s="25"/>
      <c r="AE295" s="25"/>
      <c r="AF295" s="13"/>
      <c r="AG295" s="13"/>
      <c r="AH295" s="13"/>
    </row>
    <row r="296" spans="1:34" x14ac:dyDescent="0.3">
      <c r="A296" s="65">
        <v>293</v>
      </c>
      <c r="B296" s="25"/>
      <c r="C296" s="25"/>
      <c r="D296" s="25"/>
      <c r="E296" s="30" t="str">
        <f>CONCATENATE(B296,"-",C296,"-",D296)</f>
        <v>--</v>
      </c>
      <c r="F296" s="13">
        <f>VLOOKUP(E296,'LISTA ITEMS'!$E$2:$G$875,2,FALSE)</f>
        <v>0</v>
      </c>
      <c r="G296" s="25">
        <f>VLOOKUP(E296,'LISTA ITEMS'!$E$2:$G$875,3,FALSE)</f>
        <v>0</v>
      </c>
      <c r="H296" s="76"/>
      <c r="I296" s="75">
        <v>0</v>
      </c>
      <c r="J296" s="27"/>
      <c r="K296" s="13"/>
      <c r="L296" s="67"/>
      <c r="M296" s="56"/>
      <c r="N296" s="55"/>
      <c r="O296" s="13"/>
      <c r="P296" s="71"/>
      <c r="Q296" s="31"/>
      <c r="R296" s="26">
        <f>+I296+L296+N296-P296</f>
        <v>0</v>
      </c>
      <c r="S296" s="85"/>
      <c r="T296" s="84"/>
      <c r="U296" s="27"/>
      <c r="V296" s="13"/>
      <c r="W296" s="67"/>
      <c r="X296" s="56"/>
      <c r="Y296" s="55"/>
      <c r="Z296" s="13"/>
      <c r="AA296" s="71"/>
      <c r="AB296" s="31"/>
      <c r="AC296" s="26">
        <f>+R296+W296+Y296-AA296</f>
        <v>0</v>
      </c>
      <c r="AD296" s="25"/>
      <c r="AE296" s="25"/>
      <c r="AF296" s="13"/>
      <c r="AG296" s="13"/>
      <c r="AH296" s="13"/>
    </row>
    <row r="297" spans="1:34" x14ac:dyDescent="0.3">
      <c r="A297" s="65">
        <v>294</v>
      </c>
      <c r="B297" s="25"/>
      <c r="C297" s="25"/>
      <c r="D297" s="25"/>
      <c r="E297" s="30" t="str">
        <f>CONCATENATE(B297,"-",C297,"-",D297)</f>
        <v>--</v>
      </c>
      <c r="F297" s="13">
        <f>VLOOKUP(E297,'LISTA ITEMS'!$E$2:$G$875,2,FALSE)</f>
        <v>0</v>
      </c>
      <c r="G297" s="25">
        <f>VLOOKUP(E297,'LISTA ITEMS'!$E$2:$G$875,3,FALSE)</f>
        <v>0</v>
      </c>
      <c r="H297" s="76"/>
      <c r="I297" s="75">
        <v>0</v>
      </c>
      <c r="J297" s="27"/>
      <c r="K297" s="13"/>
      <c r="L297" s="67"/>
      <c r="M297" s="56"/>
      <c r="N297" s="55"/>
      <c r="O297" s="13"/>
      <c r="P297" s="71"/>
      <c r="Q297" s="31"/>
      <c r="R297" s="26">
        <f>+I297+L297+N297-P297</f>
        <v>0</v>
      </c>
      <c r="S297" s="85"/>
      <c r="T297" s="84"/>
      <c r="U297" s="27"/>
      <c r="V297" s="13"/>
      <c r="W297" s="67"/>
      <c r="X297" s="56"/>
      <c r="Y297" s="55"/>
      <c r="Z297" s="13"/>
      <c r="AA297" s="71"/>
      <c r="AB297" s="31"/>
      <c r="AC297" s="26">
        <f>+R297+W297+Y297-AA297</f>
        <v>0</v>
      </c>
      <c r="AD297" s="25"/>
      <c r="AE297" s="25"/>
      <c r="AF297" s="13"/>
      <c r="AG297" s="13"/>
      <c r="AH297" s="13"/>
    </row>
    <row r="298" spans="1:34" x14ac:dyDescent="0.3">
      <c r="A298" s="65">
        <v>295</v>
      </c>
      <c r="B298" s="25"/>
      <c r="C298" s="25"/>
      <c r="D298" s="25"/>
      <c r="E298" s="30" t="str">
        <f>CONCATENATE(B298,"-",C298,"-",D298)</f>
        <v>--</v>
      </c>
      <c r="F298" s="13">
        <f>VLOOKUP(E298,'LISTA ITEMS'!$E$2:$G$875,2,FALSE)</f>
        <v>0</v>
      </c>
      <c r="G298" s="25">
        <f>VLOOKUP(E298,'LISTA ITEMS'!$E$2:$G$875,3,FALSE)</f>
        <v>0</v>
      </c>
      <c r="H298" s="76"/>
      <c r="I298" s="75">
        <v>0</v>
      </c>
      <c r="J298" s="27"/>
      <c r="K298" s="13"/>
      <c r="L298" s="67"/>
      <c r="M298" s="56"/>
      <c r="N298" s="55"/>
      <c r="O298" s="13"/>
      <c r="P298" s="71"/>
      <c r="Q298" s="31"/>
      <c r="R298" s="26">
        <f>+I298+L298+N298-P298</f>
        <v>0</v>
      </c>
      <c r="S298" s="85"/>
      <c r="T298" s="84"/>
      <c r="U298" s="27"/>
      <c r="V298" s="13"/>
      <c r="W298" s="67"/>
      <c r="X298" s="56"/>
      <c r="Y298" s="55"/>
      <c r="Z298" s="13"/>
      <c r="AA298" s="71"/>
      <c r="AB298" s="31"/>
      <c r="AC298" s="26">
        <f>+R298+W298+Y298-AA298</f>
        <v>0</v>
      </c>
      <c r="AD298" s="25"/>
      <c r="AE298" s="25"/>
      <c r="AF298" s="13"/>
      <c r="AG298" s="13"/>
      <c r="AH298" s="13"/>
    </row>
    <row r="299" spans="1:34" x14ac:dyDescent="0.3">
      <c r="A299" s="65">
        <v>296</v>
      </c>
      <c r="B299" s="25"/>
      <c r="C299" s="25"/>
      <c r="D299" s="25"/>
      <c r="E299" s="30" t="str">
        <f>CONCATENATE(B299,"-",C299,"-",D299)</f>
        <v>--</v>
      </c>
      <c r="F299" s="13">
        <f>VLOOKUP(E299,'LISTA ITEMS'!$E$2:$G$875,2,FALSE)</f>
        <v>0</v>
      </c>
      <c r="G299" s="25">
        <f>VLOOKUP(E299,'LISTA ITEMS'!$E$2:$G$875,3,FALSE)</f>
        <v>0</v>
      </c>
      <c r="H299" s="76"/>
      <c r="I299" s="75">
        <v>0</v>
      </c>
      <c r="J299" s="27"/>
      <c r="K299" s="13"/>
      <c r="L299" s="67"/>
      <c r="M299" s="56"/>
      <c r="N299" s="55"/>
      <c r="O299" s="13"/>
      <c r="P299" s="71"/>
      <c r="Q299" s="31"/>
      <c r="R299" s="26">
        <f>+I299+L299+N299-P299</f>
        <v>0</v>
      </c>
      <c r="S299" s="85"/>
      <c r="T299" s="84"/>
      <c r="U299" s="27"/>
      <c r="V299" s="13"/>
      <c r="W299" s="67"/>
      <c r="X299" s="56"/>
      <c r="Y299" s="55"/>
      <c r="Z299" s="13"/>
      <c r="AA299" s="71"/>
      <c r="AB299" s="31"/>
      <c r="AC299" s="26">
        <f>+R299+W299+Y299-AA299</f>
        <v>0</v>
      </c>
      <c r="AD299" s="25"/>
      <c r="AE299" s="25"/>
      <c r="AF299" s="13"/>
      <c r="AG299" s="13"/>
      <c r="AH299" s="13"/>
    </row>
    <row r="300" spans="1:34" x14ac:dyDescent="0.3">
      <c r="A300" s="65">
        <v>297</v>
      </c>
      <c r="B300" s="25"/>
      <c r="C300" s="25"/>
      <c r="D300" s="25"/>
      <c r="E300" s="30" t="str">
        <f>CONCATENATE(B300,"-",C300,"-",D300)</f>
        <v>--</v>
      </c>
      <c r="F300" s="13">
        <f>VLOOKUP(E300,'LISTA ITEMS'!$E$2:$G$875,2,FALSE)</f>
        <v>0</v>
      </c>
      <c r="G300" s="25">
        <f>VLOOKUP(E300,'LISTA ITEMS'!$E$2:$G$875,3,FALSE)</f>
        <v>0</v>
      </c>
      <c r="H300" s="76"/>
      <c r="I300" s="75">
        <v>0</v>
      </c>
      <c r="J300" s="27"/>
      <c r="K300" s="13"/>
      <c r="L300" s="67"/>
      <c r="M300" s="56"/>
      <c r="N300" s="55"/>
      <c r="O300" s="13"/>
      <c r="P300" s="71"/>
      <c r="Q300" s="31"/>
      <c r="R300" s="26">
        <f>+I300+L300+N300-P300</f>
        <v>0</v>
      </c>
      <c r="S300" s="85"/>
      <c r="T300" s="84"/>
      <c r="U300" s="27"/>
      <c r="V300" s="13"/>
      <c r="W300" s="67"/>
      <c r="X300" s="56"/>
      <c r="Y300" s="55"/>
      <c r="Z300" s="13"/>
      <c r="AA300" s="71"/>
      <c r="AB300" s="31"/>
      <c r="AC300" s="26">
        <f>+R300+W300+Y300-AA300</f>
        <v>0</v>
      </c>
      <c r="AD300" s="25"/>
      <c r="AE300" s="25"/>
      <c r="AF300" s="13"/>
      <c r="AG300" s="13"/>
      <c r="AH300" s="13"/>
    </row>
    <row r="301" spans="1:34" x14ac:dyDescent="0.3">
      <c r="A301" s="65">
        <v>298</v>
      </c>
      <c r="B301" s="25"/>
      <c r="C301" s="25"/>
      <c r="D301" s="25"/>
      <c r="E301" s="30" t="str">
        <f>CONCATENATE(B301,"-",C301,"-",D301)</f>
        <v>--</v>
      </c>
      <c r="F301" s="13">
        <f>VLOOKUP(E301,'LISTA ITEMS'!$E$2:$G$875,2,FALSE)</f>
        <v>0</v>
      </c>
      <c r="G301" s="25">
        <f>VLOOKUP(E301,'LISTA ITEMS'!$E$2:$G$875,3,FALSE)</f>
        <v>0</v>
      </c>
      <c r="H301" s="76"/>
      <c r="I301" s="75">
        <v>0</v>
      </c>
      <c r="J301" s="27"/>
      <c r="K301" s="13"/>
      <c r="L301" s="67"/>
      <c r="M301" s="56"/>
      <c r="N301" s="55"/>
      <c r="O301" s="13"/>
      <c r="P301" s="71"/>
      <c r="Q301" s="31"/>
      <c r="R301" s="26">
        <f>+I301+L301+N301-P301</f>
        <v>0</v>
      </c>
      <c r="S301" s="85"/>
      <c r="T301" s="84"/>
      <c r="U301" s="27"/>
      <c r="V301" s="13"/>
      <c r="W301" s="67"/>
      <c r="X301" s="56"/>
      <c r="Y301" s="55"/>
      <c r="Z301" s="13"/>
      <c r="AA301" s="71"/>
      <c r="AB301" s="31"/>
      <c r="AC301" s="26">
        <f>+R301+W301+Y301-AA301</f>
        <v>0</v>
      </c>
      <c r="AD301" s="25"/>
      <c r="AE301" s="25"/>
      <c r="AF301" s="13"/>
      <c r="AG301" s="13"/>
      <c r="AH301" s="13"/>
    </row>
    <row r="302" spans="1:34" x14ac:dyDescent="0.3">
      <c r="A302" s="65">
        <v>299</v>
      </c>
      <c r="B302" s="25"/>
      <c r="C302" s="25"/>
      <c r="D302" s="25"/>
      <c r="E302" s="30" t="str">
        <f>CONCATENATE(B302,"-",C302,"-",D302)</f>
        <v>--</v>
      </c>
      <c r="F302" s="13">
        <f>VLOOKUP(E302,'LISTA ITEMS'!$E$2:$G$875,2,FALSE)</f>
        <v>0</v>
      </c>
      <c r="G302" s="25">
        <f>VLOOKUP(E302,'LISTA ITEMS'!$E$2:$G$875,3,FALSE)</f>
        <v>0</v>
      </c>
      <c r="H302" s="76"/>
      <c r="I302" s="75">
        <v>0</v>
      </c>
      <c r="J302" s="27"/>
      <c r="K302" s="13"/>
      <c r="L302" s="67"/>
      <c r="M302" s="56"/>
      <c r="N302" s="55"/>
      <c r="O302" s="13"/>
      <c r="P302" s="71"/>
      <c r="Q302" s="31"/>
      <c r="R302" s="26">
        <f>+I302+L302+N302-P302</f>
        <v>0</v>
      </c>
      <c r="S302" s="85"/>
      <c r="T302" s="84"/>
      <c r="U302" s="27"/>
      <c r="V302" s="13"/>
      <c r="W302" s="67"/>
      <c r="X302" s="56"/>
      <c r="Y302" s="55"/>
      <c r="Z302" s="13"/>
      <c r="AA302" s="71"/>
      <c r="AB302" s="31"/>
      <c r="AC302" s="26">
        <f>+R302+W302+Y302-AA302</f>
        <v>0</v>
      </c>
      <c r="AD302" s="25"/>
      <c r="AE302" s="25"/>
      <c r="AF302" s="13"/>
      <c r="AG302" s="13"/>
      <c r="AH302" s="13"/>
    </row>
    <row r="303" spans="1:34" x14ac:dyDescent="0.3">
      <c r="A303" s="65">
        <v>300</v>
      </c>
      <c r="B303" s="25"/>
      <c r="C303" s="25"/>
      <c r="D303" s="25"/>
      <c r="E303" s="30" t="str">
        <f>CONCATENATE(B303,"-",C303,"-",D303)</f>
        <v>--</v>
      </c>
      <c r="F303" s="13">
        <f>VLOOKUP(E303,'LISTA ITEMS'!$E$2:$G$875,2,FALSE)</f>
        <v>0</v>
      </c>
      <c r="G303" s="25">
        <f>VLOOKUP(E303,'LISTA ITEMS'!$E$2:$G$875,3,FALSE)</f>
        <v>0</v>
      </c>
      <c r="H303" s="76"/>
      <c r="I303" s="75">
        <v>0</v>
      </c>
      <c r="J303" s="27"/>
      <c r="K303" s="13"/>
      <c r="L303" s="67"/>
      <c r="M303" s="56"/>
      <c r="N303" s="55"/>
      <c r="O303" s="13"/>
      <c r="P303" s="71"/>
      <c r="Q303" s="31"/>
      <c r="R303" s="26">
        <f>+I303+L303+N303-P303</f>
        <v>0</v>
      </c>
      <c r="S303" s="85"/>
      <c r="T303" s="84"/>
      <c r="U303" s="27"/>
      <c r="V303" s="13"/>
      <c r="W303" s="67"/>
      <c r="X303" s="56"/>
      <c r="Y303" s="55"/>
      <c r="Z303" s="13"/>
      <c r="AA303" s="71"/>
      <c r="AB303" s="31"/>
      <c r="AC303" s="26">
        <f>+R303+W303+Y303-AA303</f>
        <v>0</v>
      </c>
      <c r="AD303" s="25"/>
      <c r="AE303" s="25"/>
      <c r="AF303" s="13"/>
      <c r="AG303" s="13"/>
      <c r="AH303" s="13"/>
    </row>
    <row r="304" spans="1:34" x14ac:dyDescent="0.3">
      <c r="A304" s="65">
        <v>301</v>
      </c>
      <c r="B304" s="25"/>
      <c r="C304" s="25"/>
      <c r="D304" s="25"/>
      <c r="E304" s="30" t="str">
        <f>CONCATENATE(B304,"-",C304,"-",D304)</f>
        <v>--</v>
      </c>
      <c r="F304" s="13">
        <f>VLOOKUP(E304,'LISTA ITEMS'!$E$2:$G$875,2,FALSE)</f>
        <v>0</v>
      </c>
      <c r="G304" s="25">
        <f>VLOOKUP(E304,'LISTA ITEMS'!$E$2:$G$875,3,FALSE)</f>
        <v>0</v>
      </c>
      <c r="H304" s="76"/>
      <c r="I304" s="75">
        <v>0</v>
      </c>
      <c r="J304" s="27"/>
      <c r="K304" s="13"/>
      <c r="L304" s="67"/>
      <c r="M304" s="56"/>
      <c r="N304" s="55"/>
      <c r="O304" s="13"/>
      <c r="P304" s="71"/>
      <c r="Q304" s="31"/>
      <c r="R304" s="26">
        <f>+I304+L304+N304-P304</f>
        <v>0</v>
      </c>
      <c r="S304" s="85"/>
      <c r="T304" s="84"/>
      <c r="U304" s="27"/>
      <c r="V304" s="13"/>
      <c r="W304" s="67"/>
      <c r="X304" s="56"/>
      <c r="Y304" s="55"/>
      <c r="Z304" s="13"/>
      <c r="AA304" s="71"/>
      <c r="AB304" s="31"/>
      <c r="AC304" s="26">
        <f>+R304+W304+Y304-AA304</f>
        <v>0</v>
      </c>
      <c r="AD304" s="25"/>
      <c r="AE304" s="25"/>
      <c r="AF304" s="13"/>
      <c r="AG304" s="13"/>
      <c r="AH304" s="13"/>
    </row>
    <row r="305" spans="1:34" x14ac:dyDescent="0.3">
      <c r="A305" s="65">
        <v>302</v>
      </c>
      <c r="B305" s="25"/>
      <c r="C305" s="25"/>
      <c r="D305" s="25"/>
      <c r="E305" s="30" t="str">
        <f>CONCATENATE(B305,"-",C305,"-",D305)</f>
        <v>--</v>
      </c>
      <c r="F305" s="13">
        <f>VLOOKUP(E305,'LISTA ITEMS'!$E$2:$G$875,2,FALSE)</f>
        <v>0</v>
      </c>
      <c r="G305" s="25">
        <f>VLOOKUP(E305,'LISTA ITEMS'!$E$2:$G$875,3,FALSE)</f>
        <v>0</v>
      </c>
      <c r="H305" s="76"/>
      <c r="I305" s="75">
        <v>0</v>
      </c>
      <c r="J305" s="27"/>
      <c r="K305" s="13"/>
      <c r="L305" s="67"/>
      <c r="M305" s="56"/>
      <c r="N305" s="55"/>
      <c r="O305" s="13"/>
      <c r="P305" s="71"/>
      <c r="Q305" s="31"/>
      <c r="R305" s="26">
        <f>+I305+L305+N305-P305</f>
        <v>0</v>
      </c>
      <c r="S305" s="85"/>
      <c r="T305" s="84"/>
      <c r="U305" s="27"/>
      <c r="V305" s="13"/>
      <c r="W305" s="67"/>
      <c r="X305" s="56"/>
      <c r="Y305" s="55"/>
      <c r="Z305" s="13"/>
      <c r="AA305" s="71"/>
      <c r="AB305" s="31"/>
      <c r="AC305" s="26">
        <f>+R305+W305+Y305-AA305</f>
        <v>0</v>
      </c>
      <c r="AD305" s="25"/>
      <c r="AE305" s="25"/>
      <c r="AF305" s="13"/>
      <c r="AG305" s="13"/>
      <c r="AH305" s="13"/>
    </row>
    <row r="306" spans="1:34" x14ac:dyDescent="0.3">
      <c r="A306" s="65">
        <v>303</v>
      </c>
      <c r="B306" s="25"/>
      <c r="C306" s="25"/>
      <c r="D306" s="25"/>
      <c r="E306" s="30" t="str">
        <f>CONCATENATE(B306,"-",C306,"-",D306)</f>
        <v>--</v>
      </c>
      <c r="F306" s="13">
        <f>VLOOKUP(E306,'LISTA ITEMS'!$E$2:$G$875,2,FALSE)</f>
        <v>0</v>
      </c>
      <c r="G306" s="25">
        <f>VLOOKUP(E306,'LISTA ITEMS'!$E$2:$G$875,3,FALSE)</f>
        <v>0</v>
      </c>
      <c r="H306" s="76"/>
      <c r="I306" s="75">
        <v>0</v>
      </c>
      <c r="J306" s="27"/>
      <c r="K306" s="13"/>
      <c r="L306" s="67"/>
      <c r="M306" s="56"/>
      <c r="N306" s="55"/>
      <c r="O306" s="13"/>
      <c r="P306" s="71"/>
      <c r="Q306" s="31"/>
      <c r="R306" s="26">
        <f>+I306+L306+N306-P306</f>
        <v>0</v>
      </c>
      <c r="S306" s="85"/>
      <c r="T306" s="84"/>
      <c r="U306" s="27"/>
      <c r="V306" s="13"/>
      <c r="W306" s="67"/>
      <c r="X306" s="56"/>
      <c r="Y306" s="55"/>
      <c r="Z306" s="13"/>
      <c r="AA306" s="71"/>
      <c r="AB306" s="31"/>
      <c r="AC306" s="26">
        <f>+R306+W306+Y306-AA306</f>
        <v>0</v>
      </c>
      <c r="AD306" s="25"/>
      <c r="AE306" s="25"/>
      <c r="AF306" s="13"/>
      <c r="AG306" s="13"/>
      <c r="AH306" s="13"/>
    </row>
    <row r="307" spans="1:34" x14ac:dyDescent="0.3">
      <c r="A307" s="65">
        <v>304</v>
      </c>
      <c r="B307" s="25"/>
      <c r="C307" s="25"/>
      <c r="D307" s="25"/>
      <c r="E307" s="30" t="str">
        <f>CONCATENATE(B307,"-",C307,"-",D307)</f>
        <v>--</v>
      </c>
      <c r="F307" s="13">
        <f>VLOOKUP(E307,'LISTA ITEMS'!$E$2:$G$875,2,FALSE)</f>
        <v>0</v>
      </c>
      <c r="G307" s="25">
        <f>VLOOKUP(E307,'LISTA ITEMS'!$E$2:$G$875,3,FALSE)</f>
        <v>0</v>
      </c>
      <c r="H307" s="76"/>
      <c r="I307" s="75">
        <v>0</v>
      </c>
      <c r="J307" s="27"/>
      <c r="K307" s="13"/>
      <c r="L307" s="67"/>
      <c r="M307" s="56"/>
      <c r="N307" s="55"/>
      <c r="O307" s="13"/>
      <c r="P307" s="71"/>
      <c r="Q307" s="31"/>
      <c r="R307" s="26">
        <f>+I307+L307+N307-P307</f>
        <v>0</v>
      </c>
      <c r="S307" s="85"/>
      <c r="T307" s="84"/>
      <c r="U307" s="27"/>
      <c r="V307" s="13"/>
      <c r="W307" s="67"/>
      <c r="X307" s="56"/>
      <c r="Y307" s="55"/>
      <c r="Z307" s="13"/>
      <c r="AA307" s="71"/>
      <c r="AB307" s="31"/>
      <c r="AC307" s="26">
        <f>+R307+W307+Y307-AA307</f>
        <v>0</v>
      </c>
      <c r="AD307" s="25"/>
      <c r="AE307" s="25"/>
      <c r="AF307" s="13"/>
      <c r="AG307" s="13"/>
      <c r="AH307" s="13"/>
    </row>
    <row r="308" spans="1:34" x14ac:dyDescent="0.3">
      <c r="A308" s="65">
        <v>305</v>
      </c>
      <c r="B308" s="25"/>
      <c r="C308" s="25"/>
      <c r="D308" s="25"/>
      <c r="E308" s="30" t="str">
        <f>CONCATENATE(B308,"-",C308,"-",D308)</f>
        <v>--</v>
      </c>
      <c r="F308" s="13">
        <f>VLOOKUP(E308,'LISTA ITEMS'!$E$2:$G$875,2,FALSE)</f>
        <v>0</v>
      </c>
      <c r="G308" s="25">
        <f>VLOOKUP(E308,'LISTA ITEMS'!$E$2:$G$875,3,FALSE)</f>
        <v>0</v>
      </c>
      <c r="H308" s="76"/>
      <c r="I308" s="75">
        <v>0</v>
      </c>
      <c r="J308" s="27"/>
      <c r="K308" s="13"/>
      <c r="L308" s="67"/>
      <c r="M308" s="56"/>
      <c r="N308" s="55"/>
      <c r="O308" s="13"/>
      <c r="P308" s="71"/>
      <c r="Q308" s="31"/>
      <c r="R308" s="26">
        <f>+I308+L308+N308-P308</f>
        <v>0</v>
      </c>
      <c r="S308" s="85"/>
      <c r="T308" s="84"/>
      <c r="U308" s="27"/>
      <c r="V308" s="13"/>
      <c r="W308" s="67"/>
      <c r="X308" s="56"/>
      <c r="Y308" s="55"/>
      <c r="Z308" s="13"/>
      <c r="AA308" s="71"/>
      <c r="AB308" s="31"/>
      <c r="AC308" s="26">
        <f>+R308+W308+Y308-AA308</f>
        <v>0</v>
      </c>
      <c r="AD308" s="25"/>
      <c r="AE308" s="25"/>
      <c r="AF308" s="13"/>
      <c r="AG308" s="13"/>
      <c r="AH308" s="13"/>
    </row>
    <row r="309" spans="1:34" x14ac:dyDescent="0.3">
      <c r="A309" s="65">
        <v>306</v>
      </c>
      <c r="B309" s="25"/>
      <c r="C309" s="25"/>
      <c r="D309" s="25"/>
      <c r="E309" s="30" t="str">
        <f>CONCATENATE(B309,"-",C309,"-",D309)</f>
        <v>--</v>
      </c>
      <c r="F309" s="13">
        <f>VLOOKUP(E309,'LISTA ITEMS'!$E$2:$G$875,2,FALSE)</f>
        <v>0</v>
      </c>
      <c r="G309" s="25">
        <f>VLOOKUP(E309,'LISTA ITEMS'!$E$2:$G$875,3,FALSE)</f>
        <v>0</v>
      </c>
      <c r="H309" s="76"/>
      <c r="I309" s="75">
        <v>0</v>
      </c>
      <c r="J309" s="27"/>
      <c r="K309" s="13"/>
      <c r="L309" s="67"/>
      <c r="M309" s="56"/>
      <c r="N309" s="55"/>
      <c r="O309" s="13"/>
      <c r="P309" s="71"/>
      <c r="Q309" s="31"/>
      <c r="R309" s="26">
        <f>+I309+L309+N309-P309</f>
        <v>0</v>
      </c>
      <c r="S309" s="85"/>
      <c r="T309" s="84"/>
      <c r="U309" s="27"/>
      <c r="V309" s="13"/>
      <c r="W309" s="67"/>
      <c r="X309" s="56"/>
      <c r="Y309" s="55"/>
      <c r="Z309" s="13"/>
      <c r="AA309" s="71"/>
      <c r="AB309" s="31"/>
      <c r="AC309" s="26">
        <f>+R309+W309+Y309-AA309</f>
        <v>0</v>
      </c>
      <c r="AD309" s="25"/>
      <c r="AE309" s="25"/>
      <c r="AF309" s="13"/>
      <c r="AG309" s="13"/>
      <c r="AH309" s="13"/>
    </row>
    <row r="310" spans="1:34" x14ac:dyDescent="0.3">
      <c r="A310" s="65">
        <v>307</v>
      </c>
      <c r="B310" s="25"/>
      <c r="C310" s="25"/>
      <c r="D310" s="25"/>
      <c r="E310" s="30" t="str">
        <f>CONCATENATE(B310,"-",C310,"-",D310)</f>
        <v>--</v>
      </c>
      <c r="F310" s="13">
        <f>VLOOKUP(E310,'LISTA ITEMS'!$E$2:$G$875,2,FALSE)</f>
        <v>0</v>
      </c>
      <c r="G310" s="25">
        <f>VLOOKUP(E310,'LISTA ITEMS'!$E$2:$G$875,3,FALSE)</f>
        <v>0</v>
      </c>
      <c r="H310" s="76"/>
      <c r="I310" s="75">
        <v>0</v>
      </c>
      <c r="J310" s="27"/>
      <c r="K310" s="13"/>
      <c r="L310" s="67"/>
      <c r="M310" s="56"/>
      <c r="N310" s="55"/>
      <c r="O310" s="13"/>
      <c r="P310" s="71"/>
      <c r="Q310" s="31"/>
      <c r="R310" s="26">
        <f>+I310+L310+N310-P310</f>
        <v>0</v>
      </c>
      <c r="S310" s="85"/>
      <c r="T310" s="84"/>
      <c r="U310" s="27"/>
      <c r="V310" s="13"/>
      <c r="W310" s="67"/>
      <c r="X310" s="56"/>
      <c r="Y310" s="55"/>
      <c r="Z310" s="13"/>
      <c r="AA310" s="71"/>
      <c r="AB310" s="31"/>
      <c r="AC310" s="26">
        <f>+R310+W310+Y310-AA310</f>
        <v>0</v>
      </c>
      <c r="AD310" s="25"/>
      <c r="AE310" s="25"/>
      <c r="AF310" s="13"/>
      <c r="AG310" s="13"/>
      <c r="AH310" s="13"/>
    </row>
    <row r="311" spans="1:34" x14ac:dyDescent="0.3">
      <c r="A311" s="65">
        <v>308</v>
      </c>
      <c r="B311" s="25"/>
      <c r="C311" s="25"/>
      <c r="D311" s="25"/>
      <c r="E311" s="30" t="str">
        <f>CONCATENATE(B311,"-",C311,"-",D311)</f>
        <v>--</v>
      </c>
      <c r="F311" s="13">
        <f>VLOOKUP(E311,'LISTA ITEMS'!$E$2:$G$875,2,FALSE)</f>
        <v>0</v>
      </c>
      <c r="G311" s="25">
        <f>VLOOKUP(E311,'LISTA ITEMS'!$E$2:$G$875,3,FALSE)</f>
        <v>0</v>
      </c>
      <c r="H311" s="76"/>
      <c r="I311" s="75">
        <v>0</v>
      </c>
      <c r="J311" s="27"/>
      <c r="K311" s="13"/>
      <c r="L311" s="67"/>
      <c r="M311" s="56"/>
      <c r="N311" s="55"/>
      <c r="O311" s="13"/>
      <c r="P311" s="71"/>
      <c r="Q311" s="31"/>
      <c r="R311" s="26">
        <f>+I311+L311+N311-P311</f>
        <v>0</v>
      </c>
      <c r="S311" s="85"/>
      <c r="T311" s="84"/>
      <c r="U311" s="27"/>
      <c r="V311" s="13"/>
      <c r="W311" s="67"/>
      <c r="X311" s="56"/>
      <c r="Y311" s="55"/>
      <c r="Z311" s="13"/>
      <c r="AA311" s="71"/>
      <c r="AB311" s="31"/>
      <c r="AC311" s="26">
        <f>+R311+W311+Y311-AA311</f>
        <v>0</v>
      </c>
      <c r="AD311" s="25"/>
      <c r="AE311" s="25"/>
      <c r="AF311" s="13"/>
      <c r="AG311" s="13"/>
      <c r="AH311" s="13"/>
    </row>
    <row r="312" spans="1:34" x14ac:dyDescent="0.3">
      <c r="A312" s="65">
        <v>309</v>
      </c>
      <c r="B312" s="25"/>
      <c r="C312" s="25"/>
      <c r="D312" s="25"/>
      <c r="E312" s="30" t="str">
        <f>CONCATENATE(B312,"-",C312,"-",D312)</f>
        <v>--</v>
      </c>
      <c r="F312" s="13">
        <f>VLOOKUP(E312,'LISTA ITEMS'!$E$2:$G$875,2,FALSE)</f>
        <v>0</v>
      </c>
      <c r="G312" s="25">
        <f>VLOOKUP(E312,'LISTA ITEMS'!$E$2:$G$875,3,FALSE)</f>
        <v>0</v>
      </c>
      <c r="H312" s="76"/>
      <c r="I312" s="75">
        <v>0</v>
      </c>
      <c r="J312" s="27"/>
      <c r="K312" s="13"/>
      <c r="L312" s="67"/>
      <c r="M312" s="56"/>
      <c r="N312" s="55"/>
      <c r="O312" s="13"/>
      <c r="P312" s="71"/>
      <c r="Q312" s="31"/>
      <c r="R312" s="26">
        <f>+I312+L312+N312-P312</f>
        <v>0</v>
      </c>
      <c r="S312" s="85"/>
      <c r="T312" s="84"/>
      <c r="U312" s="27"/>
      <c r="V312" s="13"/>
      <c r="W312" s="67"/>
      <c r="X312" s="56"/>
      <c r="Y312" s="55"/>
      <c r="Z312" s="13"/>
      <c r="AA312" s="71"/>
      <c r="AB312" s="31"/>
      <c r="AC312" s="26">
        <f>+R312+W312+Y312-AA312</f>
        <v>0</v>
      </c>
      <c r="AD312" s="25"/>
      <c r="AE312" s="25"/>
      <c r="AF312" s="13"/>
      <c r="AG312" s="13"/>
      <c r="AH312" s="13"/>
    </row>
    <row r="313" spans="1:34" x14ac:dyDescent="0.3">
      <c r="A313" s="65">
        <v>310</v>
      </c>
      <c r="B313" s="25"/>
      <c r="C313" s="25"/>
      <c r="D313" s="25"/>
      <c r="E313" s="30" t="str">
        <f>CONCATENATE(B313,"-",C313,"-",D313)</f>
        <v>--</v>
      </c>
      <c r="F313" s="13">
        <f>VLOOKUP(E313,'LISTA ITEMS'!$E$2:$G$875,2,FALSE)</f>
        <v>0</v>
      </c>
      <c r="G313" s="25">
        <f>VLOOKUP(E313,'LISTA ITEMS'!$E$2:$G$875,3,FALSE)</f>
        <v>0</v>
      </c>
      <c r="H313" s="76"/>
      <c r="I313" s="75">
        <v>0</v>
      </c>
      <c r="J313" s="27"/>
      <c r="K313" s="13"/>
      <c r="L313" s="67"/>
      <c r="M313" s="56"/>
      <c r="N313" s="55"/>
      <c r="O313" s="13"/>
      <c r="P313" s="71"/>
      <c r="Q313" s="31"/>
      <c r="R313" s="26">
        <f>+I313+L313+N313-P313</f>
        <v>0</v>
      </c>
      <c r="S313" s="85"/>
      <c r="T313" s="84"/>
      <c r="U313" s="27"/>
      <c r="V313" s="13"/>
      <c r="W313" s="67"/>
      <c r="X313" s="56"/>
      <c r="Y313" s="55"/>
      <c r="Z313" s="13"/>
      <c r="AA313" s="71"/>
      <c r="AB313" s="31"/>
      <c r="AC313" s="26">
        <f>+R313+W313+Y313-AA313</f>
        <v>0</v>
      </c>
      <c r="AD313" s="25"/>
      <c r="AE313" s="25"/>
      <c r="AF313" s="13"/>
      <c r="AG313" s="13"/>
      <c r="AH313" s="13"/>
    </row>
    <row r="314" spans="1:34" x14ac:dyDescent="0.3">
      <c r="A314" s="65">
        <v>311</v>
      </c>
      <c r="B314" s="25"/>
      <c r="C314" s="25"/>
      <c r="D314" s="25"/>
      <c r="E314" s="30" t="str">
        <f>CONCATENATE(B314,"-",C314,"-",D314)</f>
        <v>--</v>
      </c>
      <c r="F314" s="13">
        <f>VLOOKUP(E314,'LISTA ITEMS'!$E$2:$G$875,2,FALSE)</f>
        <v>0</v>
      </c>
      <c r="G314" s="25">
        <f>VLOOKUP(E314,'LISTA ITEMS'!$E$2:$G$875,3,FALSE)</f>
        <v>0</v>
      </c>
      <c r="H314" s="76"/>
      <c r="I314" s="75">
        <v>0</v>
      </c>
      <c r="J314" s="27"/>
      <c r="K314" s="13"/>
      <c r="L314" s="67"/>
      <c r="M314" s="56"/>
      <c r="N314" s="55"/>
      <c r="O314" s="13"/>
      <c r="P314" s="71"/>
      <c r="Q314" s="31"/>
      <c r="R314" s="26">
        <f>+I314+L314+N314-P314</f>
        <v>0</v>
      </c>
      <c r="S314" s="85"/>
      <c r="T314" s="84"/>
      <c r="U314" s="27"/>
      <c r="V314" s="13"/>
      <c r="W314" s="67"/>
      <c r="X314" s="56"/>
      <c r="Y314" s="55"/>
      <c r="Z314" s="13"/>
      <c r="AA314" s="71"/>
      <c r="AB314" s="31"/>
      <c r="AC314" s="26">
        <f>+R314+W314+Y314-AA314</f>
        <v>0</v>
      </c>
      <c r="AD314" s="25"/>
      <c r="AE314" s="25"/>
      <c r="AF314" s="13"/>
      <c r="AG314" s="13"/>
      <c r="AH314" s="13"/>
    </row>
    <row r="315" spans="1:34" x14ac:dyDescent="0.3">
      <c r="A315" s="65">
        <v>312</v>
      </c>
      <c r="B315" s="25"/>
      <c r="C315" s="25"/>
      <c r="D315" s="25"/>
      <c r="E315" s="30" t="str">
        <f>CONCATENATE(B315,"-",C315,"-",D315)</f>
        <v>--</v>
      </c>
      <c r="F315" s="13">
        <f>VLOOKUP(E315,'LISTA ITEMS'!$E$2:$G$875,2,FALSE)</f>
        <v>0</v>
      </c>
      <c r="G315" s="25">
        <f>VLOOKUP(E315,'LISTA ITEMS'!$E$2:$G$875,3,FALSE)</f>
        <v>0</v>
      </c>
      <c r="H315" s="76"/>
      <c r="I315" s="75">
        <v>0</v>
      </c>
      <c r="J315" s="27"/>
      <c r="K315" s="13"/>
      <c r="L315" s="67"/>
      <c r="M315" s="56"/>
      <c r="N315" s="55"/>
      <c r="O315" s="13"/>
      <c r="P315" s="71"/>
      <c r="Q315" s="31"/>
      <c r="R315" s="26">
        <f>+I315+L315+N315-P315</f>
        <v>0</v>
      </c>
      <c r="S315" s="85"/>
      <c r="T315" s="84"/>
      <c r="U315" s="27"/>
      <c r="V315" s="13"/>
      <c r="W315" s="67"/>
      <c r="X315" s="56"/>
      <c r="Y315" s="55"/>
      <c r="Z315" s="13"/>
      <c r="AA315" s="71"/>
      <c r="AB315" s="31"/>
      <c r="AC315" s="26">
        <f>+R315+W315+Y315-AA315</f>
        <v>0</v>
      </c>
      <c r="AD315" s="25"/>
      <c r="AE315" s="25"/>
      <c r="AF315" s="13"/>
      <c r="AG315" s="13"/>
      <c r="AH315" s="13"/>
    </row>
    <row r="316" spans="1:34" x14ac:dyDescent="0.3">
      <c r="A316" s="65">
        <v>313</v>
      </c>
      <c r="B316" s="25"/>
      <c r="C316" s="25"/>
      <c r="D316" s="25"/>
      <c r="E316" s="30" t="str">
        <f>CONCATENATE(B316,"-",C316,"-",D316)</f>
        <v>--</v>
      </c>
      <c r="F316" s="13">
        <f>VLOOKUP(E316,'LISTA ITEMS'!$E$2:$G$875,2,FALSE)</f>
        <v>0</v>
      </c>
      <c r="G316" s="25">
        <f>VLOOKUP(E316,'LISTA ITEMS'!$E$2:$G$875,3,FALSE)</f>
        <v>0</v>
      </c>
      <c r="H316" s="76"/>
      <c r="I316" s="75">
        <v>0</v>
      </c>
      <c r="J316" s="27"/>
      <c r="K316" s="13"/>
      <c r="L316" s="67"/>
      <c r="M316" s="56"/>
      <c r="N316" s="55"/>
      <c r="O316" s="13"/>
      <c r="P316" s="71"/>
      <c r="Q316" s="31"/>
      <c r="R316" s="26">
        <f>+I316+L316+N316-P316</f>
        <v>0</v>
      </c>
      <c r="S316" s="85"/>
      <c r="T316" s="84"/>
      <c r="U316" s="27"/>
      <c r="V316" s="13"/>
      <c r="W316" s="67"/>
      <c r="X316" s="56"/>
      <c r="Y316" s="55"/>
      <c r="Z316" s="13"/>
      <c r="AA316" s="71"/>
      <c r="AB316" s="31"/>
      <c r="AC316" s="26">
        <f>+R316+W316+Y316-AA316</f>
        <v>0</v>
      </c>
      <c r="AD316" s="25"/>
      <c r="AE316" s="25"/>
      <c r="AF316" s="13"/>
      <c r="AG316" s="13"/>
      <c r="AH316" s="13"/>
    </row>
    <row r="317" spans="1:34" x14ac:dyDescent="0.3">
      <c r="A317" s="65">
        <v>314</v>
      </c>
      <c r="B317" s="25"/>
      <c r="C317" s="25"/>
      <c r="D317" s="25"/>
      <c r="E317" s="30" t="str">
        <f>CONCATENATE(B317,"-",C317,"-",D317)</f>
        <v>--</v>
      </c>
      <c r="F317" s="13">
        <f>VLOOKUP(E317,'LISTA ITEMS'!$E$2:$G$875,2,FALSE)</f>
        <v>0</v>
      </c>
      <c r="G317" s="25">
        <f>VLOOKUP(E317,'LISTA ITEMS'!$E$2:$G$875,3,FALSE)</f>
        <v>0</v>
      </c>
      <c r="H317" s="76"/>
      <c r="I317" s="75">
        <v>0</v>
      </c>
      <c r="J317" s="27"/>
      <c r="K317" s="13"/>
      <c r="L317" s="67"/>
      <c r="M317" s="56"/>
      <c r="N317" s="55"/>
      <c r="O317" s="13"/>
      <c r="P317" s="71"/>
      <c r="Q317" s="31"/>
      <c r="R317" s="26">
        <f>+I317+L317+N317-P317</f>
        <v>0</v>
      </c>
      <c r="S317" s="85"/>
      <c r="T317" s="84"/>
      <c r="U317" s="27"/>
      <c r="V317" s="13"/>
      <c r="W317" s="67"/>
      <c r="X317" s="56"/>
      <c r="Y317" s="55"/>
      <c r="Z317" s="13"/>
      <c r="AA317" s="71"/>
      <c r="AB317" s="31"/>
      <c r="AC317" s="26">
        <f>+R317+W317+Y317-AA317</f>
        <v>0</v>
      </c>
      <c r="AD317" s="25"/>
      <c r="AE317" s="25"/>
      <c r="AF317" s="13"/>
      <c r="AG317" s="13"/>
      <c r="AH317" s="13"/>
    </row>
    <row r="318" spans="1:34" x14ac:dyDescent="0.3">
      <c r="A318" s="65">
        <v>315</v>
      </c>
      <c r="B318" s="25"/>
      <c r="C318" s="25"/>
      <c r="D318" s="25"/>
      <c r="E318" s="30" t="str">
        <f>CONCATENATE(B318,"-",C318,"-",D318)</f>
        <v>--</v>
      </c>
      <c r="F318" s="13">
        <f>VLOOKUP(E318,'LISTA ITEMS'!$E$2:$G$875,2,FALSE)</f>
        <v>0</v>
      </c>
      <c r="G318" s="25">
        <f>VLOOKUP(E318,'LISTA ITEMS'!$E$2:$G$875,3,FALSE)</f>
        <v>0</v>
      </c>
      <c r="H318" s="76"/>
      <c r="I318" s="75">
        <v>0</v>
      </c>
      <c r="J318" s="27"/>
      <c r="K318" s="13"/>
      <c r="L318" s="67"/>
      <c r="M318" s="56"/>
      <c r="N318" s="55"/>
      <c r="O318" s="13"/>
      <c r="P318" s="71"/>
      <c r="Q318" s="31"/>
      <c r="R318" s="26">
        <f>+I318+L318+N318-P318</f>
        <v>0</v>
      </c>
      <c r="S318" s="85"/>
      <c r="T318" s="84"/>
      <c r="U318" s="27"/>
      <c r="V318" s="13"/>
      <c r="W318" s="67"/>
      <c r="X318" s="56"/>
      <c r="Y318" s="55"/>
      <c r="Z318" s="13"/>
      <c r="AA318" s="71"/>
      <c r="AB318" s="31"/>
      <c r="AC318" s="26">
        <f>+R318+W318+Y318-AA318</f>
        <v>0</v>
      </c>
      <c r="AD318" s="25"/>
      <c r="AE318" s="25"/>
      <c r="AF318" s="13"/>
      <c r="AG318" s="13"/>
      <c r="AH318" s="13"/>
    </row>
    <row r="319" spans="1:34" x14ac:dyDescent="0.3">
      <c r="A319" s="65">
        <v>316</v>
      </c>
      <c r="B319" s="25"/>
      <c r="C319" s="25"/>
      <c r="D319" s="25"/>
      <c r="E319" s="30" t="str">
        <f>CONCATENATE(B319,"-",C319,"-",D319)</f>
        <v>--</v>
      </c>
      <c r="F319" s="13">
        <f>VLOOKUP(E319,'LISTA ITEMS'!$E$2:$G$875,2,FALSE)</f>
        <v>0</v>
      </c>
      <c r="G319" s="25">
        <f>VLOOKUP(E319,'LISTA ITEMS'!$E$2:$G$875,3,FALSE)</f>
        <v>0</v>
      </c>
      <c r="H319" s="76"/>
      <c r="I319" s="75">
        <v>0</v>
      </c>
      <c r="J319" s="27"/>
      <c r="K319" s="13"/>
      <c r="L319" s="67"/>
      <c r="M319" s="56"/>
      <c r="N319" s="55"/>
      <c r="O319" s="13"/>
      <c r="P319" s="71"/>
      <c r="Q319" s="31"/>
      <c r="R319" s="26">
        <f>+I319+L319+N319-P319</f>
        <v>0</v>
      </c>
      <c r="S319" s="85"/>
      <c r="T319" s="84"/>
      <c r="U319" s="27"/>
      <c r="V319" s="13"/>
      <c r="W319" s="67"/>
      <c r="X319" s="56"/>
      <c r="Y319" s="55"/>
      <c r="Z319" s="13"/>
      <c r="AA319" s="71"/>
      <c r="AB319" s="31"/>
      <c r="AC319" s="26">
        <f>+R319+W319+Y319-AA319</f>
        <v>0</v>
      </c>
      <c r="AD319" s="25"/>
      <c r="AE319" s="25"/>
      <c r="AF319" s="13"/>
      <c r="AG319" s="13"/>
      <c r="AH319" s="13"/>
    </row>
    <row r="320" spans="1:34" x14ac:dyDescent="0.3">
      <c r="A320" s="65">
        <v>317</v>
      </c>
      <c r="B320" s="25"/>
      <c r="C320" s="25"/>
      <c r="D320" s="25"/>
      <c r="E320" s="30" t="str">
        <f>CONCATENATE(B320,"-",C320,"-",D320)</f>
        <v>--</v>
      </c>
      <c r="F320" s="13">
        <f>VLOOKUP(E320,'LISTA ITEMS'!$E$2:$G$875,2,FALSE)</f>
        <v>0</v>
      </c>
      <c r="G320" s="25">
        <f>VLOOKUP(E320,'LISTA ITEMS'!$E$2:$G$875,3,FALSE)</f>
        <v>0</v>
      </c>
      <c r="H320" s="76"/>
      <c r="I320" s="75">
        <v>0</v>
      </c>
      <c r="J320" s="27"/>
      <c r="K320" s="13"/>
      <c r="L320" s="67"/>
      <c r="M320" s="56"/>
      <c r="N320" s="55"/>
      <c r="O320" s="13"/>
      <c r="P320" s="71"/>
      <c r="Q320" s="31"/>
      <c r="R320" s="26">
        <f>+I320+L320+N320-P320</f>
        <v>0</v>
      </c>
      <c r="S320" s="85"/>
      <c r="T320" s="84"/>
      <c r="U320" s="27"/>
      <c r="V320" s="13"/>
      <c r="W320" s="67"/>
      <c r="X320" s="56"/>
      <c r="Y320" s="55"/>
      <c r="Z320" s="13"/>
      <c r="AA320" s="71"/>
      <c r="AB320" s="31"/>
      <c r="AC320" s="26">
        <f>+R320+W320+Y320-AA320</f>
        <v>0</v>
      </c>
      <c r="AD320" s="25"/>
      <c r="AE320" s="25"/>
      <c r="AF320" s="13"/>
      <c r="AG320" s="13"/>
      <c r="AH320" s="13"/>
    </row>
    <row r="321" spans="1:34" x14ac:dyDescent="0.3">
      <c r="A321" s="65">
        <v>318</v>
      </c>
      <c r="B321" s="25"/>
      <c r="C321" s="25"/>
      <c r="D321" s="25"/>
      <c r="E321" s="30" t="str">
        <f>CONCATENATE(B321,"-",C321,"-",D321)</f>
        <v>--</v>
      </c>
      <c r="F321" s="13">
        <f>VLOOKUP(E321,'LISTA ITEMS'!$E$2:$G$875,2,FALSE)</f>
        <v>0</v>
      </c>
      <c r="G321" s="25">
        <f>VLOOKUP(E321,'LISTA ITEMS'!$E$2:$G$875,3,FALSE)</f>
        <v>0</v>
      </c>
      <c r="H321" s="76"/>
      <c r="I321" s="75">
        <v>0</v>
      </c>
      <c r="J321" s="27"/>
      <c r="K321" s="13"/>
      <c r="L321" s="67"/>
      <c r="M321" s="56"/>
      <c r="N321" s="55"/>
      <c r="O321" s="13"/>
      <c r="P321" s="71"/>
      <c r="Q321" s="31"/>
      <c r="R321" s="26">
        <f>+I321+L321+N321-P321</f>
        <v>0</v>
      </c>
      <c r="S321" s="85"/>
      <c r="T321" s="84"/>
      <c r="U321" s="27"/>
      <c r="V321" s="13"/>
      <c r="W321" s="67"/>
      <c r="X321" s="56"/>
      <c r="Y321" s="55"/>
      <c r="Z321" s="13"/>
      <c r="AA321" s="71"/>
      <c r="AB321" s="31"/>
      <c r="AC321" s="26">
        <f>+R321+W321+Y321-AA321</f>
        <v>0</v>
      </c>
      <c r="AD321" s="25"/>
      <c r="AE321" s="25"/>
      <c r="AF321" s="13"/>
      <c r="AG321" s="13"/>
      <c r="AH321" s="13"/>
    </row>
    <row r="322" spans="1:34" x14ac:dyDescent="0.3">
      <c r="A322" s="65">
        <v>319</v>
      </c>
      <c r="B322" s="25"/>
      <c r="C322" s="25"/>
      <c r="D322" s="25"/>
      <c r="E322" s="30" t="str">
        <f>CONCATENATE(B322,"-",C322,"-",D322)</f>
        <v>--</v>
      </c>
      <c r="F322" s="13">
        <f>VLOOKUP(E322,'LISTA ITEMS'!$E$2:$G$875,2,FALSE)</f>
        <v>0</v>
      </c>
      <c r="G322" s="25">
        <f>VLOOKUP(E322,'LISTA ITEMS'!$E$2:$G$875,3,FALSE)</f>
        <v>0</v>
      </c>
      <c r="H322" s="76"/>
      <c r="I322" s="75">
        <v>0</v>
      </c>
      <c r="J322" s="27"/>
      <c r="K322" s="13"/>
      <c r="L322" s="67"/>
      <c r="M322" s="56"/>
      <c r="N322" s="55"/>
      <c r="O322" s="13"/>
      <c r="P322" s="71"/>
      <c r="Q322" s="31"/>
      <c r="R322" s="26">
        <f>+I322+L322+N322-P322</f>
        <v>0</v>
      </c>
      <c r="S322" s="85"/>
      <c r="T322" s="84"/>
      <c r="U322" s="27"/>
      <c r="V322" s="13"/>
      <c r="W322" s="67"/>
      <c r="X322" s="56"/>
      <c r="Y322" s="55"/>
      <c r="Z322" s="13"/>
      <c r="AA322" s="71"/>
      <c r="AB322" s="31"/>
      <c r="AC322" s="26">
        <f>+R322+W322+Y322-AA322</f>
        <v>0</v>
      </c>
      <c r="AD322" s="25"/>
      <c r="AE322" s="25"/>
      <c r="AF322" s="13"/>
      <c r="AG322" s="13"/>
      <c r="AH322" s="13"/>
    </row>
    <row r="323" spans="1:34" x14ac:dyDescent="0.3">
      <c r="A323" s="65">
        <v>320</v>
      </c>
      <c r="B323" s="25"/>
      <c r="C323" s="25"/>
      <c r="D323" s="25"/>
      <c r="E323" s="30" t="str">
        <f>CONCATENATE(B323,"-",C323,"-",D323)</f>
        <v>--</v>
      </c>
      <c r="F323" s="13">
        <f>VLOOKUP(E323,'LISTA ITEMS'!$E$2:$G$875,2,FALSE)</f>
        <v>0</v>
      </c>
      <c r="G323" s="25">
        <f>VLOOKUP(E323,'LISTA ITEMS'!$E$2:$G$875,3,FALSE)</f>
        <v>0</v>
      </c>
      <c r="H323" s="76"/>
      <c r="I323" s="75">
        <v>0</v>
      </c>
      <c r="J323" s="27"/>
      <c r="K323" s="13"/>
      <c r="L323" s="67"/>
      <c r="M323" s="56"/>
      <c r="N323" s="55"/>
      <c r="O323" s="13"/>
      <c r="P323" s="71"/>
      <c r="Q323" s="31"/>
      <c r="R323" s="26">
        <f>+I323+L323+N323-P323</f>
        <v>0</v>
      </c>
      <c r="S323" s="85"/>
      <c r="T323" s="84"/>
      <c r="U323" s="27"/>
      <c r="V323" s="13"/>
      <c r="W323" s="67"/>
      <c r="X323" s="56"/>
      <c r="Y323" s="55"/>
      <c r="Z323" s="13"/>
      <c r="AA323" s="71"/>
      <c r="AB323" s="31"/>
      <c r="AC323" s="26">
        <f>+R323+W323+Y323-AA323</f>
        <v>0</v>
      </c>
      <c r="AD323" s="25"/>
      <c r="AE323" s="25"/>
      <c r="AF323" s="13"/>
      <c r="AG323" s="13"/>
      <c r="AH323" s="13"/>
    </row>
    <row r="324" spans="1:34" x14ac:dyDescent="0.3">
      <c r="A324" s="65">
        <v>321</v>
      </c>
      <c r="B324" s="25"/>
      <c r="C324" s="25"/>
      <c r="D324" s="25"/>
      <c r="E324" s="30" t="str">
        <f>CONCATENATE(B324,"-",C324,"-",D324)</f>
        <v>--</v>
      </c>
      <c r="F324" s="13">
        <f>VLOOKUP(E324,'LISTA ITEMS'!$E$2:$G$875,2,FALSE)</f>
        <v>0</v>
      </c>
      <c r="G324" s="25">
        <f>VLOOKUP(E324,'LISTA ITEMS'!$E$2:$G$875,3,FALSE)</f>
        <v>0</v>
      </c>
      <c r="H324" s="76"/>
      <c r="I324" s="75">
        <v>0</v>
      </c>
      <c r="J324" s="27"/>
      <c r="K324" s="13"/>
      <c r="L324" s="67"/>
      <c r="M324" s="56"/>
      <c r="N324" s="55"/>
      <c r="O324" s="13"/>
      <c r="P324" s="71"/>
      <c r="Q324" s="31"/>
      <c r="R324" s="26">
        <f>+I324+L324+N324-P324</f>
        <v>0</v>
      </c>
      <c r="S324" s="85"/>
      <c r="T324" s="84"/>
      <c r="U324" s="27"/>
      <c r="V324" s="13"/>
      <c r="W324" s="67"/>
      <c r="X324" s="56"/>
      <c r="Y324" s="55"/>
      <c r="Z324" s="13"/>
      <c r="AA324" s="71"/>
      <c r="AB324" s="31"/>
      <c r="AC324" s="26">
        <f>+R324+W324+Y324-AA324</f>
        <v>0</v>
      </c>
      <c r="AD324" s="25"/>
      <c r="AE324" s="25"/>
      <c r="AF324" s="13"/>
      <c r="AG324" s="13"/>
      <c r="AH324" s="13"/>
    </row>
    <row r="325" spans="1:34" x14ac:dyDescent="0.3">
      <c r="A325" s="65">
        <v>322</v>
      </c>
      <c r="B325" s="25"/>
      <c r="C325" s="25"/>
      <c r="D325" s="25"/>
      <c r="E325" s="30" t="str">
        <f>CONCATENATE(B325,"-",C325,"-",D325)</f>
        <v>--</v>
      </c>
      <c r="F325" s="13">
        <f>VLOOKUP(E325,'LISTA ITEMS'!$E$2:$G$875,2,FALSE)</f>
        <v>0</v>
      </c>
      <c r="G325" s="25">
        <f>VLOOKUP(E325,'LISTA ITEMS'!$E$2:$G$875,3,FALSE)</f>
        <v>0</v>
      </c>
      <c r="H325" s="76"/>
      <c r="I325" s="75">
        <v>0</v>
      </c>
      <c r="J325" s="27"/>
      <c r="K325" s="13"/>
      <c r="L325" s="67"/>
      <c r="M325" s="56"/>
      <c r="N325" s="55"/>
      <c r="O325" s="13"/>
      <c r="P325" s="71"/>
      <c r="Q325" s="31"/>
      <c r="R325" s="26">
        <f>+I325+L325+N325-P325</f>
        <v>0</v>
      </c>
      <c r="S325" s="85"/>
      <c r="T325" s="84"/>
      <c r="U325" s="27"/>
      <c r="V325" s="13"/>
      <c r="W325" s="67"/>
      <c r="X325" s="56"/>
      <c r="Y325" s="55"/>
      <c r="Z325" s="13"/>
      <c r="AA325" s="71"/>
      <c r="AB325" s="31"/>
      <c r="AC325" s="26">
        <f>+R325+W325+Y325-AA325</f>
        <v>0</v>
      </c>
      <c r="AD325" s="25"/>
      <c r="AE325" s="25"/>
      <c r="AF325" s="13"/>
      <c r="AG325" s="13"/>
      <c r="AH325" s="13"/>
    </row>
    <row r="326" spans="1:34" x14ac:dyDescent="0.3">
      <c r="A326" s="65">
        <v>323</v>
      </c>
      <c r="B326" s="25"/>
      <c r="C326" s="25"/>
      <c r="D326" s="25"/>
      <c r="E326" s="30" t="str">
        <f>CONCATENATE(B326,"-",C326,"-",D326)</f>
        <v>--</v>
      </c>
      <c r="F326" s="13">
        <f>VLOOKUP(E326,'LISTA ITEMS'!$E$2:$G$875,2,FALSE)</f>
        <v>0</v>
      </c>
      <c r="G326" s="25">
        <f>VLOOKUP(E326,'LISTA ITEMS'!$E$2:$G$875,3,FALSE)</f>
        <v>0</v>
      </c>
      <c r="H326" s="76"/>
      <c r="I326" s="75">
        <v>0</v>
      </c>
      <c r="J326" s="27"/>
      <c r="K326" s="13"/>
      <c r="L326" s="67"/>
      <c r="M326" s="56"/>
      <c r="N326" s="55"/>
      <c r="O326" s="13"/>
      <c r="P326" s="71"/>
      <c r="Q326" s="31"/>
      <c r="R326" s="26">
        <f>+I326+L326+N326-P326</f>
        <v>0</v>
      </c>
      <c r="S326" s="85"/>
      <c r="T326" s="84"/>
      <c r="U326" s="27"/>
      <c r="V326" s="13"/>
      <c r="W326" s="67"/>
      <c r="X326" s="56"/>
      <c r="Y326" s="55"/>
      <c r="Z326" s="13"/>
      <c r="AA326" s="71"/>
      <c r="AB326" s="31"/>
      <c r="AC326" s="26">
        <f>+R326+W326+Y326-AA326</f>
        <v>0</v>
      </c>
      <c r="AD326" s="25"/>
      <c r="AE326" s="25"/>
      <c r="AF326" s="13"/>
      <c r="AG326" s="13"/>
      <c r="AH326" s="13"/>
    </row>
    <row r="327" spans="1:34" x14ac:dyDescent="0.3">
      <c r="A327" s="65">
        <v>324</v>
      </c>
      <c r="B327" s="25"/>
      <c r="C327" s="25"/>
      <c r="D327" s="25"/>
      <c r="E327" s="30" t="str">
        <f>CONCATENATE(B327,"-",C327,"-",D327)</f>
        <v>--</v>
      </c>
      <c r="F327" s="13">
        <f>VLOOKUP(E327,'LISTA ITEMS'!$E$2:$G$875,2,FALSE)</f>
        <v>0</v>
      </c>
      <c r="G327" s="25">
        <f>VLOOKUP(E327,'LISTA ITEMS'!$E$2:$G$875,3,FALSE)</f>
        <v>0</v>
      </c>
      <c r="H327" s="76"/>
      <c r="I327" s="75">
        <v>0</v>
      </c>
      <c r="J327" s="27"/>
      <c r="K327" s="13"/>
      <c r="L327" s="67"/>
      <c r="M327" s="56"/>
      <c r="N327" s="55"/>
      <c r="O327" s="13"/>
      <c r="P327" s="71"/>
      <c r="Q327" s="31"/>
      <c r="R327" s="26">
        <f>+I327+L327+N327-P327</f>
        <v>0</v>
      </c>
      <c r="S327" s="85"/>
      <c r="T327" s="84"/>
      <c r="U327" s="27"/>
      <c r="V327" s="13"/>
      <c r="W327" s="67"/>
      <c r="X327" s="56"/>
      <c r="Y327" s="55"/>
      <c r="Z327" s="13"/>
      <c r="AA327" s="71"/>
      <c r="AB327" s="31"/>
      <c r="AC327" s="26">
        <f>+R327+W327+Y327-AA327</f>
        <v>0</v>
      </c>
      <c r="AD327" s="25"/>
      <c r="AE327" s="25"/>
      <c r="AF327" s="13"/>
      <c r="AG327" s="13"/>
      <c r="AH327" s="13"/>
    </row>
    <row r="328" spans="1:34" x14ac:dyDescent="0.3">
      <c r="A328" s="65">
        <v>325</v>
      </c>
      <c r="B328" s="25"/>
      <c r="C328" s="25"/>
      <c r="D328" s="25"/>
      <c r="E328" s="30" t="str">
        <f>CONCATENATE(B328,"-",C328,"-",D328)</f>
        <v>--</v>
      </c>
      <c r="F328" s="13">
        <f>VLOOKUP(E328,'LISTA ITEMS'!$E$2:$G$875,2,FALSE)</f>
        <v>0</v>
      </c>
      <c r="G328" s="25">
        <f>VLOOKUP(E328,'LISTA ITEMS'!$E$2:$G$875,3,FALSE)</f>
        <v>0</v>
      </c>
      <c r="H328" s="76"/>
      <c r="I328" s="75">
        <v>0</v>
      </c>
      <c r="J328" s="27"/>
      <c r="K328" s="13"/>
      <c r="L328" s="67"/>
      <c r="M328" s="56"/>
      <c r="N328" s="55"/>
      <c r="O328" s="13"/>
      <c r="P328" s="71"/>
      <c r="Q328" s="31"/>
      <c r="R328" s="26">
        <f>+I328+L328+N328-P328</f>
        <v>0</v>
      </c>
      <c r="S328" s="85"/>
      <c r="T328" s="84"/>
      <c r="U328" s="27"/>
      <c r="V328" s="13"/>
      <c r="W328" s="67"/>
      <c r="X328" s="56"/>
      <c r="Y328" s="55"/>
      <c r="Z328" s="13"/>
      <c r="AA328" s="71"/>
      <c r="AB328" s="31"/>
      <c r="AC328" s="26">
        <f>+R328+W328+Y328-AA328</f>
        <v>0</v>
      </c>
      <c r="AD328" s="25"/>
      <c r="AE328" s="25"/>
      <c r="AF328" s="13"/>
      <c r="AG328" s="13"/>
      <c r="AH328" s="13"/>
    </row>
    <row r="329" spans="1:34" x14ac:dyDescent="0.3">
      <c r="A329" s="65">
        <v>326</v>
      </c>
      <c r="B329" s="25"/>
      <c r="C329" s="25"/>
      <c r="D329" s="25"/>
      <c r="E329" s="30" t="str">
        <f>CONCATENATE(B329,"-",C329,"-",D329)</f>
        <v>--</v>
      </c>
      <c r="F329" s="13">
        <f>VLOOKUP(E329,'LISTA ITEMS'!$E$2:$G$875,2,FALSE)</f>
        <v>0</v>
      </c>
      <c r="G329" s="25">
        <f>VLOOKUP(E329,'LISTA ITEMS'!$E$2:$G$875,3,FALSE)</f>
        <v>0</v>
      </c>
      <c r="H329" s="76"/>
      <c r="I329" s="75">
        <v>0</v>
      </c>
      <c r="J329" s="27"/>
      <c r="K329" s="13"/>
      <c r="L329" s="67"/>
      <c r="M329" s="56"/>
      <c r="N329" s="55"/>
      <c r="O329" s="13"/>
      <c r="P329" s="71"/>
      <c r="Q329" s="31"/>
      <c r="R329" s="26">
        <f>+I329+L329+N329-P329</f>
        <v>0</v>
      </c>
      <c r="S329" s="85"/>
      <c r="T329" s="84"/>
      <c r="U329" s="27"/>
      <c r="V329" s="13"/>
      <c r="W329" s="67"/>
      <c r="X329" s="56"/>
      <c r="Y329" s="55"/>
      <c r="Z329" s="13"/>
      <c r="AA329" s="71"/>
      <c r="AB329" s="31"/>
      <c r="AC329" s="26">
        <f>+R329+W329+Y329-AA329</f>
        <v>0</v>
      </c>
      <c r="AD329" s="25"/>
      <c r="AE329" s="25"/>
      <c r="AF329" s="13"/>
      <c r="AG329" s="13"/>
      <c r="AH329" s="13"/>
    </row>
    <row r="330" spans="1:34" x14ac:dyDescent="0.3">
      <c r="A330" s="65">
        <v>327</v>
      </c>
      <c r="B330" s="25"/>
      <c r="C330" s="25"/>
      <c r="D330" s="25"/>
      <c r="E330" s="30" t="str">
        <f>CONCATENATE(B330,"-",C330,"-",D330)</f>
        <v>--</v>
      </c>
      <c r="F330" s="13">
        <f>VLOOKUP(E330,'LISTA ITEMS'!$E$2:$G$875,2,FALSE)</f>
        <v>0</v>
      </c>
      <c r="G330" s="25">
        <f>VLOOKUP(E330,'LISTA ITEMS'!$E$2:$G$875,3,FALSE)</f>
        <v>0</v>
      </c>
      <c r="H330" s="76"/>
      <c r="I330" s="75">
        <v>0</v>
      </c>
      <c r="J330" s="27"/>
      <c r="K330" s="13"/>
      <c r="L330" s="67"/>
      <c r="M330" s="56"/>
      <c r="N330" s="55"/>
      <c r="O330" s="13"/>
      <c r="P330" s="71"/>
      <c r="Q330" s="31"/>
      <c r="R330" s="26">
        <f>+I330+L330+N330-P330</f>
        <v>0</v>
      </c>
      <c r="S330" s="85"/>
      <c r="T330" s="84"/>
      <c r="U330" s="27"/>
      <c r="V330" s="13"/>
      <c r="W330" s="67"/>
      <c r="X330" s="56"/>
      <c r="Y330" s="55"/>
      <c r="Z330" s="13"/>
      <c r="AA330" s="71"/>
      <c r="AB330" s="31"/>
      <c r="AC330" s="26">
        <f>+R330+W330+Y330-AA330</f>
        <v>0</v>
      </c>
      <c r="AD330" s="25"/>
      <c r="AE330" s="25"/>
      <c r="AF330" s="13"/>
      <c r="AG330" s="13"/>
      <c r="AH330" s="13"/>
    </row>
    <row r="331" spans="1:34" x14ac:dyDescent="0.3">
      <c r="A331" s="65">
        <v>328</v>
      </c>
      <c r="B331" s="25"/>
      <c r="C331" s="25"/>
      <c r="D331" s="25"/>
      <c r="E331" s="30" t="str">
        <f>CONCATENATE(B331,"-",C331,"-",D331)</f>
        <v>--</v>
      </c>
      <c r="F331" s="13">
        <f>VLOOKUP(E331,'LISTA ITEMS'!$E$2:$G$875,2,FALSE)</f>
        <v>0</v>
      </c>
      <c r="G331" s="25">
        <f>VLOOKUP(E331,'LISTA ITEMS'!$E$2:$G$875,3,FALSE)</f>
        <v>0</v>
      </c>
      <c r="H331" s="76"/>
      <c r="I331" s="75">
        <v>0</v>
      </c>
      <c r="J331" s="27"/>
      <c r="K331" s="13"/>
      <c r="L331" s="67"/>
      <c r="M331" s="56"/>
      <c r="N331" s="55"/>
      <c r="O331" s="13"/>
      <c r="P331" s="71"/>
      <c r="Q331" s="31"/>
      <c r="R331" s="26">
        <f>+I331+L331+N331-P331</f>
        <v>0</v>
      </c>
      <c r="S331" s="85"/>
      <c r="T331" s="84"/>
      <c r="U331" s="27"/>
      <c r="V331" s="13"/>
      <c r="W331" s="67"/>
      <c r="X331" s="56"/>
      <c r="Y331" s="55"/>
      <c r="Z331" s="13"/>
      <c r="AA331" s="71"/>
      <c r="AB331" s="31"/>
      <c r="AC331" s="26">
        <f>+R331+W331+Y331-AA331</f>
        <v>0</v>
      </c>
      <c r="AD331" s="25"/>
      <c r="AE331" s="25"/>
      <c r="AF331" s="13"/>
      <c r="AG331" s="13"/>
      <c r="AH331" s="13"/>
    </row>
    <row r="332" spans="1:34" x14ac:dyDescent="0.3">
      <c r="A332" s="65">
        <v>329</v>
      </c>
      <c r="B332" s="25"/>
      <c r="C332" s="25"/>
      <c r="D332" s="25"/>
      <c r="E332" s="30" t="str">
        <f>CONCATENATE(B332,"-",C332,"-",D332)</f>
        <v>--</v>
      </c>
      <c r="F332" s="13">
        <f>VLOOKUP(E332,'LISTA ITEMS'!$E$2:$G$875,2,FALSE)</f>
        <v>0</v>
      </c>
      <c r="G332" s="25">
        <f>VLOOKUP(E332,'LISTA ITEMS'!$E$2:$G$875,3,FALSE)</f>
        <v>0</v>
      </c>
      <c r="H332" s="76"/>
      <c r="I332" s="75">
        <v>0</v>
      </c>
      <c r="J332" s="27"/>
      <c r="K332" s="13"/>
      <c r="L332" s="67"/>
      <c r="M332" s="56"/>
      <c r="N332" s="55"/>
      <c r="O332" s="13"/>
      <c r="P332" s="71"/>
      <c r="Q332" s="31"/>
      <c r="R332" s="26">
        <f>+I332+L332+N332-P332</f>
        <v>0</v>
      </c>
      <c r="S332" s="85"/>
      <c r="T332" s="84"/>
      <c r="U332" s="27"/>
      <c r="V332" s="13"/>
      <c r="W332" s="67"/>
      <c r="X332" s="56"/>
      <c r="Y332" s="55"/>
      <c r="Z332" s="13"/>
      <c r="AA332" s="71"/>
      <c r="AB332" s="31"/>
      <c r="AC332" s="26">
        <f>+R332+W332+Y332-AA332</f>
        <v>0</v>
      </c>
      <c r="AD332" s="25"/>
      <c r="AE332" s="25"/>
      <c r="AF332" s="13"/>
      <c r="AG332" s="13"/>
      <c r="AH332" s="13"/>
    </row>
    <row r="333" spans="1:34" x14ac:dyDescent="0.3">
      <c r="A333" s="65">
        <v>330</v>
      </c>
      <c r="B333" s="25"/>
      <c r="C333" s="25"/>
      <c r="D333" s="25"/>
      <c r="E333" s="30" t="str">
        <f>CONCATENATE(B333,"-",C333,"-",D333)</f>
        <v>--</v>
      </c>
      <c r="F333" s="13">
        <f>VLOOKUP(E333,'LISTA ITEMS'!$E$2:$G$875,2,FALSE)</f>
        <v>0</v>
      </c>
      <c r="G333" s="25">
        <f>VLOOKUP(E333,'LISTA ITEMS'!$E$2:$G$875,3,FALSE)</f>
        <v>0</v>
      </c>
      <c r="H333" s="76"/>
      <c r="I333" s="75">
        <v>0</v>
      </c>
      <c r="J333" s="27"/>
      <c r="K333" s="13"/>
      <c r="L333" s="67"/>
      <c r="M333" s="56"/>
      <c r="N333" s="55"/>
      <c r="O333" s="13"/>
      <c r="P333" s="71"/>
      <c r="Q333" s="31"/>
      <c r="R333" s="26">
        <f>+I333+L333+N333-P333</f>
        <v>0</v>
      </c>
      <c r="S333" s="85"/>
      <c r="T333" s="84"/>
      <c r="U333" s="27"/>
      <c r="V333" s="13"/>
      <c r="W333" s="67"/>
      <c r="X333" s="56"/>
      <c r="Y333" s="55"/>
      <c r="Z333" s="13"/>
      <c r="AA333" s="71"/>
      <c r="AB333" s="31"/>
      <c r="AC333" s="26">
        <f>+R333+W333+Y333-AA333</f>
        <v>0</v>
      </c>
      <c r="AD333" s="25"/>
      <c r="AE333" s="25"/>
      <c r="AF333" s="13"/>
      <c r="AG333" s="13"/>
      <c r="AH333" s="13"/>
    </row>
    <row r="334" spans="1:34" x14ac:dyDescent="0.3">
      <c r="A334" s="65">
        <v>331</v>
      </c>
      <c r="B334" s="25"/>
      <c r="C334" s="25"/>
      <c r="D334" s="25"/>
      <c r="E334" s="30" t="str">
        <f>CONCATENATE(B334,"-",C334,"-",D334)</f>
        <v>--</v>
      </c>
      <c r="F334" s="13">
        <f>VLOOKUP(E334,'LISTA ITEMS'!$E$2:$G$875,2,FALSE)</f>
        <v>0</v>
      </c>
      <c r="G334" s="25">
        <f>VLOOKUP(E334,'LISTA ITEMS'!$E$2:$G$875,3,FALSE)</f>
        <v>0</v>
      </c>
      <c r="H334" s="76"/>
      <c r="I334" s="75">
        <v>0</v>
      </c>
      <c r="J334" s="27"/>
      <c r="K334" s="13"/>
      <c r="L334" s="67"/>
      <c r="M334" s="56"/>
      <c r="N334" s="55"/>
      <c r="O334" s="13"/>
      <c r="P334" s="71"/>
      <c r="Q334" s="31"/>
      <c r="R334" s="26">
        <f>+I334+L334+N334-P334</f>
        <v>0</v>
      </c>
      <c r="S334" s="85"/>
      <c r="T334" s="84"/>
      <c r="U334" s="27"/>
      <c r="V334" s="13"/>
      <c r="W334" s="67"/>
      <c r="X334" s="56"/>
      <c r="Y334" s="55"/>
      <c r="Z334" s="13"/>
      <c r="AA334" s="71"/>
      <c r="AB334" s="31"/>
      <c r="AC334" s="26">
        <f>+R334+W334+Y334-AA334</f>
        <v>0</v>
      </c>
      <c r="AD334" s="25"/>
      <c r="AE334" s="25"/>
      <c r="AF334" s="13"/>
      <c r="AG334" s="13"/>
      <c r="AH334" s="13"/>
    </row>
    <row r="335" spans="1:34" x14ac:dyDescent="0.3">
      <c r="A335" s="65">
        <v>332</v>
      </c>
      <c r="B335" s="25"/>
      <c r="C335" s="25"/>
      <c r="D335" s="25"/>
      <c r="E335" s="30" t="str">
        <f>CONCATENATE(B335,"-",C335,"-",D335)</f>
        <v>--</v>
      </c>
      <c r="F335" s="13">
        <f>VLOOKUP(E335,'LISTA ITEMS'!$E$2:$G$875,2,FALSE)</f>
        <v>0</v>
      </c>
      <c r="G335" s="25">
        <f>VLOOKUP(E335,'LISTA ITEMS'!$E$2:$G$875,3,FALSE)</f>
        <v>0</v>
      </c>
      <c r="H335" s="76"/>
      <c r="I335" s="75">
        <v>0</v>
      </c>
      <c r="J335" s="27"/>
      <c r="K335" s="13"/>
      <c r="L335" s="67"/>
      <c r="M335" s="56"/>
      <c r="N335" s="55"/>
      <c r="O335" s="13"/>
      <c r="P335" s="71"/>
      <c r="Q335" s="31"/>
      <c r="R335" s="26">
        <f>+I335+L335+N335-P335</f>
        <v>0</v>
      </c>
      <c r="S335" s="85"/>
      <c r="T335" s="84"/>
      <c r="U335" s="27"/>
      <c r="V335" s="13"/>
      <c r="W335" s="67"/>
      <c r="X335" s="56"/>
      <c r="Y335" s="55"/>
      <c r="Z335" s="13"/>
      <c r="AA335" s="71"/>
      <c r="AB335" s="31"/>
      <c r="AC335" s="26">
        <f>+R335+W335+Y335-AA335</f>
        <v>0</v>
      </c>
      <c r="AD335" s="25"/>
      <c r="AE335" s="25"/>
      <c r="AF335" s="13"/>
      <c r="AG335" s="13"/>
      <c r="AH335" s="13"/>
    </row>
    <row r="336" spans="1:34" x14ac:dyDescent="0.3">
      <c r="A336" s="65">
        <v>333</v>
      </c>
      <c r="B336" s="25"/>
      <c r="C336" s="25"/>
      <c r="D336" s="25"/>
      <c r="E336" s="30" t="str">
        <f>CONCATENATE(B336,"-",C336,"-",D336)</f>
        <v>--</v>
      </c>
      <c r="F336" s="13">
        <f>VLOOKUP(E336,'LISTA ITEMS'!$E$2:$G$875,2,FALSE)</f>
        <v>0</v>
      </c>
      <c r="G336" s="25">
        <f>VLOOKUP(E336,'LISTA ITEMS'!$E$2:$G$875,3,FALSE)</f>
        <v>0</v>
      </c>
      <c r="H336" s="76"/>
      <c r="I336" s="75">
        <v>0</v>
      </c>
      <c r="J336" s="27"/>
      <c r="K336" s="13"/>
      <c r="L336" s="67"/>
      <c r="M336" s="56"/>
      <c r="N336" s="55"/>
      <c r="O336" s="13"/>
      <c r="P336" s="71"/>
      <c r="Q336" s="31"/>
      <c r="R336" s="26">
        <f>+I336+L336+N336-P336</f>
        <v>0</v>
      </c>
      <c r="S336" s="85"/>
      <c r="T336" s="84"/>
      <c r="U336" s="27"/>
      <c r="V336" s="13"/>
      <c r="W336" s="67"/>
      <c r="X336" s="56"/>
      <c r="Y336" s="55"/>
      <c r="Z336" s="13"/>
      <c r="AA336" s="71"/>
      <c r="AB336" s="31"/>
      <c r="AC336" s="26">
        <f>+R336+W336+Y336-AA336</f>
        <v>0</v>
      </c>
      <c r="AD336" s="25"/>
      <c r="AE336" s="25"/>
      <c r="AF336" s="13"/>
      <c r="AG336" s="13"/>
      <c r="AH336" s="13"/>
    </row>
    <row r="337" spans="1:34" x14ac:dyDescent="0.3">
      <c r="A337" s="65">
        <v>334</v>
      </c>
      <c r="B337" s="25"/>
      <c r="C337" s="25"/>
      <c r="D337" s="25"/>
      <c r="E337" s="30" t="str">
        <f>CONCATENATE(B337,"-",C337,"-",D337)</f>
        <v>--</v>
      </c>
      <c r="F337" s="13">
        <f>VLOOKUP(E337,'LISTA ITEMS'!$E$2:$G$875,2,FALSE)</f>
        <v>0</v>
      </c>
      <c r="G337" s="25">
        <f>VLOOKUP(E337,'LISTA ITEMS'!$E$2:$G$875,3,FALSE)</f>
        <v>0</v>
      </c>
      <c r="H337" s="76"/>
      <c r="I337" s="75">
        <v>0</v>
      </c>
      <c r="J337" s="27"/>
      <c r="K337" s="13"/>
      <c r="L337" s="67"/>
      <c r="M337" s="56"/>
      <c r="N337" s="55"/>
      <c r="O337" s="13"/>
      <c r="P337" s="71"/>
      <c r="Q337" s="31"/>
      <c r="R337" s="26">
        <f>+I337+L337+N337-P337</f>
        <v>0</v>
      </c>
      <c r="S337" s="85"/>
      <c r="T337" s="84"/>
      <c r="U337" s="27"/>
      <c r="V337" s="13"/>
      <c r="W337" s="67"/>
      <c r="X337" s="56"/>
      <c r="Y337" s="55"/>
      <c r="Z337" s="13"/>
      <c r="AA337" s="71"/>
      <c r="AB337" s="31"/>
      <c r="AC337" s="26">
        <f>+R337+W337+Y337-AA337</f>
        <v>0</v>
      </c>
      <c r="AD337" s="25"/>
      <c r="AE337" s="25"/>
      <c r="AF337" s="13"/>
      <c r="AG337" s="13"/>
      <c r="AH337" s="13"/>
    </row>
    <row r="338" spans="1:34" x14ac:dyDescent="0.3">
      <c r="A338" s="65">
        <v>335</v>
      </c>
      <c r="B338" s="25"/>
      <c r="C338" s="25"/>
      <c r="D338" s="25"/>
      <c r="E338" s="30" t="str">
        <f>CONCATENATE(B338,"-",C338,"-",D338)</f>
        <v>--</v>
      </c>
      <c r="F338" s="13">
        <f>VLOOKUP(E338,'LISTA ITEMS'!$E$2:$G$875,2,FALSE)</f>
        <v>0</v>
      </c>
      <c r="G338" s="25">
        <f>VLOOKUP(E338,'LISTA ITEMS'!$E$2:$G$875,3,FALSE)</f>
        <v>0</v>
      </c>
      <c r="H338" s="76"/>
      <c r="I338" s="75">
        <v>0</v>
      </c>
      <c r="J338" s="27"/>
      <c r="K338" s="13"/>
      <c r="L338" s="67"/>
      <c r="M338" s="56"/>
      <c r="N338" s="55"/>
      <c r="O338" s="13"/>
      <c r="P338" s="71"/>
      <c r="Q338" s="31"/>
      <c r="R338" s="26">
        <f>+I338+L338+N338-P338</f>
        <v>0</v>
      </c>
      <c r="S338" s="85"/>
      <c r="T338" s="84"/>
      <c r="U338" s="27"/>
      <c r="V338" s="13"/>
      <c r="W338" s="67"/>
      <c r="X338" s="56"/>
      <c r="Y338" s="55"/>
      <c r="Z338" s="13"/>
      <c r="AA338" s="71"/>
      <c r="AB338" s="31"/>
      <c r="AC338" s="26">
        <f>+R338+W338+Y338-AA338</f>
        <v>0</v>
      </c>
      <c r="AD338" s="25"/>
      <c r="AE338" s="25"/>
      <c r="AF338" s="13"/>
      <c r="AG338" s="13"/>
      <c r="AH338" s="13"/>
    </row>
    <row r="339" spans="1:34" x14ac:dyDescent="0.3">
      <c r="A339" s="65">
        <v>336</v>
      </c>
      <c r="B339" s="25"/>
      <c r="C339" s="25"/>
      <c r="D339" s="25"/>
      <c r="E339" s="30" t="str">
        <f>CONCATENATE(B339,"-",C339,"-",D339)</f>
        <v>--</v>
      </c>
      <c r="F339" s="13">
        <f>VLOOKUP(E339,'LISTA ITEMS'!$E$2:$G$875,2,FALSE)</f>
        <v>0</v>
      </c>
      <c r="G339" s="25">
        <f>VLOOKUP(E339,'LISTA ITEMS'!$E$2:$G$875,3,FALSE)</f>
        <v>0</v>
      </c>
      <c r="H339" s="76"/>
      <c r="I339" s="75">
        <v>0</v>
      </c>
      <c r="J339" s="27"/>
      <c r="K339" s="13"/>
      <c r="L339" s="67"/>
      <c r="M339" s="56"/>
      <c r="N339" s="55"/>
      <c r="O339" s="13"/>
      <c r="P339" s="71"/>
      <c r="Q339" s="31"/>
      <c r="R339" s="26">
        <f>+I339+L339+N339-P339</f>
        <v>0</v>
      </c>
      <c r="S339" s="85"/>
      <c r="T339" s="84"/>
      <c r="U339" s="27"/>
      <c r="V339" s="13"/>
      <c r="W339" s="67"/>
      <c r="X339" s="56"/>
      <c r="Y339" s="55"/>
      <c r="Z339" s="13"/>
      <c r="AA339" s="71"/>
      <c r="AB339" s="31"/>
      <c r="AC339" s="26">
        <f>+R339+W339+Y339-AA339</f>
        <v>0</v>
      </c>
      <c r="AD339" s="25"/>
      <c r="AE339" s="25"/>
      <c r="AF339" s="13"/>
      <c r="AG339" s="13"/>
      <c r="AH339" s="13"/>
    </row>
    <row r="340" spans="1:34" x14ac:dyDescent="0.3">
      <c r="A340" s="65">
        <v>337</v>
      </c>
      <c r="B340" s="25"/>
      <c r="C340" s="25"/>
      <c r="D340" s="25"/>
      <c r="E340" s="30" t="str">
        <f>CONCATENATE(B340,"-",C340,"-",D340)</f>
        <v>--</v>
      </c>
      <c r="F340" s="13">
        <f>VLOOKUP(E340,'LISTA ITEMS'!$E$2:$G$875,2,FALSE)</f>
        <v>0</v>
      </c>
      <c r="G340" s="25">
        <f>VLOOKUP(E340,'LISTA ITEMS'!$E$2:$G$875,3,FALSE)</f>
        <v>0</v>
      </c>
      <c r="H340" s="76"/>
      <c r="I340" s="75">
        <v>0</v>
      </c>
      <c r="J340" s="27"/>
      <c r="K340" s="13"/>
      <c r="L340" s="67"/>
      <c r="M340" s="56"/>
      <c r="N340" s="55"/>
      <c r="O340" s="13"/>
      <c r="P340" s="71"/>
      <c r="Q340" s="31"/>
      <c r="R340" s="26">
        <f>+I340+L340+N340-P340</f>
        <v>0</v>
      </c>
      <c r="S340" s="85"/>
      <c r="T340" s="84"/>
      <c r="U340" s="27"/>
      <c r="V340" s="13"/>
      <c r="W340" s="67"/>
      <c r="X340" s="56"/>
      <c r="Y340" s="55"/>
      <c r="Z340" s="13"/>
      <c r="AA340" s="71"/>
      <c r="AB340" s="31"/>
      <c r="AC340" s="26">
        <f>+R340+W340+Y340-AA340</f>
        <v>0</v>
      </c>
      <c r="AD340" s="25"/>
      <c r="AE340" s="25"/>
      <c r="AF340" s="13"/>
      <c r="AG340" s="13"/>
      <c r="AH340" s="13"/>
    </row>
    <row r="341" spans="1:34" x14ac:dyDescent="0.3">
      <c r="A341" s="65">
        <v>338</v>
      </c>
      <c r="B341" s="25"/>
      <c r="C341" s="25"/>
      <c r="D341" s="25"/>
      <c r="E341" s="30" t="str">
        <f>CONCATENATE(B341,"-",C341,"-",D341)</f>
        <v>--</v>
      </c>
      <c r="F341" s="13">
        <f>VLOOKUP(E341,'LISTA ITEMS'!$E$2:$G$875,2,FALSE)</f>
        <v>0</v>
      </c>
      <c r="G341" s="25">
        <f>VLOOKUP(E341,'LISTA ITEMS'!$E$2:$G$875,3,FALSE)</f>
        <v>0</v>
      </c>
      <c r="H341" s="76"/>
      <c r="I341" s="75">
        <v>0</v>
      </c>
      <c r="J341" s="27"/>
      <c r="K341" s="13"/>
      <c r="L341" s="67"/>
      <c r="M341" s="56"/>
      <c r="N341" s="55"/>
      <c r="O341" s="13"/>
      <c r="P341" s="71"/>
      <c r="Q341" s="31"/>
      <c r="R341" s="26">
        <f>+I341+L341+N341-P341</f>
        <v>0</v>
      </c>
      <c r="S341" s="85"/>
      <c r="T341" s="84"/>
      <c r="U341" s="27"/>
      <c r="V341" s="13"/>
      <c r="W341" s="67"/>
      <c r="X341" s="56"/>
      <c r="Y341" s="55"/>
      <c r="Z341" s="13"/>
      <c r="AA341" s="71"/>
      <c r="AB341" s="31"/>
      <c r="AC341" s="26">
        <f>+R341+W341+Y341-AA341</f>
        <v>0</v>
      </c>
      <c r="AD341" s="25"/>
      <c r="AE341" s="25"/>
      <c r="AF341" s="13"/>
      <c r="AG341" s="13"/>
      <c r="AH341" s="13"/>
    </row>
    <row r="342" spans="1:34" x14ac:dyDescent="0.3">
      <c r="A342" s="65">
        <v>339</v>
      </c>
      <c r="B342" s="25"/>
      <c r="C342" s="25"/>
      <c r="D342" s="25"/>
      <c r="E342" s="30" t="str">
        <f>CONCATENATE(B342,"-",C342,"-",D342)</f>
        <v>--</v>
      </c>
      <c r="F342" s="13">
        <f>VLOOKUP(E342,'LISTA ITEMS'!$E$2:$G$875,2,FALSE)</f>
        <v>0</v>
      </c>
      <c r="G342" s="25">
        <f>VLOOKUP(E342,'LISTA ITEMS'!$E$2:$G$875,3,FALSE)</f>
        <v>0</v>
      </c>
      <c r="H342" s="76"/>
      <c r="I342" s="75">
        <v>0</v>
      </c>
      <c r="J342" s="27"/>
      <c r="K342" s="13"/>
      <c r="L342" s="67"/>
      <c r="M342" s="56"/>
      <c r="N342" s="55"/>
      <c r="O342" s="13"/>
      <c r="P342" s="71"/>
      <c r="Q342" s="31"/>
      <c r="R342" s="26">
        <f>+I342+L342+N342-P342</f>
        <v>0</v>
      </c>
      <c r="S342" s="85"/>
      <c r="T342" s="84"/>
      <c r="U342" s="27"/>
      <c r="V342" s="13"/>
      <c r="W342" s="67"/>
      <c r="X342" s="56"/>
      <c r="Y342" s="55"/>
      <c r="Z342" s="13"/>
      <c r="AA342" s="71"/>
      <c r="AB342" s="31"/>
      <c r="AC342" s="26">
        <f>+R342+W342+Y342-AA342</f>
        <v>0</v>
      </c>
      <c r="AD342" s="25"/>
      <c r="AE342" s="25"/>
      <c r="AF342" s="13"/>
      <c r="AG342" s="13"/>
      <c r="AH342" s="13"/>
    </row>
    <row r="343" spans="1:34" x14ac:dyDescent="0.3">
      <c r="A343" s="65">
        <v>340</v>
      </c>
      <c r="B343" s="25"/>
      <c r="C343" s="25"/>
      <c r="D343" s="25"/>
      <c r="E343" s="30" t="str">
        <f>CONCATENATE(B343,"-",C343,"-",D343)</f>
        <v>--</v>
      </c>
      <c r="F343" s="13">
        <f>VLOOKUP(E343,'LISTA ITEMS'!$E$2:$G$875,2,FALSE)</f>
        <v>0</v>
      </c>
      <c r="G343" s="25">
        <f>VLOOKUP(E343,'LISTA ITEMS'!$E$2:$G$875,3,FALSE)</f>
        <v>0</v>
      </c>
      <c r="H343" s="76"/>
      <c r="I343" s="75">
        <v>0</v>
      </c>
      <c r="J343" s="27"/>
      <c r="K343" s="13"/>
      <c r="L343" s="67"/>
      <c r="M343" s="56"/>
      <c r="N343" s="55"/>
      <c r="O343" s="13"/>
      <c r="P343" s="71"/>
      <c r="Q343" s="31"/>
      <c r="R343" s="26">
        <f>+I343+L343+N343-P343</f>
        <v>0</v>
      </c>
      <c r="S343" s="85"/>
      <c r="T343" s="84"/>
      <c r="U343" s="27"/>
      <c r="V343" s="13"/>
      <c r="W343" s="67"/>
      <c r="X343" s="56"/>
      <c r="Y343" s="55"/>
      <c r="Z343" s="13"/>
      <c r="AA343" s="71"/>
      <c r="AB343" s="31"/>
      <c r="AC343" s="26">
        <f>+R343+W343+Y343-AA343</f>
        <v>0</v>
      </c>
      <c r="AD343" s="25"/>
      <c r="AE343" s="25"/>
      <c r="AF343" s="13"/>
      <c r="AG343" s="13"/>
      <c r="AH343" s="13"/>
    </row>
    <row r="344" spans="1:34" x14ac:dyDescent="0.3">
      <c r="A344" s="65">
        <v>341</v>
      </c>
      <c r="B344" s="25"/>
      <c r="C344" s="25"/>
      <c r="D344" s="25"/>
      <c r="E344" s="30" t="str">
        <f>CONCATENATE(B344,"-",C344,"-",D344)</f>
        <v>--</v>
      </c>
      <c r="F344" s="13">
        <f>VLOOKUP(E344,'LISTA ITEMS'!$E$2:$G$875,2,FALSE)</f>
        <v>0</v>
      </c>
      <c r="G344" s="25">
        <f>VLOOKUP(E344,'LISTA ITEMS'!$E$2:$G$875,3,FALSE)</f>
        <v>0</v>
      </c>
      <c r="H344" s="76"/>
      <c r="I344" s="75">
        <v>0</v>
      </c>
      <c r="J344" s="27"/>
      <c r="K344" s="13"/>
      <c r="L344" s="67"/>
      <c r="M344" s="56"/>
      <c r="N344" s="55"/>
      <c r="O344" s="13"/>
      <c r="P344" s="71"/>
      <c r="Q344" s="31"/>
      <c r="R344" s="26">
        <f>+I344+L344+N344-P344</f>
        <v>0</v>
      </c>
      <c r="S344" s="85"/>
      <c r="T344" s="84"/>
      <c r="U344" s="27"/>
      <c r="V344" s="13"/>
      <c r="W344" s="67"/>
      <c r="X344" s="56"/>
      <c r="Y344" s="55"/>
      <c r="Z344" s="13"/>
      <c r="AA344" s="71"/>
      <c r="AB344" s="31"/>
      <c r="AC344" s="26">
        <f>+R344+W344+Y344-AA344</f>
        <v>0</v>
      </c>
      <c r="AD344" s="25"/>
      <c r="AE344" s="25"/>
      <c r="AF344" s="13"/>
      <c r="AG344" s="13"/>
      <c r="AH344" s="13"/>
    </row>
    <row r="345" spans="1:34" x14ac:dyDescent="0.3">
      <c r="A345" s="65">
        <v>342</v>
      </c>
      <c r="B345" s="25"/>
      <c r="C345" s="25"/>
      <c r="D345" s="25"/>
      <c r="E345" s="30" t="str">
        <f>CONCATENATE(B345,"-",C345,"-",D345)</f>
        <v>--</v>
      </c>
      <c r="F345" s="13">
        <f>VLOOKUP(E345,'LISTA ITEMS'!$E$2:$G$875,2,FALSE)</f>
        <v>0</v>
      </c>
      <c r="G345" s="25">
        <f>VLOOKUP(E345,'LISTA ITEMS'!$E$2:$G$875,3,FALSE)</f>
        <v>0</v>
      </c>
      <c r="H345" s="76"/>
      <c r="I345" s="75">
        <v>0</v>
      </c>
      <c r="J345" s="27"/>
      <c r="K345" s="13"/>
      <c r="L345" s="67"/>
      <c r="M345" s="56"/>
      <c r="N345" s="55"/>
      <c r="O345" s="13"/>
      <c r="P345" s="71"/>
      <c r="Q345" s="31"/>
      <c r="R345" s="26">
        <f>+I345+L345+N345-P345</f>
        <v>0</v>
      </c>
      <c r="S345" s="85"/>
      <c r="T345" s="84"/>
      <c r="U345" s="27"/>
      <c r="V345" s="13"/>
      <c r="W345" s="67"/>
      <c r="X345" s="56"/>
      <c r="Y345" s="55"/>
      <c r="Z345" s="13"/>
      <c r="AA345" s="71"/>
      <c r="AB345" s="31"/>
      <c r="AC345" s="26">
        <f>+R345+W345+Y345-AA345</f>
        <v>0</v>
      </c>
      <c r="AD345" s="25"/>
      <c r="AE345" s="25"/>
      <c r="AF345" s="13"/>
      <c r="AG345" s="13"/>
      <c r="AH345" s="13"/>
    </row>
    <row r="346" spans="1:34" x14ac:dyDescent="0.3">
      <c r="A346" s="65">
        <v>343</v>
      </c>
      <c r="B346" s="25"/>
      <c r="C346" s="25"/>
      <c r="D346" s="25"/>
      <c r="E346" s="30" t="str">
        <f>CONCATENATE(B346,"-",C346,"-",D346)</f>
        <v>--</v>
      </c>
      <c r="F346" s="13">
        <f>VLOOKUP(E346,'LISTA ITEMS'!$E$2:$G$875,2,FALSE)</f>
        <v>0</v>
      </c>
      <c r="G346" s="25">
        <f>VLOOKUP(E346,'LISTA ITEMS'!$E$2:$G$875,3,FALSE)</f>
        <v>0</v>
      </c>
      <c r="H346" s="76"/>
      <c r="I346" s="75">
        <v>0</v>
      </c>
      <c r="J346" s="27"/>
      <c r="K346" s="13"/>
      <c r="L346" s="67"/>
      <c r="M346" s="56"/>
      <c r="N346" s="55"/>
      <c r="O346" s="13"/>
      <c r="P346" s="71"/>
      <c r="Q346" s="31"/>
      <c r="R346" s="26">
        <f>+I346+L346+N346-P346</f>
        <v>0</v>
      </c>
      <c r="S346" s="85"/>
      <c r="T346" s="84"/>
      <c r="U346" s="27"/>
      <c r="V346" s="13"/>
      <c r="W346" s="67"/>
      <c r="X346" s="56"/>
      <c r="Y346" s="55"/>
      <c r="Z346" s="13"/>
      <c r="AA346" s="71"/>
      <c r="AB346" s="31"/>
      <c r="AC346" s="26">
        <f>+R346+W346+Y346-AA346</f>
        <v>0</v>
      </c>
      <c r="AD346" s="25"/>
      <c r="AE346" s="25"/>
      <c r="AF346" s="13"/>
      <c r="AG346" s="13"/>
      <c r="AH346" s="13"/>
    </row>
    <row r="347" spans="1:34" x14ac:dyDescent="0.3">
      <c r="A347" s="65">
        <v>344</v>
      </c>
      <c r="B347" s="25"/>
      <c r="C347" s="25"/>
      <c r="D347" s="25"/>
      <c r="E347" s="30" t="str">
        <f>CONCATENATE(B347,"-",C347,"-",D347)</f>
        <v>--</v>
      </c>
      <c r="F347" s="13">
        <f>VLOOKUP(E347,'LISTA ITEMS'!$E$2:$G$875,2,FALSE)</f>
        <v>0</v>
      </c>
      <c r="G347" s="25">
        <f>VLOOKUP(E347,'LISTA ITEMS'!$E$2:$G$875,3,FALSE)</f>
        <v>0</v>
      </c>
      <c r="H347" s="76"/>
      <c r="I347" s="75">
        <v>0</v>
      </c>
      <c r="J347" s="27"/>
      <c r="K347" s="13"/>
      <c r="L347" s="67"/>
      <c r="M347" s="56"/>
      <c r="N347" s="55"/>
      <c r="O347" s="13"/>
      <c r="P347" s="71"/>
      <c r="Q347" s="31"/>
      <c r="R347" s="26">
        <f>+I347+L347+N347-P347</f>
        <v>0</v>
      </c>
      <c r="S347" s="85"/>
      <c r="T347" s="84"/>
      <c r="U347" s="27"/>
      <c r="V347" s="13"/>
      <c r="W347" s="67"/>
      <c r="X347" s="56"/>
      <c r="Y347" s="55"/>
      <c r="Z347" s="13"/>
      <c r="AA347" s="71"/>
      <c r="AB347" s="31"/>
      <c r="AC347" s="26">
        <f>+R347+W347+Y347-AA347</f>
        <v>0</v>
      </c>
      <c r="AD347" s="25"/>
      <c r="AE347" s="25"/>
      <c r="AF347" s="13"/>
      <c r="AG347" s="13"/>
      <c r="AH347" s="13"/>
    </row>
    <row r="348" spans="1:34" x14ac:dyDescent="0.3">
      <c r="A348" s="65">
        <v>345</v>
      </c>
      <c r="B348" s="25"/>
      <c r="C348" s="25"/>
      <c r="D348" s="25"/>
      <c r="E348" s="30" t="str">
        <f>CONCATENATE(B348,"-",C348,"-",D348)</f>
        <v>--</v>
      </c>
      <c r="F348" s="13">
        <f>VLOOKUP(E348,'LISTA ITEMS'!$E$2:$G$875,2,FALSE)</f>
        <v>0</v>
      </c>
      <c r="G348" s="25">
        <f>VLOOKUP(E348,'LISTA ITEMS'!$E$2:$G$875,3,FALSE)</f>
        <v>0</v>
      </c>
      <c r="H348" s="76"/>
      <c r="I348" s="75">
        <v>0</v>
      </c>
      <c r="J348" s="27"/>
      <c r="K348" s="13"/>
      <c r="L348" s="67"/>
      <c r="M348" s="56"/>
      <c r="N348" s="55"/>
      <c r="O348" s="13"/>
      <c r="P348" s="71"/>
      <c r="Q348" s="31"/>
      <c r="R348" s="26">
        <f>+I348+L348+N348-P348</f>
        <v>0</v>
      </c>
      <c r="S348" s="85"/>
      <c r="T348" s="84"/>
      <c r="U348" s="27"/>
      <c r="V348" s="13"/>
      <c r="W348" s="67"/>
      <c r="X348" s="56"/>
      <c r="Y348" s="55"/>
      <c r="Z348" s="13"/>
      <c r="AA348" s="71"/>
      <c r="AB348" s="31"/>
      <c r="AC348" s="26">
        <f>+R348+W348+Y348-AA348</f>
        <v>0</v>
      </c>
      <c r="AD348" s="25"/>
      <c r="AE348" s="25"/>
      <c r="AF348" s="13"/>
      <c r="AG348" s="13"/>
      <c r="AH348" s="13"/>
    </row>
    <row r="349" spans="1:34" x14ac:dyDescent="0.3">
      <c r="A349" s="65">
        <v>346</v>
      </c>
      <c r="B349" s="25"/>
      <c r="C349" s="25"/>
      <c r="D349" s="25"/>
      <c r="E349" s="30" t="str">
        <f>CONCATENATE(B349,"-",C349,"-",D349)</f>
        <v>--</v>
      </c>
      <c r="F349" s="13">
        <f>VLOOKUP(E349,'LISTA ITEMS'!$E$2:$G$875,2,FALSE)</f>
        <v>0</v>
      </c>
      <c r="G349" s="25">
        <f>VLOOKUP(E349,'LISTA ITEMS'!$E$2:$G$875,3,FALSE)</f>
        <v>0</v>
      </c>
      <c r="H349" s="76"/>
      <c r="I349" s="75">
        <v>0</v>
      </c>
      <c r="J349" s="27"/>
      <c r="K349" s="13"/>
      <c r="L349" s="67"/>
      <c r="M349" s="56"/>
      <c r="N349" s="55"/>
      <c r="O349" s="13"/>
      <c r="P349" s="71"/>
      <c r="Q349" s="31"/>
      <c r="R349" s="26">
        <f>+I349+L349+N349-P349</f>
        <v>0</v>
      </c>
      <c r="S349" s="85"/>
      <c r="T349" s="84"/>
      <c r="U349" s="27"/>
      <c r="V349" s="13"/>
      <c r="W349" s="67"/>
      <c r="X349" s="56"/>
      <c r="Y349" s="55"/>
      <c r="Z349" s="13"/>
      <c r="AA349" s="71"/>
      <c r="AB349" s="31"/>
      <c r="AC349" s="26">
        <f>+R349+W349+Y349-AA349</f>
        <v>0</v>
      </c>
      <c r="AD349" s="25"/>
      <c r="AE349" s="25"/>
      <c r="AF349" s="13"/>
      <c r="AG349" s="13"/>
      <c r="AH349" s="13"/>
    </row>
    <row r="350" spans="1:34" x14ac:dyDescent="0.3">
      <c r="A350" s="65">
        <v>347</v>
      </c>
      <c r="B350" s="25"/>
      <c r="C350" s="25"/>
      <c r="D350" s="25"/>
      <c r="E350" s="30" t="str">
        <f>CONCATENATE(B350,"-",C350,"-",D350)</f>
        <v>--</v>
      </c>
      <c r="F350" s="13">
        <f>VLOOKUP(E350,'LISTA ITEMS'!$E$2:$G$875,2,FALSE)</f>
        <v>0</v>
      </c>
      <c r="G350" s="25">
        <f>VLOOKUP(E350,'LISTA ITEMS'!$E$2:$G$875,3,FALSE)</f>
        <v>0</v>
      </c>
      <c r="H350" s="76"/>
      <c r="I350" s="75">
        <v>0</v>
      </c>
      <c r="J350" s="27"/>
      <c r="K350" s="13"/>
      <c r="L350" s="67"/>
      <c r="M350" s="56"/>
      <c r="N350" s="55"/>
      <c r="O350" s="13"/>
      <c r="P350" s="71"/>
      <c r="Q350" s="31"/>
      <c r="R350" s="26">
        <f>+I350+L350+N350-P350</f>
        <v>0</v>
      </c>
      <c r="S350" s="85"/>
      <c r="T350" s="84"/>
      <c r="U350" s="27"/>
      <c r="V350" s="13"/>
      <c r="W350" s="67"/>
      <c r="X350" s="56"/>
      <c r="Y350" s="55"/>
      <c r="Z350" s="13"/>
      <c r="AA350" s="71"/>
      <c r="AB350" s="31"/>
      <c r="AC350" s="26">
        <f>+R350+W350+Y350-AA350</f>
        <v>0</v>
      </c>
      <c r="AD350" s="25"/>
      <c r="AE350" s="25"/>
      <c r="AF350" s="13"/>
      <c r="AG350" s="13"/>
      <c r="AH350" s="13"/>
    </row>
    <row r="351" spans="1:34" x14ac:dyDescent="0.3">
      <c r="A351" s="65">
        <v>348</v>
      </c>
      <c r="B351" s="25"/>
      <c r="C351" s="25"/>
      <c r="D351" s="25"/>
      <c r="E351" s="30" t="str">
        <f>CONCATENATE(B351,"-",C351,"-",D351)</f>
        <v>--</v>
      </c>
      <c r="F351" s="13">
        <f>VLOOKUP(E351,'LISTA ITEMS'!$E$2:$G$875,2,FALSE)</f>
        <v>0</v>
      </c>
      <c r="G351" s="25">
        <f>VLOOKUP(E351,'LISTA ITEMS'!$E$2:$G$875,3,FALSE)</f>
        <v>0</v>
      </c>
      <c r="H351" s="76"/>
      <c r="I351" s="75">
        <v>0</v>
      </c>
      <c r="J351" s="27"/>
      <c r="K351" s="13"/>
      <c r="L351" s="67"/>
      <c r="M351" s="56"/>
      <c r="N351" s="55"/>
      <c r="O351" s="13"/>
      <c r="P351" s="71"/>
      <c r="Q351" s="31"/>
      <c r="R351" s="26">
        <f>+I351+L351+N351-P351</f>
        <v>0</v>
      </c>
      <c r="S351" s="85"/>
      <c r="T351" s="84"/>
      <c r="U351" s="27"/>
      <c r="V351" s="13"/>
      <c r="W351" s="67"/>
      <c r="X351" s="56"/>
      <c r="Y351" s="55"/>
      <c r="Z351" s="13"/>
      <c r="AA351" s="71"/>
      <c r="AB351" s="31"/>
      <c r="AC351" s="26">
        <f>+R351+W351+Y351-AA351</f>
        <v>0</v>
      </c>
      <c r="AD351" s="25"/>
      <c r="AE351" s="25"/>
      <c r="AF351" s="13"/>
      <c r="AG351" s="13"/>
      <c r="AH351" s="13"/>
    </row>
    <row r="352" spans="1:34" x14ac:dyDescent="0.3">
      <c r="A352" s="65">
        <v>349</v>
      </c>
      <c r="B352" s="25"/>
      <c r="C352" s="25"/>
      <c r="D352" s="25"/>
      <c r="E352" s="30" t="str">
        <f>CONCATENATE(B352,"-",C352,"-",D352)</f>
        <v>--</v>
      </c>
      <c r="F352" s="13">
        <f>VLOOKUP(E352,'LISTA ITEMS'!$E$2:$G$875,2,FALSE)</f>
        <v>0</v>
      </c>
      <c r="G352" s="25">
        <f>VLOOKUP(E352,'LISTA ITEMS'!$E$2:$G$875,3,FALSE)</f>
        <v>0</v>
      </c>
      <c r="H352" s="76"/>
      <c r="I352" s="75">
        <v>0</v>
      </c>
      <c r="J352" s="27"/>
      <c r="K352" s="13"/>
      <c r="L352" s="67"/>
      <c r="M352" s="56"/>
      <c r="N352" s="55"/>
      <c r="O352" s="13"/>
      <c r="P352" s="71"/>
      <c r="Q352" s="31"/>
      <c r="R352" s="26">
        <f>+I352+L352+N352-P352</f>
        <v>0</v>
      </c>
      <c r="S352" s="85"/>
      <c r="T352" s="84"/>
      <c r="U352" s="27"/>
      <c r="V352" s="13"/>
      <c r="W352" s="67"/>
      <c r="X352" s="56"/>
      <c r="Y352" s="55"/>
      <c r="Z352" s="13"/>
      <c r="AA352" s="71"/>
      <c r="AB352" s="31"/>
      <c r="AC352" s="26">
        <f>+R352+W352+Y352-AA352</f>
        <v>0</v>
      </c>
      <c r="AD352" s="25"/>
      <c r="AE352" s="25"/>
      <c r="AF352" s="13"/>
      <c r="AG352" s="13"/>
      <c r="AH352" s="13"/>
    </row>
    <row r="353" spans="1:34" x14ac:dyDescent="0.3">
      <c r="A353" s="65">
        <v>350</v>
      </c>
      <c r="B353" s="25"/>
      <c r="C353" s="25"/>
      <c r="D353" s="25"/>
      <c r="E353" s="30" t="str">
        <f>CONCATENATE(B353,"-",C353,"-",D353)</f>
        <v>--</v>
      </c>
      <c r="F353" s="13">
        <f>VLOOKUP(E353,'LISTA ITEMS'!$E$2:$G$875,2,FALSE)</f>
        <v>0</v>
      </c>
      <c r="G353" s="25">
        <f>VLOOKUP(E353,'LISTA ITEMS'!$E$2:$G$875,3,FALSE)</f>
        <v>0</v>
      </c>
      <c r="H353" s="76"/>
      <c r="I353" s="75">
        <v>0</v>
      </c>
      <c r="J353" s="27"/>
      <c r="K353" s="13"/>
      <c r="L353" s="67"/>
      <c r="M353" s="56"/>
      <c r="N353" s="55"/>
      <c r="O353" s="13"/>
      <c r="P353" s="71"/>
      <c r="Q353" s="31"/>
      <c r="R353" s="26">
        <f>+I353+L353+N353-P353</f>
        <v>0</v>
      </c>
      <c r="S353" s="85"/>
      <c r="T353" s="84"/>
      <c r="U353" s="27"/>
      <c r="V353" s="13"/>
      <c r="W353" s="67"/>
      <c r="X353" s="56"/>
      <c r="Y353" s="55"/>
      <c r="Z353" s="13"/>
      <c r="AA353" s="71"/>
      <c r="AB353" s="31"/>
      <c r="AC353" s="26">
        <f>+R353+W353+Y353-AA353</f>
        <v>0</v>
      </c>
      <c r="AD353" s="25"/>
      <c r="AE353" s="25"/>
      <c r="AF353" s="13"/>
      <c r="AG353" s="13"/>
      <c r="AH353" s="13"/>
    </row>
    <row r="354" spans="1:34" x14ac:dyDescent="0.3">
      <c r="A354" s="65">
        <v>351</v>
      </c>
      <c r="B354" s="25"/>
      <c r="C354" s="25"/>
      <c r="D354" s="25"/>
      <c r="E354" s="30" t="str">
        <f>CONCATENATE(B354,"-",C354,"-",D354)</f>
        <v>--</v>
      </c>
      <c r="F354" s="13">
        <f>VLOOKUP(E354,'LISTA ITEMS'!$E$2:$G$875,2,FALSE)</f>
        <v>0</v>
      </c>
      <c r="G354" s="25">
        <f>VLOOKUP(E354,'LISTA ITEMS'!$E$2:$G$875,3,FALSE)</f>
        <v>0</v>
      </c>
      <c r="H354" s="76"/>
      <c r="I354" s="75">
        <v>0</v>
      </c>
      <c r="J354" s="27"/>
      <c r="K354" s="13"/>
      <c r="L354" s="67"/>
      <c r="M354" s="56"/>
      <c r="N354" s="55"/>
      <c r="O354" s="13"/>
      <c r="P354" s="71"/>
      <c r="Q354" s="31"/>
      <c r="R354" s="26">
        <f>+I354+L354+N354-P354</f>
        <v>0</v>
      </c>
      <c r="S354" s="85"/>
      <c r="T354" s="84"/>
      <c r="U354" s="27"/>
      <c r="V354" s="13"/>
      <c r="W354" s="67"/>
      <c r="X354" s="56"/>
      <c r="Y354" s="55"/>
      <c r="Z354" s="13"/>
      <c r="AA354" s="71"/>
      <c r="AB354" s="31"/>
      <c r="AC354" s="26">
        <f>+R354+W354+Y354-AA354</f>
        <v>0</v>
      </c>
      <c r="AD354" s="25"/>
      <c r="AE354" s="25"/>
      <c r="AF354" s="13"/>
      <c r="AG354" s="13"/>
      <c r="AH354" s="13"/>
    </row>
    <row r="355" spans="1:34" x14ac:dyDescent="0.3">
      <c r="A355" s="65">
        <v>352</v>
      </c>
      <c r="B355" s="25"/>
      <c r="C355" s="25"/>
      <c r="D355" s="25"/>
      <c r="E355" s="30" t="str">
        <f>CONCATENATE(B355,"-",C355,"-",D355)</f>
        <v>--</v>
      </c>
      <c r="F355" s="13">
        <f>VLOOKUP(E355,'LISTA ITEMS'!$E$2:$G$875,2,FALSE)</f>
        <v>0</v>
      </c>
      <c r="G355" s="25">
        <f>VLOOKUP(E355,'LISTA ITEMS'!$E$2:$G$875,3,FALSE)</f>
        <v>0</v>
      </c>
      <c r="H355" s="76"/>
      <c r="I355" s="75">
        <v>0</v>
      </c>
      <c r="J355" s="27"/>
      <c r="K355" s="13"/>
      <c r="L355" s="67"/>
      <c r="M355" s="56"/>
      <c r="N355" s="55"/>
      <c r="O355" s="13"/>
      <c r="P355" s="71"/>
      <c r="Q355" s="31"/>
      <c r="R355" s="26">
        <f>+I355+L355+N355-P355</f>
        <v>0</v>
      </c>
      <c r="S355" s="85"/>
      <c r="T355" s="84"/>
      <c r="U355" s="27"/>
      <c r="V355" s="13"/>
      <c r="W355" s="67"/>
      <c r="X355" s="56"/>
      <c r="Y355" s="55"/>
      <c r="Z355" s="13"/>
      <c r="AA355" s="71"/>
      <c r="AB355" s="31"/>
      <c r="AC355" s="26">
        <f>+R355+W355+Y355-AA355</f>
        <v>0</v>
      </c>
      <c r="AD355" s="25"/>
      <c r="AE355" s="25"/>
      <c r="AF355" s="13"/>
      <c r="AG355" s="13"/>
      <c r="AH355" s="13"/>
    </row>
    <row r="356" spans="1:34" x14ac:dyDescent="0.3">
      <c r="A356" s="65">
        <v>353</v>
      </c>
      <c r="B356" s="25"/>
      <c r="C356" s="25"/>
      <c r="D356" s="25"/>
      <c r="E356" s="30" t="str">
        <f>CONCATENATE(B356,"-",C356,"-",D356)</f>
        <v>--</v>
      </c>
      <c r="F356" s="13">
        <f>VLOOKUP(E356,'LISTA ITEMS'!$E$2:$G$875,2,FALSE)</f>
        <v>0</v>
      </c>
      <c r="G356" s="25">
        <f>VLOOKUP(E356,'LISTA ITEMS'!$E$2:$G$875,3,FALSE)</f>
        <v>0</v>
      </c>
      <c r="H356" s="76"/>
      <c r="I356" s="75">
        <v>0</v>
      </c>
      <c r="J356" s="27"/>
      <c r="K356" s="13"/>
      <c r="L356" s="67"/>
      <c r="M356" s="56"/>
      <c r="N356" s="55"/>
      <c r="O356" s="13"/>
      <c r="P356" s="71"/>
      <c r="Q356" s="31"/>
      <c r="R356" s="26">
        <f>+I356+L356+N356-P356</f>
        <v>0</v>
      </c>
      <c r="S356" s="85"/>
      <c r="T356" s="84"/>
      <c r="U356" s="27"/>
      <c r="V356" s="13"/>
      <c r="W356" s="67"/>
      <c r="X356" s="56"/>
      <c r="Y356" s="55"/>
      <c r="Z356" s="13"/>
      <c r="AA356" s="71"/>
      <c r="AB356" s="31"/>
      <c r="AC356" s="26">
        <f>+R356+W356+Y356-AA356</f>
        <v>0</v>
      </c>
      <c r="AD356" s="25"/>
      <c r="AE356" s="25"/>
      <c r="AF356" s="13"/>
      <c r="AG356" s="13"/>
      <c r="AH356" s="13"/>
    </row>
    <row r="357" spans="1:34" x14ac:dyDescent="0.3">
      <c r="A357" s="65">
        <v>354</v>
      </c>
      <c r="B357" s="25"/>
      <c r="C357" s="25"/>
      <c r="D357" s="25"/>
      <c r="E357" s="30" t="str">
        <f>CONCATENATE(B357,"-",C357,"-",D357)</f>
        <v>--</v>
      </c>
      <c r="F357" s="13">
        <f>VLOOKUP(E357,'LISTA ITEMS'!$E$2:$G$875,2,FALSE)</f>
        <v>0</v>
      </c>
      <c r="G357" s="25">
        <f>VLOOKUP(E357,'LISTA ITEMS'!$E$2:$G$875,3,FALSE)</f>
        <v>0</v>
      </c>
      <c r="H357" s="76"/>
      <c r="I357" s="75">
        <v>0</v>
      </c>
      <c r="J357" s="27"/>
      <c r="K357" s="13"/>
      <c r="L357" s="67"/>
      <c r="M357" s="56"/>
      <c r="N357" s="55"/>
      <c r="O357" s="13"/>
      <c r="P357" s="71"/>
      <c r="Q357" s="31"/>
      <c r="R357" s="26">
        <f>+I357+L357+N357-P357</f>
        <v>0</v>
      </c>
      <c r="S357" s="85"/>
      <c r="T357" s="84"/>
      <c r="U357" s="27"/>
      <c r="V357" s="13"/>
      <c r="W357" s="67"/>
      <c r="X357" s="56"/>
      <c r="Y357" s="55"/>
      <c r="Z357" s="13"/>
      <c r="AA357" s="71"/>
      <c r="AB357" s="31"/>
      <c r="AC357" s="26">
        <f>+R357+W357+Y357-AA357</f>
        <v>0</v>
      </c>
      <c r="AD357" s="25"/>
      <c r="AE357" s="25"/>
      <c r="AF357" s="13"/>
      <c r="AG357" s="13"/>
      <c r="AH357" s="13"/>
    </row>
    <row r="358" spans="1:34" x14ac:dyDescent="0.3">
      <c r="A358" s="65">
        <v>355</v>
      </c>
      <c r="B358" s="25"/>
      <c r="C358" s="25"/>
      <c r="D358" s="25"/>
      <c r="E358" s="30" t="str">
        <f>CONCATENATE(B358,"-",C358,"-",D358)</f>
        <v>--</v>
      </c>
      <c r="F358" s="13">
        <f>VLOOKUP(E358,'LISTA ITEMS'!$E$2:$G$875,2,FALSE)</f>
        <v>0</v>
      </c>
      <c r="G358" s="25">
        <f>VLOOKUP(E358,'LISTA ITEMS'!$E$2:$G$875,3,FALSE)</f>
        <v>0</v>
      </c>
      <c r="H358" s="76"/>
      <c r="I358" s="75">
        <v>0</v>
      </c>
      <c r="J358" s="27"/>
      <c r="K358" s="13"/>
      <c r="L358" s="67"/>
      <c r="M358" s="56"/>
      <c r="N358" s="55"/>
      <c r="O358" s="13"/>
      <c r="P358" s="71"/>
      <c r="Q358" s="31"/>
      <c r="R358" s="26">
        <f>+I358+L358+N358-P358</f>
        <v>0</v>
      </c>
      <c r="S358" s="85"/>
      <c r="T358" s="84"/>
      <c r="U358" s="27"/>
      <c r="V358" s="13"/>
      <c r="W358" s="67"/>
      <c r="X358" s="56"/>
      <c r="Y358" s="55"/>
      <c r="Z358" s="13"/>
      <c r="AA358" s="71"/>
      <c r="AB358" s="31"/>
      <c r="AC358" s="26">
        <f>+R358+W358+Y358-AA358</f>
        <v>0</v>
      </c>
      <c r="AD358" s="25"/>
      <c r="AE358" s="25"/>
      <c r="AF358" s="13"/>
      <c r="AG358" s="13"/>
      <c r="AH358" s="13"/>
    </row>
    <row r="359" spans="1:34" x14ac:dyDescent="0.3">
      <c r="A359" s="65">
        <v>356</v>
      </c>
      <c r="B359" s="25"/>
      <c r="C359" s="25"/>
      <c r="D359" s="25"/>
      <c r="E359" s="30" t="str">
        <f>CONCATENATE(B359,"-",C359,"-",D359)</f>
        <v>--</v>
      </c>
      <c r="F359" s="13">
        <f>VLOOKUP(E359,'LISTA ITEMS'!$E$2:$G$875,2,FALSE)</f>
        <v>0</v>
      </c>
      <c r="G359" s="25">
        <f>VLOOKUP(E359,'LISTA ITEMS'!$E$2:$G$875,3,FALSE)</f>
        <v>0</v>
      </c>
      <c r="H359" s="76"/>
      <c r="I359" s="75">
        <v>0</v>
      </c>
      <c r="J359" s="27"/>
      <c r="K359" s="13"/>
      <c r="L359" s="67"/>
      <c r="M359" s="56"/>
      <c r="N359" s="55"/>
      <c r="O359" s="13"/>
      <c r="P359" s="71"/>
      <c r="Q359" s="31"/>
      <c r="R359" s="26">
        <f>+I359+L359+N359-P359</f>
        <v>0</v>
      </c>
      <c r="S359" s="85"/>
      <c r="T359" s="84"/>
      <c r="U359" s="27"/>
      <c r="V359" s="13"/>
      <c r="W359" s="67"/>
      <c r="X359" s="56"/>
      <c r="Y359" s="55"/>
      <c r="Z359" s="13"/>
      <c r="AA359" s="71"/>
      <c r="AB359" s="31"/>
      <c r="AC359" s="26">
        <f>+R359+W359+Y359-AA359</f>
        <v>0</v>
      </c>
      <c r="AD359" s="25"/>
      <c r="AE359" s="25"/>
      <c r="AF359" s="13"/>
      <c r="AG359" s="13"/>
      <c r="AH359" s="13"/>
    </row>
    <row r="360" spans="1:34" x14ac:dyDescent="0.3">
      <c r="A360" s="65">
        <v>357</v>
      </c>
      <c r="B360" s="25"/>
      <c r="C360" s="25"/>
      <c r="D360" s="25"/>
      <c r="E360" s="30" t="str">
        <f>CONCATENATE(B360,"-",C360,"-",D360)</f>
        <v>--</v>
      </c>
      <c r="F360" s="13">
        <f>VLOOKUP(E360,'LISTA ITEMS'!$E$2:$G$875,2,FALSE)</f>
        <v>0</v>
      </c>
      <c r="G360" s="25">
        <f>VLOOKUP(E360,'LISTA ITEMS'!$E$2:$G$875,3,FALSE)</f>
        <v>0</v>
      </c>
      <c r="H360" s="76"/>
      <c r="I360" s="75">
        <v>0</v>
      </c>
      <c r="J360" s="27"/>
      <c r="K360" s="13"/>
      <c r="L360" s="67"/>
      <c r="M360" s="56"/>
      <c r="N360" s="55"/>
      <c r="O360" s="13"/>
      <c r="P360" s="71"/>
      <c r="Q360" s="31"/>
      <c r="R360" s="26">
        <f>+I360+L360+N360-P360</f>
        <v>0</v>
      </c>
      <c r="S360" s="85"/>
      <c r="T360" s="84"/>
      <c r="U360" s="27"/>
      <c r="V360" s="13"/>
      <c r="W360" s="67"/>
      <c r="X360" s="56"/>
      <c r="Y360" s="55"/>
      <c r="Z360" s="13"/>
      <c r="AA360" s="71"/>
      <c r="AB360" s="31"/>
      <c r="AC360" s="26">
        <f>+R360+W360+Y360-AA360</f>
        <v>0</v>
      </c>
      <c r="AD360" s="25"/>
      <c r="AE360" s="25"/>
      <c r="AF360" s="13"/>
      <c r="AG360" s="13"/>
      <c r="AH360" s="13"/>
    </row>
    <row r="361" spans="1:34" x14ac:dyDescent="0.3">
      <c r="A361" s="65">
        <v>358</v>
      </c>
      <c r="B361" s="25"/>
      <c r="C361" s="25"/>
      <c r="D361" s="25"/>
      <c r="E361" s="30" t="str">
        <f>CONCATENATE(B361,"-",C361,"-",D361)</f>
        <v>--</v>
      </c>
      <c r="F361" s="13">
        <f>VLOOKUP(E361,'LISTA ITEMS'!$E$2:$G$875,2,FALSE)</f>
        <v>0</v>
      </c>
      <c r="G361" s="25">
        <f>VLOOKUP(E361,'LISTA ITEMS'!$E$2:$G$875,3,FALSE)</f>
        <v>0</v>
      </c>
      <c r="H361" s="76"/>
      <c r="I361" s="75">
        <v>0</v>
      </c>
      <c r="J361" s="27"/>
      <c r="K361" s="13"/>
      <c r="L361" s="67"/>
      <c r="M361" s="56"/>
      <c r="N361" s="55"/>
      <c r="O361" s="13"/>
      <c r="P361" s="71"/>
      <c r="Q361" s="31"/>
      <c r="R361" s="26">
        <f>+I361+L361+N361-P361</f>
        <v>0</v>
      </c>
      <c r="S361" s="85"/>
      <c r="T361" s="84"/>
      <c r="U361" s="27"/>
      <c r="V361" s="13"/>
      <c r="W361" s="67"/>
      <c r="X361" s="56"/>
      <c r="Y361" s="55"/>
      <c r="Z361" s="13"/>
      <c r="AA361" s="71"/>
      <c r="AB361" s="31"/>
      <c r="AC361" s="26">
        <f>+R361+W361+Y361-AA361</f>
        <v>0</v>
      </c>
      <c r="AD361" s="25"/>
      <c r="AE361" s="25"/>
      <c r="AF361" s="13"/>
      <c r="AG361" s="13"/>
      <c r="AH361" s="13"/>
    </row>
    <row r="362" spans="1:34" x14ac:dyDescent="0.3">
      <c r="A362" s="65">
        <v>359</v>
      </c>
      <c r="B362" s="25"/>
      <c r="C362" s="25"/>
      <c r="D362" s="25"/>
      <c r="E362" s="30" t="str">
        <f>CONCATENATE(B362,"-",C362,"-",D362)</f>
        <v>--</v>
      </c>
      <c r="F362" s="13">
        <f>VLOOKUP(E362,'LISTA ITEMS'!$E$2:$G$875,2,FALSE)</f>
        <v>0</v>
      </c>
      <c r="G362" s="25">
        <f>VLOOKUP(E362,'LISTA ITEMS'!$E$2:$G$875,3,FALSE)</f>
        <v>0</v>
      </c>
      <c r="H362" s="76"/>
      <c r="I362" s="75">
        <v>0</v>
      </c>
      <c r="J362" s="27"/>
      <c r="K362" s="13"/>
      <c r="L362" s="67"/>
      <c r="M362" s="56"/>
      <c r="N362" s="55"/>
      <c r="O362" s="13"/>
      <c r="P362" s="71"/>
      <c r="Q362" s="31"/>
      <c r="R362" s="26">
        <f>+I362+L362+N362-P362</f>
        <v>0</v>
      </c>
      <c r="S362" s="85"/>
      <c r="T362" s="84"/>
      <c r="U362" s="27"/>
      <c r="V362" s="13"/>
      <c r="W362" s="67"/>
      <c r="X362" s="56"/>
      <c r="Y362" s="55"/>
      <c r="Z362" s="13"/>
      <c r="AA362" s="71"/>
      <c r="AB362" s="31"/>
      <c r="AC362" s="26">
        <f>+R362+W362+Y362-AA362</f>
        <v>0</v>
      </c>
      <c r="AD362" s="25"/>
      <c r="AE362" s="25"/>
      <c r="AF362" s="13"/>
      <c r="AG362" s="13"/>
      <c r="AH362" s="13"/>
    </row>
    <row r="363" spans="1:34" x14ac:dyDescent="0.3">
      <c r="A363" s="65">
        <v>360</v>
      </c>
      <c r="B363" s="25"/>
      <c r="C363" s="25"/>
      <c r="D363" s="25"/>
      <c r="E363" s="30" t="str">
        <f>CONCATENATE(B363,"-",C363,"-",D363)</f>
        <v>--</v>
      </c>
      <c r="F363" s="13">
        <f>VLOOKUP(E363,'LISTA ITEMS'!$E$2:$G$875,2,FALSE)</f>
        <v>0</v>
      </c>
      <c r="G363" s="25">
        <f>VLOOKUP(E363,'LISTA ITEMS'!$E$2:$G$875,3,FALSE)</f>
        <v>0</v>
      </c>
      <c r="H363" s="76"/>
      <c r="I363" s="75">
        <v>0</v>
      </c>
      <c r="J363" s="27"/>
      <c r="K363" s="13"/>
      <c r="L363" s="67"/>
      <c r="M363" s="56"/>
      <c r="N363" s="55"/>
      <c r="O363" s="13"/>
      <c r="P363" s="71"/>
      <c r="Q363" s="31"/>
      <c r="R363" s="26">
        <f>+I363+L363+N363-P363</f>
        <v>0</v>
      </c>
      <c r="S363" s="85"/>
      <c r="T363" s="84"/>
      <c r="U363" s="27"/>
      <c r="V363" s="13"/>
      <c r="W363" s="67"/>
      <c r="X363" s="56"/>
      <c r="Y363" s="55"/>
      <c r="Z363" s="13"/>
      <c r="AA363" s="71"/>
      <c r="AB363" s="31"/>
      <c r="AC363" s="26">
        <f>+R363+W363+Y363-AA363</f>
        <v>0</v>
      </c>
      <c r="AD363" s="25"/>
      <c r="AE363" s="25"/>
      <c r="AF363" s="13"/>
      <c r="AG363" s="13"/>
      <c r="AH363" s="13"/>
    </row>
    <row r="364" spans="1:34" x14ac:dyDescent="0.3">
      <c r="A364" s="65">
        <v>361</v>
      </c>
      <c r="B364" s="25"/>
      <c r="C364" s="25"/>
      <c r="D364" s="25"/>
      <c r="E364" s="30" t="str">
        <f>CONCATENATE(B364,"-",C364,"-",D364)</f>
        <v>--</v>
      </c>
      <c r="F364" s="13">
        <f>VLOOKUP(E364,'LISTA ITEMS'!$E$2:$G$875,2,FALSE)</f>
        <v>0</v>
      </c>
      <c r="G364" s="25">
        <f>VLOOKUP(E364,'LISTA ITEMS'!$E$2:$G$875,3,FALSE)</f>
        <v>0</v>
      </c>
      <c r="H364" s="76"/>
      <c r="I364" s="75">
        <v>0</v>
      </c>
      <c r="J364" s="27"/>
      <c r="K364" s="13"/>
      <c r="L364" s="67"/>
      <c r="M364" s="56"/>
      <c r="N364" s="55"/>
      <c r="O364" s="13"/>
      <c r="P364" s="71"/>
      <c r="Q364" s="31"/>
      <c r="R364" s="26">
        <f>+I364+L364+N364-P364</f>
        <v>0</v>
      </c>
      <c r="S364" s="85"/>
      <c r="T364" s="84"/>
      <c r="U364" s="27"/>
      <c r="V364" s="13"/>
      <c r="W364" s="67"/>
      <c r="X364" s="56"/>
      <c r="Y364" s="55"/>
      <c r="Z364" s="13"/>
      <c r="AA364" s="71"/>
      <c r="AB364" s="31"/>
      <c r="AC364" s="26">
        <f>+R364+W364+Y364-AA364</f>
        <v>0</v>
      </c>
      <c r="AD364" s="25"/>
      <c r="AE364" s="25"/>
      <c r="AF364" s="13"/>
      <c r="AG364" s="13"/>
      <c r="AH364" s="13"/>
    </row>
    <row r="365" spans="1:34" x14ac:dyDescent="0.3">
      <c r="A365" s="65">
        <v>362</v>
      </c>
      <c r="B365" s="25"/>
      <c r="C365" s="25"/>
      <c r="D365" s="25"/>
      <c r="E365" s="30" t="str">
        <f>CONCATENATE(B365,"-",C365,"-",D365)</f>
        <v>--</v>
      </c>
      <c r="F365" s="13">
        <f>VLOOKUP(E365,'LISTA ITEMS'!$E$2:$G$875,2,FALSE)</f>
        <v>0</v>
      </c>
      <c r="G365" s="25">
        <f>VLOOKUP(E365,'LISTA ITEMS'!$E$2:$G$875,3,FALSE)</f>
        <v>0</v>
      </c>
      <c r="H365" s="76"/>
      <c r="I365" s="75">
        <v>0</v>
      </c>
      <c r="J365" s="27"/>
      <c r="K365" s="13"/>
      <c r="L365" s="67"/>
      <c r="M365" s="56"/>
      <c r="N365" s="55"/>
      <c r="O365" s="13"/>
      <c r="P365" s="71"/>
      <c r="Q365" s="31"/>
      <c r="R365" s="26">
        <f>+I365+L365+N365-P365</f>
        <v>0</v>
      </c>
      <c r="S365" s="85"/>
      <c r="T365" s="84"/>
      <c r="U365" s="27"/>
      <c r="V365" s="13"/>
      <c r="W365" s="67"/>
      <c r="X365" s="56"/>
      <c r="Y365" s="55"/>
      <c r="Z365" s="13"/>
      <c r="AA365" s="71"/>
      <c r="AB365" s="31"/>
      <c r="AC365" s="26">
        <f>+R365+W365+Y365-AA365</f>
        <v>0</v>
      </c>
      <c r="AD365" s="25"/>
      <c r="AE365" s="25"/>
      <c r="AF365" s="13"/>
      <c r="AG365" s="13"/>
      <c r="AH365" s="13"/>
    </row>
    <row r="366" spans="1:34" x14ac:dyDescent="0.3">
      <c r="A366" s="65">
        <v>363</v>
      </c>
      <c r="B366" s="25"/>
      <c r="C366" s="25"/>
      <c r="D366" s="25"/>
      <c r="E366" s="30" t="str">
        <f>CONCATENATE(B366,"-",C366,"-",D366)</f>
        <v>--</v>
      </c>
      <c r="F366" s="13">
        <f>VLOOKUP(E366,'LISTA ITEMS'!$E$2:$G$875,2,FALSE)</f>
        <v>0</v>
      </c>
      <c r="G366" s="25">
        <f>VLOOKUP(E366,'LISTA ITEMS'!$E$2:$G$875,3,FALSE)</f>
        <v>0</v>
      </c>
      <c r="H366" s="76"/>
      <c r="I366" s="75">
        <v>0</v>
      </c>
      <c r="J366" s="27"/>
      <c r="K366" s="13"/>
      <c r="L366" s="67"/>
      <c r="M366" s="56"/>
      <c r="N366" s="55"/>
      <c r="O366" s="13"/>
      <c r="P366" s="71"/>
      <c r="Q366" s="31"/>
      <c r="R366" s="26">
        <f>+I366+L366+N366-P366</f>
        <v>0</v>
      </c>
      <c r="S366" s="85"/>
      <c r="T366" s="84"/>
      <c r="U366" s="27"/>
      <c r="V366" s="13"/>
      <c r="W366" s="67"/>
      <c r="X366" s="56"/>
      <c r="Y366" s="55"/>
      <c r="Z366" s="13"/>
      <c r="AA366" s="71"/>
      <c r="AB366" s="31"/>
      <c r="AC366" s="26">
        <f>+R366+W366+Y366-AA366</f>
        <v>0</v>
      </c>
      <c r="AD366" s="25"/>
      <c r="AE366" s="25"/>
      <c r="AF366" s="13"/>
      <c r="AG366" s="13"/>
      <c r="AH366" s="13"/>
    </row>
    <row r="367" spans="1:34" x14ac:dyDescent="0.3">
      <c r="A367" s="65">
        <v>364</v>
      </c>
      <c r="B367" s="25"/>
      <c r="C367" s="25"/>
      <c r="D367" s="25"/>
      <c r="E367" s="30" t="str">
        <f>CONCATENATE(B367,"-",C367,"-",D367)</f>
        <v>--</v>
      </c>
      <c r="F367" s="13">
        <f>VLOOKUP(E367,'LISTA ITEMS'!$E$2:$G$875,2,FALSE)</f>
        <v>0</v>
      </c>
      <c r="G367" s="25">
        <f>VLOOKUP(E367,'LISTA ITEMS'!$E$2:$G$875,3,FALSE)</f>
        <v>0</v>
      </c>
      <c r="H367" s="76"/>
      <c r="I367" s="75">
        <v>0</v>
      </c>
      <c r="J367" s="27"/>
      <c r="K367" s="13"/>
      <c r="L367" s="67"/>
      <c r="M367" s="56"/>
      <c r="N367" s="55"/>
      <c r="O367" s="13"/>
      <c r="P367" s="71"/>
      <c r="Q367" s="31"/>
      <c r="R367" s="26">
        <f>+I367+L367+N367-P367</f>
        <v>0</v>
      </c>
      <c r="S367" s="85"/>
      <c r="T367" s="84"/>
      <c r="U367" s="27"/>
      <c r="V367" s="13"/>
      <c r="W367" s="67"/>
      <c r="X367" s="56"/>
      <c r="Y367" s="55"/>
      <c r="Z367" s="13"/>
      <c r="AA367" s="71"/>
      <c r="AB367" s="31"/>
      <c r="AC367" s="26">
        <f>+R367+W367+Y367-AA367</f>
        <v>0</v>
      </c>
      <c r="AD367" s="25"/>
      <c r="AE367" s="25"/>
      <c r="AF367" s="13"/>
      <c r="AG367" s="13"/>
      <c r="AH367" s="13"/>
    </row>
    <row r="368" spans="1:34" x14ac:dyDescent="0.3">
      <c r="A368" s="65">
        <v>365</v>
      </c>
      <c r="B368" s="25"/>
      <c r="C368" s="25"/>
      <c r="D368" s="25"/>
      <c r="E368" s="30" t="str">
        <f>CONCATENATE(B368,"-",C368,"-",D368)</f>
        <v>--</v>
      </c>
      <c r="F368" s="13">
        <f>VLOOKUP(E368,'LISTA ITEMS'!$E$2:$G$875,2,FALSE)</f>
        <v>0</v>
      </c>
      <c r="G368" s="25">
        <f>VLOOKUP(E368,'LISTA ITEMS'!$E$2:$G$875,3,FALSE)</f>
        <v>0</v>
      </c>
      <c r="H368" s="76"/>
      <c r="I368" s="75">
        <v>0</v>
      </c>
      <c r="J368" s="27"/>
      <c r="K368" s="13"/>
      <c r="L368" s="67"/>
      <c r="M368" s="56"/>
      <c r="N368" s="55"/>
      <c r="O368" s="13"/>
      <c r="P368" s="71"/>
      <c r="Q368" s="31"/>
      <c r="R368" s="26">
        <f>+I368+L368+N368-P368</f>
        <v>0</v>
      </c>
      <c r="S368" s="85"/>
      <c r="T368" s="84"/>
      <c r="U368" s="27"/>
      <c r="V368" s="13"/>
      <c r="W368" s="67"/>
      <c r="X368" s="56"/>
      <c r="Y368" s="55"/>
      <c r="Z368" s="13"/>
      <c r="AA368" s="71"/>
      <c r="AB368" s="31"/>
      <c r="AC368" s="26">
        <f>+R368+W368+Y368-AA368</f>
        <v>0</v>
      </c>
      <c r="AD368" s="25"/>
      <c r="AE368" s="25"/>
      <c r="AF368" s="13"/>
      <c r="AG368" s="13"/>
      <c r="AH368" s="13"/>
    </row>
    <row r="369" spans="1:34" x14ac:dyDescent="0.3">
      <c r="A369" s="65">
        <v>366</v>
      </c>
      <c r="B369" s="25"/>
      <c r="C369" s="25"/>
      <c r="D369" s="25"/>
      <c r="E369" s="30" t="str">
        <f>CONCATENATE(B369,"-",C369,"-",D369)</f>
        <v>--</v>
      </c>
      <c r="F369" s="13">
        <f>VLOOKUP(E369,'LISTA ITEMS'!$E$2:$G$875,2,FALSE)</f>
        <v>0</v>
      </c>
      <c r="G369" s="25">
        <f>VLOOKUP(E369,'LISTA ITEMS'!$E$2:$G$875,3,FALSE)</f>
        <v>0</v>
      </c>
      <c r="H369" s="76"/>
      <c r="I369" s="75">
        <v>0</v>
      </c>
      <c r="J369" s="27"/>
      <c r="K369" s="13"/>
      <c r="L369" s="67"/>
      <c r="M369" s="56"/>
      <c r="N369" s="55"/>
      <c r="O369" s="13"/>
      <c r="P369" s="71"/>
      <c r="Q369" s="31"/>
      <c r="R369" s="26">
        <f>+I369+L369+N369-P369</f>
        <v>0</v>
      </c>
      <c r="S369" s="85"/>
      <c r="T369" s="84"/>
      <c r="U369" s="27"/>
      <c r="V369" s="13"/>
      <c r="W369" s="67"/>
      <c r="X369" s="56"/>
      <c r="Y369" s="55"/>
      <c r="Z369" s="13"/>
      <c r="AA369" s="71"/>
      <c r="AB369" s="31"/>
      <c r="AC369" s="26">
        <f>+R369+W369+Y369-AA369</f>
        <v>0</v>
      </c>
      <c r="AD369" s="25"/>
      <c r="AE369" s="25"/>
      <c r="AF369" s="13"/>
      <c r="AG369" s="13"/>
      <c r="AH369" s="13"/>
    </row>
    <row r="370" spans="1:34" x14ac:dyDescent="0.3">
      <c r="A370" s="65">
        <v>367</v>
      </c>
      <c r="B370" s="25"/>
      <c r="C370" s="25"/>
      <c r="D370" s="25"/>
      <c r="E370" s="30" t="str">
        <f>CONCATENATE(B370,"-",C370,"-",D370)</f>
        <v>--</v>
      </c>
      <c r="F370" s="13">
        <f>VLOOKUP(E370,'LISTA ITEMS'!$E$2:$G$875,2,FALSE)</f>
        <v>0</v>
      </c>
      <c r="G370" s="25">
        <f>VLOOKUP(E370,'LISTA ITEMS'!$E$2:$G$875,3,FALSE)</f>
        <v>0</v>
      </c>
      <c r="H370" s="76"/>
      <c r="I370" s="75">
        <v>0</v>
      </c>
      <c r="J370" s="27"/>
      <c r="K370" s="13"/>
      <c r="L370" s="67"/>
      <c r="M370" s="56"/>
      <c r="N370" s="55"/>
      <c r="O370" s="13"/>
      <c r="P370" s="71"/>
      <c r="Q370" s="31"/>
      <c r="R370" s="26">
        <f>+I370+L370+N370-P370</f>
        <v>0</v>
      </c>
      <c r="S370" s="85"/>
      <c r="T370" s="84"/>
      <c r="U370" s="27"/>
      <c r="V370" s="13"/>
      <c r="W370" s="67"/>
      <c r="X370" s="56"/>
      <c r="Y370" s="55"/>
      <c r="Z370" s="13"/>
      <c r="AA370" s="71"/>
      <c r="AB370" s="31"/>
      <c r="AC370" s="26">
        <f>+R370+W370+Y370-AA370</f>
        <v>0</v>
      </c>
      <c r="AD370" s="25"/>
      <c r="AE370" s="25"/>
      <c r="AF370" s="13"/>
      <c r="AG370" s="13"/>
      <c r="AH370" s="13"/>
    </row>
    <row r="371" spans="1:34" x14ac:dyDescent="0.3">
      <c r="A371" s="65">
        <v>368</v>
      </c>
      <c r="B371" s="25"/>
      <c r="C371" s="25"/>
      <c r="D371" s="25"/>
      <c r="E371" s="30" t="str">
        <f>CONCATENATE(B371,"-",C371,"-",D371)</f>
        <v>--</v>
      </c>
      <c r="F371" s="13">
        <f>VLOOKUP(E371,'LISTA ITEMS'!$E$2:$G$875,2,FALSE)</f>
        <v>0</v>
      </c>
      <c r="G371" s="25">
        <f>VLOOKUP(E371,'LISTA ITEMS'!$E$2:$G$875,3,FALSE)</f>
        <v>0</v>
      </c>
      <c r="H371" s="76"/>
      <c r="I371" s="75">
        <v>0</v>
      </c>
      <c r="J371" s="27"/>
      <c r="K371" s="13"/>
      <c r="L371" s="67"/>
      <c r="M371" s="56"/>
      <c r="N371" s="55"/>
      <c r="O371" s="13"/>
      <c r="P371" s="71"/>
      <c r="Q371" s="31"/>
      <c r="R371" s="26">
        <f>+I371+L371+N371-P371</f>
        <v>0</v>
      </c>
      <c r="S371" s="85"/>
      <c r="T371" s="84"/>
      <c r="U371" s="27"/>
      <c r="V371" s="13"/>
      <c r="W371" s="67"/>
      <c r="X371" s="56"/>
      <c r="Y371" s="55"/>
      <c r="Z371" s="13"/>
      <c r="AA371" s="71"/>
      <c r="AB371" s="31"/>
      <c r="AC371" s="26">
        <f>+R371+W371+Y371-AA371</f>
        <v>0</v>
      </c>
      <c r="AD371" s="25"/>
      <c r="AE371" s="25"/>
      <c r="AF371" s="13"/>
      <c r="AG371" s="13"/>
      <c r="AH371" s="13"/>
    </row>
    <row r="372" spans="1:34" x14ac:dyDescent="0.3">
      <c r="A372" s="65">
        <v>369</v>
      </c>
      <c r="B372" s="25"/>
      <c r="C372" s="25"/>
      <c r="D372" s="25"/>
      <c r="E372" s="30" t="str">
        <f>CONCATENATE(B372,"-",C372,"-",D372)</f>
        <v>--</v>
      </c>
      <c r="F372" s="13">
        <f>VLOOKUP(E372,'LISTA ITEMS'!$E$2:$G$875,2,FALSE)</f>
        <v>0</v>
      </c>
      <c r="G372" s="25">
        <f>VLOOKUP(E372,'LISTA ITEMS'!$E$2:$G$875,3,FALSE)</f>
        <v>0</v>
      </c>
      <c r="H372" s="76"/>
      <c r="I372" s="75">
        <v>0</v>
      </c>
      <c r="J372" s="27"/>
      <c r="K372" s="13"/>
      <c r="L372" s="67"/>
      <c r="M372" s="56"/>
      <c r="N372" s="55"/>
      <c r="O372" s="13"/>
      <c r="P372" s="71"/>
      <c r="Q372" s="31"/>
      <c r="R372" s="26">
        <f>+I372+L372+N372-P372</f>
        <v>0</v>
      </c>
      <c r="S372" s="85"/>
      <c r="T372" s="84"/>
      <c r="U372" s="27"/>
      <c r="V372" s="13"/>
      <c r="W372" s="67"/>
      <c r="X372" s="56"/>
      <c r="Y372" s="55"/>
      <c r="Z372" s="13"/>
      <c r="AA372" s="71"/>
      <c r="AB372" s="31"/>
      <c r="AC372" s="26">
        <f>+R372+W372+Y372-AA372</f>
        <v>0</v>
      </c>
      <c r="AD372" s="25"/>
      <c r="AE372" s="25"/>
      <c r="AF372" s="13"/>
      <c r="AG372" s="13"/>
      <c r="AH372" s="13"/>
    </row>
    <row r="373" spans="1:34" x14ac:dyDescent="0.3">
      <c r="A373" s="65">
        <v>370</v>
      </c>
      <c r="B373" s="25"/>
      <c r="C373" s="25"/>
      <c r="D373" s="25"/>
      <c r="E373" s="30" t="str">
        <f>CONCATENATE(B373,"-",C373,"-",D373)</f>
        <v>--</v>
      </c>
      <c r="F373" s="13">
        <f>VLOOKUP(E373,'LISTA ITEMS'!$E$2:$G$875,2,FALSE)</f>
        <v>0</v>
      </c>
      <c r="G373" s="25">
        <f>VLOOKUP(E373,'LISTA ITEMS'!$E$2:$G$875,3,FALSE)</f>
        <v>0</v>
      </c>
      <c r="H373" s="76"/>
      <c r="I373" s="75">
        <v>0</v>
      </c>
      <c r="J373" s="27"/>
      <c r="K373" s="13"/>
      <c r="L373" s="67"/>
      <c r="M373" s="56"/>
      <c r="N373" s="55"/>
      <c r="O373" s="13"/>
      <c r="P373" s="71"/>
      <c r="Q373" s="31"/>
      <c r="R373" s="26">
        <f>+I373+L373+N373-P373</f>
        <v>0</v>
      </c>
      <c r="S373" s="85"/>
      <c r="T373" s="84"/>
      <c r="U373" s="27"/>
      <c r="V373" s="13"/>
      <c r="W373" s="67"/>
      <c r="X373" s="56"/>
      <c r="Y373" s="55"/>
      <c r="Z373" s="13"/>
      <c r="AA373" s="71"/>
      <c r="AB373" s="31"/>
      <c r="AC373" s="26">
        <f>+R373+W373+Y373-AA373</f>
        <v>0</v>
      </c>
      <c r="AD373" s="25"/>
      <c r="AE373" s="25"/>
      <c r="AF373" s="13"/>
      <c r="AG373" s="13"/>
      <c r="AH373" s="13"/>
    </row>
    <row r="374" spans="1:34" x14ac:dyDescent="0.3">
      <c r="A374" s="65">
        <v>371</v>
      </c>
      <c r="B374" s="25"/>
      <c r="C374" s="25"/>
      <c r="D374" s="25"/>
      <c r="E374" s="30" t="str">
        <f>CONCATENATE(B374,"-",C374,"-",D374)</f>
        <v>--</v>
      </c>
      <c r="F374" s="13">
        <f>VLOOKUP(E374,'LISTA ITEMS'!$E$2:$G$875,2,FALSE)</f>
        <v>0</v>
      </c>
      <c r="G374" s="25">
        <f>VLOOKUP(E374,'LISTA ITEMS'!$E$2:$G$875,3,FALSE)</f>
        <v>0</v>
      </c>
      <c r="H374" s="76"/>
      <c r="I374" s="75">
        <v>0</v>
      </c>
      <c r="J374" s="27"/>
      <c r="K374" s="13"/>
      <c r="L374" s="67"/>
      <c r="M374" s="56"/>
      <c r="N374" s="55"/>
      <c r="O374" s="13"/>
      <c r="P374" s="71"/>
      <c r="Q374" s="31"/>
      <c r="R374" s="26">
        <f>+I374+L374+N374-P374</f>
        <v>0</v>
      </c>
      <c r="S374" s="85"/>
      <c r="T374" s="84"/>
      <c r="U374" s="27"/>
      <c r="V374" s="13"/>
      <c r="W374" s="67"/>
      <c r="X374" s="56"/>
      <c r="Y374" s="55"/>
      <c r="Z374" s="13"/>
      <c r="AA374" s="71"/>
      <c r="AB374" s="31"/>
      <c r="AC374" s="26">
        <f>+R374+W374+Y374-AA374</f>
        <v>0</v>
      </c>
      <c r="AD374" s="25"/>
      <c r="AE374" s="25"/>
      <c r="AF374" s="13"/>
      <c r="AG374" s="13"/>
      <c r="AH374" s="13"/>
    </row>
    <row r="375" spans="1:34" x14ac:dyDescent="0.3">
      <c r="A375" s="65">
        <v>372</v>
      </c>
      <c r="B375" s="25"/>
      <c r="C375" s="25"/>
      <c r="D375" s="25"/>
      <c r="E375" s="30" t="str">
        <f>CONCATENATE(B375,"-",C375,"-",D375)</f>
        <v>--</v>
      </c>
      <c r="F375" s="13">
        <f>VLOOKUP(E375,'LISTA ITEMS'!$E$2:$G$875,2,FALSE)</f>
        <v>0</v>
      </c>
      <c r="G375" s="25">
        <f>VLOOKUP(E375,'LISTA ITEMS'!$E$2:$G$875,3,FALSE)</f>
        <v>0</v>
      </c>
      <c r="H375" s="76"/>
      <c r="I375" s="75">
        <v>0</v>
      </c>
      <c r="J375" s="27"/>
      <c r="K375" s="13"/>
      <c r="L375" s="67"/>
      <c r="M375" s="56"/>
      <c r="N375" s="55"/>
      <c r="O375" s="13"/>
      <c r="P375" s="71"/>
      <c r="Q375" s="31"/>
      <c r="R375" s="26">
        <f>+I375+L375+N375-P375</f>
        <v>0</v>
      </c>
      <c r="S375" s="85"/>
      <c r="T375" s="84"/>
      <c r="U375" s="27"/>
      <c r="V375" s="13"/>
      <c r="W375" s="67"/>
      <c r="X375" s="56"/>
      <c r="Y375" s="55"/>
      <c r="Z375" s="13"/>
      <c r="AA375" s="71"/>
      <c r="AB375" s="31"/>
      <c r="AC375" s="26">
        <f>+R375+W375+Y375-AA375</f>
        <v>0</v>
      </c>
      <c r="AD375" s="25"/>
      <c r="AE375" s="25"/>
      <c r="AF375" s="13"/>
      <c r="AG375" s="13"/>
      <c r="AH375" s="13"/>
    </row>
    <row r="376" spans="1:34" x14ac:dyDescent="0.3">
      <c r="A376" s="65">
        <v>373</v>
      </c>
      <c r="B376" s="25"/>
      <c r="C376" s="25"/>
      <c r="D376" s="25"/>
      <c r="E376" s="30" t="str">
        <f>CONCATENATE(B376,"-",C376,"-",D376)</f>
        <v>--</v>
      </c>
      <c r="F376" s="13">
        <f>VLOOKUP(E376,'LISTA ITEMS'!$E$2:$G$875,2,FALSE)</f>
        <v>0</v>
      </c>
      <c r="G376" s="25">
        <f>VLOOKUP(E376,'LISTA ITEMS'!$E$2:$G$875,3,FALSE)</f>
        <v>0</v>
      </c>
      <c r="H376" s="76"/>
      <c r="I376" s="75">
        <v>0</v>
      </c>
      <c r="J376" s="27"/>
      <c r="K376" s="13"/>
      <c r="L376" s="67"/>
      <c r="M376" s="56"/>
      <c r="N376" s="55"/>
      <c r="O376" s="13"/>
      <c r="P376" s="71"/>
      <c r="Q376" s="31"/>
      <c r="R376" s="26">
        <f>+I376+L376+N376-P376</f>
        <v>0</v>
      </c>
      <c r="S376" s="85"/>
      <c r="T376" s="84"/>
      <c r="U376" s="27"/>
      <c r="V376" s="13"/>
      <c r="W376" s="67"/>
      <c r="X376" s="56"/>
      <c r="Y376" s="55"/>
      <c r="Z376" s="13"/>
      <c r="AA376" s="71"/>
      <c r="AB376" s="31"/>
      <c r="AC376" s="26">
        <f>+R376+W376+Y376-AA376</f>
        <v>0</v>
      </c>
      <c r="AD376" s="25"/>
      <c r="AE376" s="25"/>
      <c r="AF376" s="13"/>
      <c r="AG376" s="13"/>
      <c r="AH376" s="13"/>
    </row>
    <row r="377" spans="1:34" x14ac:dyDescent="0.3">
      <c r="A377" s="65">
        <v>374</v>
      </c>
      <c r="B377" s="25"/>
      <c r="C377" s="25"/>
      <c r="D377" s="25"/>
      <c r="E377" s="30" t="str">
        <f>CONCATENATE(B377,"-",C377,"-",D377)</f>
        <v>--</v>
      </c>
      <c r="F377" s="13">
        <f>VLOOKUP(E377,'LISTA ITEMS'!$E$2:$G$875,2,FALSE)</f>
        <v>0</v>
      </c>
      <c r="G377" s="25">
        <f>VLOOKUP(E377,'LISTA ITEMS'!$E$2:$G$875,3,FALSE)</f>
        <v>0</v>
      </c>
      <c r="H377" s="76"/>
      <c r="I377" s="75">
        <v>0</v>
      </c>
      <c r="J377" s="27"/>
      <c r="K377" s="13"/>
      <c r="L377" s="67"/>
      <c r="M377" s="56"/>
      <c r="N377" s="55"/>
      <c r="O377" s="13"/>
      <c r="P377" s="71"/>
      <c r="Q377" s="31"/>
      <c r="R377" s="26">
        <f>+I377+L377+N377-P377</f>
        <v>0</v>
      </c>
      <c r="S377" s="85"/>
      <c r="T377" s="84"/>
      <c r="U377" s="27"/>
      <c r="V377" s="13"/>
      <c r="W377" s="67"/>
      <c r="X377" s="56"/>
      <c r="Y377" s="55"/>
      <c r="Z377" s="13"/>
      <c r="AA377" s="71"/>
      <c r="AB377" s="31"/>
      <c r="AC377" s="26">
        <f>+R377+W377+Y377-AA377</f>
        <v>0</v>
      </c>
      <c r="AD377" s="25"/>
      <c r="AE377" s="25"/>
      <c r="AF377" s="13"/>
      <c r="AG377" s="13"/>
      <c r="AH377" s="13"/>
    </row>
    <row r="378" spans="1:34" x14ac:dyDescent="0.3">
      <c r="A378" s="65">
        <v>375</v>
      </c>
      <c r="B378" s="25"/>
      <c r="C378" s="25"/>
      <c r="D378" s="25"/>
      <c r="E378" s="30" t="str">
        <f>CONCATENATE(B378,"-",C378,"-",D378)</f>
        <v>--</v>
      </c>
      <c r="F378" s="13">
        <f>VLOOKUP(E378,'LISTA ITEMS'!$E$2:$G$875,2,FALSE)</f>
        <v>0</v>
      </c>
      <c r="G378" s="25">
        <f>VLOOKUP(E378,'LISTA ITEMS'!$E$2:$G$875,3,FALSE)</f>
        <v>0</v>
      </c>
      <c r="H378" s="76"/>
      <c r="I378" s="75">
        <v>0</v>
      </c>
      <c r="J378" s="27"/>
      <c r="K378" s="13"/>
      <c r="L378" s="67"/>
      <c r="M378" s="56"/>
      <c r="N378" s="55"/>
      <c r="O378" s="13"/>
      <c r="P378" s="71"/>
      <c r="Q378" s="31"/>
      <c r="R378" s="26">
        <f>+I378+L378+N378-P378</f>
        <v>0</v>
      </c>
      <c r="S378" s="85"/>
      <c r="T378" s="84"/>
      <c r="U378" s="27"/>
      <c r="V378" s="13"/>
      <c r="W378" s="67"/>
      <c r="X378" s="56"/>
      <c r="Y378" s="55"/>
      <c r="Z378" s="13"/>
      <c r="AA378" s="71"/>
      <c r="AB378" s="31"/>
      <c r="AC378" s="26">
        <f>+R378+W378+Y378-AA378</f>
        <v>0</v>
      </c>
      <c r="AD378" s="25"/>
      <c r="AE378" s="25"/>
      <c r="AF378" s="13"/>
      <c r="AG378" s="13"/>
      <c r="AH378" s="13"/>
    </row>
    <row r="379" spans="1:34" x14ac:dyDescent="0.3">
      <c r="A379" s="65">
        <v>376</v>
      </c>
      <c r="B379" s="25"/>
      <c r="C379" s="25"/>
      <c r="D379" s="25"/>
      <c r="E379" s="30" t="str">
        <f>CONCATENATE(B379,"-",C379,"-",D379)</f>
        <v>--</v>
      </c>
      <c r="F379" s="13">
        <f>VLOOKUP(E379,'LISTA ITEMS'!$E$2:$G$875,2,FALSE)</f>
        <v>0</v>
      </c>
      <c r="G379" s="25">
        <f>VLOOKUP(E379,'LISTA ITEMS'!$E$2:$G$875,3,FALSE)</f>
        <v>0</v>
      </c>
      <c r="H379" s="76"/>
      <c r="I379" s="75">
        <v>0</v>
      </c>
      <c r="J379" s="27"/>
      <c r="K379" s="13"/>
      <c r="L379" s="67"/>
      <c r="M379" s="56"/>
      <c r="N379" s="55"/>
      <c r="O379" s="13"/>
      <c r="P379" s="71"/>
      <c r="Q379" s="31"/>
      <c r="R379" s="26">
        <f>+I379+L379+N379-P379</f>
        <v>0</v>
      </c>
      <c r="S379" s="85"/>
      <c r="T379" s="84"/>
      <c r="U379" s="27"/>
      <c r="V379" s="13"/>
      <c r="W379" s="67"/>
      <c r="X379" s="56"/>
      <c r="Y379" s="55"/>
      <c r="Z379" s="13"/>
      <c r="AA379" s="71"/>
      <c r="AB379" s="31"/>
      <c r="AC379" s="26">
        <f>+R379+W379+Y379-AA379</f>
        <v>0</v>
      </c>
      <c r="AD379" s="25"/>
      <c r="AE379" s="25"/>
      <c r="AF379" s="13"/>
      <c r="AG379" s="13"/>
      <c r="AH379" s="13"/>
    </row>
    <row r="380" spans="1:34" x14ac:dyDescent="0.3">
      <c r="A380" s="65">
        <v>377</v>
      </c>
      <c r="B380" s="25"/>
      <c r="C380" s="25"/>
      <c r="D380" s="25"/>
      <c r="E380" s="30" t="str">
        <f>CONCATENATE(B380,"-",C380,"-",D380)</f>
        <v>--</v>
      </c>
      <c r="F380" s="13">
        <f>VLOOKUP(E380,'LISTA ITEMS'!$E$2:$G$875,2,FALSE)</f>
        <v>0</v>
      </c>
      <c r="G380" s="25">
        <f>VLOOKUP(E380,'LISTA ITEMS'!$E$2:$G$875,3,FALSE)</f>
        <v>0</v>
      </c>
      <c r="H380" s="76"/>
      <c r="I380" s="75">
        <v>0</v>
      </c>
      <c r="J380" s="27"/>
      <c r="K380" s="13"/>
      <c r="L380" s="67"/>
      <c r="M380" s="56"/>
      <c r="N380" s="55"/>
      <c r="O380" s="13"/>
      <c r="P380" s="71"/>
      <c r="Q380" s="31"/>
      <c r="R380" s="26">
        <f>+I380+L380+N380-P380</f>
        <v>0</v>
      </c>
      <c r="S380" s="85"/>
      <c r="T380" s="84"/>
      <c r="U380" s="27"/>
      <c r="V380" s="13"/>
      <c r="W380" s="67"/>
      <c r="X380" s="56"/>
      <c r="Y380" s="55"/>
      <c r="Z380" s="13"/>
      <c r="AA380" s="71"/>
      <c r="AB380" s="31"/>
      <c r="AC380" s="26">
        <f>+R380+W380+Y380-AA380</f>
        <v>0</v>
      </c>
      <c r="AD380" s="25"/>
      <c r="AE380" s="25"/>
      <c r="AF380" s="13"/>
      <c r="AG380" s="13"/>
      <c r="AH380" s="13"/>
    </row>
    <row r="381" spans="1:34" x14ac:dyDescent="0.3">
      <c r="A381" s="65">
        <v>378</v>
      </c>
      <c r="B381" s="25"/>
      <c r="C381" s="25"/>
      <c r="D381" s="25"/>
      <c r="E381" s="30" t="str">
        <f>CONCATENATE(B381,"-",C381,"-",D381)</f>
        <v>--</v>
      </c>
      <c r="F381" s="13">
        <f>VLOOKUP(E381,'LISTA ITEMS'!$E$2:$G$875,2,FALSE)</f>
        <v>0</v>
      </c>
      <c r="G381" s="25">
        <f>VLOOKUP(E381,'LISTA ITEMS'!$E$2:$G$875,3,FALSE)</f>
        <v>0</v>
      </c>
      <c r="H381" s="76"/>
      <c r="I381" s="75">
        <v>0</v>
      </c>
      <c r="J381" s="27"/>
      <c r="K381" s="13"/>
      <c r="L381" s="67"/>
      <c r="M381" s="56"/>
      <c r="N381" s="55"/>
      <c r="O381" s="13"/>
      <c r="P381" s="71"/>
      <c r="Q381" s="31"/>
      <c r="R381" s="26">
        <f>+I381+L381+N381-P381</f>
        <v>0</v>
      </c>
      <c r="S381" s="85"/>
      <c r="T381" s="84"/>
      <c r="U381" s="27"/>
      <c r="V381" s="13"/>
      <c r="W381" s="67"/>
      <c r="X381" s="56"/>
      <c r="Y381" s="55"/>
      <c r="Z381" s="13"/>
      <c r="AA381" s="71"/>
      <c r="AB381" s="31"/>
      <c r="AC381" s="26">
        <f>+R381+W381+Y381-AA381</f>
        <v>0</v>
      </c>
      <c r="AD381" s="25"/>
      <c r="AE381" s="25"/>
      <c r="AF381" s="13"/>
      <c r="AG381" s="13"/>
      <c r="AH381" s="13"/>
    </row>
    <row r="382" spans="1:34" x14ac:dyDescent="0.3">
      <c r="A382" s="65">
        <v>379</v>
      </c>
      <c r="B382" s="25"/>
      <c r="C382" s="25"/>
      <c r="D382" s="25"/>
      <c r="E382" s="30" t="str">
        <f>CONCATENATE(B382,"-",C382,"-",D382)</f>
        <v>--</v>
      </c>
      <c r="F382" s="13">
        <f>VLOOKUP(E382,'LISTA ITEMS'!$E$2:$G$875,2,FALSE)</f>
        <v>0</v>
      </c>
      <c r="G382" s="25">
        <f>VLOOKUP(E382,'LISTA ITEMS'!$E$2:$G$875,3,FALSE)</f>
        <v>0</v>
      </c>
      <c r="H382" s="76"/>
      <c r="I382" s="75">
        <v>0</v>
      </c>
      <c r="J382" s="27"/>
      <c r="K382" s="13"/>
      <c r="L382" s="67"/>
      <c r="M382" s="56"/>
      <c r="N382" s="55"/>
      <c r="O382" s="13"/>
      <c r="P382" s="71"/>
      <c r="Q382" s="31"/>
      <c r="R382" s="26">
        <f>+I382+L382+N382-P382</f>
        <v>0</v>
      </c>
      <c r="S382" s="85"/>
      <c r="T382" s="84"/>
      <c r="U382" s="27"/>
      <c r="V382" s="13"/>
      <c r="W382" s="67"/>
      <c r="X382" s="56"/>
      <c r="Y382" s="55"/>
      <c r="Z382" s="13"/>
      <c r="AA382" s="71"/>
      <c r="AB382" s="31"/>
      <c r="AC382" s="26">
        <f>+R382+W382+Y382-AA382</f>
        <v>0</v>
      </c>
      <c r="AD382" s="25"/>
      <c r="AE382" s="25"/>
      <c r="AF382" s="13"/>
      <c r="AG382" s="13"/>
      <c r="AH382" s="13"/>
    </row>
    <row r="383" spans="1:34" x14ac:dyDescent="0.3">
      <c r="A383" s="65">
        <v>380</v>
      </c>
      <c r="B383" s="25"/>
      <c r="C383" s="25"/>
      <c r="D383" s="25"/>
      <c r="E383" s="30" t="str">
        <f>CONCATENATE(B383,"-",C383,"-",D383)</f>
        <v>--</v>
      </c>
      <c r="F383" s="13">
        <f>VLOOKUP(E383,'LISTA ITEMS'!$E$2:$G$875,2,FALSE)</f>
        <v>0</v>
      </c>
      <c r="G383" s="25">
        <f>VLOOKUP(E383,'LISTA ITEMS'!$E$2:$G$875,3,FALSE)</f>
        <v>0</v>
      </c>
      <c r="H383" s="76"/>
      <c r="I383" s="75">
        <v>0</v>
      </c>
      <c r="J383" s="27"/>
      <c r="K383" s="13"/>
      <c r="L383" s="67"/>
      <c r="M383" s="56"/>
      <c r="N383" s="55"/>
      <c r="O383" s="13"/>
      <c r="P383" s="71"/>
      <c r="Q383" s="31"/>
      <c r="R383" s="26">
        <f>+I383+L383+N383-P383</f>
        <v>0</v>
      </c>
      <c r="S383" s="85"/>
      <c r="T383" s="84"/>
      <c r="U383" s="27"/>
      <c r="V383" s="13"/>
      <c r="W383" s="67"/>
      <c r="X383" s="56"/>
      <c r="Y383" s="55"/>
      <c r="Z383" s="13"/>
      <c r="AA383" s="71"/>
      <c r="AB383" s="31"/>
      <c r="AC383" s="26">
        <f>+R383+W383+Y383-AA383</f>
        <v>0</v>
      </c>
      <c r="AD383" s="25"/>
      <c r="AE383" s="25"/>
      <c r="AF383" s="13"/>
      <c r="AG383" s="13"/>
      <c r="AH383" s="13"/>
    </row>
    <row r="384" spans="1:34" x14ac:dyDescent="0.3">
      <c r="A384" s="65">
        <v>381</v>
      </c>
      <c r="B384" s="25"/>
      <c r="C384" s="25"/>
      <c r="D384" s="25"/>
      <c r="E384" s="30" t="str">
        <f>CONCATENATE(B384,"-",C384,"-",D384)</f>
        <v>--</v>
      </c>
      <c r="F384" s="13">
        <f>VLOOKUP(E384,'LISTA ITEMS'!$E$2:$G$875,2,FALSE)</f>
        <v>0</v>
      </c>
      <c r="G384" s="25">
        <f>VLOOKUP(E384,'LISTA ITEMS'!$E$2:$G$875,3,FALSE)</f>
        <v>0</v>
      </c>
      <c r="H384" s="76"/>
      <c r="I384" s="75">
        <v>0</v>
      </c>
      <c r="J384" s="27"/>
      <c r="K384" s="13"/>
      <c r="L384" s="67"/>
      <c r="M384" s="56"/>
      <c r="N384" s="55"/>
      <c r="O384" s="13"/>
      <c r="P384" s="71"/>
      <c r="Q384" s="31"/>
      <c r="R384" s="26">
        <f>+I384+L384+N384-P384</f>
        <v>0</v>
      </c>
      <c r="S384" s="85"/>
      <c r="T384" s="84"/>
      <c r="U384" s="27"/>
      <c r="V384" s="13"/>
      <c r="W384" s="67"/>
      <c r="X384" s="56"/>
      <c r="Y384" s="55"/>
      <c r="Z384" s="13"/>
      <c r="AA384" s="71"/>
      <c r="AB384" s="31"/>
      <c r="AC384" s="26">
        <f>+R384+W384+Y384-AA384</f>
        <v>0</v>
      </c>
      <c r="AD384" s="25"/>
      <c r="AE384" s="25"/>
      <c r="AF384" s="13"/>
      <c r="AG384" s="13"/>
      <c r="AH384" s="13"/>
    </row>
    <row r="385" spans="1:34" x14ac:dyDescent="0.3">
      <c r="A385" s="65">
        <v>382</v>
      </c>
      <c r="B385" s="25"/>
      <c r="C385" s="25"/>
      <c r="D385" s="25"/>
      <c r="E385" s="30" t="str">
        <f>CONCATENATE(B385,"-",C385,"-",D385)</f>
        <v>--</v>
      </c>
      <c r="F385" s="13">
        <f>VLOOKUP(E385,'LISTA ITEMS'!$E$2:$G$875,2,FALSE)</f>
        <v>0</v>
      </c>
      <c r="G385" s="25">
        <f>VLOOKUP(E385,'LISTA ITEMS'!$E$2:$G$875,3,FALSE)</f>
        <v>0</v>
      </c>
      <c r="H385" s="76"/>
      <c r="I385" s="75">
        <v>0</v>
      </c>
      <c r="J385" s="27"/>
      <c r="K385" s="13"/>
      <c r="L385" s="67"/>
      <c r="M385" s="56"/>
      <c r="N385" s="55"/>
      <c r="O385" s="13"/>
      <c r="P385" s="71"/>
      <c r="Q385" s="31"/>
      <c r="R385" s="26">
        <f>+I385+L385+N385-P385</f>
        <v>0</v>
      </c>
      <c r="S385" s="85"/>
      <c r="T385" s="84"/>
      <c r="U385" s="27"/>
      <c r="V385" s="13"/>
      <c r="W385" s="67"/>
      <c r="X385" s="56"/>
      <c r="Y385" s="55"/>
      <c r="Z385" s="13"/>
      <c r="AA385" s="71"/>
      <c r="AB385" s="31"/>
      <c r="AC385" s="26">
        <f>+R385+W385+Y385-AA385</f>
        <v>0</v>
      </c>
      <c r="AD385" s="25"/>
      <c r="AE385" s="25"/>
      <c r="AF385" s="13"/>
      <c r="AG385" s="13"/>
      <c r="AH385" s="13"/>
    </row>
    <row r="386" spans="1:34" x14ac:dyDescent="0.3">
      <c r="A386" s="65">
        <v>383</v>
      </c>
      <c r="B386" s="25"/>
      <c r="C386" s="25"/>
      <c r="D386" s="25"/>
      <c r="E386" s="30" t="str">
        <f>CONCATENATE(B386,"-",C386,"-",D386)</f>
        <v>--</v>
      </c>
      <c r="F386" s="13">
        <f>VLOOKUP(E386,'LISTA ITEMS'!$E$2:$G$875,2,FALSE)</f>
        <v>0</v>
      </c>
      <c r="G386" s="25">
        <f>VLOOKUP(E386,'LISTA ITEMS'!$E$2:$G$875,3,FALSE)</f>
        <v>0</v>
      </c>
      <c r="H386" s="76"/>
      <c r="I386" s="75">
        <v>0</v>
      </c>
      <c r="J386" s="27"/>
      <c r="K386" s="13"/>
      <c r="L386" s="67"/>
      <c r="M386" s="56"/>
      <c r="N386" s="55"/>
      <c r="O386" s="13"/>
      <c r="P386" s="71"/>
      <c r="Q386" s="31"/>
      <c r="R386" s="26">
        <f>+I386+L386+N386-P386</f>
        <v>0</v>
      </c>
      <c r="S386" s="85"/>
      <c r="T386" s="84"/>
      <c r="U386" s="27"/>
      <c r="V386" s="13"/>
      <c r="W386" s="67"/>
      <c r="X386" s="56"/>
      <c r="Y386" s="55"/>
      <c r="Z386" s="13"/>
      <c r="AA386" s="71"/>
      <c r="AB386" s="31"/>
      <c r="AC386" s="26">
        <f>+R386+W386+Y386-AA386</f>
        <v>0</v>
      </c>
      <c r="AD386" s="25"/>
      <c r="AE386" s="25"/>
      <c r="AF386" s="13"/>
      <c r="AG386" s="13"/>
      <c r="AH386" s="13"/>
    </row>
    <row r="387" spans="1:34" x14ac:dyDescent="0.3">
      <c r="A387" s="65">
        <v>384</v>
      </c>
      <c r="B387" s="25"/>
      <c r="C387" s="25"/>
      <c r="D387" s="25"/>
      <c r="E387" s="30" t="str">
        <f>CONCATENATE(B387,"-",C387,"-",D387)</f>
        <v>--</v>
      </c>
      <c r="F387" s="13">
        <f>VLOOKUP(E387,'LISTA ITEMS'!$E$2:$G$875,2,FALSE)</f>
        <v>0</v>
      </c>
      <c r="G387" s="25">
        <f>VLOOKUP(E387,'LISTA ITEMS'!$E$2:$G$875,3,FALSE)</f>
        <v>0</v>
      </c>
      <c r="H387" s="76"/>
      <c r="I387" s="75">
        <v>0</v>
      </c>
      <c r="J387" s="27"/>
      <c r="K387" s="13"/>
      <c r="L387" s="67"/>
      <c r="M387" s="56"/>
      <c r="N387" s="55"/>
      <c r="O387" s="13"/>
      <c r="P387" s="71"/>
      <c r="Q387" s="31"/>
      <c r="R387" s="26">
        <f>+I387+L387+N387-P387</f>
        <v>0</v>
      </c>
      <c r="S387" s="85"/>
      <c r="T387" s="84"/>
      <c r="U387" s="27"/>
      <c r="V387" s="13"/>
      <c r="W387" s="67"/>
      <c r="X387" s="56"/>
      <c r="Y387" s="55"/>
      <c r="Z387" s="13"/>
      <c r="AA387" s="71"/>
      <c r="AB387" s="31"/>
      <c r="AC387" s="26">
        <f>+R387+W387+Y387-AA387</f>
        <v>0</v>
      </c>
      <c r="AD387" s="25"/>
      <c r="AE387" s="25"/>
      <c r="AF387" s="13"/>
      <c r="AG387" s="13"/>
      <c r="AH387" s="13"/>
    </row>
    <row r="388" spans="1:34" x14ac:dyDescent="0.3">
      <c r="A388" s="65">
        <v>385</v>
      </c>
      <c r="B388" s="25"/>
      <c r="C388" s="25"/>
      <c r="D388" s="25"/>
      <c r="E388" s="30" t="str">
        <f>CONCATENATE(B388,"-",C388,"-",D388)</f>
        <v>--</v>
      </c>
      <c r="F388" s="13">
        <f>VLOOKUP(E388,'LISTA ITEMS'!$E$2:$G$875,2,FALSE)</f>
        <v>0</v>
      </c>
      <c r="G388" s="25">
        <f>VLOOKUP(E388,'LISTA ITEMS'!$E$2:$G$875,3,FALSE)</f>
        <v>0</v>
      </c>
      <c r="H388" s="76"/>
      <c r="I388" s="75">
        <v>0</v>
      </c>
      <c r="J388" s="27"/>
      <c r="K388" s="13"/>
      <c r="L388" s="67"/>
      <c r="M388" s="56"/>
      <c r="N388" s="55"/>
      <c r="O388" s="13"/>
      <c r="P388" s="71"/>
      <c r="Q388" s="31"/>
      <c r="R388" s="26">
        <f>+I388+L388+N388-P388</f>
        <v>0</v>
      </c>
      <c r="S388" s="85"/>
      <c r="T388" s="84"/>
      <c r="U388" s="27"/>
      <c r="V388" s="13"/>
      <c r="W388" s="67"/>
      <c r="X388" s="56"/>
      <c r="Y388" s="55"/>
      <c r="Z388" s="13"/>
      <c r="AA388" s="71"/>
      <c r="AB388" s="31"/>
      <c r="AC388" s="26">
        <f>+R388+W388+Y388-AA388</f>
        <v>0</v>
      </c>
      <c r="AD388" s="25"/>
      <c r="AE388" s="25"/>
      <c r="AF388" s="13"/>
      <c r="AG388" s="13"/>
      <c r="AH388" s="13"/>
    </row>
    <row r="389" spans="1:34" x14ac:dyDescent="0.3">
      <c r="A389" s="65">
        <v>386</v>
      </c>
      <c r="B389" s="25"/>
      <c r="C389" s="25"/>
      <c r="D389" s="25"/>
      <c r="E389" s="30" t="str">
        <f>CONCATENATE(B389,"-",C389,"-",D389)</f>
        <v>--</v>
      </c>
      <c r="F389" s="13">
        <f>VLOOKUP(E389,'LISTA ITEMS'!$E$2:$G$875,2,FALSE)</f>
        <v>0</v>
      </c>
      <c r="G389" s="25">
        <f>VLOOKUP(E389,'LISTA ITEMS'!$E$2:$G$875,3,FALSE)</f>
        <v>0</v>
      </c>
      <c r="H389" s="76"/>
      <c r="I389" s="75">
        <v>0</v>
      </c>
      <c r="J389" s="27"/>
      <c r="K389" s="13"/>
      <c r="L389" s="67"/>
      <c r="M389" s="56"/>
      <c r="N389" s="55"/>
      <c r="O389" s="13"/>
      <c r="P389" s="71"/>
      <c r="Q389" s="31"/>
      <c r="R389" s="26">
        <f>+I389+L389+N389-P389</f>
        <v>0</v>
      </c>
      <c r="S389" s="85"/>
      <c r="T389" s="84"/>
      <c r="U389" s="27"/>
      <c r="V389" s="13"/>
      <c r="W389" s="67"/>
      <c r="X389" s="56"/>
      <c r="Y389" s="55"/>
      <c r="Z389" s="13"/>
      <c r="AA389" s="71"/>
      <c r="AB389" s="31"/>
      <c r="AC389" s="26">
        <f>+R389+W389+Y389-AA389</f>
        <v>0</v>
      </c>
      <c r="AD389" s="25"/>
      <c r="AE389" s="25"/>
      <c r="AF389" s="13"/>
      <c r="AG389" s="13"/>
      <c r="AH389" s="13"/>
    </row>
    <row r="390" spans="1:34" x14ac:dyDescent="0.3">
      <c r="A390" s="65">
        <v>387</v>
      </c>
      <c r="B390" s="25"/>
      <c r="C390" s="25"/>
      <c r="D390" s="25"/>
      <c r="E390" s="30" t="str">
        <f>CONCATENATE(B390,"-",C390,"-",D390)</f>
        <v>--</v>
      </c>
      <c r="F390" s="13">
        <f>VLOOKUP(E390,'LISTA ITEMS'!$E$2:$G$875,2,FALSE)</f>
        <v>0</v>
      </c>
      <c r="G390" s="25">
        <f>VLOOKUP(E390,'LISTA ITEMS'!$E$2:$G$875,3,FALSE)</f>
        <v>0</v>
      </c>
      <c r="H390" s="76"/>
      <c r="I390" s="75">
        <v>0</v>
      </c>
      <c r="J390" s="27"/>
      <c r="K390" s="13"/>
      <c r="L390" s="67"/>
      <c r="M390" s="56"/>
      <c r="N390" s="55"/>
      <c r="O390" s="13"/>
      <c r="P390" s="71"/>
      <c r="Q390" s="31"/>
      <c r="R390" s="26">
        <f>+I390+L390+N390-P390</f>
        <v>0</v>
      </c>
      <c r="S390" s="85"/>
      <c r="T390" s="84"/>
      <c r="U390" s="27"/>
      <c r="V390" s="13"/>
      <c r="W390" s="67"/>
      <c r="X390" s="56"/>
      <c r="Y390" s="55"/>
      <c r="Z390" s="13"/>
      <c r="AA390" s="71"/>
      <c r="AB390" s="31"/>
      <c r="AC390" s="26">
        <f>+R390+W390+Y390-AA390</f>
        <v>0</v>
      </c>
      <c r="AD390" s="25"/>
      <c r="AE390" s="25"/>
      <c r="AF390" s="13"/>
      <c r="AG390" s="13"/>
      <c r="AH390" s="13"/>
    </row>
    <row r="391" spans="1:34" x14ac:dyDescent="0.3">
      <c r="A391" s="65">
        <v>388</v>
      </c>
      <c r="B391" s="25"/>
      <c r="C391" s="25"/>
      <c r="D391" s="25"/>
      <c r="E391" s="30" t="str">
        <f>CONCATENATE(B391,"-",C391,"-",D391)</f>
        <v>--</v>
      </c>
      <c r="F391" s="13">
        <f>VLOOKUP(E391,'LISTA ITEMS'!$E$2:$G$875,2,FALSE)</f>
        <v>0</v>
      </c>
      <c r="G391" s="25">
        <f>VLOOKUP(E391,'LISTA ITEMS'!$E$2:$G$875,3,FALSE)</f>
        <v>0</v>
      </c>
      <c r="H391" s="76"/>
      <c r="I391" s="75">
        <v>0</v>
      </c>
      <c r="J391" s="27"/>
      <c r="K391" s="13"/>
      <c r="L391" s="67"/>
      <c r="M391" s="56"/>
      <c r="N391" s="55"/>
      <c r="O391" s="13"/>
      <c r="P391" s="71"/>
      <c r="Q391" s="31"/>
      <c r="R391" s="26">
        <f>+I391+L391+N391-P391</f>
        <v>0</v>
      </c>
      <c r="S391" s="85"/>
      <c r="T391" s="84"/>
      <c r="U391" s="27"/>
      <c r="V391" s="13"/>
      <c r="W391" s="67"/>
      <c r="X391" s="56"/>
      <c r="Y391" s="55"/>
      <c r="Z391" s="13"/>
      <c r="AA391" s="71"/>
      <c r="AB391" s="31"/>
      <c r="AC391" s="26">
        <f>+R391+W391+Y391-AA391</f>
        <v>0</v>
      </c>
      <c r="AD391" s="25"/>
      <c r="AE391" s="25"/>
      <c r="AF391" s="13"/>
      <c r="AG391" s="13"/>
      <c r="AH391" s="13"/>
    </row>
    <row r="392" spans="1:34" x14ac:dyDescent="0.3">
      <c r="A392" s="65">
        <v>389</v>
      </c>
      <c r="B392" s="25"/>
      <c r="C392" s="25"/>
      <c r="D392" s="25"/>
      <c r="E392" s="30" t="str">
        <f>CONCATENATE(B392,"-",C392,"-",D392)</f>
        <v>--</v>
      </c>
      <c r="F392" s="13">
        <f>VLOOKUP(E392,'LISTA ITEMS'!$E$2:$G$875,2,FALSE)</f>
        <v>0</v>
      </c>
      <c r="G392" s="25">
        <f>VLOOKUP(E392,'LISTA ITEMS'!$E$2:$G$875,3,FALSE)</f>
        <v>0</v>
      </c>
      <c r="H392" s="76"/>
      <c r="I392" s="75">
        <v>0</v>
      </c>
      <c r="J392" s="27"/>
      <c r="K392" s="13"/>
      <c r="L392" s="67"/>
      <c r="M392" s="56"/>
      <c r="N392" s="55"/>
      <c r="O392" s="13"/>
      <c r="P392" s="71"/>
      <c r="Q392" s="31"/>
      <c r="R392" s="26">
        <f>+I392+L392+N392-P392</f>
        <v>0</v>
      </c>
      <c r="S392" s="85"/>
      <c r="T392" s="84"/>
      <c r="U392" s="27"/>
      <c r="V392" s="13"/>
      <c r="W392" s="67"/>
      <c r="X392" s="56"/>
      <c r="Y392" s="55"/>
      <c r="Z392" s="13"/>
      <c r="AA392" s="71"/>
      <c r="AB392" s="31"/>
      <c r="AC392" s="26">
        <f>+R392+W392+Y392-AA392</f>
        <v>0</v>
      </c>
      <c r="AD392" s="25"/>
      <c r="AE392" s="25"/>
      <c r="AF392" s="13"/>
      <c r="AG392" s="13"/>
      <c r="AH392" s="13"/>
    </row>
    <row r="393" spans="1:34" x14ac:dyDescent="0.3">
      <c r="A393" s="65">
        <v>390</v>
      </c>
      <c r="B393" s="25"/>
      <c r="C393" s="25"/>
      <c r="D393" s="25"/>
      <c r="E393" s="30" t="str">
        <f>CONCATENATE(B393,"-",C393,"-",D393)</f>
        <v>--</v>
      </c>
      <c r="F393" s="13">
        <f>VLOOKUP(E393,'LISTA ITEMS'!$E$2:$G$875,2,FALSE)</f>
        <v>0</v>
      </c>
      <c r="G393" s="25">
        <f>VLOOKUP(E393,'LISTA ITEMS'!$E$2:$G$875,3,FALSE)</f>
        <v>0</v>
      </c>
      <c r="H393" s="76"/>
      <c r="I393" s="75">
        <v>0</v>
      </c>
      <c r="J393" s="27"/>
      <c r="K393" s="13"/>
      <c r="L393" s="67"/>
      <c r="M393" s="56"/>
      <c r="N393" s="55"/>
      <c r="O393" s="13"/>
      <c r="P393" s="71"/>
      <c r="Q393" s="31"/>
      <c r="R393" s="26">
        <f>+I393+L393+N393-P393</f>
        <v>0</v>
      </c>
      <c r="S393" s="85"/>
      <c r="T393" s="84"/>
      <c r="U393" s="27"/>
      <c r="V393" s="13"/>
      <c r="W393" s="67"/>
      <c r="X393" s="56"/>
      <c r="Y393" s="55"/>
      <c r="Z393" s="13"/>
      <c r="AA393" s="71"/>
      <c r="AB393" s="31"/>
      <c r="AC393" s="26">
        <f>+R393+W393+Y393-AA393</f>
        <v>0</v>
      </c>
      <c r="AD393" s="25"/>
      <c r="AE393" s="25"/>
      <c r="AF393" s="13"/>
      <c r="AG393" s="13"/>
      <c r="AH393" s="13"/>
    </row>
    <row r="394" spans="1:34" x14ac:dyDescent="0.3">
      <c r="A394" s="65">
        <v>391</v>
      </c>
      <c r="B394" s="25"/>
      <c r="C394" s="25"/>
      <c r="D394" s="25"/>
      <c r="E394" s="30" t="str">
        <f>CONCATENATE(B394,"-",C394,"-",D394)</f>
        <v>--</v>
      </c>
      <c r="F394" s="13">
        <f>VLOOKUP(E394,'LISTA ITEMS'!$E$2:$G$875,2,FALSE)</f>
        <v>0</v>
      </c>
      <c r="G394" s="25">
        <f>VLOOKUP(E394,'LISTA ITEMS'!$E$2:$G$875,3,FALSE)</f>
        <v>0</v>
      </c>
      <c r="H394" s="76"/>
      <c r="I394" s="75">
        <v>0</v>
      </c>
      <c r="J394" s="27"/>
      <c r="K394" s="13"/>
      <c r="L394" s="67"/>
      <c r="M394" s="56"/>
      <c r="N394" s="55"/>
      <c r="O394" s="13"/>
      <c r="P394" s="71"/>
      <c r="Q394" s="31"/>
      <c r="R394" s="26">
        <f>+I394+L394+N394-P394</f>
        <v>0</v>
      </c>
      <c r="S394" s="85"/>
      <c r="T394" s="84"/>
      <c r="U394" s="27"/>
      <c r="V394" s="13"/>
      <c r="W394" s="67"/>
      <c r="X394" s="56"/>
      <c r="Y394" s="55"/>
      <c r="Z394" s="13"/>
      <c r="AA394" s="71"/>
      <c r="AB394" s="31"/>
      <c r="AC394" s="26">
        <f>+R394+W394+Y394-AA394</f>
        <v>0</v>
      </c>
      <c r="AD394" s="25"/>
      <c r="AE394" s="25"/>
      <c r="AF394" s="13"/>
      <c r="AG394" s="13"/>
      <c r="AH394" s="13"/>
    </row>
    <row r="395" spans="1:34" x14ac:dyDescent="0.3">
      <c r="A395" s="65">
        <v>392</v>
      </c>
      <c r="B395" s="25"/>
      <c r="C395" s="25"/>
      <c r="D395" s="25"/>
      <c r="E395" s="30" t="str">
        <f>CONCATENATE(B395,"-",C395,"-",D395)</f>
        <v>--</v>
      </c>
      <c r="F395" s="13">
        <f>VLOOKUP(E395,'LISTA ITEMS'!$E$2:$G$875,2,FALSE)</f>
        <v>0</v>
      </c>
      <c r="G395" s="25">
        <f>VLOOKUP(E395,'LISTA ITEMS'!$E$2:$G$875,3,FALSE)</f>
        <v>0</v>
      </c>
      <c r="H395" s="76"/>
      <c r="I395" s="75">
        <v>0</v>
      </c>
      <c r="J395" s="27"/>
      <c r="K395" s="13"/>
      <c r="L395" s="67"/>
      <c r="M395" s="56"/>
      <c r="N395" s="55"/>
      <c r="O395" s="13"/>
      <c r="P395" s="71"/>
      <c r="Q395" s="31"/>
      <c r="R395" s="26">
        <f>+I395+L395+N395-P395</f>
        <v>0</v>
      </c>
      <c r="S395" s="85"/>
      <c r="T395" s="84"/>
      <c r="U395" s="27"/>
      <c r="V395" s="13"/>
      <c r="W395" s="67"/>
      <c r="X395" s="56"/>
      <c r="Y395" s="55"/>
      <c r="Z395" s="13"/>
      <c r="AA395" s="71"/>
      <c r="AB395" s="31"/>
      <c r="AC395" s="26">
        <f>+R395+W395+Y395-AA395</f>
        <v>0</v>
      </c>
      <c r="AD395" s="25"/>
      <c r="AE395" s="25"/>
      <c r="AF395" s="13"/>
      <c r="AG395" s="13"/>
      <c r="AH395" s="13"/>
    </row>
    <row r="396" spans="1:34" x14ac:dyDescent="0.3">
      <c r="A396" s="65">
        <v>393</v>
      </c>
      <c r="B396" s="25"/>
      <c r="C396" s="25"/>
      <c r="D396" s="25"/>
      <c r="E396" s="30" t="str">
        <f>CONCATENATE(B396,"-",C396,"-",D396)</f>
        <v>--</v>
      </c>
      <c r="F396" s="13">
        <f>VLOOKUP(E396,'LISTA ITEMS'!$E$2:$G$875,2,FALSE)</f>
        <v>0</v>
      </c>
      <c r="G396" s="25">
        <f>VLOOKUP(E396,'LISTA ITEMS'!$E$2:$G$875,3,FALSE)</f>
        <v>0</v>
      </c>
      <c r="H396" s="76"/>
      <c r="I396" s="75">
        <v>0</v>
      </c>
      <c r="J396" s="27"/>
      <c r="K396" s="13"/>
      <c r="L396" s="67"/>
      <c r="M396" s="56"/>
      <c r="N396" s="55"/>
      <c r="O396" s="13"/>
      <c r="P396" s="71"/>
      <c r="Q396" s="31"/>
      <c r="R396" s="26">
        <f>+I396+L396+N396-P396</f>
        <v>0</v>
      </c>
      <c r="S396" s="85"/>
      <c r="T396" s="84"/>
      <c r="U396" s="27"/>
      <c r="V396" s="13"/>
      <c r="W396" s="67"/>
      <c r="X396" s="56"/>
      <c r="Y396" s="55"/>
      <c r="Z396" s="13"/>
      <c r="AA396" s="71"/>
      <c r="AB396" s="31"/>
      <c r="AC396" s="26">
        <f>+R396+W396+Y396-AA396</f>
        <v>0</v>
      </c>
      <c r="AD396" s="25"/>
      <c r="AE396" s="25"/>
      <c r="AF396" s="13"/>
      <c r="AG396" s="13"/>
      <c r="AH396" s="13"/>
    </row>
    <row r="397" spans="1:34" x14ac:dyDescent="0.3">
      <c r="A397" s="65">
        <v>394</v>
      </c>
      <c r="B397" s="25"/>
      <c r="C397" s="25"/>
      <c r="D397" s="25"/>
      <c r="E397" s="30" t="str">
        <f>CONCATENATE(B397,"-",C397,"-",D397)</f>
        <v>--</v>
      </c>
      <c r="F397" s="13">
        <f>VLOOKUP(E397,'LISTA ITEMS'!$E$2:$G$875,2,FALSE)</f>
        <v>0</v>
      </c>
      <c r="G397" s="25">
        <f>VLOOKUP(E397,'LISTA ITEMS'!$E$2:$G$875,3,FALSE)</f>
        <v>0</v>
      </c>
      <c r="H397" s="76"/>
      <c r="I397" s="75">
        <v>0</v>
      </c>
      <c r="J397" s="27"/>
      <c r="K397" s="13"/>
      <c r="L397" s="67"/>
      <c r="M397" s="56"/>
      <c r="N397" s="55"/>
      <c r="O397" s="13"/>
      <c r="P397" s="71"/>
      <c r="Q397" s="31"/>
      <c r="R397" s="26">
        <f>+I397+L397+N397-P397</f>
        <v>0</v>
      </c>
      <c r="S397" s="85"/>
      <c r="T397" s="84"/>
      <c r="U397" s="27"/>
      <c r="V397" s="13"/>
      <c r="W397" s="67"/>
      <c r="X397" s="56"/>
      <c r="Y397" s="55"/>
      <c r="Z397" s="13"/>
      <c r="AA397" s="71"/>
      <c r="AB397" s="31"/>
      <c r="AC397" s="26">
        <f>+R397+W397+Y397-AA397</f>
        <v>0</v>
      </c>
      <c r="AD397" s="25"/>
      <c r="AE397" s="25"/>
      <c r="AF397" s="13"/>
      <c r="AG397" s="13"/>
      <c r="AH397" s="13"/>
    </row>
    <row r="398" spans="1:34" x14ac:dyDescent="0.3">
      <c r="A398" s="65">
        <v>395</v>
      </c>
      <c r="B398" s="25"/>
      <c r="C398" s="25"/>
      <c r="D398" s="25"/>
      <c r="E398" s="30" t="str">
        <f>CONCATENATE(B398,"-",C398,"-",D398)</f>
        <v>--</v>
      </c>
      <c r="F398" s="13">
        <f>VLOOKUP(E398,'LISTA ITEMS'!$E$2:$G$875,2,FALSE)</f>
        <v>0</v>
      </c>
      <c r="G398" s="25">
        <f>VLOOKUP(E398,'LISTA ITEMS'!$E$2:$G$875,3,FALSE)</f>
        <v>0</v>
      </c>
      <c r="H398" s="76"/>
      <c r="I398" s="75">
        <v>0</v>
      </c>
      <c r="J398" s="27"/>
      <c r="K398" s="13"/>
      <c r="L398" s="67"/>
      <c r="M398" s="56"/>
      <c r="N398" s="55"/>
      <c r="O398" s="13"/>
      <c r="P398" s="71"/>
      <c r="Q398" s="31"/>
      <c r="R398" s="26">
        <f>+I398+L398+N398-P398</f>
        <v>0</v>
      </c>
      <c r="S398" s="85"/>
      <c r="T398" s="84"/>
      <c r="U398" s="27"/>
      <c r="V398" s="13"/>
      <c r="W398" s="67"/>
      <c r="X398" s="56"/>
      <c r="Y398" s="55"/>
      <c r="Z398" s="13"/>
      <c r="AA398" s="71"/>
      <c r="AB398" s="31"/>
      <c r="AC398" s="26">
        <f>+R398+W398+Y398-AA398</f>
        <v>0</v>
      </c>
      <c r="AD398" s="25"/>
      <c r="AE398" s="25"/>
      <c r="AF398" s="13"/>
      <c r="AG398" s="13"/>
      <c r="AH398" s="13"/>
    </row>
    <row r="399" spans="1:34" x14ac:dyDescent="0.3">
      <c r="A399" s="65">
        <v>396</v>
      </c>
      <c r="B399" s="25"/>
      <c r="C399" s="25"/>
      <c r="D399" s="25"/>
      <c r="E399" s="30" t="str">
        <f>CONCATENATE(B399,"-",C399,"-",D399)</f>
        <v>--</v>
      </c>
      <c r="F399" s="13">
        <f>VLOOKUP(E399,'LISTA ITEMS'!$E$2:$G$875,2,FALSE)</f>
        <v>0</v>
      </c>
      <c r="G399" s="25">
        <f>VLOOKUP(E399,'LISTA ITEMS'!$E$2:$G$875,3,FALSE)</f>
        <v>0</v>
      </c>
      <c r="H399" s="76"/>
      <c r="I399" s="75">
        <v>0</v>
      </c>
      <c r="J399" s="27"/>
      <c r="K399" s="13"/>
      <c r="L399" s="67"/>
      <c r="M399" s="56"/>
      <c r="N399" s="55"/>
      <c r="O399" s="13"/>
      <c r="P399" s="71"/>
      <c r="Q399" s="31"/>
      <c r="R399" s="26">
        <f>+I399+L399+N399-P399</f>
        <v>0</v>
      </c>
      <c r="S399" s="85"/>
      <c r="T399" s="84"/>
      <c r="U399" s="27"/>
      <c r="V399" s="13"/>
      <c r="W399" s="67"/>
      <c r="X399" s="56"/>
      <c r="Y399" s="55"/>
      <c r="Z399" s="13"/>
      <c r="AA399" s="71"/>
      <c r="AB399" s="31"/>
      <c r="AC399" s="26">
        <f>+R399+W399+Y399-AA399</f>
        <v>0</v>
      </c>
      <c r="AD399" s="25"/>
      <c r="AE399" s="25"/>
      <c r="AF399" s="13"/>
      <c r="AG399" s="13"/>
      <c r="AH399" s="13"/>
    </row>
    <row r="400" spans="1:34" x14ac:dyDescent="0.3">
      <c r="A400" s="65">
        <v>397</v>
      </c>
      <c r="B400" s="25"/>
      <c r="C400" s="25"/>
      <c r="D400" s="25"/>
      <c r="E400" s="30" t="str">
        <f>CONCATENATE(B400,"-",C400,"-",D400)</f>
        <v>--</v>
      </c>
      <c r="F400" s="13">
        <f>VLOOKUP(E400,'LISTA ITEMS'!$E$2:$G$875,2,FALSE)</f>
        <v>0</v>
      </c>
      <c r="G400" s="25">
        <f>VLOOKUP(E400,'LISTA ITEMS'!$E$2:$G$875,3,FALSE)</f>
        <v>0</v>
      </c>
      <c r="H400" s="76"/>
      <c r="I400" s="75">
        <v>0</v>
      </c>
      <c r="J400" s="27"/>
      <c r="K400" s="13"/>
      <c r="L400" s="67"/>
      <c r="M400" s="56"/>
      <c r="N400" s="55"/>
      <c r="O400" s="13"/>
      <c r="P400" s="71"/>
      <c r="Q400" s="31"/>
      <c r="R400" s="26">
        <f>+I400+L400+N400-P400</f>
        <v>0</v>
      </c>
      <c r="S400" s="85"/>
      <c r="T400" s="84"/>
      <c r="U400" s="27"/>
      <c r="V400" s="13"/>
      <c r="W400" s="67"/>
      <c r="X400" s="56"/>
      <c r="Y400" s="55"/>
      <c r="Z400" s="13"/>
      <c r="AA400" s="71"/>
      <c r="AB400" s="31"/>
      <c r="AC400" s="26">
        <f>+R400+W400+Y400-AA400</f>
        <v>0</v>
      </c>
      <c r="AD400" s="25"/>
      <c r="AE400" s="25"/>
      <c r="AF400" s="13"/>
      <c r="AG400" s="13"/>
      <c r="AH400" s="13"/>
    </row>
    <row r="401" spans="1:34" x14ac:dyDescent="0.3">
      <c r="A401" s="65">
        <v>398</v>
      </c>
      <c r="B401" s="25"/>
      <c r="C401" s="25"/>
      <c r="D401" s="25"/>
      <c r="E401" s="30" t="str">
        <f>CONCATENATE(B401,"-",C401,"-",D401)</f>
        <v>--</v>
      </c>
      <c r="F401" s="13">
        <f>VLOOKUP(E401,'LISTA ITEMS'!$E$2:$G$875,2,FALSE)</f>
        <v>0</v>
      </c>
      <c r="G401" s="25">
        <f>VLOOKUP(E401,'LISTA ITEMS'!$E$2:$G$875,3,FALSE)</f>
        <v>0</v>
      </c>
      <c r="H401" s="76"/>
      <c r="I401" s="75">
        <v>0</v>
      </c>
      <c r="J401" s="27"/>
      <c r="K401" s="13"/>
      <c r="L401" s="67"/>
      <c r="M401" s="56"/>
      <c r="N401" s="55"/>
      <c r="O401" s="13"/>
      <c r="P401" s="71"/>
      <c r="Q401" s="31"/>
      <c r="R401" s="26">
        <f>+I401+L401+N401-P401</f>
        <v>0</v>
      </c>
      <c r="S401" s="85"/>
      <c r="T401" s="84"/>
      <c r="U401" s="27"/>
      <c r="V401" s="13"/>
      <c r="W401" s="67"/>
      <c r="X401" s="56"/>
      <c r="Y401" s="55"/>
      <c r="Z401" s="13"/>
      <c r="AA401" s="71"/>
      <c r="AB401" s="31"/>
      <c r="AC401" s="26">
        <f>+R401+W401+Y401-AA401</f>
        <v>0</v>
      </c>
      <c r="AD401" s="25"/>
      <c r="AE401" s="25"/>
      <c r="AF401" s="13"/>
      <c r="AG401" s="13"/>
      <c r="AH401" s="13"/>
    </row>
    <row r="402" spans="1:34" x14ac:dyDescent="0.3">
      <c r="A402" s="65">
        <v>399</v>
      </c>
      <c r="B402" s="25"/>
      <c r="C402" s="25"/>
      <c r="D402" s="25"/>
      <c r="E402" s="30" t="str">
        <f>CONCATENATE(B402,"-",C402,"-",D402)</f>
        <v>--</v>
      </c>
      <c r="F402" s="13">
        <f>VLOOKUP(E402,'LISTA ITEMS'!$E$2:$G$875,2,FALSE)</f>
        <v>0</v>
      </c>
      <c r="G402" s="25">
        <f>VLOOKUP(E402,'LISTA ITEMS'!$E$2:$G$875,3,FALSE)</f>
        <v>0</v>
      </c>
      <c r="H402" s="76"/>
      <c r="I402" s="75">
        <v>0</v>
      </c>
      <c r="J402" s="27"/>
      <c r="K402" s="13"/>
      <c r="L402" s="67"/>
      <c r="M402" s="56"/>
      <c r="N402" s="55"/>
      <c r="O402" s="13"/>
      <c r="P402" s="71"/>
      <c r="Q402" s="31"/>
      <c r="R402" s="26">
        <f>+I402+L402+N402-P402</f>
        <v>0</v>
      </c>
      <c r="S402" s="85"/>
      <c r="T402" s="84"/>
      <c r="U402" s="27"/>
      <c r="V402" s="13"/>
      <c r="W402" s="67"/>
      <c r="X402" s="56"/>
      <c r="Y402" s="55"/>
      <c r="Z402" s="13"/>
      <c r="AA402" s="71"/>
      <c r="AB402" s="31"/>
      <c r="AC402" s="26">
        <f>+R402+W402+Y402-AA402</f>
        <v>0</v>
      </c>
      <c r="AD402" s="25"/>
      <c r="AE402" s="25"/>
      <c r="AF402" s="13"/>
      <c r="AG402" s="13"/>
      <c r="AH402" s="13"/>
    </row>
    <row r="403" spans="1:34" x14ac:dyDescent="0.3">
      <c r="A403" s="65">
        <v>400</v>
      </c>
      <c r="B403" s="25"/>
      <c r="C403" s="25"/>
      <c r="D403" s="25"/>
      <c r="E403" s="30" t="str">
        <f>CONCATENATE(B403,"-",C403,"-",D403)</f>
        <v>--</v>
      </c>
      <c r="F403" s="13">
        <f>VLOOKUP(E403,'LISTA ITEMS'!$E$2:$G$875,2,FALSE)</f>
        <v>0</v>
      </c>
      <c r="G403" s="25">
        <f>VLOOKUP(E403,'LISTA ITEMS'!$E$2:$G$875,3,FALSE)</f>
        <v>0</v>
      </c>
      <c r="H403" s="76"/>
      <c r="I403" s="75">
        <v>0</v>
      </c>
      <c r="J403" s="27"/>
      <c r="K403" s="13"/>
      <c r="L403" s="67"/>
      <c r="M403" s="56"/>
      <c r="N403" s="55"/>
      <c r="O403" s="13"/>
      <c r="P403" s="71"/>
      <c r="Q403" s="31"/>
      <c r="R403" s="26">
        <f>+I403+L403+N403-P403</f>
        <v>0</v>
      </c>
      <c r="S403" s="85"/>
      <c r="T403" s="84"/>
      <c r="U403" s="27"/>
      <c r="V403" s="13"/>
      <c r="W403" s="67"/>
      <c r="X403" s="56"/>
      <c r="Y403" s="55"/>
      <c r="Z403" s="13"/>
      <c r="AA403" s="71"/>
      <c r="AB403" s="31"/>
      <c r="AC403" s="26">
        <f>+R403+W403+Y403-AA403</f>
        <v>0</v>
      </c>
      <c r="AD403" s="25"/>
      <c r="AE403" s="25"/>
      <c r="AF403" s="13"/>
      <c r="AG403" s="13"/>
      <c r="AH403" s="13"/>
    </row>
    <row r="404" spans="1:34" x14ac:dyDescent="0.3">
      <c r="A404" s="65">
        <v>401</v>
      </c>
      <c r="B404" s="25"/>
      <c r="C404" s="25"/>
      <c r="D404" s="25"/>
      <c r="E404" s="30" t="str">
        <f>CONCATENATE(B404,"-",C404,"-",D404)</f>
        <v>--</v>
      </c>
      <c r="F404" s="13">
        <f>VLOOKUP(E404,'LISTA ITEMS'!$E$2:$G$875,2,FALSE)</f>
        <v>0</v>
      </c>
      <c r="G404" s="25">
        <f>VLOOKUP(E404,'LISTA ITEMS'!$E$2:$G$875,3,FALSE)</f>
        <v>0</v>
      </c>
      <c r="H404" s="76"/>
      <c r="I404" s="75">
        <v>0</v>
      </c>
      <c r="J404" s="27"/>
      <c r="K404" s="13"/>
      <c r="L404" s="67"/>
      <c r="M404" s="56"/>
      <c r="N404" s="55"/>
      <c r="O404" s="13"/>
      <c r="P404" s="71"/>
      <c r="Q404" s="31"/>
      <c r="R404" s="26">
        <f>+I404+L404+N404-P404</f>
        <v>0</v>
      </c>
      <c r="S404" s="85"/>
      <c r="T404" s="84"/>
      <c r="U404" s="27"/>
      <c r="V404" s="13"/>
      <c r="W404" s="67"/>
      <c r="X404" s="56"/>
      <c r="Y404" s="55"/>
      <c r="Z404" s="13"/>
      <c r="AA404" s="71"/>
      <c r="AB404" s="31"/>
      <c r="AC404" s="26">
        <f>+R404+W404+Y404-AA404</f>
        <v>0</v>
      </c>
      <c r="AD404" s="25"/>
      <c r="AE404" s="25"/>
      <c r="AF404" s="13"/>
      <c r="AG404" s="13"/>
      <c r="AH404" s="13"/>
    </row>
    <row r="405" spans="1:34" x14ac:dyDescent="0.3">
      <c r="A405" s="65">
        <v>402</v>
      </c>
      <c r="B405" s="25"/>
      <c r="C405" s="25"/>
      <c r="D405" s="25"/>
      <c r="E405" s="30" t="str">
        <f>CONCATENATE(B405,"-",C405,"-",D405)</f>
        <v>--</v>
      </c>
      <c r="F405" s="13">
        <f>VLOOKUP(E405,'LISTA ITEMS'!$E$2:$G$875,2,FALSE)</f>
        <v>0</v>
      </c>
      <c r="G405" s="25">
        <f>VLOOKUP(E405,'LISTA ITEMS'!$E$2:$G$875,3,FALSE)</f>
        <v>0</v>
      </c>
      <c r="H405" s="76"/>
      <c r="I405" s="75">
        <v>0</v>
      </c>
      <c r="J405" s="27"/>
      <c r="K405" s="13"/>
      <c r="L405" s="67"/>
      <c r="M405" s="56"/>
      <c r="N405" s="55"/>
      <c r="O405" s="13"/>
      <c r="P405" s="71"/>
      <c r="Q405" s="31"/>
      <c r="R405" s="26">
        <f>+I405+L405+N405-P405</f>
        <v>0</v>
      </c>
      <c r="S405" s="85"/>
      <c r="T405" s="84"/>
      <c r="U405" s="27"/>
      <c r="V405" s="13"/>
      <c r="W405" s="67"/>
      <c r="X405" s="56"/>
      <c r="Y405" s="55"/>
      <c r="Z405" s="13"/>
      <c r="AA405" s="71"/>
      <c r="AB405" s="31"/>
      <c r="AC405" s="26">
        <f>+R405+W405+Y405-AA405</f>
        <v>0</v>
      </c>
      <c r="AD405" s="25"/>
      <c r="AE405" s="25"/>
      <c r="AF405" s="13"/>
      <c r="AG405" s="13"/>
      <c r="AH405" s="13"/>
    </row>
    <row r="406" spans="1:34" x14ac:dyDescent="0.3">
      <c r="A406" s="65">
        <v>403</v>
      </c>
      <c r="B406" s="25"/>
      <c r="C406" s="25"/>
      <c r="D406" s="25"/>
      <c r="E406" s="30" t="str">
        <f>CONCATENATE(B406,"-",C406,"-",D406)</f>
        <v>--</v>
      </c>
      <c r="F406" s="13">
        <f>VLOOKUP(E406,'LISTA ITEMS'!$E$2:$G$875,2,FALSE)</f>
        <v>0</v>
      </c>
      <c r="G406" s="25">
        <f>VLOOKUP(E406,'LISTA ITEMS'!$E$2:$G$875,3,FALSE)</f>
        <v>0</v>
      </c>
      <c r="H406" s="76"/>
      <c r="I406" s="75">
        <v>0</v>
      </c>
      <c r="J406" s="27"/>
      <c r="K406" s="13"/>
      <c r="L406" s="67"/>
      <c r="M406" s="56"/>
      <c r="N406" s="55"/>
      <c r="O406" s="13"/>
      <c r="P406" s="71"/>
      <c r="Q406" s="31"/>
      <c r="R406" s="26">
        <f>+I406+L406+N406-P406</f>
        <v>0</v>
      </c>
      <c r="S406" s="85"/>
      <c r="T406" s="84"/>
      <c r="U406" s="27"/>
      <c r="V406" s="13"/>
      <c r="W406" s="67"/>
      <c r="X406" s="56"/>
      <c r="Y406" s="55"/>
      <c r="Z406" s="13"/>
      <c r="AA406" s="71"/>
      <c r="AB406" s="31"/>
      <c r="AC406" s="26">
        <f>+R406+W406+Y406-AA406</f>
        <v>0</v>
      </c>
      <c r="AD406" s="25"/>
      <c r="AE406" s="25"/>
      <c r="AF406" s="13"/>
      <c r="AG406" s="13"/>
      <c r="AH406" s="13"/>
    </row>
    <row r="407" spans="1:34" x14ac:dyDescent="0.3">
      <c r="A407" s="65">
        <v>404</v>
      </c>
      <c r="B407" s="25"/>
      <c r="C407" s="25"/>
      <c r="D407" s="25"/>
      <c r="E407" s="30" t="str">
        <f>CONCATENATE(B407,"-",C407,"-",D407)</f>
        <v>--</v>
      </c>
      <c r="F407" s="13">
        <f>VLOOKUP(E407,'LISTA ITEMS'!$E$2:$G$875,2,FALSE)</f>
        <v>0</v>
      </c>
      <c r="G407" s="25">
        <f>VLOOKUP(E407,'LISTA ITEMS'!$E$2:$G$875,3,FALSE)</f>
        <v>0</v>
      </c>
      <c r="H407" s="76"/>
      <c r="I407" s="75">
        <v>0</v>
      </c>
      <c r="J407" s="27"/>
      <c r="K407" s="13"/>
      <c r="L407" s="67"/>
      <c r="M407" s="56"/>
      <c r="N407" s="55"/>
      <c r="O407" s="13"/>
      <c r="P407" s="71"/>
      <c r="Q407" s="31"/>
      <c r="R407" s="26">
        <f>+I407+L407+N407-P407</f>
        <v>0</v>
      </c>
      <c r="S407" s="85"/>
      <c r="T407" s="84"/>
      <c r="U407" s="27"/>
      <c r="V407" s="13"/>
      <c r="W407" s="67"/>
      <c r="X407" s="56"/>
      <c r="Y407" s="55"/>
      <c r="Z407" s="13"/>
      <c r="AA407" s="71"/>
      <c r="AB407" s="31"/>
      <c r="AC407" s="26">
        <f>+R407+W407+Y407-AA407</f>
        <v>0</v>
      </c>
      <c r="AD407" s="25"/>
      <c r="AE407" s="25"/>
      <c r="AF407" s="13"/>
      <c r="AG407" s="13"/>
      <c r="AH407" s="13"/>
    </row>
    <row r="408" spans="1:34" x14ac:dyDescent="0.3">
      <c r="A408" s="65">
        <v>405</v>
      </c>
      <c r="B408" s="25"/>
      <c r="C408" s="25"/>
      <c r="D408" s="25"/>
      <c r="E408" s="30" t="str">
        <f>CONCATENATE(B408,"-",C408,"-",D408)</f>
        <v>--</v>
      </c>
      <c r="F408" s="13">
        <f>VLOOKUP(E408,'LISTA ITEMS'!$E$2:$G$875,2,FALSE)</f>
        <v>0</v>
      </c>
      <c r="G408" s="25">
        <f>VLOOKUP(E408,'LISTA ITEMS'!$E$2:$G$875,3,FALSE)</f>
        <v>0</v>
      </c>
      <c r="H408" s="76"/>
      <c r="I408" s="75">
        <v>0</v>
      </c>
      <c r="J408" s="27"/>
      <c r="K408" s="13"/>
      <c r="L408" s="67"/>
      <c r="M408" s="56"/>
      <c r="N408" s="55"/>
      <c r="O408" s="13"/>
      <c r="P408" s="71"/>
      <c r="Q408" s="31"/>
      <c r="R408" s="26">
        <f>+I408+L408+N408-P408</f>
        <v>0</v>
      </c>
      <c r="S408" s="85"/>
      <c r="T408" s="84"/>
      <c r="U408" s="27"/>
      <c r="V408" s="13"/>
      <c r="W408" s="67"/>
      <c r="X408" s="56"/>
      <c r="Y408" s="55"/>
      <c r="Z408" s="13"/>
      <c r="AA408" s="71"/>
      <c r="AB408" s="31"/>
      <c r="AC408" s="26">
        <f>+R408+W408+Y408-AA408</f>
        <v>0</v>
      </c>
      <c r="AD408" s="25"/>
      <c r="AE408" s="25"/>
      <c r="AF408" s="13"/>
      <c r="AG408" s="13"/>
      <c r="AH408" s="13"/>
    </row>
    <row r="409" spans="1:34" x14ac:dyDescent="0.3">
      <c r="A409" s="65">
        <v>406</v>
      </c>
      <c r="B409" s="25"/>
      <c r="C409" s="25"/>
      <c r="D409" s="25"/>
      <c r="E409" s="30" t="str">
        <f>CONCATENATE(B409,"-",C409,"-",D409)</f>
        <v>--</v>
      </c>
      <c r="F409" s="13">
        <f>VLOOKUP(E409,'LISTA ITEMS'!$E$2:$G$875,2,FALSE)</f>
        <v>0</v>
      </c>
      <c r="G409" s="25">
        <f>VLOOKUP(E409,'LISTA ITEMS'!$E$2:$G$875,3,FALSE)</f>
        <v>0</v>
      </c>
      <c r="H409" s="76"/>
      <c r="I409" s="75">
        <v>0</v>
      </c>
      <c r="J409" s="27"/>
      <c r="K409" s="13"/>
      <c r="L409" s="67"/>
      <c r="M409" s="56"/>
      <c r="N409" s="55"/>
      <c r="O409" s="13"/>
      <c r="P409" s="71"/>
      <c r="Q409" s="31"/>
      <c r="R409" s="26">
        <f>+I409+L409+N409-P409</f>
        <v>0</v>
      </c>
      <c r="S409" s="85"/>
      <c r="T409" s="84"/>
      <c r="U409" s="27"/>
      <c r="V409" s="13"/>
      <c r="W409" s="67"/>
      <c r="X409" s="56"/>
      <c r="Y409" s="55"/>
      <c r="Z409" s="13"/>
      <c r="AA409" s="71"/>
      <c r="AB409" s="31"/>
      <c r="AC409" s="26">
        <f>+R409+W409+Y409-AA409</f>
        <v>0</v>
      </c>
      <c r="AD409" s="25"/>
      <c r="AE409" s="25"/>
      <c r="AF409" s="13"/>
      <c r="AG409" s="13"/>
      <c r="AH409" s="13"/>
    </row>
    <row r="410" spans="1:34" x14ac:dyDescent="0.3">
      <c r="A410" s="65">
        <v>407</v>
      </c>
      <c r="B410" s="25"/>
      <c r="C410" s="25"/>
      <c r="D410" s="25"/>
      <c r="E410" s="30" t="str">
        <f>CONCATENATE(B410,"-",C410,"-",D410)</f>
        <v>--</v>
      </c>
      <c r="F410" s="13">
        <f>VLOOKUP(E410,'LISTA ITEMS'!$E$2:$G$875,2,FALSE)</f>
        <v>0</v>
      </c>
      <c r="G410" s="25">
        <f>VLOOKUP(E410,'LISTA ITEMS'!$E$2:$G$875,3,FALSE)</f>
        <v>0</v>
      </c>
      <c r="H410" s="76"/>
      <c r="I410" s="75">
        <v>0</v>
      </c>
      <c r="J410" s="27"/>
      <c r="K410" s="13"/>
      <c r="L410" s="67"/>
      <c r="M410" s="56"/>
      <c r="N410" s="55"/>
      <c r="O410" s="13"/>
      <c r="P410" s="71"/>
      <c r="Q410" s="31"/>
      <c r="R410" s="26">
        <f>+I410+L410+N410-P410</f>
        <v>0</v>
      </c>
      <c r="S410" s="85"/>
      <c r="T410" s="84"/>
      <c r="U410" s="27"/>
      <c r="V410" s="13"/>
      <c r="W410" s="67"/>
      <c r="X410" s="56"/>
      <c r="Y410" s="55"/>
      <c r="Z410" s="13"/>
      <c r="AA410" s="71"/>
      <c r="AB410" s="31"/>
      <c r="AC410" s="26">
        <f>+R410+W410+Y410-AA410</f>
        <v>0</v>
      </c>
      <c r="AD410" s="25"/>
      <c r="AE410" s="25"/>
      <c r="AF410" s="13"/>
      <c r="AG410" s="13"/>
      <c r="AH410" s="13"/>
    </row>
    <row r="411" spans="1:34" x14ac:dyDescent="0.3">
      <c r="A411" s="65">
        <v>408</v>
      </c>
      <c r="B411" s="25"/>
      <c r="C411" s="25"/>
      <c r="D411" s="25"/>
      <c r="E411" s="30" t="str">
        <f>CONCATENATE(B411,"-",C411,"-",D411)</f>
        <v>--</v>
      </c>
      <c r="F411" s="13">
        <f>VLOOKUP(E411,'LISTA ITEMS'!$E$2:$G$875,2,FALSE)</f>
        <v>0</v>
      </c>
      <c r="G411" s="25">
        <f>VLOOKUP(E411,'LISTA ITEMS'!$E$2:$G$875,3,FALSE)</f>
        <v>0</v>
      </c>
      <c r="H411" s="76"/>
      <c r="I411" s="75">
        <v>0</v>
      </c>
      <c r="J411" s="27"/>
      <c r="K411" s="13"/>
      <c r="L411" s="67"/>
      <c r="M411" s="56"/>
      <c r="N411" s="55"/>
      <c r="O411" s="13"/>
      <c r="P411" s="71"/>
      <c r="Q411" s="31"/>
      <c r="R411" s="26">
        <f>+I411+L411+N411-P411</f>
        <v>0</v>
      </c>
      <c r="S411" s="85"/>
      <c r="T411" s="84"/>
      <c r="U411" s="27"/>
      <c r="V411" s="13"/>
      <c r="W411" s="67"/>
      <c r="X411" s="56"/>
      <c r="Y411" s="55"/>
      <c r="Z411" s="13"/>
      <c r="AA411" s="71"/>
      <c r="AB411" s="31"/>
      <c r="AC411" s="26">
        <f>+R411+W411+Y411-AA411</f>
        <v>0</v>
      </c>
      <c r="AD411" s="25"/>
      <c r="AE411" s="25"/>
      <c r="AF411" s="13"/>
      <c r="AG411" s="13"/>
      <c r="AH411" s="13"/>
    </row>
    <row r="412" spans="1:34" x14ac:dyDescent="0.3">
      <c r="A412" s="65">
        <v>409</v>
      </c>
      <c r="B412" s="25"/>
      <c r="C412" s="25"/>
      <c r="D412" s="25"/>
      <c r="E412" s="30" t="str">
        <f>CONCATENATE(B412,"-",C412,"-",D412)</f>
        <v>--</v>
      </c>
      <c r="F412" s="13">
        <f>VLOOKUP(E412,'LISTA ITEMS'!$E$2:$G$875,2,FALSE)</f>
        <v>0</v>
      </c>
      <c r="G412" s="25">
        <f>VLOOKUP(E412,'LISTA ITEMS'!$E$2:$G$875,3,FALSE)</f>
        <v>0</v>
      </c>
      <c r="H412" s="76"/>
      <c r="I412" s="75">
        <v>0</v>
      </c>
      <c r="J412" s="27"/>
      <c r="K412" s="13"/>
      <c r="L412" s="67"/>
      <c r="M412" s="56"/>
      <c r="N412" s="55"/>
      <c r="O412" s="13"/>
      <c r="P412" s="71"/>
      <c r="Q412" s="31"/>
      <c r="R412" s="26">
        <f>+I412+L412+N412-P412</f>
        <v>0</v>
      </c>
      <c r="S412" s="85"/>
      <c r="T412" s="84"/>
      <c r="U412" s="27"/>
      <c r="V412" s="13"/>
      <c r="W412" s="67"/>
      <c r="X412" s="56"/>
      <c r="Y412" s="55"/>
      <c r="Z412" s="13"/>
      <c r="AA412" s="71"/>
      <c r="AB412" s="31"/>
      <c r="AC412" s="26">
        <f>+R412+W412+Y412-AA412</f>
        <v>0</v>
      </c>
      <c r="AD412" s="25"/>
      <c r="AE412" s="25"/>
      <c r="AF412" s="13"/>
      <c r="AG412" s="13"/>
      <c r="AH412" s="13"/>
    </row>
    <row r="413" spans="1:34" x14ac:dyDescent="0.3">
      <c r="A413" s="65">
        <v>410</v>
      </c>
      <c r="B413" s="25"/>
      <c r="C413" s="25"/>
      <c r="D413" s="25"/>
      <c r="E413" s="30" t="str">
        <f>CONCATENATE(B413,"-",C413,"-",D413)</f>
        <v>--</v>
      </c>
      <c r="F413" s="13">
        <f>VLOOKUP(E413,'LISTA ITEMS'!$E$2:$G$875,2,FALSE)</f>
        <v>0</v>
      </c>
      <c r="G413" s="25">
        <f>VLOOKUP(E413,'LISTA ITEMS'!$E$2:$G$875,3,FALSE)</f>
        <v>0</v>
      </c>
      <c r="H413" s="76"/>
      <c r="I413" s="75">
        <v>0</v>
      </c>
      <c r="J413" s="27"/>
      <c r="K413" s="13"/>
      <c r="L413" s="67"/>
      <c r="M413" s="56"/>
      <c r="N413" s="55"/>
      <c r="O413" s="13"/>
      <c r="P413" s="71"/>
      <c r="Q413" s="31"/>
      <c r="R413" s="26">
        <f>+I413+L413+N413-P413</f>
        <v>0</v>
      </c>
      <c r="S413" s="85"/>
      <c r="T413" s="84"/>
      <c r="U413" s="27"/>
      <c r="V413" s="13"/>
      <c r="W413" s="67"/>
      <c r="X413" s="56"/>
      <c r="Y413" s="55"/>
      <c r="Z413" s="13"/>
      <c r="AA413" s="71"/>
      <c r="AB413" s="31"/>
      <c r="AC413" s="26">
        <f>+R413+W413+Y413-AA413</f>
        <v>0</v>
      </c>
      <c r="AD413" s="25"/>
      <c r="AE413" s="25"/>
      <c r="AF413" s="13"/>
      <c r="AG413" s="13"/>
      <c r="AH413" s="13"/>
    </row>
    <row r="414" spans="1:34" x14ac:dyDescent="0.3">
      <c r="A414" s="65">
        <v>411</v>
      </c>
      <c r="B414" s="25"/>
      <c r="C414" s="25"/>
      <c r="D414" s="25"/>
      <c r="E414" s="30" t="str">
        <f>CONCATENATE(B414,"-",C414,"-",D414)</f>
        <v>--</v>
      </c>
      <c r="F414" s="13">
        <f>VLOOKUP(E414,'LISTA ITEMS'!$E$2:$G$875,2,FALSE)</f>
        <v>0</v>
      </c>
      <c r="G414" s="25">
        <f>VLOOKUP(E414,'LISTA ITEMS'!$E$2:$G$875,3,FALSE)</f>
        <v>0</v>
      </c>
      <c r="H414" s="76"/>
      <c r="I414" s="75">
        <v>0</v>
      </c>
      <c r="J414" s="27"/>
      <c r="K414" s="13"/>
      <c r="L414" s="67"/>
      <c r="M414" s="56"/>
      <c r="N414" s="55"/>
      <c r="O414" s="13"/>
      <c r="P414" s="71"/>
      <c r="Q414" s="31"/>
      <c r="R414" s="26">
        <f>+I414+L414+N414-P414</f>
        <v>0</v>
      </c>
      <c r="S414" s="85"/>
      <c r="T414" s="84"/>
      <c r="U414" s="27"/>
      <c r="V414" s="13"/>
      <c r="W414" s="67"/>
      <c r="X414" s="56"/>
      <c r="Y414" s="55"/>
      <c r="Z414" s="13"/>
      <c r="AA414" s="71"/>
      <c r="AB414" s="31"/>
      <c r="AC414" s="26">
        <f>+R414+W414+Y414-AA414</f>
        <v>0</v>
      </c>
      <c r="AD414" s="25"/>
      <c r="AE414" s="25"/>
      <c r="AF414" s="13"/>
      <c r="AG414" s="13"/>
      <c r="AH414" s="13"/>
    </row>
    <row r="415" spans="1:34" x14ac:dyDescent="0.3">
      <c r="A415" s="65">
        <v>412</v>
      </c>
      <c r="B415" s="25"/>
      <c r="C415" s="25"/>
      <c r="D415" s="25"/>
      <c r="E415" s="30" t="str">
        <f>CONCATENATE(B415,"-",C415,"-",D415)</f>
        <v>--</v>
      </c>
      <c r="F415" s="13">
        <f>VLOOKUP(E415,'LISTA ITEMS'!$E$2:$G$875,2,FALSE)</f>
        <v>0</v>
      </c>
      <c r="G415" s="25">
        <f>VLOOKUP(E415,'LISTA ITEMS'!$E$2:$G$875,3,FALSE)</f>
        <v>0</v>
      </c>
      <c r="H415" s="76"/>
      <c r="I415" s="75">
        <v>0</v>
      </c>
      <c r="J415" s="27"/>
      <c r="K415" s="13"/>
      <c r="L415" s="67"/>
      <c r="M415" s="56"/>
      <c r="N415" s="55"/>
      <c r="O415" s="13"/>
      <c r="P415" s="71"/>
      <c r="Q415" s="31"/>
      <c r="R415" s="26">
        <f>+I415+L415+N415-P415</f>
        <v>0</v>
      </c>
      <c r="S415" s="85"/>
      <c r="T415" s="84"/>
      <c r="U415" s="27"/>
      <c r="V415" s="13"/>
      <c r="W415" s="67"/>
      <c r="X415" s="56"/>
      <c r="Y415" s="55"/>
      <c r="Z415" s="13"/>
      <c r="AA415" s="71"/>
      <c r="AB415" s="31"/>
      <c r="AC415" s="26">
        <f>+R415+W415+Y415-AA415</f>
        <v>0</v>
      </c>
      <c r="AD415" s="25"/>
      <c r="AE415" s="25"/>
      <c r="AF415" s="13"/>
      <c r="AG415" s="13"/>
      <c r="AH415" s="13"/>
    </row>
    <row r="416" spans="1:34" x14ac:dyDescent="0.3">
      <c r="A416" s="65">
        <v>413</v>
      </c>
      <c r="B416" s="25"/>
      <c r="C416" s="25"/>
      <c r="D416" s="25"/>
      <c r="E416" s="30" t="str">
        <f>CONCATENATE(B416,"-",C416,"-",D416)</f>
        <v>--</v>
      </c>
      <c r="F416" s="13">
        <f>VLOOKUP(E416,'LISTA ITEMS'!$E$2:$G$875,2,FALSE)</f>
        <v>0</v>
      </c>
      <c r="G416" s="25">
        <f>VLOOKUP(E416,'LISTA ITEMS'!$E$2:$G$875,3,FALSE)</f>
        <v>0</v>
      </c>
      <c r="H416" s="76"/>
      <c r="I416" s="75">
        <v>0</v>
      </c>
      <c r="J416" s="27"/>
      <c r="K416" s="13"/>
      <c r="L416" s="67"/>
      <c r="M416" s="56"/>
      <c r="N416" s="55"/>
      <c r="O416" s="13"/>
      <c r="P416" s="71"/>
      <c r="Q416" s="31"/>
      <c r="R416" s="26">
        <f>+I416+L416+N416-P416</f>
        <v>0</v>
      </c>
      <c r="S416" s="85"/>
      <c r="T416" s="84"/>
      <c r="U416" s="27"/>
      <c r="V416" s="13"/>
      <c r="W416" s="67"/>
      <c r="X416" s="56"/>
      <c r="Y416" s="55"/>
      <c r="Z416" s="13"/>
      <c r="AA416" s="71"/>
      <c r="AB416" s="31"/>
      <c r="AC416" s="26">
        <f>+R416+W416+Y416-AA416</f>
        <v>0</v>
      </c>
      <c r="AD416" s="25"/>
      <c r="AE416" s="25"/>
      <c r="AF416" s="13"/>
      <c r="AG416" s="13"/>
      <c r="AH416" s="13"/>
    </row>
    <row r="417" spans="1:34" x14ac:dyDescent="0.3">
      <c r="A417" s="65">
        <v>414</v>
      </c>
      <c r="B417" s="25"/>
      <c r="C417" s="25"/>
      <c r="D417" s="25"/>
      <c r="E417" s="30" t="str">
        <f>CONCATENATE(B417,"-",C417,"-",D417)</f>
        <v>--</v>
      </c>
      <c r="F417" s="13">
        <f>VLOOKUP(E417,'LISTA ITEMS'!$E$2:$G$875,2,FALSE)</f>
        <v>0</v>
      </c>
      <c r="G417" s="25">
        <f>VLOOKUP(E417,'LISTA ITEMS'!$E$2:$G$875,3,FALSE)</f>
        <v>0</v>
      </c>
      <c r="H417" s="76"/>
      <c r="I417" s="75">
        <v>0</v>
      </c>
      <c r="J417" s="27"/>
      <c r="K417" s="13"/>
      <c r="L417" s="67"/>
      <c r="M417" s="56"/>
      <c r="N417" s="55"/>
      <c r="O417" s="13"/>
      <c r="P417" s="71"/>
      <c r="Q417" s="31"/>
      <c r="R417" s="26">
        <f>+I417+L417+N417-P417</f>
        <v>0</v>
      </c>
      <c r="S417" s="85"/>
      <c r="T417" s="84"/>
      <c r="U417" s="27"/>
      <c r="V417" s="13"/>
      <c r="W417" s="67"/>
      <c r="X417" s="56"/>
      <c r="Y417" s="55"/>
      <c r="Z417" s="13"/>
      <c r="AA417" s="71"/>
      <c r="AB417" s="31"/>
      <c r="AC417" s="26">
        <f>+R417+W417+Y417-AA417</f>
        <v>0</v>
      </c>
      <c r="AD417" s="25"/>
      <c r="AE417" s="25"/>
      <c r="AF417" s="13"/>
      <c r="AG417" s="13"/>
      <c r="AH417" s="13"/>
    </row>
    <row r="418" spans="1:34" x14ac:dyDescent="0.3">
      <c r="A418" s="65">
        <v>415</v>
      </c>
      <c r="B418" s="25"/>
      <c r="C418" s="25"/>
      <c r="D418" s="25"/>
      <c r="E418" s="30" t="str">
        <f>CONCATENATE(B418,"-",C418,"-",D418)</f>
        <v>--</v>
      </c>
      <c r="F418" s="13">
        <f>VLOOKUP(E418,'LISTA ITEMS'!$E$2:$G$875,2,FALSE)</f>
        <v>0</v>
      </c>
      <c r="G418" s="25">
        <f>VLOOKUP(E418,'LISTA ITEMS'!$E$2:$G$875,3,FALSE)</f>
        <v>0</v>
      </c>
      <c r="H418" s="76"/>
      <c r="I418" s="75">
        <v>0</v>
      </c>
      <c r="J418" s="27"/>
      <c r="K418" s="13"/>
      <c r="L418" s="67"/>
      <c r="M418" s="56"/>
      <c r="N418" s="55"/>
      <c r="O418" s="13"/>
      <c r="P418" s="71"/>
      <c r="Q418" s="31"/>
      <c r="R418" s="26">
        <f>+I418+L418+N418-P418</f>
        <v>0</v>
      </c>
      <c r="S418" s="85"/>
      <c r="T418" s="84"/>
      <c r="U418" s="27"/>
      <c r="V418" s="13"/>
      <c r="W418" s="67"/>
      <c r="X418" s="56"/>
      <c r="Y418" s="55"/>
      <c r="Z418" s="13"/>
      <c r="AA418" s="71"/>
      <c r="AB418" s="31"/>
      <c r="AC418" s="26">
        <f>+R418+W418+Y418-AA418</f>
        <v>0</v>
      </c>
      <c r="AD418" s="25"/>
      <c r="AE418" s="25"/>
      <c r="AF418" s="13"/>
      <c r="AG418" s="13"/>
      <c r="AH418" s="13"/>
    </row>
    <row r="419" spans="1:34" x14ac:dyDescent="0.3">
      <c r="A419" s="65">
        <v>416</v>
      </c>
      <c r="B419" s="25"/>
      <c r="C419" s="25"/>
      <c r="D419" s="25"/>
      <c r="E419" s="30" t="str">
        <f>CONCATENATE(B419,"-",C419,"-",D419)</f>
        <v>--</v>
      </c>
      <c r="F419" s="13">
        <f>VLOOKUP(E419,'LISTA ITEMS'!$E$2:$G$875,2,FALSE)</f>
        <v>0</v>
      </c>
      <c r="G419" s="25">
        <f>VLOOKUP(E419,'LISTA ITEMS'!$E$2:$G$875,3,FALSE)</f>
        <v>0</v>
      </c>
      <c r="H419" s="76"/>
      <c r="I419" s="75">
        <v>0</v>
      </c>
      <c r="J419" s="27"/>
      <c r="K419" s="13"/>
      <c r="L419" s="67"/>
      <c r="M419" s="56"/>
      <c r="N419" s="55"/>
      <c r="O419" s="13"/>
      <c r="P419" s="71"/>
      <c r="Q419" s="31"/>
      <c r="R419" s="26">
        <f>+I419+L419+N419-P419</f>
        <v>0</v>
      </c>
      <c r="S419" s="85"/>
      <c r="T419" s="84"/>
      <c r="U419" s="27"/>
      <c r="V419" s="13"/>
      <c r="W419" s="67"/>
      <c r="X419" s="56"/>
      <c r="Y419" s="55"/>
      <c r="Z419" s="13"/>
      <c r="AA419" s="71"/>
      <c r="AB419" s="31"/>
      <c r="AC419" s="26">
        <f>+R419+W419+Y419-AA419</f>
        <v>0</v>
      </c>
      <c r="AD419" s="25"/>
      <c r="AE419" s="25"/>
      <c r="AF419" s="13"/>
      <c r="AG419" s="13"/>
      <c r="AH419" s="13"/>
    </row>
    <row r="420" spans="1:34" x14ac:dyDescent="0.3">
      <c r="A420" s="65">
        <v>417</v>
      </c>
      <c r="B420" s="25"/>
      <c r="C420" s="25"/>
      <c r="D420" s="25"/>
      <c r="E420" s="30" t="str">
        <f>CONCATENATE(B420,"-",C420,"-",D420)</f>
        <v>--</v>
      </c>
      <c r="F420" s="13">
        <f>VLOOKUP(E420,'LISTA ITEMS'!$E$2:$G$875,2,FALSE)</f>
        <v>0</v>
      </c>
      <c r="G420" s="25">
        <f>VLOOKUP(E420,'LISTA ITEMS'!$E$2:$G$875,3,FALSE)</f>
        <v>0</v>
      </c>
      <c r="H420" s="76"/>
      <c r="I420" s="75">
        <v>0</v>
      </c>
      <c r="J420" s="27"/>
      <c r="K420" s="13"/>
      <c r="L420" s="67"/>
      <c r="M420" s="56"/>
      <c r="N420" s="55"/>
      <c r="O420" s="13"/>
      <c r="P420" s="71"/>
      <c r="Q420" s="31"/>
      <c r="R420" s="26">
        <f>+I420+L420+N420-P420</f>
        <v>0</v>
      </c>
      <c r="S420" s="85"/>
      <c r="T420" s="84"/>
      <c r="U420" s="27"/>
      <c r="V420" s="13"/>
      <c r="W420" s="67"/>
      <c r="X420" s="56"/>
      <c r="Y420" s="55"/>
      <c r="Z420" s="13"/>
      <c r="AA420" s="71"/>
      <c r="AB420" s="31"/>
      <c r="AC420" s="26">
        <f>+R420+W420+Y420-AA420</f>
        <v>0</v>
      </c>
      <c r="AD420" s="25"/>
      <c r="AE420" s="25"/>
      <c r="AF420" s="13"/>
      <c r="AG420" s="13"/>
      <c r="AH420" s="13"/>
    </row>
    <row r="421" spans="1:34" x14ac:dyDescent="0.3">
      <c r="A421" s="65">
        <v>418</v>
      </c>
      <c r="B421" s="25"/>
      <c r="C421" s="25"/>
      <c r="D421" s="25"/>
      <c r="E421" s="30" t="str">
        <f>CONCATENATE(B421,"-",C421,"-",D421)</f>
        <v>--</v>
      </c>
      <c r="F421" s="13">
        <f>VLOOKUP(E421,'LISTA ITEMS'!$E$2:$G$875,2,FALSE)</f>
        <v>0</v>
      </c>
      <c r="G421" s="25">
        <f>VLOOKUP(E421,'LISTA ITEMS'!$E$2:$G$875,3,FALSE)</f>
        <v>0</v>
      </c>
      <c r="H421" s="76"/>
      <c r="I421" s="75">
        <v>0</v>
      </c>
      <c r="J421" s="27"/>
      <c r="K421" s="13"/>
      <c r="L421" s="67"/>
      <c r="M421" s="56"/>
      <c r="N421" s="55"/>
      <c r="O421" s="13"/>
      <c r="P421" s="71"/>
      <c r="Q421" s="31"/>
      <c r="R421" s="26">
        <f>+I421+L421+N421-P421</f>
        <v>0</v>
      </c>
      <c r="S421" s="85"/>
      <c r="T421" s="84"/>
      <c r="U421" s="27"/>
      <c r="V421" s="13"/>
      <c r="W421" s="67"/>
      <c r="X421" s="56"/>
      <c r="Y421" s="55"/>
      <c r="Z421" s="13"/>
      <c r="AA421" s="71"/>
      <c r="AB421" s="31"/>
      <c r="AC421" s="26">
        <f>+R421+W421+Y421-AA421</f>
        <v>0</v>
      </c>
      <c r="AD421" s="25"/>
      <c r="AE421" s="25"/>
      <c r="AF421" s="13"/>
      <c r="AG421" s="13"/>
      <c r="AH421" s="13"/>
    </row>
    <row r="422" spans="1:34" x14ac:dyDescent="0.3">
      <c r="A422" s="65">
        <v>419</v>
      </c>
      <c r="B422" s="25"/>
      <c r="C422" s="25"/>
      <c r="D422" s="25"/>
      <c r="E422" s="30" t="str">
        <f>CONCATENATE(B422,"-",C422,"-",D422)</f>
        <v>--</v>
      </c>
      <c r="F422" s="13">
        <f>VLOOKUP(E422,'LISTA ITEMS'!$E$2:$G$875,2,FALSE)</f>
        <v>0</v>
      </c>
      <c r="G422" s="25">
        <f>VLOOKUP(E422,'LISTA ITEMS'!$E$2:$G$875,3,FALSE)</f>
        <v>0</v>
      </c>
      <c r="H422" s="76"/>
      <c r="I422" s="75">
        <v>0</v>
      </c>
      <c r="J422" s="27"/>
      <c r="K422" s="13"/>
      <c r="L422" s="67"/>
      <c r="M422" s="56"/>
      <c r="N422" s="55"/>
      <c r="O422" s="13"/>
      <c r="P422" s="71"/>
      <c r="Q422" s="31"/>
      <c r="R422" s="26">
        <f>+I422+L422+N422-P422</f>
        <v>0</v>
      </c>
      <c r="S422" s="85"/>
      <c r="T422" s="84"/>
      <c r="U422" s="27"/>
      <c r="V422" s="13"/>
      <c r="W422" s="67"/>
      <c r="X422" s="56"/>
      <c r="Y422" s="55"/>
      <c r="Z422" s="13"/>
      <c r="AA422" s="71"/>
      <c r="AB422" s="31"/>
      <c r="AC422" s="26">
        <f>+R422+W422+Y422-AA422</f>
        <v>0</v>
      </c>
      <c r="AD422" s="25"/>
      <c r="AE422" s="25"/>
      <c r="AF422" s="13"/>
      <c r="AG422" s="13"/>
      <c r="AH422" s="13"/>
    </row>
    <row r="423" spans="1:34" x14ac:dyDescent="0.3">
      <c r="A423" s="65">
        <v>420</v>
      </c>
      <c r="B423" s="25"/>
      <c r="C423" s="25"/>
      <c r="D423" s="25"/>
      <c r="E423" s="30" t="str">
        <f>CONCATENATE(B423,"-",C423,"-",D423)</f>
        <v>--</v>
      </c>
      <c r="F423" s="13">
        <f>VLOOKUP(E423,'LISTA ITEMS'!$E$2:$G$875,2,FALSE)</f>
        <v>0</v>
      </c>
      <c r="G423" s="25">
        <f>VLOOKUP(E423,'LISTA ITEMS'!$E$2:$G$875,3,FALSE)</f>
        <v>0</v>
      </c>
      <c r="H423" s="76"/>
      <c r="I423" s="75">
        <v>0</v>
      </c>
      <c r="J423" s="27"/>
      <c r="K423" s="13"/>
      <c r="L423" s="67"/>
      <c r="M423" s="56"/>
      <c r="N423" s="55"/>
      <c r="O423" s="13"/>
      <c r="P423" s="71"/>
      <c r="Q423" s="31"/>
      <c r="R423" s="26">
        <f>+I423+L423+N423-P423</f>
        <v>0</v>
      </c>
      <c r="S423" s="85"/>
      <c r="T423" s="84"/>
      <c r="U423" s="27"/>
      <c r="V423" s="13"/>
      <c r="W423" s="67"/>
      <c r="X423" s="56"/>
      <c r="Y423" s="55"/>
      <c r="Z423" s="13"/>
      <c r="AA423" s="71"/>
      <c r="AB423" s="31"/>
      <c r="AC423" s="26">
        <f>+R423+W423+Y423-AA423</f>
        <v>0</v>
      </c>
      <c r="AD423" s="25"/>
      <c r="AE423" s="25"/>
      <c r="AF423" s="13"/>
      <c r="AG423" s="13"/>
      <c r="AH423" s="13"/>
    </row>
    <row r="424" spans="1:34" x14ac:dyDescent="0.3">
      <c r="A424" s="65">
        <v>421</v>
      </c>
      <c r="B424" s="25"/>
      <c r="C424" s="25"/>
      <c r="D424" s="25"/>
      <c r="E424" s="30" t="str">
        <f>CONCATENATE(B424,"-",C424,"-",D424)</f>
        <v>--</v>
      </c>
      <c r="F424" s="13">
        <f>VLOOKUP(E424,'LISTA ITEMS'!$E$2:$G$875,2,FALSE)</f>
        <v>0</v>
      </c>
      <c r="G424" s="25">
        <f>VLOOKUP(E424,'LISTA ITEMS'!$E$2:$G$875,3,FALSE)</f>
        <v>0</v>
      </c>
      <c r="H424" s="76"/>
      <c r="I424" s="75">
        <v>0</v>
      </c>
      <c r="J424" s="27"/>
      <c r="K424" s="13"/>
      <c r="L424" s="67"/>
      <c r="M424" s="56"/>
      <c r="N424" s="55"/>
      <c r="O424" s="13"/>
      <c r="P424" s="71"/>
      <c r="Q424" s="31"/>
      <c r="R424" s="26">
        <f>+I424+L424+N424-P424</f>
        <v>0</v>
      </c>
      <c r="S424" s="85"/>
      <c r="T424" s="84"/>
      <c r="U424" s="27"/>
      <c r="V424" s="13"/>
      <c r="W424" s="67"/>
      <c r="X424" s="56"/>
      <c r="Y424" s="55"/>
      <c r="Z424" s="13"/>
      <c r="AA424" s="71"/>
      <c r="AB424" s="31"/>
      <c r="AC424" s="26">
        <f>+R424+W424+Y424-AA424</f>
        <v>0</v>
      </c>
      <c r="AD424" s="25"/>
      <c r="AE424" s="25"/>
      <c r="AF424" s="13"/>
      <c r="AG424" s="13"/>
      <c r="AH424" s="13"/>
    </row>
    <row r="425" spans="1:34" x14ac:dyDescent="0.3">
      <c r="A425" s="65">
        <v>422</v>
      </c>
      <c r="B425" s="25"/>
      <c r="C425" s="25"/>
      <c r="D425" s="25"/>
      <c r="E425" s="30" t="str">
        <f>CONCATENATE(B425,"-",C425,"-",D425)</f>
        <v>--</v>
      </c>
      <c r="F425" s="13">
        <f>VLOOKUP(E425,'LISTA ITEMS'!$E$2:$G$875,2,FALSE)</f>
        <v>0</v>
      </c>
      <c r="G425" s="25">
        <f>VLOOKUP(E425,'LISTA ITEMS'!$E$2:$G$875,3,FALSE)</f>
        <v>0</v>
      </c>
      <c r="H425" s="76"/>
      <c r="I425" s="75">
        <v>0</v>
      </c>
      <c r="J425" s="27"/>
      <c r="K425" s="13"/>
      <c r="L425" s="67"/>
      <c r="M425" s="56"/>
      <c r="N425" s="55"/>
      <c r="O425" s="13"/>
      <c r="P425" s="71"/>
      <c r="Q425" s="31"/>
      <c r="R425" s="26">
        <f>+I425+L425+N425-P425</f>
        <v>0</v>
      </c>
      <c r="S425" s="85"/>
      <c r="T425" s="84"/>
      <c r="U425" s="27"/>
      <c r="V425" s="13"/>
      <c r="W425" s="67"/>
      <c r="X425" s="56"/>
      <c r="Y425" s="55"/>
      <c r="Z425" s="13"/>
      <c r="AA425" s="71"/>
      <c r="AB425" s="31"/>
      <c r="AC425" s="26">
        <f>+R425+W425+Y425-AA425</f>
        <v>0</v>
      </c>
      <c r="AD425" s="25"/>
      <c r="AE425" s="25"/>
      <c r="AF425" s="13"/>
      <c r="AG425" s="13"/>
      <c r="AH425" s="13"/>
    </row>
    <row r="426" spans="1:34" x14ac:dyDescent="0.3">
      <c r="A426" s="65">
        <v>423</v>
      </c>
      <c r="B426" s="25"/>
      <c r="C426" s="25"/>
      <c r="D426" s="25"/>
      <c r="E426" s="30" t="str">
        <f>CONCATENATE(B426,"-",C426,"-",D426)</f>
        <v>--</v>
      </c>
      <c r="F426" s="13">
        <f>VLOOKUP(E426,'LISTA ITEMS'!$E$2:$G$875,2,FALSE)</f>
        <v>0</v>
      </c>
      <c r="G426" s="25">
        <f>VLOOKUP(E426,'LISTA ITEMS'!$E$2:$G$875,3,FALSE)</f>
        <v>0</v>
      </c>
      <c r="H426" s="76"/>
      <c r="I426" s="75">
        <v>0</v>
      </c>
      <c r="J426" s="27"/>
      <c r="K426" s="13"/>
      <c r="L426" s="67"/>
      <c r="M426" s="56"/>
      <c r="N426" s="55"/>
      <c r="O426" s="13"/>
      <c r="P426" s="71"/>
      <c r="Q426" s="31"/>
      <c r="R426" s="26">
        <f>+I426+L426+N426-P426</f>
        <v>0</v>
      </c>
      <c r="S426" s="85"/>
      <c r="T426" s="84"/>
      <c r="U426" s="27"/>
      <c r="V426" s="13"/>
      <c r="W426" s="67"/>
      <c r="X426" s="56"/>
      <c r="Y426" s="55"/>
      <c r="Z426" s="13"/>
      <c r="AA426" s="71"/>
      <c r="AB426" s="31"/>
      <c r="AC426" s="26">
        <f>+R426+W426+Y426-AA426</f>
        <v>0</v>
      </c>
      <c r="AD426" s="25"/>
      <c r="AE426" s="25"/>
      <c r="AF426" s="13"/>
      <c r="AG426" s="13"/>
      <c r="AH426" s="13"/>
    </row>
    <row r="427" spans="1:34" x14ac:dyDescent="0.3">
      <c r="A427" s="65">
        <v>424</v>
      </c>
      <c r="B427" s="25"/>
      <c r="C427" s="25"/>
      <c r="D427" s="25"/>
      <c r="E427" s="30" t="str">
        <f>CONCATENATE(B427,"-",C427,"-",D427)</f>
        <v>--</v>
      </c>
      <c r="F427" s="13">
        <f>VLOOKUP(E427,'LISTA ITEMS'!$E$2:$G$875,2,FALSE)</f>
        <v>0</v>
      </c>
      <c r="G427" s="25">
        <f>VLOOKUP(E427,'LISTA ITEMS'!$E$2:$G$875,3,FALSE)</f>
        <v>0</v>
      </c>
      <c r="H427" s="76"/>
      <c r="I427" s="75">
        <v>0</v>
      </c>
      <c r="J427" s="27"/>
      <c r="K427" s="13"/>
      <c r="L427" s="67"/>
      <c r="M427" s="56"/>
      <c r="N427" s="55"/>
      <c r="O427" s="13"/>
      <c r="P427" s="71"/>
      <c r="Q427" s="31"/>
      <c r="R427" s="26">
        <f>+I427+L427+N427-P427</f>
        <v>0</v>
      </c>
      <c r="S427" s="85"/>
      <c r="T427" s="84"/>
      <c r="U427" s="27"/>
      <c r="V427" s="13"/>
      <c r="W427" s="67"/>
      <c r="X427" s="56"/>
      <c r="Y427" s="55"/>
      <c r="Z427" s="13"/>
      <c r="AA427" s="71"/>
      <c r="AB427" s="31"/>
      <c r="AC427" s="26">
        <f>+R427+W427+Y427-AA427</f>
        <v>0</v>
      </c>
      <c r="AD427" s="25"/>
      <c r="AE427" s="25"/>
      <c r="AF427" s="13"/>
      <c r="AG427" s="13"/>
      <c r="AH427" s="13"/>
    </row>
    <row r="428" spans="1:34" x14ac:dyDescent="0.3">
      <c r="A428" s="65">
        <v>425</v>
      </c>
      <c r="B428" s="25"/>
      <c r="C428" s="25"/>
      <c r="D428" s="25"/>
      <c r="E428" s="30" t="str">
        <f>CONCATENATE(B428,"-",C428,"-",D428)</f>
        <v>--</v>
      </c>
      <c r="F428" s="13">
        <f>VLOOKUP(E428,'LISTA ITEMS'!$E$2:$G$875,2,FALSE)</f>
        <v>0</v>
      </c>
      <c r="G428" s="25">
        <f>VLOOKUP(E428,'LISTA ITEMS'!$E$2:$G$875,3,FALSE)</f>
        <v>0</v>
      </c>
      <c r="H428" s="76"/>
      <c r="I428" s="75">
        <v>0</v>
      </c>
      <c r="J428" s="27"/>
      <c r="K428" s="13"/>
      <c r="L428" s="67"/>
      <c r="M428" s="56"/>
      <c r="N428" s="55"/>
      <c r="O428" s="13"/>
      <c r="P428" s="71"/>
      <c r="Q428" s="31"/>
      <c r="R428" s="26">
        <f>+I428+L428+N428-P428</f>
        <v>0</v>
      </c>
      <c r="S428" s="85"/>
      <c r="T428" s="84"/>
      <c r="U428" s="27"/>
      <c r="V428" s="13"/>
      <c r="W428" s="67"/>
      <c r="X428" s="56"/>
      <c r="Y428" s="55"/>
      <c r="Z428" s="13"/>
      <c r="AA428" s="71"/>
      <c r="AB428" s="31"/>
      <c r="AC428" s="26">
        <f>+R428+W428+Y428-AA428</f>
        <v>0</v>
      </c>
      <c r="AD428" s="25"/>
      <c r="AE428" s="25"/>
      <c r="AF428" s="13"/>
      <c r="AG428" s="13"/>
      <c r="AH428" s="13"/>
    </row>
    <row r="429" spans="1:34" x14ac:dyDescent="0.3">
      <c r="A429" s="65">
        <v>426</v>
      </c>
      <c r="B429" s="25"/>
      <c r="C429" s="25"/>
      <c r="D429" s="25"/>
      <c r="E429" s="30" t="str">
        <f>CONCATENATE(B429,"-",C429,"-",D429)</f>
        <v>--</v>
      </c>
      <c r="F429" s="13">
        <f>VLOOKUP(E429,'LISTA ITEMS'!$E$2:$G$875,2,FALSE)</f>
        <v>0</v>
      </c>
      <c r="G429" s="25">
        <f>VLOOKUP(E429,'LISTA ITEMS'!$E$2:$G$875,3,FALSE)</f>
        <v>0</v>
      </c>
      <c r="H429" s="76"/>
      <c r="I429" s="75">
        <v>0</v>
      </c>
      <c r="J429" s="27"/>
      <c r="K429" s="13"/>
      <c r="L429" s="67"/>
      <c r="M429" s="56"/>
      <c r="N429" s="55"/>
      <c r="O429" s="13"/>
      <c r="P429" s="71"/>
      <c r="Q429" s="31"/>
      <c r="R429" s="26">
        <f>+I429+L429+N429-P429</f>
        <v>0</v>
      </c>
      <c r="S429" s="85"/>
      <c r="T429" s="84"/>
      <c r="U429" s="27"/>
      <c r="V429" s="13"/>
      <c r="W429" s="67"/>
      <c r="X429" s="56"/>
      <c r="Y429" s="55"/>
      <c r="Z429" s="13"/>
      <c r="AA429" s="71"/>
      <c r="AB429" s="31"/>
      <c r="AC429" s="26">
        <f>+R429+W429+Y429-AA429</f>
        <v>0</v>
      </c>
      <c r="AD429" s="25"/>
      <c r="AE429" s="25"/>
      <c r="AF429" s="13"/>
      <c r="AG429" s="13"/>
      <c r="AH429" s="13"/>
    </row>
    <row r="430" spans="1:34" x14ac:dyDescent="0.3">
      <c r="A430" s="65">
        <v>427</v>
      </c>
      <c r="B430" s="25"/>
      <c r="C430" s="25"/>
      <c r="D430" s="25"/>
      <c r="E430" s="30" t="str">
        <f>CONCATENATE(B430,"-",C430,"-",D430)</f>
        <v>--</v>
      </c>
      <c r="F430" s="13">
        <f>VLOOKUP(E430,'LISTA ITEMS'!$E$2:$G$875,2,FALSE)</f>
        <v>0</v>
      </c>
      <c r="G430" s="25">
        <f>VLOOKUP(E430,'LISTA ITEMS'!$E$2:$G$875,3,FALSE)</f>
        <v>0</v>
      </c>
      <c r="H430" s="76"/>
      <c r="I430" s="75">
        <v>0</v>
      </c>
      <c r="J430" s="27"/>
      <c r="K430" s="13"/>
      <c r="L430" s="67"/>
      <c r="M430" s="56"/>
      <c r="N430" s="55"/>
      <c r="O430" s="13"/>
      <c r="P430" s="71"/>
      <c r="Q430" s="31"/>
      <c r="R430" s="26">
        <f>+I430+L430+N430-P430</f>
        <v>0</v>
      </c>
      <c r="S430" s="85"/>
      <c r="T430" s="84"/>
      <c r="U430" s="27"/>
      <c r="V430" s="13"/>
      <c r="W430" s="67"/>
      <c r="X430" s="56"/>
      <c r="Y430" s="55"/>
      <c r="Z430" s="13"/>
      <c r="AA430" s="71"/>
      <c r="AB430" s="31"/>
      <c r="AC430" s="26">
        <f>+R430+W430+Y430-AA430</f>
        <v>0</v>
      </c>
      <c r="AD430" s="25"/>
      <c r="AE430" s="25"/>
      <c r="AF430" s="13"/>
      <c r="AG430" s="13"/>
      <c r="AH430" s="13"/>
    </row>
    <row r="431" spans="1:34" x14ac:dyDescent="0.3">
      <c r="A431" s="65">
        <v>428</v>
      </c>
      <c r="B431" s="25"/>
      <c r="C431" s="25"/>
      <c r="D431" s="25"/>
      <c r="E431" s="30" t="str">
        <f>CONCATENATE(B431,"-",C431,"-",D431)</f>
        <v>--</v>
      </c>
      <c r="F431" s="13">
        <f>VLOOKUP(E431,'LISTA ITEMS'!$E$2:$G$875,2,FALSE)</f>
        <v>0</v>
      </c>
      <c r="G431" s="25">
        <f>VLOOKUP(E431,'LISTA ITEMS'!$E$2:$G$875,3,FALSE)</f>
        <v>0</v>
      </c>
      <c r="H431" s="76"/>
      <c r="I431" s="75">
        <v>0</v>
      </c>
      <c r="J431" s="27"/>
      <c r="K431" s="13"/>
      <c r="L431" s="67"/>
      <c r="M431" s="56"/>
      <c r="N431" s="55"/>
      <c r="O431" s="13"/>
      <c r="P431" s="71"/>
      <c r="Q431" s="31"/>
      <c r="R431" s="26">
        <f>+I431+L431+N431-P431</f>
        <v>0</v>
      </c>
      <c r="S431" s="85"/>
      <c r="T431" s="84"/>
      <c r="U431" s="27"/>
      <c r="V431" s="13"/>
      <c r="W431" s="67"/>
      <c r="X431" s="56"/>
      <c r="Y431" s="55"/>
      <c r="Z431" s="13"/>
      <c r="AA431" s="71"/>
      <c r="AB431" s="31"/>
      <c r="AC431" s="26">
        <f>+R431+W431+Y431-AA431</f>
        <v>0</v>
      </c>
      <c r="AD431" s="25"/>
      <c r="AE431" s="25"/>
      <c r="AF431" s="13"/>
      <c r="AG431" s="13"/>
      <c r="AH431" s="13"/>
    </row>
    <row r="432" spans="1:34" x14ac:dyDescent="0.3">
      <c r="A432" s="65">
        <v>429</v>
      </c>
      <c r="B432" s="25"/>
      <c r="C432" s="25"/>
      <c r="D432" s="25"/>
      <c r="E432" s="30" t="str">
        <f>CONCATENATE(B432,"-",C432,"-",D432)</f>
        <v>--</v>
      </c>
      <c r="F432" s="13">
        <f>VLOOKUP(E432,'LISTA ITEMS'!$E$2:$G$875,2,FALSE)</f>
        <v>0</v>
      </c>
      <c r="G432" s="25">
        <f>VLOOKUP(E432,'LISTA ITEMS'!$E$2:$G$875,3,FALSE)</f>
        <v>0</v>
      </c>
      <c r="H432" s="76"/>
      <c r="I432" s="75">
        <v>0</v>
      </c>
      <c r="J432" s="27"/>
      <c r="K432" s="13"/>
      <c r="L432" s="67"/>
      <c r="M432" s="56"/>
      <c r="N432" s="55"/>
      <c r="O432" s="13"/>
      <c r="P432" s="71"/>
      <c r="Q432" s="31"/>
      <c r="R432" s="26">
        <f>+I432+L432+N432-P432</f>
        <v>0</v>
      </c>
      <c r="S432" s="85"/>
      <c r="T432" s="84"/>
      <c r="U432" s="27"/>
      <c r="V432" s="13"/>
      <c r="W432" s="67"/>
      <c r="X432" s="56"/>
      <c r="Y432" s="55"/>
      <c r="Z432" s="13"/>
      <c r="AA432" s="71"/>
      <c r="AB432" s="31"/>
      <c r="AC432" s="26">
        <f>+R432+W432+Y432-AA432</f>
        <v>0</v>
      </c>
      <c r="AD432" s="25"/>
      <c r="AE432" s="25"/>
      <c r="AF432" s="13"/>
      <c r="AG432" s="13"/>
      <c r="AH432" s="13"/>
    </row>
    <row r="433" spans="1:34" x14ac:dyDescent="0.3">
      <c r="A433" s="65">
        <v>430</v>
      </c>
      <c r="B433" s="25"/>
      <c r="C433" s="25"/>
      <c r="D433" s="25"/>
      <c r="E433" s="30" t="str">
        <f>CONCATENATE(B433,"-",C433,"-",D433)</f>
        <v>--</v>
      </c>
      <c r="F433" s="13">
        <f>VLOOKUP(E433,'LISTA ITEMS'!$E$2:$G$875,2,FALSE)</f>
        <v>0</v>
      </c>
      <c r="G433" s="25">
        <f>VLOOKUP(E433,'LISTA ITEMS'!$E$2:$G$875,3,FALSE)</f>
        <v>0</v>
      </c>
      <c r="H433" s="76"/>
      <c r="I433" s="75">
        <v>0</v>
      </c>
      <c r="J433" s="27"/>
      <c r="K433" s="13"/>
      <c r="L433" s="67"/>
      <c r="M433" s="56"/>
      <c r="N433" s="55"/>
      <c r="O433" s="13"/>
      <c r="P433" s="71"/>
      <c r="Q433" s="31"/>
      <c r="R433" s="26">
        <f>+I433+L433+N433-P433</f>
        <v>0</v>
      </c>
      <c r="S433" s="85"/>
      <c r="T433" s="84"/>
      <c r="U433" s="27"/>
      <c r="V433" s="13"/>
      <c r="W433" s="67"/>
      <c r="X433" s="56"/>
      <c r="Y433" s="55"/>
      <c r="Z433" s="13"/>
      <c r="AA433" s="71"/>
      <c r="AB433" s="31"/>
      <c r="AC433" s="26">
        <f>+R433+W433+Y433-AA433</f>
        <v>0</v>
      </c>
      <c r="AD433" s="25"/>
      <c r="AE433" s="25"/>
      <c r="AF433" s="13"/>
      <c r="AG433" s="13"/>
      <c r="AH433" s="13"/>
    </row>
    <row r="434" spans="1:34" x14ac:dyDescent="0.3">
      <c r="A434" s="65">
        <v>431</v>
      </c>
      <c r="B434" s="25"/>
      <c r="C434" s="25"/>
      <c r="D434" s="25"/>
      <c r="E434" s="30" t="str">
        <f>CONCATENATE(B434,"-",C434,"-",D434)</f>
        <v>--</v>
      </c>
      <c r="F434" s="13">
        <f>VLOOKUP(E434,'LISTA ITEMS'!$E$2:$G$875,2,FALSE)</f>
        <v>0</v>
      </c>
      <c r="G434" s="25">
        <f>VLOOKUP(E434,'LISTA ITEMS'!$E$2:$G$875,3,FALSE)</f>
        <v>0</v>
      </c>
      <c r="H434" s="76"/>
      <c r="I434" s="75">
        <v>0</v>
      </c>
      <c r="J434" s="27"/>
      <c r="K434" s="13"/>
      <c r="L434" s="67"/>
      <c r="M434" s="56"/>
      <c r="N434" s="55"/>
      <c r="O434" s="13"/>
      <c r="P434" s="71"/>
      <c r="Q434" s="31"/>
      <c r="R434" s="26">
        <f>+I434+L434+N434-P434</f>
        <v>0</v>
      </c>
      <c r="S434" s="85"/>
      <c r="T434" s="84"/>
      <c r="U434" s="27"/>
      <c r="V434" s="13"/>
      <c r="W434" s="67"/>
      <c r="X434" s="56"/>
      <c r="Y434" s="55"/>
      <c r="Z434" s="13"/>
      <c r="AA434" s="71"/>
      <c r="AB434" s="31"/>
      <c r="AC434" s="26">
        <f>+R434+W434+Y434-AA434</f>
        <v>0</v>
      </c>
      <c r="AD434" s="25"/>
      <c r="AE434" s="25"/>
      <c r="AF434" s="13"/>
      <c r="AG434" s="13"/>
      <c r="AH434" s="13"/>
    </row>
    <row r="435" spans="1:34" x14ac:dyDescent="0.3">
      <c r="A435" s="65">
        <v>432</v>
      </c>
      <c r="B435" s="25"/>
      <c r="C435" s="25"/>
      <c r="D435" s="25"/>
      <c r="E435" s="30" t="str">
        <f>CONCATENATE(B435,"-",C435,"-",D435)</f>
        <v>--</v>
      </c>
      <c r="F435" s="13">
        <f>VLOOKUP(E435,'LISTA ITEMS'!$E$2:$G$875,2,FALSE)</f>
        <v>0</v>
      </c>
      <c r="G435" s="25">
        <f>VLOOKUP(E435,'LISTA ITEMS'!$E$2:$G$875,3,FALSE)</f>
        <v>0</v>
      </c>
      <c r="H435" s="76"/>
      <c r="I435" s="75">
        <v>0</v>
      </c>
      <c r="J435" s="27"/>
      <c r="K435" s="13"/>
      <c r="L435" s="67"/>
      <c r="M435" s="56"/>
      <c r="N435" s="55"/>
      <c r="O435" s="13"/>
      <c r="P435" s="71"/>
      <c r="Q435" s="31"/>
      <c r="R435" s="26">
        <f>+I435+L435+N435-P435</f>
        <v>0</v>
      </c>
      <c r="S435" s="85"/>
      <c r="T435" s="84"/>
      <c r="U435" s="27"/>
      <c r="V435" s="13"/>
      <c r="W435" s="67"/>
      <c r="X435" s="56"/>
      <c r="Y435" s="55"/>
      <c r="Z435" s="13"/>
      <c r="AA435" s="71"/>
      <c r="AB435" s="31"/>
      <c r="AC435" s="26">
        <f>+R435+W435+Y435-AA435</f>
        <v>0</v>
      </c>
      <c r="AD435" s="25"/>
      <c r="AE435" s="25"/>
      <c r="AF435" s="13"/>
      <c r="AG435" s="13"/>
      <c r="AH435" s="13"/>
    </row>
    <row r="436" spans="1:34" x14ac:dyDescent="0.3">
      <c r="A436" s="65">
        <v>433</v>
      </c>
      <c r="B436" s="25"/>
      <c r="C436" s="25"/>
      <c r="D436" s="25"/>
      <c r="E436" s="30" t="str">
        <f>CONCATENATE(B436,"-",C436,"-",D436)</f>
        <v>--</v>
      </c>
      <c r="F436" s="13">
        <f>VLOOKUP(E436,'LISTA ITEMS'!$E$2:$G$875,2,FALSE)</f>
        <v>0</v>
      </c>
      <c r="G436" s="25">
        <f>VLOOKUP(E436,'LISTA ITEMS'!$E$2:$G$875,3,FALSE)</f>
        <v>0</v>
      </c>
      <c r="H436" s="76"/>
      <c r="I436" s="75">
        <v>0</v>
      </c>
      <c r="J436" s="27"/>
      <c r="K436" s="13"/>
      <c r="L436" s="67"/>
      <c r="M436" s="56"/>
      <c r="N436" s="55"/>
      <c r="O436" s="13"/>
      <c r="P436" s="71"/>
      <c r="Q436" s="31"/>
      <c r="R436" s="26">
        <f>+I436+L436+N436-P436</f>
        <v>0</v>
      </c>
      <c r="S436" s="85"/>
      <c r="T436" s="84"/>
      <c r="U436" s="27"/>
      <c r="V436" s="13"/>
      <c r="W436" s="67"/>
      <c r="X436" s="56"/>
      <c r="Y436" s="55"/>
      <c r="Z436" s="13"/>
      <c r="AA436" s="71"/>
      <c r="AB436" s="31"/>
      <c r="AC436" s="26">
        <f>+R436+W436+Y436-AA436</f>
        <v>0</v>
      </c>
      <c r="AD436" s="25"/>
      <c r="AE436" s="25"/>
      <c r="AF436" s="13"/>
      <c r="AG436" s="13"/>
      <c r="AH436" s="13"/>
    </row>
    <row r="437" spans="1:34" x14ac:dyDescent="0.3">
      <c r="A437" s="65">
        <v>434</v>
      </c>
      <c r="B437" s="25"/>
      <c r="C437" s="25"/>
      <c r="D437" s="25"/>
      <c r="E437" s="30" t="str">
        <f>CONCATENATE(B437,"-",C437,"-",D437)</f>
        <v>--</v>
      </c>
      <c r="F437" s="13">
        <f>VLOOKUP(E437,'LISTA ITEMS'!$E$2:$G$875,2,FALSE)</f>
        <v>0</v>
      </c>
      <c r="G437" s="25">
        <f>VLOOKUP(E437,'LISTA ITEMS'!$E$2:$G$875,3,FALSE)</f>
        <v>0</v>
      </c>
      <c r="H437" s="76"/>
      <c r="I437" s="75">
        <v>0</v>
      </c>
      <c r="J437" s="27"/>
      <c r="K437" s="13"/>
      <c r="L437" s="67"/>
      <c r="M437" s="56"/>
      <c r="N437" s="55"/>
      <c r="O437" s="13"/>
      <c r="P437" s="71"/>
      <c r="Q437" s="31"/>
      <c r="R437" s="26">
        <f>+I437+L437+N437-P437</f>
        <v>0</v>
      </c>
      <c r="S437" s="85"/>
      <c r="T437" s="84"/>
      <c r="U437" s="27"/>
      <c r="V437" s="13"/>
      <c r="W437" s="67"/>
      <c r="X437" s="56"/>
      <c r="Y437" s="55"/>
      <c r="Z437" s="13"/>
      <c r="AA437" s="71"/>
      <c r="AB437" s="31"/>
      <c r="AC437" s="26">
        <f>+R437+W437+Y437-AA437</f>
        <v>0</v>
      </c>
      <c r="AD437" s="25"/>
      <c r="AE437" s="25"/>
      <c r="AF437" s="13"/>
      <c r="AG437" s="13"/>
      <c r="AH437" s="13"/>
    </row>
    <row r="438" spans="1:34" x14ac:dyDescent="0.3">
      <c r="A438" s="65">
        <v>435</v>
      </c>
      <c r="B438" s="25"/>
      <c r="C438" s="25"/>
      <c r="D438" s="25"/>
      <c r="E438" s="30" t="str">
        <f>CONCATENATE(B438,"-",C438,"-",D438)</f>
        <v>--</v>
      </c>
      <c r="F438" s="13">
        <f>VLOOKUP(E438,'LISTA ITEMS'!$E$2:$G$875,2,FALSE)</f>
        <v>0</v>
      </c>
      <c r="G438" s="25">
        <f>VLOOKUP(E438,'LISTA ITEMS'!$E$2:$G$875,3,FALSE)</f>
        <v>0</v>
      </c>
      <c r="H438" s="76"/>
      <c r="I438" s="75">
        <v>0</v>
      </c>
      <c r="J438" s="27"/>
      <c r="K438" s="13"/>
      <c r="L438" s="67"/>
      <c r="M438" s="56"/>
      <c r="N438" s="55"/>
      <c r="O438" s="13"/>
      <c r="P438" s="71"/>
      <c r="Q438" s="31"/>
      <c r="R438" s="26">
        <f>+I438+L438+N438-P438</f>
        <v>0</v>
      </c>
      <c r="S438" s="85"/>
      <c r="T438" s="84"/>
      <c r="U438" s="27"/>
      <c r="V438" s="13"/>
      <c r="W438" s="67"/>
      <c r="X438" s="56"/>
      <c r="Y438" s="55"/>
      <c r="Z438" s="13"/>
      <c r="AA438" s="71"/>
      <c r="AB438" s="31"/>
      <c r="AC438" s="26">
        <f>+R438+W438+Y438-AA438</f>
        <v>0</v>
      </c>
      <c r="AD438" s="25"/>
      <c r="AE438" s="25"/>
      <c r="AF438" s="13"/>
      <c r="AG438" s="13"/>
      <c r="AH438" s="13"/>
    </row>
    <row r="439" spans="1:34" x14ac:dyDescent="0.3">
      <c r="A439" s="65">
        <v>436</v>
      </c>
      <c r="B439" s="25"/>
      <c r="C439" s="25"/>
      <c r="D439" s="25"/>
      <c r="E439" s="30" t="str">
        <f>CONCATENATE(B439,"-",C439,"-",D439)</f>
        <v>--</v>
      </c>
      <c r="F439" s="13">
        <f>VLOOKUP(E439,'LISTA ITEMS'!$E$2:$G$875,2,FALSE)</f>
        <v>0</v>
      </c>
      <c r="G439" s="25">
        <f>VLOOKUP(E439,'LISTA ITEMS'!$E$2:$G$875,3,FALSE)</f>
        <v>0</v>
      </c>
      <c r="H439" s="76"/>
      <c r="I439" s="75">
        <v>0</v>
      </c>
      <c r="J439" s="27"/>
      <c r="K439" s="13"/>
      <c r="L439" s="67"/>
      <c r="M439" s="56"/>
      <c r="N439" s="55"/>
      <c r="O439" s="13"/>
      <c r="P439" s="71"/>
      <c r="Q439" s="31"/>
      <c r="R439" s="26">
        <f>+I439+L439+N439-P439</f>
        <v>0</v>
      </c>
      <c r="S439" s="85"/>
      <c r="T439" s="84"/>
      <c r="U439" s="27"/>
      <c r="V439" s="13"/>
      <c r="W439" s="67"/>
      <c r="X439" s="56"/>
      <c r="Y439" s="55"/>
      <c r="Z439" s="13"/>
      <c r="AA439" s="71"/>
      <c r="AB439" s="31"/>
      <c r="AC439" s="26">
        <f>+R439+W439+Y439-AA439</f>
        <v>0</v>
      </c>
      <c r="AD439" s="25"/>
      <c r="AE439" s="25"/>
      <c r="AF439" s="13"/>
      <c r="AG439" s="13"/>
      <c r="AH439" s="13"/>
    </row>
    <row r="440" spans="1:34" x14ac:dyDescent="0.3">
      <c r="A440" s="65">
        <v>437</v>
      </c>
      <c r="B440" s="25"/>
      <c r="C440" s="25"/>
      <c r="D440" s="25"/>
      <c r="E440" s="30" t="str">
        <f>CONCATENATE(B440,"-",C440,"-",D440)</f>
        <v>--</v>
      </c>
      <c r="F440" s="13">
        <f>VLOOKUP(E440,'LISTA ITEMS'!$E$2:$G$875,2,FALSE)</f>
        <v>0</v>
      </c>
      <c r="G440" s="25">
        <f>VLOOKUP(E440,'LISTA ITEMS'!$E$2:$G$875,3,FALSE)</f>
        <v>0</v>
      </c>
      <c r="H440" s="76"/>
      <c r="I440" s="75">
        <v>0</v>
      </c>
      <c r="J440" s="27"/>
      <c r="K440" s="13"/>
      <c r="L440" s="67"/>
      <c r="M440" s="56"/>
      <c r="N440" s="55"/>
      <c r="O440" s="13"/>
      <c r="P440" s="71"/>
      <c r="Q440" s="31"/>
      <c r="R440" s="26">
        <f>+I440+L440+N440-P440</f>
        <v>0</v>
      </c>
      <c r="S440" s="85"/>
      <c r="T440" s="84"/>
      <c r="U440" s="27"/>
      <c r="V440" s="13"/>
      <c r="W440" s="67"/>
      <c r="X440" s="56"/>
      <c r="Y440" s="55"/>
      <c r="Z440" s="13"/>
      <c r="AA440" s="71"/>
      <c r="AB440" s="31"/>
      <c r="AC440" s="26">
        <f>+R440+W440+Y440-AA440</f>
        <v>0</v>
      </c>
      <c r="AD440" s="25"/>
      <c r="AE440" s="25"/>
      <c r="AF440" s="13"/>
      <c r="AG440" s="13"/>
      <c r="AH440" s="13"/>
    </row>
    <row r="441" spans="1:34" x14ac:dyDescent="0.3">
      <c r="A441" s="65">
        <v>438</v>
      </c>
      <c r="B441" s="25"/>
      <c r="C441" s="25"/>
      <c r="D441" s="25"/>
      <c r="E441" s="30" t="str">
        <f>CONCATENATE(B441,"-",C441,"-",D441)</f>
        <v>--</v>
      </c>
      <c r="F441" s="13">
        <f>VLOOKUP(E441,'LISTA ITEMS'!$E$2:$G$875,2,FALSE)</f>
        <v>0</v>
      </c>
      <c r="G441" s="25">
        <f>VLOOKUP(E441,'LISTA ITEMS'!$E$2:$G$875,3,FALSE)</f>
        <v>0</v>
      </c>
      <c r="H441" s="76"/>
      <c r="I441" s="75">
        <v>0</v>
      </c>
      <c r="J441" s="27"/>
      <c r="K441" s="13"/>
      <c r="L441" s="67"/>
      <c r="M441" s="56"/>
      <c r="N441" s="55"/>
      <c r="O441" s="13"/>
      <c r="P441" s="71"/>
      <c r="Q441" s="31"/>
      <c r="R441" s="26">
        <f>+I441+L441+N441-P441</f>
        <v>0</v>
      </c>
      <c r="S441" s="85"/>
      <c r="T441" s="84"/>
      <c r="U441" s="27"/>
      <c r="V441" s="13"/>
      <c r="W441" s="67"/>
      <c r="X441" s="56"/>
      <c r="Y441" s="55"/>
      <c r="Z441" s="13"/>
      <c r="AA441" s="71"/>
      <c r="AB441" s="31"/>
      <c r="AC441" s="26">
        <f>+R441+W441+Y441-AA441</f>
        <v>0</v>
      </c>
      <c r="AD441" s="25"/>
      <c r="AE441" s="25"/>
      <c r="AF441" s="13"/>
      <c r="AG441" s="13"/>
      <c r="AH441" s="13"/>
    </row>
    <row r="442" spans="1:34" x14ac:dyDescent="0.3">
      <c r="A442" s="65">
        <v>439</v>
      </c>
      <c r="B442" s="25"/>
      <c r="C442" s="25"/>
      <c r="D442" s="25"/>
      <c r="E442" s="30" t="str">
        <f>CONCATENATE(B442,"-",C442,"-",D442)</f>
        <v>--</v>
      </c>
      <c r="F442" s="13">
        <f>VLOOKUP(E442,'LISTA ITEMS'!$E$2:$G$875,2,FALSE)</f>
        <v>0</v>
      </c>
      <c r="G442" s="25">
        <f>VLOOKUP(E442,'LISTA ITEMS'!$E$2:$G$875,3,FALSE)</f>
        <v>0</v>
      </c>
      <c r="H442" s="76"/>
      <c r="I442" s="75">
        <v>0</v>
      </c>
      <c r="J442" s="27"/>
      <c r="K442" s="13"/>
      <c r="L442" s="67"/>
      <c r="M442" s="56"/>
      <c r="N442" s="55"/>
      <c r="O442" s="13"/>
      <c r="P442" s="71"/>
      <c r="Q442" s="31"/>
      <c r="R442" s="26">
        <f>+I442+L442+N442-P442</f>
        <v>0</v>
      </c>
      <c r="S442" s="85"/>
      <c r="T442" s="84"/>
      <c r="U442" s="27"/>
      <c r="V442" s="13"/>
      <c r="W442" s="67"/>
      <c r="X442" s="56"/>
      <c r="Y442" s="55"/>
      <c r="Z442" s="13"/>
      <c r="AA442" s="71"/>
      <c r="AB442" s="31"/>
      <c r="AC442" s="26">
        <f>+R442+W442+Y442-AA442</f>
        <v>0</v>
      </c>
      <c r="AD442" s="25"/>
      <c r="AE442" s="25"/>
      <c r="AF442" s="13"/>
      <c r="AG442" s="13"/>
      <c r="AH442" s="13"/>
    </row>
    <row r="443" spans="1:34" x14ac:dyDescent="0.3">
      <c r="A443" s="65">
        <v>440</v>
      </c>
      <c r="B443" s="25"/>
      <c r="C443" s="25"/>
      <c r="D443" s="25"/>
      <c r="E443" s="30" t="str">
        <f>CONCATENATE(B443,"-",C443,"-",D443)</f>
        <v>--</v>
      </c>
      <c r="F443" s="13">
        <f>VLOOKUP(E443,'LISTA ITEMS'!$E$2:$G$875,2,FALSE)</f>
        <v>0</v>
      </c>
      <c r="G443" s="25">
        <f>VLOOKUP(E443,'LISTA ITEMS'!$E$2:$G$875,3,FALSE)</f>
        <v>0</v>
      </c>
      <c r="H443" s="76"/>
      <c r="I443" s="75">
        <v>0</v>
      </c>
      <c r="J443" s="27"/>
      <c r="K443" s="13"/>
      <c r="L443" s="67"/>
      <c r="M443" s="56"/>
      <c r="N443" s="55"/>
      <c r="O443" s="13"/>
      <c r="P443" s="71"/>
      <c r="Q443" s="31"/>
      <c r="R443" s="26">
        <f>+I443+L443+N443-P443</f>
        <v>0</v>
      </c>
      <c r="S443" s="85"/>
      <c r="T443" s="84"/>
      <c r="U443" s="27"/>
      <c r="V443" s="13"/>
      <c r="W443" s="67"/>
      <c r="X443" s="56"/>
      <c r="Y443" s="55"/>
      <c r="Z443" s="13"/>
      <c r="AA443" s="71"/>
      <c r="AB443" s="31"/>
      <c r="AC443" s="26">
        <f>+R443+W443+Y443-AA443</f>
        <v>0</v>
      </c>
      <c r="AD443" s="25"/>
      <c r="AE443" s="25"/>
      <c r="AF443" s="13"/>
      <c r="AG443" s="13"/>
      <c r="AH443" s="13"/>
    </row>
    <row r="444" spans="1:34" x14ac:dyDescent="0.3">
      <c r="A444" s="65">
        <v>441</v>
      </c>
      <c r="B444" s="25"/>
      <c r="C444" s="25"/>
      <c r="D444" s="25"/>
      <c r="E444" s="30" t="str">
        <f>CONCATENATE(B444,"-",C444,"-",D444)</f>
        <v>--</v>
      </c>
      <c r="F444" s="13">
        <f>VLOOKUP(E444,'LISTA ITEMS'!$E$2:$G$875,2,FALSE)</f>
        <v>0</v>
      </c>
      <c r="G444" s="25">
        <f>VLOOKUP(E444,'LISTA ITEMS'!$E$2:$G$875,3,FALSE)</f>
        <v>0</v>
      </c>
      <c r="H444" s="76"/>
      <c r="I444" s="75">
        <v>0</v>
      </c>
      <c r="J444" s="27"/>
      <c r="K444" s="13"/>
      <c r="L444" s="67"/>
      <c r="M444" s="56"/>
      <c r="N444" s="55"/>
      <c r="O444" s="13"/>
      <c r="P444" s="71"/>
      <c r="Q444" s="31"/>
      <c r="R444" s="26">
        <f>+I444+L444+N444-P444</f>
        <v>0</v>
      </c>
      <c r="S444" s="85"/>
      <c r="T444" s="84"/>
      <c r="U444" s="27"/>
      <c r="V444" s="13"/>
      <c r="W444" s="67"/>
      <c r="X444" s="56"/>
      <c r="Y444" s="55"/>
      <c r="Z444" s="13"/>
      <c r="AA444" s="71"/>
      <c r="AB444" s="31"/>
      <c r="AC444" s="26">
        <f>+R444+W444+Y444-AA444</f>
        <v>0</v>
      </c>
      <c r="AD444" s="25"/>
      <c r="AE444" s="25"/>
      <c r="AF444" s="13"/>
      <c r="AG444" s="13"/>
      <c r="AH444" s="13"/>
    </row>
    <row r="445" spans="1:34" x14ac:dyDescent="0.3">
      <c r="A445" s="65">
        <v>442</v>
      </c>
      <c r="B445" s="25"/>
      <c r="C445" s="25"/>
      <c r="D445" s="25"/>
      <c r="E445" s="30" t="str">
        <f>CONCATENATE(B445,"-",C445,"-",D445)</f>
        <v>--</v>
      </c>
      <c r="F445" s="13">
        <f>VLOOKUP(E445,'LISTA ITEMS'!$E$2:$G$875,2,FALSE)</f>
        <v>0</v>
      </c>
      <c r="G445" s="25">
        <f>VLOOKUP(E445,'LISTA ITEMS'!$E$2:$G$875,3,FALSE)</f>
        <v>0</v>
      </c>
      <c r="H445" s="76"/>
      <c r="I445" s="75">
        <v>0</v>
      </c>
      <c r="J445" s="27"/>
      <c r="K445" s="13"/>
      <c r="L445" s="67"/>
      <c r="M445" s="56"/>
      <c r="N445" s="55"/>
      <c r="O445" s="13"/>
      <c r="P445" s="71"/>
      <c r="Q445" s="31"/>
      <c r="R445" s="26">
        <f>+I445+L445+N445-P445</f>
        <v>0</v>
      </c>
      <c r="S445" s="85"/>
      <c r="T445" s="84"/>
      <c r="U445" s="27"/>
      <c r="V445" s="13"/>
      <c r="W445" s="67"/>
      <c r="X445" s="56"/>
      <c r="Y445" s="55"/>
      <c r="Z445" s="13"/>
      <c r="AA445" s="71"/>
      <c r="AB445" s="31"/>
      <c r="AC445" s="26">
        <f>+R445+W445+Y445-AA445</f>
        <v>0</v>
      </c>
      <c r="AD445" s="25"/>
      <c r="AE445" s="25"/>
      <c r="AF445" s="13"/>
      <c r="AG445" s="13"/>
      <c r="AH445" s="13"/>
    </row>
    <row r="446" spans="1:34" x14ac:dyDescent="0.3">
      <c r="A446" s="65">
        <v>443</v>
      </c>
      <c r="B446" s="25"/>
      <c r="C446" s="25"/>
      <c r="D446" s="25"/>
      <c r="E446" s="30" t="str">
        <f>CONCATENATE(B446,"-",C446,"-",D446)</f>
        <v>--</v>
      </c>
      <c r="F446" s="13">
        <f>VLOOKUP(E446,'LISTA ITEMS'!$E$2:$G$875,2,FALSE)</f>
        <v>0</v>
      </c>
      <c r="G446" s="25">
        <f>VLOOKUP(E446,'LISTA ITEMS'!$E$2:$G$875,3,FALSE)</f>
        <v>0</v>
      </c>
      <c r="H446" s="76"/>
      <c r="I446" s="75">
        <v>0</v>
      </c>
      <c r="J446" s="27"/>
      <c r="K446" s="13"/>
      <c r="L446" s="67"/>
      <c r="M446" s="56"/>
      <c r="N446" s="55"/>
      <c r="O446" s="13"/>
      <c r="P446" s="71"/>
      <c r="Q446" s="31"/>
      <c r="R446" s="26">
        <f>+I446+L446+N446-P446</f>
        <v>0</v>
      </c>
      <c r="S446" s="85"/>
      <c r="T446" s="84"/>
      <c r="U446" s="27"/>
      <c r="V446" s="13"/>
      <c r="W446" s="67"/>
      <c r="X446" s="56"/>
      <c r="Y446" s="55"/>
      <c r="Z446" s="13"/>
      <c r="AA446" s="71"/>
      <c r="AB446" s="31"/>
      <c r="AC446" s="26">
        <f>+R446+W446+Y446-AA446</f>
        <v>0</v>
      </c>
      <c r="AD446" s="25"/>
      <c r="AE446" s="25"/>
      <c r="AF446" s="13"/>
      <c r="AG446" s="13"/>
      <c r="AH446" s="13"/>
    </row>
    <row r="447" spans="1:34" x14ac:dyDescent="0.3">
      <c r="A447" s="65">
        <v>444</v>
      </c>
      <c r="B447" s="25"/>
      <c r="C447" s="25"/>
      <c r="D447" s="25"/>
      <c r="E447" s="30" t="str">
        <f>CONCATENATE(B447,"-",C447,"-",D447)</f>
        <v>--</v>
      </c>
      <c r="F447" s="13">
        <f>VLOOKUP(E447,'LISTA ITEMS'!$E$2:$G$875,2,FALSE)</f>
        <v>0</v>
      </c>
      <c r="G447" s="25">
        <f>VLOOKUP(E447,'LISTA ITEMS'!$E$2:$G$875,3,FALSE)</f>
        <v>0</v>
      </c>
      <c r="H447" s="76"/>
      <c r="I447" s="75">
        <v>0</v>
      </c>
      <c r="J447" s="27"/>
      <c r="K447" s="13"/>
      <c r="L447" s="67"/>
      <c r="M447" s="56"/>
      <c r="N447" s="55"/>
      <c r="O447" s="13"/>
      <c r="P447" s="71"/>
      <c r="Q447" s="31"/>
      <c r="R447" s="26">
        <f>+I447+L447+N447-P447</f>
        <v>0</v>
      </c>
      <c r="S447" s="85"/>
      <c r="T447" s="84"/>
      <c r="U447" s="27"/>
      <c r="V447" s="13"/>
      <c r="W447" s="67"/>
      <c r="X447" s="56"/>
      <c r="Y447" s="55"/>
      <c r="Z447" s="13"/>
      <c r="AA447" s="71"/>
      <c r="AB447" s="31"/>
      <c r="AC447" s="26">
        <f>+R447+W447+Y447-AA447</f>
        <v>0</v>
      </c>
      <c r="AD447" s="25"/>
      <c r="AE447" s="25"/>
      <c r="AF447" s="13"/>
      <c r="AG447" s="13"/>
      <c r="AH447" s="13"/>
    </row>
    <row r="448" spans="1:34" x14ac:dyDescent="0.3">
      <c r="A448" s="65">
        <v>445</v>
      </c>
      <c r="B448" s="25"/>
      <c r="C448" s="25"/>
      <c r="D448" s="25"/>
      <c r="E448" s="30" t="str">
        <f>CONCATENATE(B448,"-",C448,"-",D448)</f>
        <v>--</v>
      </c>
      <c r="F448" s="13">
        <f>VLOOKUP(E448,'LISTA ITEMS'!$E$2:$G$875,2,FALSE)</f>
        <v>0</v>
      </c>
      <c r="G448" s="25">
        <f>VLOOKUP(E448,'LISTA ITEMS'!$E$2:$G$875,3,FALSE)</f>
        <v>0</v>
      </c>
      <c r="H448" s="76"/>
      <c r="I448" s="75">
        <v>0</v>
      </c>
      <c r="J448" s="27"/>
      <c r="K448" s="13"/>
      <c r="L448" s="67"/>
      <c r="M448" s="56"/>
      <c r="N448" s="55"/>
      <c r="O448" s="13"/>
      <c r="P448" s="71"/>
      <c r="Q448" s="31"/>
      <c r="R448" s="26">
        <f>+I448+L448+N448-P448</f>
        <v>0</v>
      </c>
      <c r="S448" s="85"/>
      <c r="T448" s="84"/>
      <c r="U448" s="27"/>
      <c r="V448" s="13"/>
      <c r="W448" s="67"/>
      <c r="X448" s="56"/>
      <c r="Y448" s="55"/>
      <c r="Z448" s="13"/>
      <c r="AA448" s="71"/>
      <c r="AB448" s="31"/>
      <c r="AC448" s="26">
        <f>+R448+W448+Y448-AA448</f>
        <v>0</v>
      </c>
      <c r="AD448" s="25"/>
      <c r="AE448" s="25"/>
      <c r="AF448" s="13"/>
      <c r="AG448" s="13"/>
      <c r="AH448" s="13"/>
    </row>
    <row r="449" spans="1:34" x14ac:dyDescent="0.3">
      <c r="A449" s="65">
        <v>446</v>
      </c>
      <c r="B449" s="25"/>
      <c r="C449" s="25"/>
      <c r="D449" s="25"/>
      <c r="E449" s="30" t="str">
        <f>CONCATENATE(B449,"-",C449,"-",D449)</f>
        <v>--</v>
      </c>
      <c r="F449" s="13">
        <f>VLOOKUP(E449,'LISTA ITEMS'!$E$2:$G$875,2,FALSE)</f>
        <v>0</v>
      </c>
      <c r="G449" s="25">
        <f>VLOOKUP(E449,'LISTA ITEMS'!$E$2:$G$875,3,FALSE)</f>
        <v>0</v>
      </c>
      <c r="H449" s="76"/>
      <c r="I449" s="75">
        <v>0</v>
      </c>
      <c r="J449" s="27"/>
      <c r="K449" s="13"/>
      <c r="L449" s="67"/>
      <c r="M449" s="56"/>
      <c r="N449" s="55"/>
      <c r="O449" s="13"/>
      <c r="P449" s="71"/>
      <c r="Q449" s="31"/>
      <c r="R449" s="26">
        <f>+I449+L449+N449-P449</f>
        <v>0</v>
      </c>
      <c r="S449" s="85"/>
      <c r="T449" s="84"/>
      <c r="U449" s="27"/>
      <c r="V449" s="13"/>
      <c r="W449" s="67"/>
      <c r="X449" s="56"/>
      <c r="Y449" s="55"/>
      <c r="Z449" s="13"/>
      <c r="AA449" s="71"/>
      <c r="AB449" s="31"/>
      <c r="AC449" s="26">
        <f>+R449+W449+Y449-AA449</f>
        <v>0</v>
      </c>
      <c r="AD449" s="25"/>
      <c r="AE449" s="25"/>
      <c r="AF449" s="13"/>
      <c r="AG449" s="13"/>
      <c r="AH449" s="13"/>
    </row>
    <row r="450" spans="1:34" x14ac:dyDescent="0.3">
      <c r="A450" s="65">
        <v>447</v>
      </c>
      <c r="B450" s="25"/>
      <c r="C450" s="25"/>
      <c r="D450" s="25"/>
      <c r="E450" s="30" t="str">
        <f>CONCATENATE(B450,"-",C450,"-",D450)</f>
        <v>--</v>
      </c>
      <c r="F450" s="13">
        <f>VLOOKUP(E450,'LISTA ITEMS'!$E$2:$G$875,2,FALSE)</f>
        <v>0</v>
      </c>
      <c r="G450" s="25">
        <f>VLOOKUP(E450,'LISTA ITEMS'!$E$2:$G$875,3,FALSE)</f>
        <v>0</v>
      </c>
      <c r="H450" s="76"/>
      <c r="I450" s="75">
        <v>0</v>
      </c>
      <c r="J450" s="27"/>
      <c r="K450" s="13"/>
      <c r="L450" s="67"/>
      <c r="M450" s="56"/>
      <c r="N450" s="55"/>
      <c r="O450" s="13"/>
      <c r="P450" s="71"/>
      <c r="Q450" s="31"/>
      <c r="R450" s="26">
        <f>+I450+L450+N450-P450</f>
        <v>0</v>
      </c>
      <c r="S450" s="85"/>
      <c r="T450" s="84"/>
      <c r="U450" s="27"/>
      <c r="V450" s="13"/>
      <c r="W450" s="67"/>
      <c r="X450" s="56"/>
      <c r="Y450" s="55"/>
      <c r="Z450" s="13"/>
      <c r="AA450" s="71"/>
      <c r="AB450" s="31"/>
      <c r="AC450" s="26">
        <f>+R450+W450+Y450-AA450</f>
        <v>0</v>
      </c>
      <c r="AD450" s="25"/>
      <c r="AE450" s="25"/>
      <c r="AF450" s="13"/>
      <c r="AG450" s="13"/>
      <c r="AH450" s="13"/>
    </row>
    <row r="451" spans="1:34" x14ac:dyDescent="0.3">
      <c r="A451" s="65">
        <v>448</v>
      </c>
      <c r="B451" s="25"/>
      <c r="C451" s="25"/>
      <c r="D451" s="25"/>
      <c r="E451" s="30" t="str">
        <f>CONCATENATE(B451,"-",C451,"-",D451)</f>
        <v>--</v>
      </c>
      <c r="F451" s="13">
        <f>VLOOKUP(E451,'LISTA ITEMS'!$E$2:$G$875,2,FALSE)</f>
        <v>0</v>
      </c>
      <c r="G451" s="25">
        <f>VLOOKUP(E451,'LISTA ITEMS'!$E$2:$G$875,3,FALSE)</f>
        <v>0</v>
      </c>
      <c r="H451" s="76"/>
      <c r="I451" s="75">
        <v>0</v>
      </c>
      <c r="J451" s="27"/>
      <c r="K451" s="13"/>
      <c r="L451" s="67"/>
      <c r="M451" s="56"/>
      <c r="N451" s="55"/>
      <c r="O451" s="13"/>
      <c r="P451" s="71"/>
      <c r="Q451" s="31"/>
      <c r="R451" s="26">
        <f>+I451+L451+N451-P451</f>
        <v>0</v>
      </c>
      <c r="S451" s="85"/>
      <c r="T451" s="84"/>
      <c r="U451" s="27"/>
      <c r="V451" s="13"/>
      <c r="W451" s="67"/>
      <c r="X451" s="56"/>
      <c r="Y451" s="55"/>
      <c r="Z451" s="13"/>
      <c r="AA451" s="71"/>
      <c r="AB451" s="31"/>
      <c r="AC451" s="26">
        <f>+R451+W451+Y451-AA451</f>
        <v>0</v>
      </c>
      <c r="AD451" s="25"/>
      <c r="AE451" s="25"/>
      <c r="AF451" s="13"/>
      <c r="AG451" s="13"/>
      <c r="AH451" s="13"/>
    </row>
    <row r="452" spans="1:34" x14ac:dyDescent="0.3">
      <c r="A452" s="65">
        <v>449</v>
      </c>
      <c r="B452" s="25"/>
      <c r="C452" s="25"/>
      <c r="D452" s="25"/>
      <c r="E452" s="30" t="str">
        <f>CONCATENATE(B452,"-",C452,"-",D452)</f>
        <v>--</v>
      </c>
      <c r="F452" s="13">
        <f>VLOOKUP(E452,'LISTA ITEMS'!$E$2:$G$875,2,FALSE)</f>
        <v>0</v>
      </c>
      <c r="G452" s="25">
        <f>VLOOKUP(E452,'LISTA ITEMS'!$E$2:$G$875,3,FALSE)</f>
        <v>0</v>
      </c>
      <c r="H452" s="76"/>
      <c r="I452" s="75">
        <v>0</v>
      </c>
      <c r="J452" s="27"/>
      <c r="K452" s="13"/>
      <c r="L452" s="67"/>
      <c r="M452" s="56"/>
      <c r="N452" s="55"/>
      <c r="O452" s="13"/>
      <c r="P452" s="71"/>
      <c r="Q452" s="31"/>
      <c r="R452" s="26">
        <f>+I452+L452+N452-P452</f>
        <v>0</v>
      </c>
      <c r="S452" s="85"/>
      <c r="T452" s="84"/>
      <c r="U452" s="27"/>
      <c r="V452" s="13"/>
      <c r="W452" s="67"/>
      <c r="X452" s="56"/>
      <c r="Y452" s="55"/>
      <c r="Z452" s="13"/>
      <c r="AA452" s="71"/>
      <c r="AB452" s="31"/>
      <c r="AC452" s="26">
        <f>+R452+W452+Y452-AA452</f>
        <v>0</v>
      </c>
      <c r="AD452" s="25"/>
      <c r="AE452" s="25"/>
      <c r="AF452" s="13"/>
      <c r="AG452" s="13"/>
      <c r="AH452" s="13"/>
    </row>
    <row r="453" spans="1:34" x14ac:dyDescent="0.3">
      <c r="A453" s="65">
        <v>450</v>
      </c>
      <c r="B453" s="25"/>
      <c r="C453" s="25"/>
      <c r="D453" s="25"/>
      <c r="E453" s="30" t="str">
        <f>CONCATENATE(B453,"-",C453,"-",D453)</f>
        <v>--</v>
      </c>
      <c r="F453" s="13">
        <f>VLOOKUP(E453,'LISTA ITEMS'!$E$2:$G$875,2,FALSE)</f>
        <v>0</v>
      </c>
      <c r="G453" s="25">
        <f>VLOOKUP(E453,'LISTA ITEMS'!$E$2:$G$875,3,FALSE)</f>
        <v>0</v>
      </c>
      <c r="H453" s="76"/>
      <c r="I453" s="75">
        <v>0</v>
      </c>
      <c r="J453" s="27"/>
      <c r="K453" s="13"/>
      <c r="L453" s="67"/>
      <c r="M453" s="56"/>
      <c r="N453" s="55"/>
      <c r="O453" s="13"/>
      <c r="P453" s="71"/>
      <c r="Q453" s="31"/>
      <c r="R453" s="26">
        <f>+I453+L453+N453-P453</f>
        <v>0</v>
      </c>
      <c r="S453" s="85"/>
      <c r="T453" s="84"/>
      <c r="U453" s="27"/>
      <c r="V453" s="13"/>
      <c r="W453" s="67"/>
      <c r="X453" s="56"/>
      <c r="Y453" s="55"/>
      <c r="Z453" s="13"/>
      <c r="AA453" s="71"/>
      <c r="AB453" s="31"/>
      <c r="AC453" s="26">
        <f>+R453+W453+Y453-AA453</f>
        <v>0</v>
      </c>
      <c r="AD453" s="25"/>
      <c r="AE453" s="25"/>
      <c r="AF453" s="13"/>
      <c r="AG453" s="13"/>
      <c r="AH453" s="13"/>
    </row>
    <row r="454" spans="1:34" x14ac:dyDescent="0.3">
      <c r="A454" s="65">
        <v>451</v>
      </c>
      <c r="B454" s="25"/>
      <c r="C454" s="25"/>
      <c r="D454" s="25"/>
      <c r="E454" s="30" t="str">
        <f>CONCATENATE(B454,"-",C454,"-",D454)</f>
        <v>--</v>
      </c>
      <c r="F454" s="13">
        <f>VLOOKUP(E454,'LISTA ITEMS'!$E$2:$G$875,2,FALSE)</f>
        <v>0</v>
      </c>
      <c r="G454" s="25">
        <f>VLOOKUP(E454,'LISTA ITEMS'!$E$2:$G$875,3,FALSE)</f>
        <v>0</v>
      </c>
      <c r="H454" s="76"/>
      <c r="I454" s="75">
        <v>0</v>
      </c>
      <c r="J454" s="27"/>
      <c r="K454" s="13"/>
      <c r="L454" s="67"/>
      <c r="M454" s="56"/>
      <c r="N454" s="55"/>
      <c r="O454" s="13"/>
      <c r="P454" s="71"/>
      <c r="Q454" s="31"/>
      <c r="R454" s="26">
        <f>+I454+L454+N454-P454</f>
        <v>0</v>
      </c>
      <c r="S454" s="85"/>
      <c r="T454" s="84"/>
      <c r="U454" s="27"/>
      <c r="V454" s="13"/>
      <c r="W454" s="67"/>
      <c r="X454" s="56"/>
      <c r="Y454" s="55"/>
      <c r="Z454" s="13"/>
      <c r="AA454" s="71"/>
      <c r="AB454" s="31"/>
      <c r="AC454" s="26">
        <f>+R454+W454+Y454-AA454</f>
        <v>0</v>
      </c>
      <c r="AD454" s="25"/>
      <c r="AE454" s="25"/>
      <c r="AF454" s="13"/>
      <c r="AG454" s="13"/>
      <c r="AH454" s="13"/>
    </row>
    <row r="455" spans="1:34" x14ac:dyDescent="0.3">
      <c r="A455" s="65">
        <v>452</v>
      </c>
      <c r="B455" s="25"/>
      <c r="C455" s="25"/>
      <c r="D455" s="25"/>
      <c r="E455" s="30" t="str">
        <f>CONCATENATE(B455,"-",C455,"-",D455)</f>
        <v>--</v>
      </c>
      <c r="F455" s="13">
        <f>VLOOKUP(E455,'LISTA ITEMS'!$E$2:$G$875,2,FALSE)</f>
        <v>0</v>
      </c>
      <c r="G455" s="25">
        <f>VLOOKUP(E455,'LISTA ITEMS'!$E$2:$G$875,3,FALSE)</f>
        <v>0</v>
      </c>
      <c r="H455" s="76"/>
      <c r="I455" s="75">
        <v>0</v>
      </c>
      <c r="J455" s="27"/>
      <c r="K455" s="13"/>
      <c r="L455" s="67"/>
      <c r="M455" s="56"/>
      <c r="N455" s="55"/>
      <c r="O455" s="13"/>
      <c r="P455" s="71"/>
      <c r="Q455" s="31"/>
      <c r="R455" s="26">
        <f>+I455+L455+N455-P455</f>
        <v>0</v>
      </c>
      <c r="S455" s="85"/>
      <c r="T455" s="84"/>
      <c r="U455" s="27"/>
      <c r="V455" s="13"/>
      <c r="W455" s="67"/>
      <c r="X455" s="56"/>
      <c r="Y455" s="55"/>
      <c r="Z455" s="13"/>
      <c r="AA455" s="71"/>
      <c r="AB455" s="31"/>
      <c r="AC455" s="26">
        <f>+R455+W455+Y455-AA455</f>
        <v>0</v>
      </c>
      <c r="AD455" s="25"/>
      <c r="AE455" s="25"/>
      <c r="AF455" s="13"/>
      <c r="AG455" s="13"/>
      <c r="AH455" s="13"/>
    </row>
    <row r="456" spans="1:34" x14ac:dyDescent="0.3">
      <c r="A456" s="65">
        <v>453</v>
      </c>
      <c r="B456" s="25"/>
      <c r="C456" s="25"/>
      <c r="D456" s="25"/>
      <c r="E456" s="30" t="str">
        <f>CONCATENATE(B456,"-",C456,"-",D456)</f>
        <v>--</v>
      </c>
      <c r="F456" s="13">
        <f>VLOOKUP(E456,'LISTA ITEMS'!$E$2:$G$875,2,FALSE)</f>
        <v>0</v>
      </c>
      <c r="G456" s="25">
        <f>VLOOKUP(E456,'LISTA ITEMS'!$E$2:$G$875,3,FALSE)</f>
        <v>0</v>
      </c>
      <c r="H456" s="76"/>
      <c r="I456" s="75">
        <v>0</v>
      </c>
      <c r="J456" s="27"/>
      <c r="K456" s="13"/>
      <c r="L456" s="67"/>
      <c r="M456" s="56"/>
      <c r="N456" s="55"/>
      <c r="O456" s="13"/>
      <c r="P456" s="71"/>
      <c r="Q456" s="31"/>
      <c r="R456" s="26">
        <f>+I456+L456+N456-P456</f>
        <v>0</v>
      </c>
      <c r="S456" s="85"/>
      <c r="T456" s="84"/>
      <c r="U456" s="27"/>
      <c r="V456" s="13"/>
      <c r="W456" s="67"/>
      <c r="X456" s="56"/>
      <c r="Y456" s="55"/>
      <c r="Z456" s="13"/>
      <c r="AA456" s="71"/>
      <c r="AB456" s="31"/>
      <c r="AC456" s="26">
        <f>+R456+W456+Y456-AA456</f>
        <v>0</v>
      </c>
      <c r="AD456" s="25"/>
      <c r="AE456" s="25"/>
      <c r="AF456" s="13"/>
      <c r="AG456" s="13"/>
      <c r="AH456" s="13"/>
    </row>
    <row r="457" spans="1:34" x14ac:dyDescent="0.3">
      <c r="A457" s="65">
        <v>454</v>
      </c>
      <c r="B457" s="25"/>
      <c r="C457" s="25"/>
      <c r="D457" s="25"/>
      <c r="E457" s="30" t="str">
        <f>CONCATENATE(B457,"-",C457,"-",D457)</f>
        <v>--</v>
      </c>
      <c r="F457" s="13">
        <f>VLOOKUP(E457,'LISTA ITEMS'!$E$2:$G$875,2,FALSE)</f>
        <v>0</v>
      </c>
      <c r="G457" s="25">
        <f>VLOOKUP(E457,'LISTA ITEMS'!$E$2:$G$875,3,FALSE)</f>
        <v>0</v>
      </c>
      <c r="H457" s="76"/>
      <c r="I457" s="75">
        <v>0</v>
      </c>
      <c r="J457" s="27"/>
      <c r="K457" s="13"/>
      <c r="L457" s="67"/>
      <c r="M457" s="56"/>
      <c r="N457" s="55"/>
      <c r="O457" s="13"/>
      <c r="P457" s="71"/>
      <c r="Q457" s="31"/>
      <c r="R457" s="26">
        <f>+I457+L457+N457-P457</f>
        <v>0</v>
      </c>
      <c r="S457" s="85"/>
      <c r="T457" s="84"/>
      <c r="U457" s="27"/>
      <c r="V457" s="13"/>
      <c r="W457" s="67"/>
      <c r="X457" s="56"/>
      <c r="Y457" s="55"/>
      <c r="Z457" s="13"/>
      <c r="AA457" s="71"/>
      <c r="AB457" s="31"/>
      <c r="AC457" s="26">
        <f>+R457+W457+Y457-AA457</f>
        <v>0</v>
      </c>
      <c r="AD457" s="25"/>
      <c r="AE457" s="25"/>
      <c r="AF457" s="13"/>
      <c r="AG457" s="13"/>
      <c r="AH457" s="13"/>
    </row>
    <row r="458" spans="1:34" x14ac:dyDescent="0.3">
      <c r="A458" s="65">
        <v>455</v>
      </c>
      <c r="B458" s="25"/>
      <c r="C458" s="25"/>
      <c r="D458" s="25"/>
      <c r="E458" s="30" t="str">
        <f>CONCATENATE(B458,"-",C458,"-",D458)</f>
        <v>--</v>
      </c>
      <c r="F458" s="13">
        <f>VLOOKUP(E458,'LISTA ITEMS'!$E$2:$G$875,2,FALSE)</f>
        <v>0</v>
      </c>
      <c r="G458" s="25">
        <f>VLOOKUP(E458,'LISTA ITEMS'!$E$2:$G$875,3,FALSE)</f>
        <v>0</v>
      </c>
      <c r="H458" s="76"/>
      <c r="I458" s="75">
        <v>0</v>
      </c>
      <c r="J458" s="27"/>
      <c r="K458" s="13"/>
      <c r="L458" s="67"/>
      <c r="M458" s="56"/>
      <c r="N458" s="55"/>
      <c r="O458" s="13"/>
      <c r="P458" s="71"/>
      <c r="Q458" s="31"/>
      <c r="R458" s="26">
        <f>+I458+L458+N458-P458</f>
        <v>0</v>
      </c>
      <c r="S458" s="85"/>
      <c r="T458" s="84"/>
      <c r="U458" s="27"/>
      <c r="V458" s="13"/>
      <c r="W458" s="67"/>
      <c r="X458" s="56"/>
      <c r="Y458" s="55"/>
      <c r="Z458" s="13"/>
      <c r="AA458" s="71"/>
      <c r="AB458" s="31"/>
      <c r="AC458" s="26">
        <f>+R458+W458+Y458-AA458</f>
        <v>0</v>
      </c>
      <c r="AD458" s="25"/>
      <c r="AE458" s="25"/>
      <c r="AF458" s="13"/>
      <c r="AG458" s="13"/>
      <c r="AH458" s="13"/>
    </row>
    <row r="459" spans="1:34" x14ac:dyDescent="0.3">
      <c r="A459" s="65">
        <v>456</v>
      </c>
      <c r="B459" s="25"/>
      <c r="C459" s="25"/>
      <c r="D459" s="25"/>
      <c r="E459" s="30" t="str">
        <f>CONCATENATE(B459,"-",C459,"-",D459)</f>
        <v>--</v>
      </c>
      <c r="F459" s="13">
        <f>VLOOKUP(E459,'LISTA ITEMS'!$E$2:$G$875,2,FALSE)</f>
        <v>0</v>
      </c>
      <c r="G459" s="25">
        <f>VLOOKUP(E459,'LISTA ITEMS'!$E$2:$G$875,3,FALSE)</f>
        <v>0</v>
      </c>
      <c r="H459" s="76"/>
      <c r="I459" s="75">
        <v>0</v>
      </c>
      <c r="J459" s="27"/>
      <c r="K459" s="13"/>
      <c r="L459" s="67"/>
      <c r="M459" s="56"/>
      <c r="N459" s="55"/>
      <c r="O459" s="13"/>
      <c r="P459" s="71"/>
      <c r="Q459" s="31"/>
      <c r="R459" s="26">
        <f>+I459+L459+N459-P459</f>
        <v>0</v>
      </c>
      <c r="S459" s="85"/>
      <c r="T459" s="84"/>
      <c r="U459" s="27"/>
      <c r="V459" s="13"/>
      <c r="W459" s="67"/>
      <c r="X459" s="56"/>
      <c r="Y459" s="55"/>
      <c r="Z459" s="13"/>
      <c r="AA459" s="71"/>
      <c r="AB459" s="31"/>
      <c r="AC459" s="26">
        <f>+R459+W459+Y459-AA459</f>
        <v>0</v>
      </c>
      <c r="AD459" s="25"/>
      <c r="AE459" s="25"/>
      <c r="AF459" s="13"/>
      <c r="AG459" s="13"/>
      <c r="AH459" s="13"/>
    </row>
    <row r="460" spans="1:34" x14ac:dyDescent="0.3">
      <c r="A460" s="65">
        <v>457</v>
      </c>
      <c r="B460" s="25"/>
      <c r="C460" s="25"/>
      <c r="D460" s="25"/>
      <c r="E460" s="30" t="str">
        <f>CONCATENATE(B460,"-",C460,"-",D460)</f>
        <v>--</v>
      </c>
      <c r="F460" s="13">
        <f>VLOOKUP(E460,'LISTA ITEMS'!$E$2:$G$875,2,FALSE)</f>
        <v>0</v>
      </c>
      <c r="G460" s="25">
        <f>VLOOKUP(E460,'LISTA ITEMS'!$E$2:$G$875,3,FALSE)</f>
        <v>0</v>
      </c>
      <c r="H460" s="76"/>
      <c r="I460" s="75">
        <v>0</v>
      </c>
      <c r="J460" s="27"/>
      <c r="K460" s="13"/>
      <c r="L460" s="67"/>
      <c r="M460" s="56"/>
      <c r="N460" s="55"/>
      <c r="O460" s="13"/>
      <c r="P460" s="71"/>
      <c r="Q460" s="31"/>
      <c r="R460" s="26">
        <f>+I460+L460+N460-P460</f>
        <v>0</v>
      </c>
      <c r="S460" s="85"/>
      <c r="T460" s="84"/>
      <c r="U460" s="27"/>
      <c r="V460" s="13"/>
      <c r="W460" s="67"/>
      <c r="X460" s="56"/>
      <c r="Y460" s="55"/>
      <c r="Z460" s="13"/>
      <c r="AA460" s="71"/>
      <c r="AB460" s="31"/>
      <c r="AC460" s="26">
        <f>+R460+W460+Y460-AA460</f>
        <v>0</v>
      </c>
      <c r="AD460" s="25"/>
      <c r="AE460" s="25"/>
      <c r="AF460" s="13"/>
      <c r="AG460" s="13"/>
      <c r="AH460" s="13"/>
    </row>
    <row r="461" spans="1:34" x14ac:dyDescent="0.3">
      <c r="A461" s="65">
        <v>458</v>
      </c>
      <c r="B461" s="25"/>
      <c r="C461" s="25"/>
      <c r="D461" s="25"/>
      <c r="E461" s="30" t="str">
        <f>CONCATENATE(B461,"-",C461,"-",D461)</f>
        <v>--</v>
      </c>
      <c r="F461" s="13">
        <f>VLOOKUP(E461,'LISTA ITEMS'!$E$2:$G$875,2,FALSE)</f>
        <v>0</v>
      </c>
      <c r="G461" s="25">
        <f>VLOOKUP(E461,'LISTA ITEMS'!$E$2:$G$875,3,FALSE)</f>
        <v>0</v>
      </c>
      <c r="H461" s="76"/>
      <c r="I461" s="75">
        <v>0</v>
      </c>
      <c r="J461" s="27"/>
      <c r="K461" s="13"/>
      <c r="L461" s="67"/>
      <c r="M461" s="56"/>
      <c r="N461" s="55"/>
      <c r="O461" s="13"/>
      <c r="P461" s="71"/>
      <c r="Q461" s="31"/>
      <c r="R461" s="26">
        <f>+I461+L461+N461-P461</f>
        <v>0</v>
      </c>
      <c r="S461" s="85"/>
      <c r="T461" s="84"/>
      <c r="U461" s="27"/>
      <c r="V461" s="13"/>
      <c r="W461" s="67"/>
      <c r="X461" s="56"/>
      <c r="Y461" s="55"/>
      <c r="Z461" s="13"/>
      <c r="AA461" s="71"/>
      <c r="AB461" s="31"/>
      <c r="AC461" s="26">
        <f>+R461+W461+Y461-AA461</f>
        <v>0</v>
      </c>
      <c r="AD461" s="25"/>
      <c r="AE461" s="25"/>
      <c r="AF461" s="13"/>
      <c r="AG461" s="13"/>
      <c r="AH461" s="13"/>
    </row>
    <row r="462" spans="1:34" x14ac:dyDescent="0.3">
      <c r="A462" s="65">
        <v>459</v>
      </c>
      <c r="B462" s="25"/>
      <c r="C462" s="25"/>
      <c r="D462" s="25"/>
      <c r="E462" s="30" t="str">
        <f>CONCATENATE(B462,"-",C462,"-",D462)</f>
        <v>--</v>
      </c>
      <c r="F462" s="13">
        <f>VLOOKUP(E462,'LISTA ITEMS'!$E$2:$G$875,2,FALSE)</f>
        <v>0</v>
      </c>
      <c r="G462" s="25">
        <f>VLOOKUP(E462,'LISTA ITEMS'!$E$2:$G$875,3,FALSE)</f>
        <v>0</v>
      </c>
      <c r="H462" s="76"/>
      <c r="I462" s="75">
        <v>0</v>
      </c>
      <c r="J462" s="27"/>
      <c r="K462" s="13"/>
      <c r="L462" s="67"/>
      <c r="M462" s="56"/>
      <c r="N462" s="55"/>
      <c r="O462" s="13"/>
      <c r="P462" s="71"/>
      <c r="Q462" s="31"/>
      <c r="R462" s="26">
        <f>+I462+L462+N462-P462</f>
        <v>0</v>
      </c>
      <c r="S462" s="85"/>
      <c r="T462" s="84"/>
      <c r="U462" s="27"/>
      <c r="V462" s="13"/>
      <c r="W462" s="67"/>
      <c r="X462" s="56"/>
      <c r="Y462" s="55"/>
      <c r="Z462" s="13"/>
      <c r="AA462" s="71"/>
      <c r="AB462" s="31"/>
      <c r="AC462" s="26">
        <f>+R462+W462+Y462-AA462</f>
        <v>0</v>
      </c>
      <c r="AD462" s="25"/>
      <c r="AE462" s="25"/>
      <c r="AF462" s="13"/>
      <c r="AG462" s="13"/>
      <c r="AH462" s="13"/>
    </row>
    <row r="463" spans="1:34" x14ac:dyDescent="0.3">
      <c r="A463" s="65">
        <v>460</v>
      </c>
      <c r="B463" s="25"/>
      <c r="C463" s="25"/>
      <c r="D463" s="25"/>
      <c r="E463" s="30" t="str">
        <f>CONCATENATE(B463,"-",C463,"-",D463)</f>
        <v>--</v>
      </c>
      <c r="F463" s="13">
        <f>VLOOKUP(E463,'LISTA ITEMS'!$E$2:$G$875,2,FALSE)</f>
        <v>0</v>
      </c>
      <c r="G463" s="25">
        <f>VLOOKUP(E463,'LISTA ITEMS'!$E$2:$G$875,3,FALSE)</f>
        <v>0</v>
      </c>
      <c r="H463" s="76"/>
      <c r="I463" s="75">
        <v>0</v>
      </c>
      <c r="J463" s="27"/>
      <c r="K463" s="13"/>
      <c r="L463" s="67"/>
      <c r="M463" s="56"/>
      <c r="N463" s="55"/>
      <c r="O463" s="13"/>
      <c r="P463" s="71"/>
      <c r="Q463" s="31"/>
      <c r="R463" s="26">
        <f>+I463+L463+N463-P463</f>
        <v>0</v>
      </c>
      <c r="S463" s="85"/>
      <c r="T463" s="84"/>
      <c r="U463" s="27"/>
      <c r="V463" s="13"/>
      <c r="W463" s="67"/>
      <c r="X463" s="56"/>
      <c r="Y463" s="55"/>
      <c r="Z463" s="13"/>
      <c r="AA463" s="71"/>
      <c r="AB463" s="31"/>
      <c r="AC463" s="26">
        <f>+R463+W463+Y463-AA463</f>
        <v>0</v>
      </c>
      <c r="AD463" s="25"/>
      <c r="AE463" s="25"/>
      <c r="AF463" s="13"/>
      <c r="AG463" s="13"/>
      <c r="AH463" s="13"/>
    </row>
    <row r="464" spans="1:34" x14ac:dyDescent="0.3">
      <c r="A464" s="65">
        <v>461</v>
      </c>
      <c r="B464" s="25"/>
      <c r="C464" s="25"/>
      <c r="D464" s="25"/>
      <c r="E464" s="30" t="str">
        <f>CONCATENATE(B464,"-",C464,"-",D464)</f>
        <v>--</v>
      </c>
      <c r="F464" s="13">
        <f>VLOOKUP(E464,'LISTA ITEMS'!$E$2:$G$875,2,FALSE)</f>
        <v>0</v>
      </c>
      <c r="G464" s="25">
        <f>VLOOKUP(E464,'LISTA ITEMS'!$E$2:$G$875,3,FALSE)</f>
        <v>0</v>
      </c>
      <c r="H464" s="76"/>
      <c r="I464" s="75">
        <v>0</v>
      </c>
      <c r="J464" s="27"/>
      <c r="K464" s="13"/>
      <c r="L464" s="67"/>
      <c r="M464" s="56"/>
      <c r="N464" s="55"/>
      <c r="O464" s="13"/>
      <c r="P464" s="71"/>
      <c r="Q464" s="31"/>
      <c r="R464" s="26">
        <f>+I464+L464+N464-P464</f>
        <v>0</v>
      </c>
      <c r="S464" s="85"/>
      <c r="T464" s="84"/>
      <c r="U464" s="27"/>
      <c r="V464" s="13"/>
      <c r="W464" s="67"/>
      <c r="X464" s="56"/>
      <c r="Y464" s="55"/>
      <c r="Z464" s="13"/>
      <c r="AA464" s="71"/>
      <c r="AB464" s="31"/>
      <c r="AC464" s="26">
        <f>+R464+W464+Y464-AA464</f>
        <v>0</v>
      </c>
      <c r="AD464" s="25"/>
      <c r="AE464" s="25"/>
      <c r="AF464" s="13"/>
      <c r="AG464" s="13"/>
      <c r="AH464" s="13"/>
    </row>
    <row r="465" spans="1:34" x14ac:dyDescent="0.3">
      <c r="A465" s="65">
        <v>462</v>
      </c>
      <c r="B465" s="25"/>
      <c r="C465" s="25"/>
      <c r="D465" s="25"/>
      <c r="E465" s="30" t="str">
        <f>CONCATENATE(B465,"-",C465,"-",D465)</f>
        <v>--</v>
      </c>
      <c r="F465" s="13">
        <f>VLOOKUP(E465,'LISTA ITEMS'!$E$2:$G$875,2,FALSE)</f>
        <v>0</v>
      </c>
      <c r="G465" s="25">
        <f>VLOOKUP(E465,'LISTA ITEMS'!$E$2:$G$875,3,FALSE)</f>
        <v>0</v>
      </c>
      <c r="H465" s="76"/>
      <c r="I465" s="75">
        <v>0</v>
      </c>
      <c r="J465" s="27"/>
      <c r="K465" s="13"/>
      <c r="L465" s="67"/>
      <c r="M465" s="56"/>
      <c r="N465" s="55"/>
      <c r="O465" s="13"/>
      <c r="P465" s="71"/>
      <c r="Q465" s="31"/>
      <c r="R465" s="26">
        <f>+I465+L465+N465-P465</f>
        <v>0</v>
      </c>
      <c r="S465" s="85"/>
      <c r="T465" s="84"/>
      <c r="U465" s="27"/>
      <c r="V465" s="13"/>
      <c r="W465" s="67"/>
      <c r="X465" s="56"/>
      <c r="Y465" s="55"/>
      <c r="Z465" s="13"/>
      <c r="AA465" s="71"/>
      <c r="AB465" s="31"/>
      <c r="AC465" s="26">
        <f>+R465+W465+Y465-AA465</f>
        <v>0</v>
      </c>
      <c r="AD465" s="25"/>
      <c r="AE465" s="25"/>
      <c r="AF465" s="13"/>
      <c r="AG465" s="13"/>
      <c r="AH465" s="13"/>
    </row>
    <row r="466" spans="1:34" x14ac:dyDescent="0.3">
      <c r="A466" s="65">
        <v>463</v>
      </c>
      <c r="B466" s="25"/>
      <c r="C466" s="25"/>
      <c r="D466" s="25"/>
      <c r="E466" s="30" t="str">
        <f>CONCATENATE(B466,"-",C466,"-",D466)</f>
        <v>--</v>
      </c>
      <c r="F466" s="13">
        <f>VLOOKUP(E466,'LISTA ITEMS'!$E$2:$G$875,2,FALSE)</f>
        <v>0</v>
      </c>
      <c r="G466" s="25">
        <f>VLOOKUP(E466,'LISTA ITEMS'!$E$2:$G$875,3,FALSE)</f>
        <v>0</v>
      </c>
      <c r="H466" s="76"/>
      <c r="I466" s="75">
        <v>0</v>
      </c>
      <c r="J466" s="27"/>
      <c r="K466" s="13"/>
      <c r="L466" s="67"/>
      <c r="M466" s="56"/>
      <c r="N466" s="55"/>
      <c r="O466" s="13"/>
      <c r="P466" s="71"/>
      <c r="Q466" s="31"/>
      <c r="R466" s="26">
        <f>+I466+L466+N466-P466</f>
        <v>0</v>
      </c>
      <c r="S466" s="85"/>
      <c r="T466" s="84"/>
      <c r="U466" s="27"/>
      <c r="V466" s="13"/>
      <c r="W466" s="67"/>
      <c r="X466" s="56"/>
      <c r="Y466" s="55"/>
      <c r="Z466" s="13"/>
      <c r="AA466" s="71"/>
      <c r="AB466" s="31"/>
      <c r="AC466" s="26">
        <f>+R466+W466+Y466-AA466</f>
        <v>0</v>
      </c>
      <c r="AD466" s="25"/>
      <c r="AE466" s="25"/>
      <c r="AF466" s="13"/>
      <c r="AG466" s="13"/>
      <c r="AH466" s="13"/>
    </row>
    <row r="467" spans="1:34" x14ac:dyDescent="0.3">
      <c r="A467" s="65">
        <v>464</v>
      </c>
      <c r="B467" s="25"/>
      <c r="C467" s="25"/>
      <c r="D467" s="25"/>
      <c r="E467" s="30" t="str">
        <f>CONCATENATE(B467,"-",C467,"-",D467)</f>
        <v>--</v>
      </c>
      <c r="F467" s="13">
        <f>VLOOKUP(E467,'LISTA ITEMS'!$E$2:$G$875,2,FALSE)</f>
        <v>0</v>
      </c>
      <c r="G467" s="25">
        <f>VLOOKUP(E467,'LISTA ITEMS'!$E$2:$G$875,3,FALSE)</f>
        <v>0</v>
      </c>
      <c r="H467" s="76"/>
      <c r="I467" s="75">
        <v>0</v>
      </c>
      <c r="J467" s="27"/>
      <c r="K467" s="13"/>
      <c r="L467" s="67"/>
      <c r="M467" s="56"/>
      <c r="N467" s="55"/>
      <c r="O467" s="13"/>
      <c r="P467" s="71"/>
      <c r="Q467" s="31"/>
      <c r="R467" s="26">
        <f>+I467+L467+N467-P467</f>
        <v>0</v>
      </c>
      <c r="S467" s="85"/>
      <c r="T467" s="84"/>
      <c r="U467" s="27"/>
      <c r="V467" s="13"/>
      <c r="W467" s="67"/>
      <c r="X467" s="56"/>
      <c r="Y467" s="55"/>
      <c r="Z467" s="13"/>
      <c r="AA467" s="71"/>
      <c r="AB467" s="31"/>
      <c r="AC467" s="26">
        <f>+R467+W467+Y467-AA467</f>
        <v>0</v>
      </c>
      <c r="AD467" s="25"/>
      <c r="AE467" s="25"/>
      <c r="AF467" s="13"/>
      <c r="AG467" s="13"/>
      <c r="AH467" s="13"/>
    </row>
    <row r="468" spans="1:34" x14ac:dyDescent="0.3">
      <c r="A468" s="65">
        <v>465</v>
      </c>
      <c r="B468" s="25"/>
      <c r="C468" s="25"/>
      <c r="D468" s="25"/>
      <c r="E468" s="30" t="str">
        <f>CONCATENATE(B468,"-",C468,"-",D468)</f>
        <v>--</v>
      </c>
      <c r="F468" s="13">
        <f>VLOOKUP(E468,'LISTA ITEMS'!$E$2:$G$875,2,FALSE)</f>
        <v>0</v>
      </c>
      <c r="G468" s="25">
        <f>VLOOKUP(E468,'LISTA ITEMS'!$E$2:$G$875,3,FALSE)</f>
        <v>0</v>
      </c>
      <c r="H468" s="76"/>
      <c r="I468" s="75">
        <v>0</v>
      </c>
      <c r="J468" s="27"/>
      <c r="K468" s="13"/>
      <c r="L468" s="67"/>
      <c r="M468" s="56"/>
      <c r="N468" s="55"/>
      <c r="O468" s="13"/>
      <c r="P468" s="71"/>
      <c r="Q468" s="31"/>
      <c r="R468" s="26">
        <f>+I468+L468+N468-P468</f>
        <v>0</v>
      </c>
      <c r="S468" s="85"/>
      <c r="T468" s="84"/>
      <c r="U468" s="27"/>
      <c r="V468" s="13"/>
      <c r="W468" s="67"/>
      <c r="X468" s="56"/>
      <c r="Y468" s="55"/>
      <c r="Z468" s="13"/>
      <c r="AA468" s="71"/>
      <c r="AB468" s="31"/>
      <c r="AC468" s="26">
        <f>+R468+W468+Y468-AA468</f>
        <v>0</v>
      </c>
      <c r="AD468" s="25"/>
      <c r="AE468" s="25"/>
      <c r="AF468" s="13"/>
      <c r="AG468" s="13"/>
      <c r="AH468" s="13"/>
    </row>
    <row r="469" spans="1:34" x14ac:dyDescent="0.3">
      <c r="A469" s="65">
        <v>466</v>
      </c>
      <c r="B469" s="25"/>
      <c r="C469" s="25"/>
      <c r="D469" s="25"/>
      <c r="E469" s="30" t="str">
        <f>CONCATENATE(B469,"-",C469,"-",D469)</f>
        <v>--</v>
      </c>
      <c r="F469" s="13">
        <f>VLOOKUP(E469,'LISTA ITEMS'!$E$2:$G$875,2,FALSE)</f>
        <v>0</v>
      </c>
      <c r="G469" s="25">
        <f>VLOOKUP(E469,'LISTA ITEMS'!$E$2:$G$875,3,FALSE)</f>
        <v>0</v>
      </c>
      <c r="H469" s="76"/>
      <c r="I469" s="75">
        <v>0</v>
      </c>
      <c r="J469" s="27"/>
      <c r="K469" s="13"/>
      <c r="L469" s="67"/>
      <c r="M469" s="56"/>
      <c r="N469" s="55"/>
      <c r="O469" s="13"/>
      <c r="P469" s="71"/>
      <c r="Q469" s="31"/>
      <c r="R469" s="26">
        <f>+I469+L469+N469-P469</f>
        <v>0</v>
      </c>
      <c r="S469" s="85"/>
      <c r="T469" s="84"/>
      <c r="U469" s="27"/>
      <c r="V469" s="13"/>
      <c r="W469" s="67"/>
      <c r="X469" s="56"/>
      <c r="Y469" s="55"/>
      <c r="Z469" s="13"/>
      <c r="AA469" s="71"/>
      <c r="AB469" s="31"/>
      <c r="AC469" s="26">
        <f>+R469+W469+Y469-AA469</f>
        <v>0</v>
      </c>
      <c r="AD469" s="25"/>
      <c r="AE469" s="25"/>
      <c r="AF469" s="13"/>
      <c r="AG469" s="13"/>
      <c r="AH469" s="13"/>
    </row>
    <row r="470" spans="1:34" x14ac:dyDescent="0.3">
      <c r="A470" s="65">
        <v>467</v>
      </c>
      <c r="B470" s="25"/>
      <c r="C470" s="25"/>
      <c r="D470" s="25"/>
      <c r="E470" s="30" t="str">
        <f>CONCATENATE(B470,"-",C470,"-",D470)</f>
        <v>--</v>
      </c>
      <c r="F470" s="13">
        <f>VLOOKUP(E470,'LISTA ITEMS'!$E$2:$G$875,2,FALSE)</f>
        <v>0</v>
      </c>
      <c r="G470" s="25">
        <f>VLOOKUP(E470,'LISTA ITEMS'!$E$2:$G$875,3,FALSE)</f>
        <v>0</v>
      </c>
      <c r="H470" s="76"/>
      <c r="I470" s="75">
        <v>0</v>
      </c>
      <c r="J470" s="27"/>
      <c r="K470" s="13"/>
      <c r="L470" s="67"/>
      <c r="M470" s="56"/>
      <c r="N470" s="55"/>
      <c r="O470" s="13"/>
      <c r="P470" s="71"/>
      <c r="Q470" s="31"/>
      <c r="R470" s="26">
        <f>+I470+L470+N470-P470</f>
        <v>0</v>
      </c>
      <c r="S470" s="85"/>
      <c r="T470" s="84"/>
      <c r="U470" s="27"/>
      <c r="V470" s="13"/>
      <c r="W470" s="67"/>
      <c r="X470" s="56"/>
      <c r="Y470" s="55"/>
      <c r="Z470" s="13"/>
      <c r="AA470" s="71"/>
      <c r="AB470" s="31"/>
      <c r="AC470" s="26">
        <f>+R470+W470+Y470-AA470</f>
        <v>0</v>
      </c>
      <c r="AD470" s="25"/>
      <c r="AE470" s="25"/>
      <c r="AF470" s="13"/>
      <c r="AG470" s="13"/>
      <c r="AH470" s="13"/>
    </row>
    <row r="471" spans="1:34" x14ac:dyDescent="0.3">
      <c r="A471" s="65">
        <v>468</v>
      </c>
      <c r="B471" s="25"/>
      <c r="C471" s="25"/>
      <c r="D471" s="25"/>
      <c r="E471" s="30" t="str">
        <f>CONCATENATE(B471,"-",C471,"-",D471)</f>
        <v>--</v>
      </c>
      <c r="F471" s="13">
        <f>VLOOKUP(E471,'LISTA ITEMS'!$E$2:$G$875,2,FALSE)</f>
        <v>0</v>
      </c>
      <c r="G471" s="25">
        <f>VLOOKUP(E471,'LISTA ITEMS'!$E$2:$G$875,3,FALSE)</f>
        <v>0</v>
      </c>
      <c r="H471" s="76"/>
      <c r="I471" s="75">
        <v>0</v>
      </c>
      <c r="J471" s="27"/>
      <c r="K471" s="13"/>
      <c r="L471" s="67"/>
      <c r="M471" s="56"/>
      <c r="N471" s="55"/>
      <c r="O471" s="13"/>
      <c r="P471" s="71"/>
      <c r="Q471" s="31"/>
      <c r="R471" s="26">
        <f>+I471+L471+N471-P471</f>
        <v>0</v>
      </c>
      <c r="S471" s="85"/>
      <c r="T471" s="84"/>
      <c r="U471" s="27"/>
      <c r="V471" s="13"/>
      <c r="W471" s="67"/>
      <c r="X471" s="56"/>
      <c r="Y471" s="55"/>
      <c r="Z471" s="13"/>
      <c r="AA471" s="71"/>
      <c r="AB471" s="31"/>
      <c r="AC471" s="26">
        <f>+R471+W471+Y471-AA471</f>
        <v>0</v>
      </c>
      <c r="AD471" s="25"/>
      <c r="AE471" s="25"/>
      <c r="AF471" s="13"/>
      <c r="AG471" s="13"/>
      <c r="AH471" s="13"/>
    </row>
    <row r="472" spans="1:34" x14ac:dyDescent="0.3">
      <c r="A472" s="65">
        <v>469</v>
      </c>
      <c r="B472" s="25"/>
      <c r="C472" s="25"/>
      <c r="D472" s="25"/>
      <c r="E472" s="30" t="str">
        <f>CONCATENATE(B472,"-",C472,"-",D472)</f>
        <v>--</v>
      </c>
      <c r="F472" s="13">
        <f>VLOOKUP(E472,'LISTA ITEMS'!$E$2:$G$875,2,FALSE)</f>
        <v>0</v>
      </c>
      <c r="G472" s="25">
        <f>VLOOKUP(E472,'LISTA ITEMS'!$E$2:$G$875,3,FALSE)</f>
        <v>0</v>
      </c>
      <c r="H472" s="76"/>
      <c r="I472" s="75">
        <v>0</v>
      </c>
      <c r="J472" s="27"/>
      <c r="K472" s="13"/>
      <c r="L472" s="67"/>
      <c r="M472" s="56"/>
      <c r="N472" s="55"/>
      <c r="O472" s="13"/>
      <c r="P472" s="71"/>
      <c r="Q472" s="31"/>
      <c r="R472" s="26">
        <f>+I472+L472+N472-P472</f>
        <v>0</v>
      </c>
      <c r="S472" s="85"/>
      <c r="T472" s="84"/>
      <c r="U472" s="27"/>
      <c r="V472" s="13"/>
      <c r="W472" s="67"/>
      <c r="X472" s="56"/>
      <c r="Y472" s="55"/>
      <c r="Z472" s="13"/>
      <c r="AA472" s="71"/>
      <c r="AB472" s="31"/>
      <c r="AC472" s="26">
        <f>+R472+W472+Y472-AA472</f>
        <v>0</v>
      </c>
      <c r="AD472" s="25"/>
      <c r="AE472" s="25"/>
      <c r="AF472" s="13"/>
      <c r="AG472" s="13"/>
      <c r="AH472" s="13"/>
    </row>
    <row r="473" spans="1:34" x14ac:dyDescent="0.3">
      <c r="A473" s="65">
        <v>470</v>
      </c>
      <c r="B473" s="25"/>
      <c r="C473" s="25"/>
      <c r="D473" s="25"/>
      <c r="E473" s="30" t="str">
        <f>CONCATENATE(B473,"-",C473,"-",D473)</f>
        <v>--</v>
      </c>
      <c r="F473" s="13">
        <f>VLOOKUP(E473,'LISTA ITEMS'!$E$2:$G$875,2,FALSE)</f>
        <v>0</v>
      </c>
      <c r="G473" s="25">
        <f>VLOOKUP(E473,'LISTA ITEMS'!$E$2:$G$875,3,FALSE)</f>
        <v>0</v>
      </c>
      <c r="H473" s="76"/>
      <c r="I473" s="75">
        <v>0</v>
      </c>
      <c r="J473" s="27"/>
      <c r="K473" s="13"/>
      <c r="L473" s="67"/>
      <c r="M473" s="56"/>
      <c r="N473" s="55"/>
      <c r="O473" s="13"/>
      <c r="P473" s="71"/>
      <c r="Q473" s="31"/>
      <c r="R473" s="26">
        <f>+I473+L473+N473-P473</f>
        <v>0</v>
      </c>
      <c r="S473" s="85"/>
      <c r="T473" s="84"/>
      <c r="U473" s="27"/>
      <c r="V473" s="13"/>
      <c r="W473" s="67"/>
      <c r="X473" s="56"/>
      <c r="Y473" s="55"/>
      <c r="Z473" s="13"/>
      <c r="AA473" s="71"/>
      <c r="AB473" s="31"/>
      <c r="AC473" s="26">
        <f>+R473+W473+Y473-AA473</f>
        <v>0</v>
      </c>
      <c r="AD473" s="25"/>
      <c r="AE473" s="25"/>
      <c r="AF473" s="13"/>
      <c r="AG473" s="13"/>
      <c r="AH473" s="13"/>
    </row>
    <row r="474" spans="1:34" x14ac:dyDescent="0.3">
      <c r="A474" s="65">
        <v>471</v>
      </c>
      <c r="B474" s="25"/>
      <c r="C474" s="25"/>
      <c r="D474" s="25"/>
      <c r="E474" s="30" t="str">
        <f>CONCATENATE(B474,"-",C474,"-",D474)</f>
        <v>--</v>
      </c>
      <c r="F474" s="13">
        <f>VLOOKUP(E474,'LISTA ITEMS'!$E$2:$G$875,2,FALSE)</f>
        <v>0</v>
      </c>
      <c r="G474" s="25">
        <f>VLOOKUP(E474,'LISTA ITEMS'!$E$2:$G$875,3,FALSE)</f>
        <v>0</v>
      </c>
      <c r="H474" s="76"/>
      <c r="I474" s="75">
        <v>0</v>
      </c>
      <c r="J474" s="27"/>
      <c r="K474" s="13"/>
      <c r="L474" s="67"/>
      <c r="M474" s="56"/>
      <c r="N474" s="55"/>
      <c r="O474" s="13"/>
      <c r="P474" s="71"/>
      <c r="Q474" s="31"/>
      <c r="R474" s="26">
        <f>+I474+L474+N474-P474</f>
        <v>0</v>
      </c>
      <c r="S474" s="85"/>
      <c r="T474" s="84"/>
      <c r="U474" s="27"/>
      <c r="V474" s="13"/>
      <c r="W474" s="67"/>
      <c r="X474" s="56"/>
      <c r="Y474" s="55"/>
      <c r="Z474" s="13"/>
      <c r="AA474" s="71"/>
      <c r="AB474" s="31"/>
      <c r="AC474" s="26">
        <f>+R474+W474+Y474-AA474</f>
        <v>0</v>
      </c>
      <c r="AD474" s="25"/>
      <c r="AE474" s="25"/>
      <c r="AF474" s="13"/>
      <c r="AG474" s="13"/>
      <c r="AH474" s="13"/>
    </row>
    <row r="475" spans="1:34" x14ac:dyDescent="0.3">
      <c r="A475" s="65">
        <v>472</v>
      </c>
      <c r="B475" s="25"/>
      <c r="C475" s="25"/>
      <c r="D475" s="25"/>
      <c r="E475" s="30" t="str">
        <f>CONCATENATE(B475,"-",C475,"-",D475)</f>
        <v>--</v>
      </c>
      <c r="F475" s="13">
        <f>VLOOKUP(E475,'LISTA ITEMS'!$E$2:$G$875,2,FALSE)</f>
        <v>0</v>
      </c>
      <c r="G475" s="25">
        <f>VLOOKUP(E475,'LISTA ITEMS'!$E$2:$G$875,3,FALSE)</f>
        <v>0</v>
      </c>
      <c r="H475" s="76"/>
      <c r="I475" s="75">
        <v>0</v>
      </c>
      <c r="J475" s="27"/>
      <c r="K475" s="13"/>
      <c r="L475" s="67"/>
      <c r="M475" s="56"/>
      <c r="N475" s="55"/>
      <c r="O475" s="13"/>
      <c r="P475" s="71"/>
      <c r="Q475" s="31"/>
      <c r="R475" s="26">
        <f>+I475+L475+N475-P475</f>
        <v>0</v>
      </c>
      <c r="S475" s="85"/>
      <c r="T475" s="84"/>
      <c r="U475" s="27"/>
      <c r="V475" s="13"/>
      <c r="W475" s="67"/>
      <c r="X475" s="56"/>
      <c r="Y475" s="55"/>
      <c r="Z475" s="13"/>
      <c r="AA475" s="71"/>
      <c r="AB475" s="31"/>
      <c r="AC475" s="26">
        <f>+R475+W475+Y475-AA475</f>
        <v>0</v>
      </c>
      <c r="AD475" s="25"/>
      <c r="AE475" s="25"/>
      <c r="AF475" s="13"/>
      <c r="AG475" s="13"/>
      <c r="AH475" s="13"/>
    </row>
    <row r="476" spans="1:34" x14ac:dyDescent="0.3">
      <c r="A476" s="65">
        <v>473</v>
      </c>
      <c r="B476" s="25"/>
      <c r="C476" s="25"/>
      <c r="D476" s="25"/>
      <c r="E476" s="30" t="str">
        <f>CONCATENATE(B476,"-",C476,"-",D476)</f>
        <v>--</v>
      </c>
      <c r="F476" s="13">
        <f>VLOOKUP(E476,'LISTA ITEMS'!$E$2:$G$875,2,FALSE)</f>
        <v>0</v>
      </c>
      <c r="G476" s="25">
        <f>VLOOKUP(E476,'LISTA ITEMS'!$E$2:$G$875,3,FALSE)</f>
        <v>0</v>
      </c>
      <c r="H476" s="76"/>
      <c r="I476" s="75">
        <v>0</v>
      </c>
      <c r="J476" s="27"/>
      <c r="K476" s="13"/>
      <c r="L476" s="67"/>
      <c r="M476" s="56"/>
      <c r="N476" s="55"/>
      <c r="O476" s="13"/>
      <c r="P476" s="71"/>
      <c r="Q476" s="31"/>
      <c r="R476" s="26">
        <f>+I476+L476+N476-P476</f>
        <v>0</v>
      </c>
      <c r="S476" s="85"/>
      <c r="T476" s="84"/>
      <c r="U476" s="27"/>
      <c r="V476" s="13"/>
      <c r="W476" s="67"/>
      <c r="X476" s="56"/>
      <c r="Y476" s="55"/>
      <c r="Z476" s="13"/>
      <c r="AA476" s="71"/>
      <c r="AB476" s="31"/>
      <c r="AC476" s="26">
        <f>+R476+W476+Y476-AA476</f>
        <v>0</v>
      </c>
      <c r="AD476" s="25"/>
      <c r="AE476" s="25"/>
      <c r="AF476" s="13"/>
      <c r="AG476" s="13"/>
      <c r="AH476" s="13"/>
    </row>
    <row r="477" spans="1:34" x14ac:dyDescent="0.3">
      <c r="A477" s="65">
        <v>474</v>
      </c>
      <c r="B477" s="25"/>
      <c r="C477" s="25"/>
      <c r="D477" s="25"/>
      <c r="E477" s="30" t="str">
        <f>CONCATENATE(B477,"-",C477,"-",D477)</f>
        <v>--</v>
      </c>
      <c r="F477" s="13">
        <f>VLOOKUP(E477,'LISTA ITEMS'!$E$2:$G$875,2,FALSE)</f>
        <v>0</v>
      </c>
      <c r="G477" s="25">
        <f>VLOOKUP(E477,'LISTA ITEMS'!$E$2:$G$875,3,FALSE)</f>
        <v>0</v>
      </c>
      <c r="H477" s="76"/>
      <c r="I477" s="75">
        <v>0</v>
      </c>
      <c r="J477" s="27"/>
      <c r="K477" s="13"/>
      <c r="L477" s="67"/>
      <c r="M477" s="56"/>
      <c r="N477" s="55"/>
      <c r="O477" s="13"/>
      <c r="P477" s="71"/>
      <c r="Q477" s="31"/>
      <c r="R477" s="26">
        <f>+I477+L477+N477-P477</f>
        <v>0</v>
      </c>
      <c r="S477" s="85"/>
      <c r="T477" s="84"/>
      <c r="U477" s="27"/>
      <c r="V477" s="13"/>
      <c r="W477" s="67"/>
      <c r="X477" s="56"/>
      <c r="Y477" s="55"/>
      <c r="Z477" s="13"/>
      <c r="AA477" s="71"/>
      <c r="AB477" s="31"/>
      <c r="AC477" s="26">
        <f>+R477+W477+Y477-AA477</f>
        <v>0</v>
      </c>
      <c r="AD477" s="25"/>
      <c r="AE477" s="25"/>
      <c r="AF477" s="13"/>
      <c r="AG477" s="13"/>
      <c r="AH477" s="13"/>
    </row>
    <row r="478" spans="1:34" x14ac:dyDescent="0.3">
      <c r="A478" s="65">
        <v>475</v>
      </c>
      <c r="B478" s="25"/>
      <c r="C478" s="25"/>
      <c r="D478" s="25"/>
      <c r="E478" s="30" t="str">
        <f>CONCATENATE(B478,"-",C478,"-",D478)</f>
        <v>--</v>
      </c>
      <c r="F478" s="13">
        <f>VLOOKUP(E478,'LISTA ITEMS'!$E$2:$G$875,2,FALSE)</f>
        <v>0</v>
      </c>
      <c r="G478" s="25">
        <f>VLOOKUP(E478,'LISTA ITEMS'!$E$2:$G$875,3,FALSE)</f>
        <v>0</v>
      </c>
      <c r="H478" s="76"/>
      <c r="I478" s="75">
        <v>0</v>
      </c>
      <c r="J478" s="27"/>
      <c r="K478" s="13"/>
      <c r="L478" s="67"/>
      <c r="M478" s="56"/>
      <c r="N478" s="55"/>
      <c r="O478" s="13"/>
      <c r="P478" s="71"/>
      <c r="Q478" s="31"/>
      <c r="R478" s="26">
        <f>+I478+L478+N478-P478</f>
        <v>0</v>
      </c>
      <c r="S478" s="85"/>
      <c r="T478" s="84"/>
      <c r="U478" s="27"/>
      <c r="V478" s="13"/>
      <c r="W478" s="67"/>
      <c r="X478" s="56"/>
      <c r="Y478" s="55"/>
      <c r="Z478" s="13"/>
      <c r="AA478" s="71"/>
      <c r="AB478" s="31"/>
      <c r="AC478" s="26">
        <f>+R478+W478+Y478-AA478</f>
        <v>0</v>
      </c>
      <c r="AD478" s="25"/>
      <c r="AE478" s="25"/>
      <c r="AF478" s="13"/>
      <c r="AG478" s="13"/>
      <c r="AH478" s="13"/>
    </row>
    <row r="479" spans="1:34" x14ac:dyDescent="0.3">
      <c r="A479" s="65">
        <v>476</v>
      </c>
      <c r="B479" s="25"/>
      <c r="C479" s="25"/>
      <c r="D479" s="25"/>
      <c r="E479" s="30" t="str">
        <f>CONCATENATE(B479,"-",C479,"-",D479)</f>
        <v>--</v>
      </c>
      <c r="F479" s="13">
        <f>VLOOKUP(E479,'LISTA ITEMS'!$E$2:$G$875,2,FALSE)</f>
        <v>0</v>
      </c>
      <c r="G479" s="25">
        <f>VLOOKUP(E479,'LISTA ITEMS'!$E$2:$G$875,3,FALSE)</f>
        <v>0</v>
      </c>
      <c r="H479" s="76"/>
      <c r="I479" s="75">
        <v>0</v>
      </c>
      <c r="J479" s="27"/>
      <c r="K479" s="13"/>
      <c r="L479" s="67"/>
      <c r="M479" s="56"/>
      <c r="N479" s="55"/>
      <c r="O479" s="13"/>
      <c r="P479" s="71"/>
      <c r="Q479" s="31"/>
      <c r="R479" s="26">
        <f>+I479+L479+N479-P479</f>
        <v>0</v>
      </c>
      <c r="S479" s="85"/>
      <c r="T479" s="84"/>
      <c r="U479" s="27"/>
      <c r="V479" s="13"/>
      <c r="W479" s="67"/>
      <c r="X479" s="56"/>
      <c r="Y479" s="55"/>
      <c r="Z479" s="13"/>
      <c r="AA479" s="71"/>
      <c r="AB479" s="31"/>
      <c r="AC479" s="26">
        <f>+R479+W479+Y479-AA479</f>
        <v>0</v>
      </c>
      <c r="AD479" s="25"/>
      <c r="AE479" s="25"/>
      <c r="AF479" s="13"/>
      <c r="AG479" s="13"/>
      <c r="AH479" s="13"/>
    </row>
    <row r="480" spans="1:34" x14ac:dyDescent="0.3">
      <c r="A480" s="65">
        <v>477</v>
      </c>
      <c r="B480" s="25"/>
      <c r="C480" s="25"/>
      <c r="D480" s="25"/>
      <c r="E480" s="30" t="str">
        <f>CONCATENATE(B480,"-",C480,"-",D480)</f>
        <v>--</v>
      </c>
      <c r="F480" s="13">
        <f>VLOOKUP(E480,'LISTA ITEMS'!$E$2:$G$875,2,FALSE)</f>
        <v>0</v>
      </c>
      <c r="G480" s="25">
        <f>VLOOKUP(E480,'LISTA ITEMS'!$E$2:$G$875,3,FALSE)</f>
        <v>0</v>
      </c>
      <c r="H480" s="76"/>
      <c r="I480" s="75">
        <v>0</v>
      </c>
      <c r="J480" s="27"/>
      <c r="K480" s="13"/>
      <c r="L480" s="67"/>
      <c r="M480" s="56"/>
      <c r="N480" s="55"/>
      <c r="O480" s="13"/>
      <c r="P480" s="71"/>
      <c r="Q480" s="31"/>
      <c r="R480" s="26">
        <f>+I480+L480+N480-P480</f>
        <v>0</v>
      </c>
      <c r="S480" s="85"/>
      <c r="T480" s="84"/>
      <c r="U480" s="27"/>
      <c r="V480" s="13"/>
      <c r="W480" s="67"/>
      <c r="X480" s="56"/>
      <c r="Y480" s="55"/>
      <c r="Z480" s="13"/>
      <c r="AA480" s="71"/>
      <c r="AB480" s="31"/>
      <c r="AC480" s="26">
        <f>+R480+W480+Y480-AA480</f>
        <v>0</v>
      </c>
      <c r="AD480" s="25"/>
      <c r="AE480" s="25"/>
      <c r="AF480" s="13"/>
      <c r="AG480" s="13"/>
      <c r="AH480" s="13"/>
    </row>
    <row r="481" spans="1:34" x14ac:dyDescent="0.3">
      <c r="A481" s="65">
        <v>478</v>
      </c>
      <c r="B481" s="25"/>
      <c r="C481" s="25"/>
      <c r="D481" s="25"/>
      <c r="E481" s="30" t="str">
        <f>CONCATENATE(B481,"-",C481,"-",D481)</f>
        <v>--</v>
      </c>
      <c r="F481" s="13">
        <f>VLOOKUP(E481,'LISTA ITEMS'!$E$2:$G$875,2,FALSE)</f>
        <v>0</v>
      </c>
      <c r="G481" s="25">
        <f>VLOOKUP(E481,'LISTA ITEMS'!$E$2:$G$875,3,FALSE)</f>
        <v>0</v>
      </c>
      <c r="H481" s="76"/>
      <c r="I481" s="75">
        <v>0</v>
      </c>
      <c r="J481" s="27"/>
      <c r="K481" s="13"/>
      <c r="L481" s="67"/>
      <c r="M481" s="56"/>
      <c r="N481" s="55"/>
      <c r="O481" s="13"/>
      <c r="P481" s="71"/>
      <c r="Q481" s="31"/>
      <c r="R481" s="26">
        <f>+I481+L481+N481-P481</f>
        <v>0</v>
      </c>
      <c r="S481" s="85"/>
      <c r="T481" s="84"/>
      <c r="U481" s="27"/>
      <c r="V481" s="13"/>
      <c r="W481" s="67"/>
      <c r="X481" s="56"/>
      <c r="Y481" s="55"/>
      <c r="Z481" s="13"/>
      <c r="AA481" s="71"/>
      <c r="AB481" s="31"/>
      <c r="AC481" s="26">
        <f>+R481+W481+Y481-AA481</f>
        <v>0</v>
      </c>
      <c r="AD481" s="25"/>
      <c r="AE481" s="25"/>
      <c r="AF481" s="13"/>
      <c r="AG481" s="13"/>
      <c r="AH481" s="13"/>
    </row>
    <row r="482" spans="1:34" x14ac:dyDescent="0.3">
      <c r="A482" s="65">
        <v>479</v>
      </c>
      <c r="B482" s="25"/>
      <c r="C482" s="25"/>
      <c r="D482" s="25"/>
      <c r="E482" s="30" t="str">
        <f>CONCATENATE(B482,"-",C482,"-",D482)</f>
        <v>--</v>
      </c>
      <c r="F482" s="13">
        <f>VLOOKUP(E482,'LISTA ITEMS'!$E$2:$G$875,2,FALSE)</f>
        <v>0</v>
      </c>
      <c r="G482" s="25">
        <f>VLOOKUP(E482,'LISTA ITEMS'!$E$2:$G$875,3,FALSE)</f>
        <v>0</v>
      </c>
      <c r="H482" s="76"/>
      <c r="I482" s="75">
        <v>0</v>
      </c>
      <c r="J482" s="27"/>
      <c r="K482" s="13"/>
      <c r="L482" s="67"/>
      <c r="M482" s="56"/>
      <c r="N482" s="55"/>
      <c r="O482" s="13"/>
      <c r="P482" s="71"/>
      <c r="Q482" s="31"/>
      <c r="R482" s="26">
        <f>+I482+L482+N482-P482</f>
        <v>0</v>
      </c>
      <c r="S482" s="85"/>
      <c r="T482" s="84"/>
      <c r="U482" s="27"/>
      <c r="V482" s="13"/>
      <c r="W482" s="67"/>
      <c r="X482" s="56"/>
      <c r="Y482" s="55"/>
      <c r="Z482" s="13"/>
      <c r="AA482" s="71"/>
      <c r="AB482" s="31"/>
      <c r="AC482" s="26">
        <f>+R482+W482+Y482-AA482</f>
        <v>0</v>
      </c>
      <c r="AD482" s="25"/>
      <c r="AE482" s="25"/>
      <c r="AF482" s="13"/>
      <c r="AG482" s="13"/>
      <c r="AH482" s="13"/>
    </row>
    <row r="483" spans="1:34" x14ac:dyDescent="0.3">
      <c r="A483" s="65">
        <v>480</v>
      </c>
      <c r="B483" s="25"/>
      <c r="C483" s="25"/>
      <c r="D483" s="25"/>
      <c r="E483" s="30" t="str">
        <f>CONCATENATE(B483,"-",C483,"-",D483)</f>
        <v>--</v>
      </c>
      <c r="F483" s="13">
        <f>VLOOKUP(E483,'LISTA ITEMS'!$E$2:$G$875,2,FALSE)</f>
        <v>0</v>
      </c>
      <c r="G483" s="25">
        <f>VLOOKUP(E483,'LISTA ITEMS'!$E$2:$G$875,3,FALSE)</f>
        <v>0</v>
      </c>
      <c r="H483" s="76"/>
      <c r="I483" s="75">
        <v>0</v>
      </c>
      <c r="J483" s="27"/>
      <c r="K483" s="13"/>
      <c r="L483" s="67"/>
      <c r="M483" s="56"/>
      <c r="N483" s="55"/>
      <c r="O483" s="13"/>
      <c r="P483" s="71"/>
      <c r="Q483" s="31"/>
      <c r="R483" s="26">
        <f>+I483+L483+N483-P483</f>
        <v>0</v>
      </c>
      <c r="S483" s="85"/>
      <c r="T483" s="84"/>
      <c r="U483" s="27"/>
      <c r="V483" s="13"/>
      <c r="W483" s="67"/>
      <c r="X483" s="56"/>
      <c r="Y483" s="55"/>
      <c r="Z483" s="13"/>
      <c r="AA483" s="71"/>
      <c r="AB483" s="31"/>
      <c r="AC483" s="26">
        <f>+R483+W483+Y483-AA483</f>
        <v>0</v>
      </c>
      <c r="AD483" s="25"/>
      <c r="AE483" s="25"/>
      <c r="AF483" s="13"/>
      <c r="AG483" s="13"/>
      <c r="AH483" s="13"/>
    </row>
    <row r="484" spans="1:34" x14ac:dyDescent="0.3">
      <c r="A484" s="65">
        <v>481</v>
      </c>
      <c r="B484" s="25"/>
      <c r="C484" s="25"/>
      <c r="D484" s="25"/>
      <c r="E484" s="30" t="str">
        <f>CONCATENATE(B484,"-",C484,"-",D484)</f>
        <v>--</v>
      </c>
      <c r="F484" s="13">
        <f>VLOOKUP(E484,'LISTA ITEMS'!$E$2:$G$875,2,FALSE)</f>
        <v>0</v>
      </c>
      <c r="G484" s="25">
        <f>VLOOKUP(E484,'LISTA ITEMS'!$E$2:$G$875,3,FALSE)</f>
        <v>0</v>
      </c>
      <c r="H484" s="76"/>
      <c r="I484" s="75">
        <v>0</v>
      </c>
      <c r="J484" s="27"/>
      <c r="K484" s="13"/>
      <c r="L484" s="67"/>
      <c r="M484" s="56"/>
      <c r="N484" s="55"/>
      <c r="O484" s="13"/>
      <c r="P484" s="71"/>
      <c r="Q484" s="31"/>
      <c r="R484" s="26">
        <f>+I484+L484+N484-P484</f>
        <v>0</v>
      </c>
      <c r="S484" s="85"/>
      <c r="T484" s="84"/>
      <c r="U484" s="27"/>
      <c r="V484" s="13"/>
      <c r="W484" s="67"/>
      <c r="X484" s="56"/>
      <c r="Y484" s="55"/>
      <c r="Z484" s="13"/>
      <c r="AA484" s="71"/>
      <c r="AB484" s="31"/>
      <c r="AC484" s="26">
        <f>+R484+W484+Y484-AA484</f>
        <v>0</v>
      </c>
      <c r="AD484" s="25"/>
      <c r="AE484" s="25"/>
      <c r="AF484" s="13"/>
      <c r="AG484" s="13"/>
      <c r="AH484" s="13"/>
    </row>
    <row r="485" spans="1:34" x14ac:dyDescent="0.3">
      <c r="A485" s="65">
        <v>482</v>
      </c>
      <c r="B485" s="25"/>
      <c r="C485" s="25"/>
      <c r="D485" s="25"/>
      <c r="E485" s="30" t="str">
        <f>CONCATENATE(B485,"-",C485,"-",D485)</f>
        <v>--</v>
      </c>
      <c r="F485" s="13">
        <f>VLOOKUP(E485,'LISTA ITEMS'!$E$2:$G$875,2,FALSE)</f>
        <v>0</v>
      </c>
      <c r="G485" s="25">
        <f>VLOOKUP(E485,'LISTA ITEMS'!$E$2:$G$875,3,FALSE)</f>
        <v>0</v>
      </c>
      <c r="H485" s="76"/>
      <c r="I485" s="75">
        <v>0</v>
      </c>
      <c r="J485" s="27"/>
      <c r="K485" s="13"/>
      <c r="L485" s="67"/>
      <c r="M485" s="56"/>
      <c r="N485" s="55"/>
      <c r="O485" s="13"/>
      <c r="P485" s="71"/>
      <c r="Q485" s="31"/>
      <c r="R485" s="26">
        <f>+I485+L485+N485-P485</f>
        <v>0</v>
      </c>
      <c r="S485" s="85"/>
      <c r="T485" s="84"/>
      <c r="U485" s="27"/>
      <c r="V485" s="13"/>
      <c r="W485" s="67"/>
      <c r="X485" s="56"/>
      <c r="Y485" s="55"/>
      <c r="Z485" s="13"/>
      <c r="AA485" s="71"/>
      <c r="AB485" s="31"/>
      <c r="AC485" s="26">
        <f>+R485+W485+Y485-AA485</f>
        <v>0</v>
      </c>
      <c r="AD485" s="25"/>
      <c r="AE485" s="25"/>
      <c r="AF485" s="13"/>
      <c r="AG485" s="13"/>
      <c r="AH485" s="13"/>
    </row>
    <row r="486" spans="1:34" x14ac:dyDescent="0.3">
      <c r="A486" s="65">
        <v>483</v>
      </c>
      <c r="B486" s="25"/>
      <c r="C486" s="25"/>
      <c r="D486" s="25"/>
      <c r="E486" s="30" t="str">
        <f>CONCATENATE(B486,"-",C486,"-",D486)</f>
        <v>--</v>
      </c>
      <c r="F486" s="13">
        <f>VLOOKUP(E486,'LISTA ITEMS'!$E$2:$G$875,2,FALSE)</f>
        <v>0</v>
      </c>
      <c r="G486" s="25">
        <f>VLOOKUP(E486,'LISTA ITEMS'!$E$2:$G$875,3,FALSE)</f>
        <v>0</v>
      </c>
      <c r="H486" s="76"/>
      <c r="I486" s="75">
        <v>0</v>
      </c>
      <c r="J486" s="27"/>
      <c r="K486" s="13"/>
      <c r="L486" s="67"/>
      <c r="M486" s="56"/>
      <c r="N486" s="55"/>
      <c r="O486" s="13"/>
      <c r="P486" s="71"/>
      <c r="Q486" s="31"/>
      <c r="R486" s="26">
        <f>+I486+L486+N486-P486</f>
        <v>0</v>
      </c>
      <c r="S486" s="85"/>
      <c r="T486" s="84"/>
      <c r="U486" s="27"/>
      <c r="V486" s="13"/>
      <c r="W486" s="67"/>
      <c r="X486" s="56"/>
      <c r="Y486" s="55"/>
      <c r="Z486" s="13"/>
      <c r="AA486" s="71"/>
      <c r="AB486" s="31"/>
      <c r="AC486" s="26">
        <f>+R486+W486+Y486-AA486</f>
        <v>0</v>
      </c>
      <c r="AD486" s="25"/>
      <c r="AE486" s="25"/>
      <c r="AF486" s="13"/>
      <c r="AG486" s="13"/>
      <c r="AH486" s="13"/>
    </row>
    <row r="487" spans="1:34" x14ac:dyDescent="0.3">
      <c r="A487" s="65">
        <v>484</v>
      </c>
      <c r="B487" s="25"/>
      <c r="C487" s="25"/>
      <c r="D487" s="25"/>
      <c r="E487" s="30" t="str">
        <f>CONCATENATE(B487,"-",C487,"-",D487)</f>
        <v>--</v>
      </c>
      <c r="F487" s="13">
        <f>VLOOKUP(E487,'LISTA ITEMS'!$E$2:$G$875,2,FALSE)</f>
        <v>0</v>
      </c>
      <c r="G487" s="25">
        <f>VLOOKUP(E487,'LISTA ITEMS'!$E$2:$G$875,3,FALSE)</f>
        <v>0</v>
      </c>
      <c r="H487" s="76"/>
      <c r="I487" s="75">
        <v>0</v>
      </c>
      <c r="J487" s="27"/>
      <c r="K487" s="13"/>
      <c r="L487" s="67"/>
      <c r="M487" s="56"/>
      <c r="N487" s="55"/>
      <c r="O487" s="13"/>
      <c r="P487" s="71"/>
      <c r="Q487" s="31"/>
      <c r="R487" s="26">
        <f>+I487+L487+N487-P487</f>
        <v>0</v>
      </c>
      <c r="S487" s="85"/>
      <c r="T487" s="84"/>
      <c r="U487" s="27"/>
      <c r="V487" s="13"/>
      <c r="W487" s="67"/>
      <c r="X487" s="56"/>
      <c r="Y487" s="55"/>
      <c r="Z487" s="13"/>
      <c r="AA487" s="71"/>
      <c r="AB487" s="31"/>
      <c r="AC487" s="26">
        <f>+R487+W487+Y487-AA487</f>
        <v>0</v>
      </c>
      <c r="AD487" s="25"/>
      <c r="AE487" s="25"/>
      <c r="AF487" s="13"/>
      <c r="AG487" s="13"/>
      <c r="AH487" s="13"/>
    </row>
    <row r="488" spans="1:34" x14ac:dyDescent="0.3">
      <c r="A488" s="65">
        <v>485</v>
      </c>
      <c r="B488" s="25"/>
      <c r="C488" s="25"/>
      <c r="D488" s="25"/>
      <c r="E488" s="30" t="str">
        <f>CONCATENATE(B488,"-",C488,"-",D488)</f>
        <v>--</v>
      </c>
      <c r="F488" s="13">
        <f>VLOOKUP(E488,'LISTA ITEMS'!$E$2:$G$875,2,FALSE)</f>
        <v>0</v>
      </c>
      <c r="G488" s="25">
        <f>VLOOKUP(E488,'LISTA ITEMS'!$E$2:$G$875,3,FALSE)</f>
        <v>0</v>
      </c>
      <c r="H488" s="76"/>
      <c r="I488" s="75">
        <v>0</v>
      </c>
      <c r="J488" s="27"/>
      <c r="K488" s="13"/>
      <c r="L488" s="67"/>
      <c r="M488" s="56"/>
      <c r="N488" s="55"/>
      <c r="O488" s="13"/>
      <c r="P488" s="71"/>
      <c r="Q488" s="31"/>
      <c r="R488" s="26">
        <f>+I488+L488+N488-P488</f>
        <v>0</v>
      </c>
      <c r="S488" s="85"/>
      <c r="T488" s="84"/>
      <c r="U488" s="27"/>
      <c r="V488" s="13"/>
      <c r="W488" s="67"/>
      <c r="X488" s="56"/>
      <c r="Y488" s="55"/>
      <c r="Z488" s="13"/>
      <c r="AA488" s="71"/>
      <c r="AB488" s="31"/>
      <c r="AC488" s="26">
        <f>+R488+W488+Y488-AA488</f>
        <v>0</v>
      </c>
      <c r="AD488" s="25"/>
      <c r="AE488" s="25"/>
      <c r="AF488" s="13"/>
      <c r="AG488" s="13"/>
      <c r="AH488" s="13"/>
    </row>
    <row r="489" spans="1:34" x14ac:dyDescent="0.3">
      <c r="A489" s="65">
        <v>486</v>
      </c>
      <c r="B489" s="25"/>
      <c r="C489" s="25"/>
      <c r="D489" s="25"/>
      <c r="E489" s="30" t="str">
        <f>CONCATENATE(B489,"-",C489,"-",D489)</f>
        <v>--</v>
      </c>
      <c r="F489" s="13">
        <f>VLOOKUP(E489,'LISTA ITEMS'!$E$2:$G$875,2,FALSE)</f>
        <v>0</v>
      </c>
      <c r="G489" s="25">
        <f>VLOOKUP(E489,'LISTA ITEMS'!$E$2:$G$875,3,FALSE)</f>
        <v>0</v>
      </c>
      <c r="H489" s="76"/>
      <c r="I489" s="75">
        <v>0</v>
      </c>
      <c r="J489" s="27"/>
      <c r="K489" s="13"/>
      <c r="L489" s="67"/>
      <c r="M489" s="56"/>
      <c r="N489" s="55"/>
      <c r="O489" s="13"/>
      <c r="P489" s="71"/>
      <c r="Q489" s="31"/>
      <c r="R489" s="26">
        <f>+I489+L489+N489-P489</f>
        <v>0</v>
      </c>
      <c r="S489" s="85"/>
      <c r="T489" s="84"/>
      <c r="U489" s="27"/>
      <c r="V489" s="13"/>
      <c r="W489" s="67"/>
      <c r="X489" s="56"/>
      <c r="Y489" s="55"/>
      <c r="Z489" s="13"/>
      <c r="AA489" s="71"/>
      <c r="AB489" s="31"/>
      <c r="AC489" s="26">
        <f>+R489+W489+Y489-AA489</f>
        <v>0</v>
      </c>
      <c r="AD489" s="25"/>
      <c r="AE489" s="25"/>
      <c r="AF489" s="13"/>
      <c r="AG489" s="13"/>
      <c r="AH489" s="13"/>
    </row>
    <row r="490" spans="1:34" x14ac:dyDescent="0.3">
      <c r="A490" s="65">
        <v>487</v>
      </c>
      <c r="B490" s="25"/>
      <c r="C490" s="25"/>
      <c r="D490" s="25"/>
      <c r="E490" s="30" t="str">
        <f>CONCATENATE(B490,"-",C490,"-",D490)</f>
        <v>--</v>
      </c>
      <c r="F490" s="13">
        <f>VLOOKUP(E490,'LISTA ITEMS'!$E$2:$G$875,2,FALSE)</f>
        <v>0</v>
      </c>
      <c r="G490" s="25">
        <f>VLOOKUP(E490,'LISTA ITEMS'!$E$2:$G$875,3,FALSE)</f>
        <v>0</v>
      </c>
      <c r="H490" s="76"/>
      <c r="I490" s="75">
        <v>0</v>
      </c>
      <c r="J490" s="27"/>
      <c r="K490" s="13"/>
      <c r="L490" s="67"/>
      <c r="M490" s="56"/>
      <c r="N490" s="55"/>
      <c r="O490" s="13"/>
      <c r="P490" s="71"/>
      <c r="Q490" s="31"/>
      <c r="R490" s="26">
        <f>+I490+L490+N490-P490</f>
        <v>0</v>
      </c>
      <c r="S490" s="85"/>
      <c r="T490" s="84"/>
      <c r="U490" s="27"/>
      <c r="V490" s="13"/>
      <c r="W490" s="67"/>
      <c r="X490" s="56"/>
      <c r="Y490" s="55"/>
      <c r="Z490" s="13"/>
      <c r="AA490" s="71"/>
      <c r="AB490" s="31"/>
      <c r="AC490" s="26">
        <f>+R490+W490+Y490-AA490</f>
        <v>0</v>
      </c>
      <c r="AD490" s="25"/>
      <c r="AE490" s="25"/>
      <c r="AF490" s="13"/>
      <c r="AG490" s="13"/>
      <c r="AH490" s="13"/>
    </row>
    <row r="491" spans="1:34" x14ac:dyDescent="0.3">
      <c r="A491" s="65">
        <v>488</v>
      </c>
      <c r="B491" s="25"/>
      <c r="C491" s="25"/>
      <c r="D491" s="25"/>
      <c r="E491" s="30" t="str">
        <f>CONCATENATE(B491,"-",C491,"-",D491)</f>
        <v>--</v>
      </c>
      <c r="F491" s="13">
        <f>VLOOKUP(E491,'LISTA ITEMS'!$E$2:$G$875,2,FALSE)</f>
        <v>0</v>
      </c>
      <c r="G491" s="25">
        <f>VLOOKUP(E491,'LISTA ITEMS'!$E$2:$G$875,3,FALSE)</f>
        <v>0</v>
      </c>
      <c r="H491" s="76"/>
      <c r="I491" s="75">
        <v>0</v>
      </c>
      <c r="J491" s="27"/>
      <c r="K491" s="13"/>
      <c r="L491" s="67"/>
      <c r="M491" s="56"/>
      <c r="N491" s="55"/>
      <c r="O491" s="13"/>
      <c r="P491" s="71"/>
      <c r="Q491" s="31"/>
      <c r="R491" s="26">
        <f>+I491+L491+N491-P491</f>
        <v>0</v>
      </c>
      <c r="S491" s="85"/>
      <c r="T491" s="84"/>
      <c r="U491" s="27"/>
      <c r="V491" s="13"/>
      <c r="W491" s="67"/>
      <c r="X491" s="56"/>
      <c r="Y491" s="55"/>
      <c r="Z491" s="13"/>
      <c r="AA491" s="71"/>
      <c r="AB491" s="31"/>
      <c r="AC491" s="26">
        <f>+R491+W491+Y491-AA491</f>
        <v>0</v>
      </c>
      <c r="AD491" s="25"/>
      <c r="AE491" s="25"/>
      <c r="AF491" s="13"/>
      <c r="AG491" s="13"/>
      <c r="AH491" s="13"/>
    </row>
    <row r="492" spans="1:34" x14ac:dyDescent="0.3">
      <c r="A492" s="65">
        <v>489</v>
      </c>
      <c r="B492" s="25"/>
      <c r="C492" s="25"/>
      <c r="D492" s="25"/>
      <c r="E492" s="30" t="str">
        <f>CONCATENATE(B492,"-",C492,"-",D492)</f>
        <v>--</v>
      </c>
      <c r="F492" s="13">
        <f>VLOOKUP(E492,'LISTA ITEMS'!$E$2:$G$875,2,FALSE)</f>
        <v>0</v>
      </c>
      <c r="G492" s="25">
        <f>VLOOKUP(E492,'LISTA ITEMS'!$E$2:$G$875,3,FALSE)</f>
        <v>0</v>
      </c>
      <c r="H492" s="76"/>
      <c r="I492" s="75">
        <v>0</v>
      </c>
      <c r="J492" s="27"/>
      <c r="K492" s="13"/>
      <c r="L492" s="67"/>
      <c r="M492" s="56"/>
      <c r="N492" s="55"/>
      <c r="O492" s="13"/>
      <c r="P492" s="71"/>
      <c r="Q492" s="31"/>
      <c r="R492" s="26">
        <f>+I492+L492+N492-P492</f>
        <v>0</v>
      </c>
      <c r="S492" s="85"/>
      <c r="T492" s="84"/>
      <c r="U492" s="27"/>
      <c r="V492" s="13"/>
      <c r="W492" s="67"/>
      <c r="X492" s="56"/>
      <c r="Y492" s="55"/>
      <c r="Z492" s="13"/>
      <c r="AA492" s="71"/>
      <c r="AB492" s="31"/>
      <c r="AC492" s="26">
        <f>+R492+W492+Y492-AA492</f>
        <v>0</v>
      </c>
      <c r="AD492" s="25"/>
      <c r="AE492" s="25"/>
      <c r="AF492" s="13"/>
      <c r="AG492" s="13"/>
      <c r="AH492" s="13"/>
    </row>
    <row r="493" spans="1:34" x14ac:dyDescent="0.3">
      <c r="A493" s="65">
        <v>490</v>
      </c>
      <c r="B493" s="25"/>
      <c r="C493" s="25"/>
      <c r="D493" s="25"/>
      <c r="E493" s="30" t="str">
        <f>CONCATENATE(B493,"-",C493,"-",D493)</f>
        <v>--</v>
      </c>
      <c r="F493" s="13">
        <f>VLOOKUP(E493,'LISTA ITEMS'!$E$2:$G$875,2,FALSE)</f>
        <v>0</v>
      </c>
      <c r="G493" s="25">
        <f>VLOOKUP(E493,'LISTA ITEMS'!$E$2:$G$875,3,FALSE)</f>
        <v>0</v>
      </c>
      <c r="H493" s="76"/>
      <c r="I493" s="75">
        <v>0</v>
      </c>
      <c r="J493" s="27"/>
      <c r="K493" s="13"/>
      <c r="L493" s="67"/>
      <c r="M493" s="56"/>
      <c r="N493" s="55"/>
      <c r="O493" s="13"/>
      <c r="P493" s="71"/>
      <c r="Q493" s="31"/>
      <c r="R493" s="26">
        <f>+I493+L493+N493-P493</f>
        <v>0</v>
      </c>
      <c r="S493" s="85"/>
      <c r="T493" s="84"/>
      <c r="U493" s="27"/>
      <c r="V493" s="13"/>
      <c r="W493" s="67"/>
      <c r="X493" s="56"/>
      <c r="Y493" s="55"/>
      <c r="Z493" s="13"/>
      <c r="AA493" s="71"/>
      <c r="AB493" s="31"/>
      <c r="AC493" s="26">
        <f>+R493+W493+Y493-AA493</f>
        <v>0</v>
      </c>
      <c r="AD493" s="25"/>
      <c r="AE493" s="25"/>
      <c r="AF493" s="13"/>
      <c r="AG493" s="13"/>
      <c r="AH493" s="13"/>
    </row>
    <row r="494" spans="1:34" x14ac:dyDescent="0.3">
      <c r="A494" s="65">
        <v>491</v>
      </c>
      <c r="B494" s="25"/>
      <c r="C494" s="25"/>
      <c r="D494" s="25"/>
      <c r="E494" s="30" t="str">
        <f>CONCATENATE(B494,"-",C494,"-",D494)</f>
        <v>--</v>
      </c>
      <c r="F494" s="13">
        <f>VLOOKUP(E494,'LISTA ITEMS'!$E$2:$G$875,2,FALSE)</f>
        <v>0</v>
      </c>
      <c r="G494" s="25">
        <f>VLOOKUP(E494,'LISTA ITEMS'!$E$2:$G$875,3,FALSE)</f>
        <v>0</v>
      </c>
      <c r="H494" s="76"/>
      <c r="I494" s="75">
        <v>0</v>
      </c>
      <c r="J494" s="27"/>
      <c r="K494" s="13"/>
      <c r="L494" s="67"/>
      <c r="M494" s="56"/>
      <c r="N494" s="55"/>
      <c r="O494" s="13"/>
      <c r="P494" s="71"/>
      <c r="Q494" s="31"/>
      <c r="R494" s="26">
        <f>+I494+L494+N494-P494</f>
        <v>0</v>
      </c>
      <c r="S494" s="85"/>
      <c r="T494" s="84"/>
      <c r="U494" s="27"/>
      <c r="V494" s="13"/>
      <c r="W494" s="67"/>
      <c r="X494" s="56"/>
      <c r="Y494" s="55"/>
      <c r="Z494" s="13"/>
      <c r="AA494" s="71"/>
      <c r="AB494" s="31"/>
      <c r="AC494" s="26">
        <f>+R494+W494+Y494-AA494</f>
        <v>0</v>
      </c>
      <c r="AD494" s="25"/>
      <c r="AE494" s="25"/>
      <c r="AF494" s="13"/>
      <c r="AG494" s="13"/>
      <c r="AH494" s="13"/>
    </row>
    <row r="495" spans="1:34" x14ac:dyDescent="0.3">
      <c r="A495" s="65">
        <v>492</v>
      </c>
      <c r="B495" s="25"/>
      <c r="C495" s="25"/>
      <c r="D495" s="25"/>
      <c r="E495" s="30" t="str">
        <f>CONCATENATE(B495,"-",C495,"-",D495)</f>
        <v>--</v>
      </c>
      <c r="F495" s="13">
        <f>VLOOKUP(E495,'LISTA ITEMS'!$E$2:$G$875,2,FALSE)</f>
        <v>0</v>
      </c>
      <c r="G495" s="25">
        <f>VLOOKUP(E495,'LISTA ITEMS'!$E$2:$G$875,3,FALSE)</f>
        <v>0</v>
      </c>
      <c r="H495" s="76"/>
      <c r="I495" s="75">
        <v>0</v>
      </c>
      <c r="J495" s="27"/>
      <c r="K495" s="13"/>
      <c r="L495" s="67"/>
      <c r="M495" s="56"/>
      <c r="N495" s="55"/>
      <c r="O495" s="13"/>
      <c r="P495" s="71"/>
      <c r="Q495" s="31"/>
      <c r="R495" s="26">
        <f>+I495+L495+N495-P495</f>
        <v>0</v>
      </c>
      <c r="S495" s="85"/>
      <c r="T495" s="84"/>
      <c r="U495" s="27"/>
      <c r="V495" s="13"/>
      <c r="W495" s="67"/>
      <c r="X495" s="56"/>
      <c r="Y495" s="55"/>
      <c r="Z495" s="13"/>
      <c r="AA495" s="71"/>
      <c r="AB495" s="31"/>
      <c r="AC495" s="26">
        <f>+R495+W495+Y495-AA495</f>
        <v>0</v>
      </c>
      <c r="AD495" s="25"/>
      <c r="AE495" s="25"/>
      <c r="AF495" s="13"/>
      <c r="AG495" s="13"/>
      <c r="AH495" s="13"/>
    </row>
    <row r="496" spans="1:34" x14ac:dyDescent="0.3">
      <c r="A496" s="65">
        <v>493</v>
      </c>
      <c r="B496" s="25"/>
      <c r="C496" s="25"/>
      <c r="D496" s="25"/>
      <c r="E496" s="30" t="str">
        <f>CONCATENATE(B496,"-",C496,"-",D496)</f>
        <v>--</v>
      </c>
      <c r="F496" s="13">
        <f>VLOOKUP(E496,'LISTA ITEMS'!$E$2:$G$875,2,FALSE)</f>
        <v>0</v>
      </c>
      <c r="G496" s="25">
        <f>VLOOKUP(E496,'LISTA ITEMS'!$E$2:$G$875,3,FALSE)</f>
        <v>0</v>
      </c>
      <c r="H496" s="76"/>
      <c r="I496" s="75">
        <v>0</v>
      </c>
      <c r="J496" s="27"/>
      <c r="K496" s="13"/>
      <c r="L496" s="67"/>
      <c r="M496" s="56"/>
      <c r="N496" s="55"/>
      <c r="O496" s="13"/>
      <c r="P496" s="71"/>
      <c r="Q496" s="31"/>
      <c r="R496" s="26">
        <f>+I496+L496+N496-P496</f>
        <v>0</v>
      </c>
      <c r="S496" s="85"/>
      <c r="T496" s="84"/>
      <c r="U496" s="27"/>
      <c r="V496" s="13"/>
      <c r="W496" s="67"/>
      <c r="X496" s="56"/>
      <c r="Y496" s="55"/>
      <c r="Z496" s="13"/>
      <c r="AA496" s="71"/>
      <c r="AB496" s="31"/>
      <c r="AC496" s="26">
        <f>+R496+W496+Y496-AA496</f>
        <v>0</v>
      </c>
      <c r="AD496" s="25"/>
      <c r="AE496" s="25"/>
      <c r="AF496" s="13"/>
      <c r="AG496" s="13"/>
      <c r="AH496" s="13"/>
    </row>
    <row r="497" spans="1:34" x14ac:dyDescent="0.3">
      <c r="A497" s="65">
        <v>494</v>
      </c>
      <c r="B497" s="25"/>
      <c r="C497" s="25"/>
      <c r="D497" s="25"/>
      <c r="E497" s="30" t="str">
        <f>CONCATENATE(B497,"-",C497,"-",D497)</f>
        <v>--</v>
      </c>
      <c r="F497" s="13">
        <f>VLOOKUP(E497,'LISTA ITEMS'!$E$2:$G$875,2,FALSE)</f>
        <v>0</v>
      </c>
      <c r="G497" s="25">
        <f>VLOOKUP(E497,'LISTA ITEMS'!$E$2:$G$875,3,FALSE)</f>
        <v>0</v>
      </c>
      <c r="H497" s="76"/>
      <c r="I497" s="75">
        <v>0</v>
      </c>
      <c r="J497" s="27"/>
      <c r="K497" s="13"/>
      <c r="L497" s="67"/>
      <c r="M497" s="56"/>
      <c r="N497" s="55"/>
      <c r="O497" s="13"/>
      <c r="P497" s="71"/>
      <c r="Q497" s="31"/>
      <c r="R497" s="26">
        <f>+I497+L497+N497-P497</f>
        <v>0</v>
      </c>
      <c r="S497" s="85"/>
      <c r="T497" s="84"/>
      <c r="U497" s="27"/>
      <c r="V497" s="13"/>
      <c r="W497" s="67"/>
      <c r="X497" s="56"/>
      <c r="Y497" s="55"/>
      <c r="Z497" s="13"/>
      <c r="AA497" s="71"/>
      <c r="AB497" s="31"/>
      <c r="AC497" s="26">
        <f>+R497+W497+Y497-AA497</f>
        <v>0</v>
      </c>
      <c r="AD497" s="25"/>
      <c r="AE497" s="25"/>
      <c r="AF497" s="13"/>
      <c r="AG497" s="13"/>
      <c r="AH497" s="13"/>
    </row>
    <row r="498" spans="1:34" x14ac:dyDescent="0.3">
      <c r="A498" s="65">
        <v>495</v>
      </c>
      <c r="B498" s="25"/>
      <c r="C498" s="25"/>
      <c r="D498" s="25"/>
      <c r="E498" s="30" t="str">
        <f>CONCATENATE(B498,"-",C498,"-",D498)</f>
        <v>--</v>
      </c>
      <c r="F498" s="13">
        <f>VLOOKUP(E498,'LISTA ITEMS'!$E$2:$G$875,2,FALSE)</f>
        <v>0</v>
      </c>
      <c r="G498" s="25">
        <f>VLOOKUP(E498,'LISTA ITEMS'!$E$2:$G$875,3,FALSE)</f>
        <v>0</v>
      </c>
      <c r="H498" s="76"/>
      <c r="I498" s="75">
        <v>0</v>
      </c>
      <c r="J498" s="27"/>
      <c r="K498" s="13"/>
      <c r="L498" s="67"/>
      <c r="M498" s="56"/>
      <c r="N498" s="55"/>
      <c r="O498" s="13"/>
      <c r="P498" s="71"/>
      <c r="Q498" s="31"/>
      <c r="R498" s="26">
        <f>+I498+L498+N498-P498</f>
        <v>0</v>
      </c>
      <c r="S498" s="85"/>
      <c r="T498" s="84"/>
      <c r="U498" s="27"/>
      <c r="V498" s="13"/>
      <c r="W498" s="67"/>
      <c r="X498" s="56"/>
      <c r="Y498" s="55"/>
      <c r="Z498" s="13"/>
      <c r="AA498" s="71"/>
      <c r="AB498" s="31"/>
      <c r="AC498" s="26">
        <f>+R498+W498+Y498-AA498</f>
        <v>0</v>
      </c>
      <c r="AD498" s="25"/>
      <c r="AE498" s="25"/>
      <c r="AF498" s="13"/>
      <c r="AG498" s="13"/>
      <c r="AH498" s="13"/>
    </row>
    <row r="499" spans="1:34" x14ac:dyDescent="0.3">
      <c r="A499" s="65">
        <v>496</v>
      </c>
      <c r="B499" s="25"/>
      <c r="C499" s="25"/>
      <c r="D499" s="25"/>
      <c r="E499" s="30" t="str">
        <f>CONCATENATE(B499,"-",C499,"-",D499)</f>
        <v>--</v>
      </c>
      <c r="F499" s="13">
        <f>VLOOKUP(E499,'LISTA ITEMS'!$E$2:$G$875,2,FALSE)</f>
        <v>0</v>
      </c>
      <c r="G499" s="25">
        <f>VLOOKUP(E499,'LISTA ITEMS'!$E$2:$G$875,3,FALSE)</f>
        <v>0</v>
      </c>
      <c r="H499" s="76"/>
      <c r="I499" s="75">
        <v>0</v>
      </c>
      <c r="J499" s="27"/>
      <c r="K499" s="13"/>
      <c r="L499" s="67"/>
      <c r="M499" s="56"/>
      <c r="N499" s="55"/>
      <c r="O499" s="13"/>
      <c r="P499" s="71"/>
      <c r="Q499" s="31"/>
      <c r="R499" s="26">
        <f>+I499+L499+N499-P499</f>
        <v>0</v>
      </c>
      <c r="S499" s="85"/>
      <c r="T499" s="84"/>
      <c r="U499" s="27"/>
      <c r="V499" s="13"/>
      <c r="W499" s="67"/>
      <c r="X499" s="56"/>
      <c r="Y499" s="55"/>
      <c r="Z499" s="13"/>
      <c r="AA499" s="71"/>
      <c r="AB499" s="31"/>
      <c r="AC499" s="26">
        <f>+R499+W499+Y499-AA499</f>
        <v>0</v>
      </c>
      <c r="AD499" s="25"/>
      <c r="AE499" s="25"/>
      <c r="AF499" s="13"/>
      <c r="AG499" s="13"/>
      <c r="AH499" s="13"/>
    </row>
    <row r="500" spans="1:34" x14ac:dyDescent="0.3">
      <c r="A500" s="65">
        <v>497</v>
      </c>
      <c r="B500" s="25"/>
      <c r="C500" s="25"/>
      <c r="D500" s="25"/>
      <c r="E500" s="30" t="str">
        <f>CONCATENATE(B500,"-",C500,"-",D500)</f>
        <v>--</v>
      </c>
      <c r="F500" s="13">
        <f>VLOOKUP(E500,'LISTA ITEMS'!$E$2:$G$875,2,FALSE)</f>
        <v>0</v>
      </c>
      <c r="G500" s="25">
        <f>VLOOKUP(E500,'LISTA ITEMS'!$E$2:$G$875,3,FALSE)</f>
        <v>0</v>
      </c>
      <c r="H500" s="76"/>
      <c r="I500" s="75">
        <v>0</v>
      </c>
      <c r="J500" s="27"/>
      <c r="K500" s="13"/>
      <c r="L500" s="67"/>
      <c r="M500" s="56"/>
      <c r="N500" s="55"/>
      <c r="O500" s="13"/>
      <c r="P500" s="71"/>
      <c r="Q500" s="31"/>
      <c r="R500" s="26">
        <f>+I500+L500+N500-P500</f>
        <v>0</v>
      </c>
      <c r="S500" s="85"/>
      <c r="T500" s="84"/>
      <c r="U500" s="27"/>
      <c r="V500" s="13"/>
      <c r="W500" s="67"/>
      <c r="X500" s="56"/>
      <c r="Y500" s="55"/>
      <c r="Z500" s="13"/>
      <c r="AA500" s="71"/>
      <c r="AB500" s="31"/>
      <c r="AC500" s="26">
        <f>+R500+W500+Y500-AA500</f>
        <v>0</v>
      </c>
      <c r="AD500" s="25"/>
      <c r="AE500" s="25"/>
      <c r="AF500" s="13"/>
      <c r="AG500" s="13"/>
      <c r="AH500" s="13"/>
    </row>
    <row r="501" spans="1:34" x14ac:dyDescent="0.3">
      <c r="A501" s="65">
        <v>498</v>
      </c>
      <c r="B501" s="25"/>
      <c r="C501" s="25"/>
      <c r="D501" s="25"/>
      <c r="E501" s="30" t="str">
        <f>CONCATENATE(B501,"-",C501,"-",D501)</f>
        <v>--</v>
      </c>
      <c r="F501" s="13">
        <f>VLOOKUP(E501,'LISTA ITEMS'!$E$2:$G$875,2,FALSE)</f>
        <v>0</v>
      </c>
      <c r="G501" s="25">
        <f>VLOOKUP(E501,'LISTA ITEMS'!$E$2:$G$875,3,FALSE)</f>
        <v>0</v>
      </c>
      <c r="H501" s="76"/>
      <c r="I501" s="75">
        <v>0</v>
      </c>
      <c r="J501" s="27"/>
      <c r="K501" s="13"/>
      <c r="L501" s="67"/>
      <c r="M501" s="56"/>
      <c r="N501" s="55"/>
      <c r="O501" s="13"/>
      <c r="P501" s="71"/>
      <c r="Q501" s="31"/>
      <c r="R501" s="26">
        <f>+I501+L501+N501-P501</f>
        <v>0</v>
      </c>
      <c r="S501" s="85"/>
      <c r="T501" s="84"/>
      <c r="U501" s="27"/>
      <c r="V501" s="13"/>
      <c r="W501" s="67"/>
      <c r="X501" s="56"/>
      <c r="Y501" s="55"/>
      <c r="Z501" s="13"/>
      <c r="AA501" s="71"/>
      <c r="AB501" s="31"/>
      <c r="AC501" s="26">
        <f>+R501+W501+Y501-AA501</f>
        <v>0</v>
      </c>
      <c r="AD501" s="25"/>
      <c r="AE501" s="25"/>
      <c r="AF501" s="13"/>
      <c r="AG501" s="13"/>
      <c r="AH501" s="13"/>
    </row>
    <row r="502" spans="1:34" x14ac:dyDescent="0.3">
      <c r="A502" s="65">
        <v>499</v>
      </c>
      <c r="B502" s="25"/>
      <c r="C502" s="25"/>
      <c r="D502" s="25"/>
      <c r="E502" s="30" t="str">
        <f>CONCATENATE(B502,"-",C502,"-",D502)</f>
        <v>--</v>
      </c>
      <c r="F502" s="13">
        <f>VLOOKUP(E502,'LISTA ITEMS'!$E$2:$G$875,2,FALSE)</f>
        <v>0</v>
      </c>
      <c r="G502" s="25">
        <f>VLOOKUP(E502,'LISTA ITEMS'!$E$2:$G$875,3,FALSE)</f>
        <v>0</v>
      </c>
      <c r="H502" s="76"/>
      <c r="I502" s="75">
        <v>0</v>
      </c>
      <c r="J502" s="27"/>
      <c r="K502" s="13"/>
      <c r="L502" s="67"/>
      <c r="M502" s="56"/>
      <c r="N502" s="55"/>
      <c r="O502" s="13"/>
      <c r="P502" s="71"/>
      <c r="Q502" s="31"/>
      <c r="R502" s="26">
        <f>+I502+L502+N502-P502</f>
        <v>0</v>
      </c>
      <c r="S502" s="85"/>
      <c r="T502" s="84"/>
      <c r="U502" s="27"/>
      <c r="V502" s="13"/>
      <c r="W502" s="67"/>
      <c r="X502" s="56"/>
      <c r="Y502" s="55"/>
      <c r="Z502" s="13"/>
      <c r="AA502" s="71"/>
      <c r="AB502" s="31"/>
      <c r="AC502" s="26">
        <f>+R502+W502+Y502-AA502</f>
        <v>0</v>
      </c>
      <c r="AD502" s="25"/>
      <c r="AE502" s="25"/>
      <c r="AF502" s="13"/>
      <c r="AG502" s="13"/>
      <c r="AH502" s="13"/>
    </row>
    <row r="503" spans="1:34" x14ac:dyDescent="0.3">
      <c r="A503" s="65">
        <v>500</v>
      </c>
      <c r="B503" s="25"/>
      <c r="C503" s="25"/>
      <c r="D503" s="25"/>
      <c r="E503" s="30" t="str">
        <f>CONCATENATE(B503,"-",C503,"-",D503)</f>
        <v>--</v>
      </c>
      <c r="F503" s="13">
        <f>VLOOKUP(E503,'LISTA ITEMS'!$E$2:$G$875,2,FALSE)</f>
        <v>0</v>
      </c>
      <c r="G503" s="25">
        <f>VLOOKUP(E503,'LISTA ITEMS'!$E$2:$G$875,3,FALSE)</f>
        <v>0</v>
      </c>
      <c r="H503" s="76"/>
      <c r="I503" s="75">
        <v>0</v>
      </c>
      <c r="J503" s="27"/>
      <c r="K503" s="13"/>
      <c r="L503" s="67"/>
      <c r="M503" s="56"/>
      <c r="N503" s="55"/>
      <c r="O503" s="13"/>
      <c r="P503" s="71"/>
      <c r="Q503" s="31"/>
      <c r="R503" s="26">
        <f>+I503+L503+N503-P503</f>
        <v>0</v>
      </c>
      <c r="S503" s="85"/>
      <c r="T503" s="84"/>
      <c r="U503" s="27"/>
      <c r="V503" s="13"/>
      <c r="W503" s="67"/>
      <c r="X503" s="56"/>
      <c r="Y503" s="55"/>
      <c r="Z503" s="13"/>
      <c r="AA503" s="71"/>
      <c r="AB503" s="31"/>
      <c r="AC503" s="26">
        <f>+R503+W503+Y503-AA503</f>
        <v>0</v>
      </c>
      <c r="AD503" s="25"/>
      <c r="AE503" s="25"/>
      <c r="AF503" s="13"/>
      <c r="AG503" s="13"/>
      <c r="AH503" s="13"/>
    </row>
    <row r="504" spans="1:34" x14ac:dyDescent="0.3">
      <c r="A504" s="65">
        <v>501</v>
      </c>
      <c r="B504" s="25"/>
      <c r="C504" s="25"/>
      <c r="D504" s="25"/>
      <c r="E504" s="30" t="str">
        <f>CONCATENATE(B504,"-",C504,"-",D504)</f>
        <v>--</v>
      </c>
      <c r="F504" s="13">
        <f>VLOOKUP(E504,'LISTA ITEMS'!$E$2:$G$875,2,FALSE)</f>
        <v>0</v>
      </c>
      <c r="G504" s="25">
        <f>VLOOKUP(E504,'LISTA ITEMS'!$E$2:$G$875,3,FALSE)</f>
        <v>0</v>
      </c>
      <c r="H504" s="76"/>
      <c r="I504" s="75">
        <v>0</v>
      </c>
      <c r="J504" s="27"/>
      <c r="K504" s="13"/>
      <c r="L504" s="67"/>
      <c r="M504" s="56"/>
      <c r="N504" s="55"/>
      <c r="O504" s="13"/>
      <c r="P504" s="71"/>
      <c r="Q504" s="31"/>
      <c r="R504" s="26">
        <f>+I504+L504+N504-P504</f>
        <v>0</v>
      </c>
      <c r="S504" s="85"/>
      <c r="T504" s="84"/>
      <c r="U504" s="27"/>
      <c r="V504" s="13"/>
      <c r="W504" s="67"/>
      <c r="X504" s="56"/>
      <c r="Y504" s="55"/>
      <c r="Z504" s="13"/>
      <c r="AA504" s="71"/>
      <c r="AB504" s="31"/>
      <c r="AC504" s="26">
        <f>+R504+W504+Y504-AA504</f>
        <v>0</v>
      </c>
      <c r="AD504" s="25"/>
      <c r="AE504" s="25"/>
      <c r="AF504" s="13"/>
      <c r="AG504" s="13"/>
      <c r="AH504" s="13"/>
    </row>
    <row r="505" spans="1:34" x14ac:dyDescent="0.3">
      <c r="A505" s="65">
        <v>502</v>
      </c>
      <c r="B505" s="25"/>
      <c r="C505" s="25"/>
      <c r="D505" s="25"/>
      <c r="E505" s="30" t="str">
        <f>CONCATENATE(B505,"-",C505,"-",D505)</f>
        <v>--</v>
      </c>
      <c r="F505" s="13">
        <f>VLOOKUP(E505,'LISTA ITEMS'!$E$2:$G$875,2,FALSE)</f>
        <v>0</v>
      </c>
      <c r="G505" s="25">
        <f>VLOOKUP(E505,'LISTA ITEMS'!$E$2:$G$875,3,FALSE)</f>
        <v>0</v>
      </c>
      <c r="H505" s="76"/>
      <c r="I505" s="75">
        <v>0</v>
      </c>
      <c r="J505" s="27"/>
      <c r="K505" s="13"/>
      <c r="L505" s="67"/>
      <c r="M505" s="56"/>
      <c r="N505" s="55"/>
      <c r="O505" s="13"/>
      <c r="P505" s="71"/>
      <c r="Q505" s="31"/>
      <c r="R505" s="26">
        <f>+I505+L505+N505-P505</f>
        <v>0</v>
      </c>
      <c r="S505" s="85"/>
      <c r="T505" s="84"/>
      <c r="U505" s="27"/>
      <c r="V505" s="13"/>
      <c r="W505" s="67"/>
      <c r="X505" s="56"/>
      <c r="Y505" s="55"/>
      <c r="Z505" s="13"/>
      <c r="AA505" s="71"/>
      <c r="AB505" s="31"/>
      <c r="AC505" s="26">
        <f>+R505+W505+Y505-AA505</f>
        <v>0</v>
      </c>
      <c r="AD505" s="25"/>
      <c r="AE505" s="25"/>
      <c r="AF505" s="13"/>
      <c r="AG505" s="13"/>
      <c r="AH505" s="13"/>
    </row>
    <row r="506" spans="1:34" x14ac:dyDescent="0.3">
      <c r="A506" s="65">
        <v>503</v>
      </c>
      <c r="B506" s="25"/>
      <c r="C506" s="25"/>
      <c r="D506" s="25"/>
      <c r="E506" s="30" t="str">
        <f>CONCATENATE(B506,"-",C506,"-",D506)</f>
        <v>--</v>
      </c>
      <c r="F506" s="13">
        <f>VLOOKUP(E506,'LISTA ITEMS'!$E$2:$G$875,2,FALSE)</f>
        <v>0</v>
      </c>
      <c r="G506" s="25">
        <f>VLOOKUP(E506,'LISTA ITEMS'!$E$2:$G$875,3,FALSE)</f>
        <v>0</v>
      </c>
      <c r="H506" s="76"/>
      <c r="I506" s="75">
        <v>0</v>
      </c>
      <c r="J506" s="27"/>
      <c r="K506" s="13"/>
      <c r="L506" s="67"/>
      <c r="M506" s="56"/>
      <c r="N506" s="55"/>
      <c r="O506" s="13"/>
      <c r="P506" s="71"/>
      <c r="Q506" s="31"/>
      <c r="R506" s="26">
        <f>+I506+L506+N506-P506</f>
        <v>0</v>
      </c>
      <c r="S506" s="85"/>
      <c r="T506" s="84"/>
      <c r="U506" s="27"/>
      <c r="V506" s="13"/>
      <c r="W506" s="67"/>
      <c r="X506" s="56"/>
      <c r="Y506" s="55"/>
      <c r="Z506" s="13"/>
      <c r="AA506" s="71"/>
      <c r="AB506" s="31"/>
      <c r="AC506" s="26">
        <f>+R506+W506+Y506-AA506</f>
        <v>0</v>
      </c>
      <c r="AD506" s="25"/>
      <c r="AE506" s="25"/>
      <c r="AF506" s="13"/>
      <c r="AG506" s="13"/>
      <c r="AH506" s="13"/>
    </row>
    <row r="507" spans="1:34" x14ac:dyDescent="0.3">
      <c r="A507" s="65">
        <v>504</v>
      </c>
      <c r="B507" s="25"/>
      <c r="C507" s="25"/>
      <c r="D507" s="25"/>
      <c r="E507" s="30" t="str">
        <f>CONCATENATE(B507,"-",C507,"-",D507)</f>
        <v>--</v>
      </c>
      <c r="F507" s="13">
        <f>VLOOKUP(E507,'LISTA ITEMS'!$E$2:$G$875,2,FALSE)</f>
        <v>0</v>
      </c>
      <c r="G507" s="25">
        <f>VLOOKUP(E507,'LISTA ITEMS'!$E$2:$G$875,3,FALSE)</f>
        <v>0</v>
      </c>
      <c r="H507" s="76"/>
      <c r="I507" s="75">
        <v>0</v>
      </c>
      <c r="J507" s="27"/>
      <c r="K507" s="13"/>
      <c r="L507" s="67"/>
      <c r="M507" s="56"/>
      <c r="N507" s="55"/>
      <c r="O507" s="13"/>
      <c r="P507" s="71"/>
      <c r="Q507" s="31"/>
      <c r="R507" s="26">
        <f>+I507+L507+N507-P507</f>
        <v>0</v>
      </c>
      <c r="S507" s="85"/>
      <c r="T507" s="84"/>
      <c r="U507" s="27"/>
      <c r="V507" s="13"/>
      <c r="W507" s="67"/>
      <c r="X507" s="56"/>
      <c r="Y507" s="55"/>
      <c r="Z507" s="13"/>
      <c r="AA507" s="71"/>
      <c r="AB507" s="31"/>
      <c r="AC507" s="26">
        <f>+R507+W507+Y507-AA507</f>
        <v>0</v>
      </c>
      <c r="AD507" s="25"/>
      <c r="AE507" s="25"/>
      <c r="AF507" s="13"/>
      <c r="AG507" s="13"/>
      <c r="AH507" s="13"/>
    </row>
    <row r="508" spans="1:34" x14ac:dyDescent="0.3">
      <c r="A508" s="65">
        <v>505</v>
      </c>
      <c r="B508" s="25"/>
      <c r="C508" s="25"/>
      <c r="D508" s="25"/>
      <c r="E508" s="30" t="str">
        <f>CONCATENATE(B508,"-",C508,"-",D508)</f>
        <v>--</v>
      </c>
      <c r="F508" s="13">
        <f>VLOOKUP(E508,'LISTA ITEMS'!$E$2:$G$875,2,FALSE)</f>
        <v>0</v>
      </c>
      <c r="G508" s="25">
        <f>VLOOKUP(E508,'LISTA ITEMS'!$E$2:$G$875,3,FALSE)</f>
        <v>0</v>
      </c>
      <c r="H508" s="76"/>
      <c r="I508" s="75">
        <v>0</v>
      </c>
      <c r="J508" s="27"/>
      <c r="K508" s="13"/>
      <c r="L508" s="67"/>
      <c r="M508" s="56"/>
      <c r="N508" s="55"/>
      <c r="O508" s="13"/>
      <c r="P508" s="71"/>
      <c r="Q508" s="31"/>
      <c r="R508" s="26">
        <f>+I508+L508+N508-P508</f>
        <v>0</v>
      </c>
      <c r="S508" s="85"/>
      <c r="T508" s="84"/>
      <c r="U508" s="27"/>
      <c r="V508" s="13"/>
      <c r="W508" s="67"/>
      <c r="X508" s="56"/>
      <c r="Y508" s="55"/>
      <c r="Z508" s="13"/>
      <c r="AA508" s="71"/>
      <c r="AB508" s="31"/>
      <c r="AC508" s="26">
        <f>+R508+W508+Y508-AA508</f>
        <v>0</v>
      </c>
      <c r="AD508" s="25"/>
      <c r="AE508" s="25"/>
      <c r="AF508" s="13"/>
      <c r="AG508" s="13"/>
      <c r="AH508" s="13"/>
    </row>
    <row r="509" spans="1:34" x14ac:dyDescent="0.3">
      <c r="A509" s="65">
        <v>506</v>
      </c>
      <c r="B509" s="25"/>
      <c r="C509" s="25"/>
      <c r="D509" s="25"/>
      <c r="E509" s="30" t="str">
        <f>CONCATENATE(B509,"-",C509,"-",D509)</f>
        <v>--</v>
      </c>
      <c r="F509" s="13">
        <f>VLOOKUP(E509,'LISTA ITEMS'!$E$2:$G$875,2,FALSE)</f>
        <v>0</v>
      </c>
      <c r="G509" s="25">
        <f>VLOOKUP(E509,'LISTA ITEMS'!$E$2:$G$875,3,FALSE)</f>
        <v>0</v>
      </c>
      <c r="H509" s="76"/>
      <c r="I509" s="75">
        <v>0</v>
      </c>
      <c r="J509" s="27"/>
      <c r="K509" s="13"/>
      <c r="L509" s="67"/>
      <c r="M509" s="56"/>
      <c r="N509" s="55"/>
      <c r="O509" s="13"/>
      <c r="P509" s="71"/>
      <c r="Q509" s="31"/>
      <c r="R509" s="26">
        <f>+I509+L509+N509-P509</f>
        <v>0</v>
      </c>
      <c r="S509" s="85"/>
      <c r="T509" s="84"/>
      <c r="U509" s="27"/>
      <c r="V509" s="13"/>
      <c r="W509" s="67"/>
      <c r="X509" s="56"/>
      <c r="Y509" s="55"/>
      <c r="Z509" s="13"/>
      <c r="AA509" s="71"/>
      <c r="AB509" s="31"/>
      <c r="AC509" s="26">
        <f>+R509+W509+Y509-AA509</f>
        <v>0</v>
      </c>
      <c r="AD509" s="25"/>
      <c r="AE509" s="25"/>
      <c r="AF509" s="13"/>
      <c r="AG509" s="13"/>
      <c r="AH509" s="13"/>
    </row>
    <row r="510" spans="1:34" x14ac:dyDescent="0.3">
      <c r="A510" s="65">
        <v>507</v>
      </c>
      <c r="B510" s="25"/>
      <c r="C510" s="25"/>
      <c r="D510" s="25"/>
      <c r="E510" s="30" t="str">
        <f>CONCATENATE(B510,"-",C510,"-",D510)</f>
        <v>--</v>
      </c>
      <c r="F510" s="13">
        <f>VLOOKUP(E510,'LISTA ITEMS'!$E$2:$G$875,2,FALSE)</f>
        <v>0</v>
      </c>
      <c r="G510" s="25">
        <f>VLOOKUP(E510,'LISTA ITEMS'!$E$2:$G$875,3,FALSE)</f>
        <v>0</v>
      </c>
      <c r="H510" s="76"/>
      <c r="I510" s="75">
        <v>0</v>
      </c>
      <c r="J510" s="27"/>
      <c r="K510" s="13"/>
      <c r="L510" s="67"/>
      <c r="M510" s="56"/>
      <c r="N510" s="55"/>
      <c r="O510" s="13"/>
      <c r="P510" s="71"/>
      <c r="Q510" s="31"/>
      <c r="R510" s="26">
        <f>+I510+L510+N510-P510</f>
        <v>0</v>
      </c>
      <c r="S510" s="85"/>
      <c r="T510" s="84"/>
      <c r="U510" s="27"/>
      <c r="V510" s="13"/>
      <c r="W510" s="67"/>
      <c r="X510" s="56"/>
      <c r="Y510" s="55"/>
      <c r="Z510" s="13"/>
      <c r="AA510" s="71"/>
      <c r="AB510" s="31"/>
      <c r="AC510" s="26">
        <f>+R510+W510+Y510-AA510</f>
        <v>0</v>
      </c>
      <c r="AD510" s="25"/>
      <c r="AE510" s="25"/>
      <c r="AF510" s="13"/>
      <c r="AG510" s="13"/>
      <c r="AH510" s="13"/>
    </row>
    <row r="511" spans="1:34" x14ac:dyDescent="0.3">
      <c r="A511" s="65">
        <v>508</v>
      </c>
      <c r="B511" s="25"/>
      <c r="C511" s="25"/>
      <c r="D511" s="25"/>
      <c r="E511" s="30" t="str">
        <f>CONCATENATE(B511,"-",C511,"-",D511)</f>
        <v>--</v>
      </c>
      <c r="F511" s="13">
        <f>VLOOKUP(E511,'LISTA ITEMS'!$E$2:$G$875,2,FALSE)</f>
        <v>0</v>
      </c>
      <c r="G511" s="25">
        <f>VLOOKUP(E511,'LISTA ITEMS'!$E$2:$G$875,3,FALSE)</f>
        <v>0</v>
      </c>
      <c r="H511" s="76"/>
      <c r="I511" s="75">
        <v>0</v>
      </c>
      <c r="J511" s="27"/>
      <c r="K511" s="13"/>
      <c r="L511" s="67"/>
      <c r="M511" s="56"/>
      <c r="N511" s="55"/>
      <c r="O511" s="13"/>
      <c r="P511" s="71"/>
      <c r="Q511" s="31"/>
      <c r="R511" s="26">
        <f>+I511+L511+N511-P511</f>
        <v>0</v>
      </c>
      <c r="S511" s="85"/>
      <c r="T511" s="84"/>
      <c r="U511" s="27"/>
      <c r="V511" s="13"/>
      <c r="W511" s="67"/>
      <c r="X511" s="56"/>
      <c r="Y511" s="55"/>
      <c r="Z511" s="13"/>
      <c r="AA511" s="71"/>
      <c r="AB511" s="31"/>
      <c r="AC511" s="26">
        <f>+R511+W511+Y511-AA511</f>
        <v>0</v>
      </c>
      <c r="AD511" s="25"/>
      <c r="AE511" s="25"/>
      <c r="AF511" s="13"/>
      <c r="AG511" s="13"/>
      <c r="AH511" s="13"/>
    </row>
    <row r="512" spans="1:34" x14ac:dyDescent="0.3">
      <c r="A512" s="65">
        <v>509</v>
      </c>
      <c r="B512" s="25"/>
      <c r="C512" s="25"/>
      <c r="D512" s="25"/>
      <c r="E512" s="30" t="str">
        <f>CONCATENATE(B512,"-",C512,"-",D512)</f>
        <v>--</v>
      </c>
      <c r="F512" s="13">
        <f>VLOOKUP(E512,'LISTA ITEMS'!$E$2:$G$875,2,FALSE)</f>
        <v>0</v>
      </c>
      <c r="G512" s="25">
        <f>VLOOKUP(E512,'LISTA ITEMS'!$E$2:$G$875,3,FALSE)</f>
        <v>0</v>
      </c>
      <c r="H512" s="76"/>
      <c r="I512" s="75">
        <v>0</v>
      </c>
      <c r="J512" s="27"/>
      <c r="K512" s="13"/>
      <c r="L512" s="67"/>
      <c r="M512" s="56"/>
      <c r="N512" s="55"/>
      <c r="O512" s="13"/>
      <c r="P512" s="71"/>
      <c r="Q512" s="31"/>
      <c r="R512" s="26">
        <f>+I512+L512+N512-P512</f>
        <v>0</v>
      </c>
      <c r="S512" s="85"/>
      <c r="T512" s="84"/>
      <c r="U512" s="27"/>
      <c r="V512" s="13"/>
      <c r="W512" s="67"/>
      <c r="X512" s="56"/>
      <c r="Y512" s="55"/>
      <c r="Z512" s="13"/>
      <c r="AA512" s="71"/>
      <c r="AB512" s="31"/>
      <c r="AC512" s="26">
        <f>+R512+W512+Y512-AA512</f>
        <v>0</v>
      </c>
      <c r="AD512" s="25"/>
      <c r="AE512" s="25"/>
      <c r="AF512" s="13"/>
      <c r="AG512" s="13"/>
      <c r="AH512" s="13"/>
    </row>
    <row r="513" spans="1:34" x14ac:dyDescent="0.3">
      <c r="A513" s="65">
        <v>510</v>
      </c>
      <c r="B513" s="25"/>
      <c r="C513" s="25"/>
      <c r="D513" s="25"/>
      <c r="E513" s="30" t="str">
        <f>CONCATENATE(B513,"-",C513,"-",D513)</f>
        <v>--</v>
      </c>
      <c r="F513" s="13">
        <f>VLOOKUP(E513,'LISTA ITEMS'!$E$2:$G$875,2,FALSE)</f>
        <v>0</v>
      </c>
      <c r="G513" s="25">
        <f>VLOOKUP(E513,'LISTA ITEMS'!$E$2:$G$875,3,FALSE)</f>
        <v>0</v>
      </c>
      <c r="H513" s="76"/>
      <c r="I513" s="75">
        <v>0</v>
      </c>
      <c r="J513" s="27"/>
      <c r="K513" s="13"/>
      <c r="L513" s="67"/>
      <c r="M513" s="56"/>
      <c r="N513" s="55"/>
      <c r="O513" s="13"/>
      <c r="P513" s="71"/>
      <c r="Q513" s="31"/>
      <c r="R513" s="26">
        <f>+I513+L513+N513-P513</f>
        <v>0</v>
      </c>
      <c r="S513" s="85"/>
      <c r="T513" s="84"/>
      <c r="U513" s="27"/>
      <c r="V513" s="13"/>
      <c r="W513" s="67"/>
      <c r="X513" s="56"/>
      <c r="Y513" s="55"/>
      <c r="Z513" s="13"/>
      <c r="AA513" s="71"/>
      <c r="AB513" s="31"/>
      <c r="AC513" s="26">
        <f>+R513+W513+Y513-AA513</f>
        <v>0</v>
      </c>
      <c r="AD513" s="25"/>
      <c r="AE513" s="25"/>
      <c r="AF513" s="13"/>
      <c r="AG513" s="13"/>
      <c r="AH513" s="13"/>
    </row>
    <row r="514" spans="1:34" x14ac:dyDescent="0.3">
      <c r="A514" s="65">
        <v>511</v>
      </c>
      <c r="B514" s="25"/>
      <c r="C514" s="25"/>
      <c r="D514" s="25"/>
      <c r="E514" s="30" t="str">
        <f>CONCATENATE(B514,"-",C514,"-",D514)</f>
        <v>--</v>
      </c>
      <c r="F514" s="13">
        <f>VLOOKUP(E514,'LISTA ITEMS'!$E$2:$G$875,2,FALSE)</f>
        <v>0</v>
      </c>
      <c r="G514" s="25">
        <f>VLOOKUP(E514,'LISTA ITEMS'!$E$2:$G$875,3,FALSE)</f>
        <v>0</v>
      </c>
      <c r="H514" s="76"/>
      <c r="I514" s="75">
        <v>0</v>
      </c>
      <c r="J514" s="27"/>
      <c r="K514" s="13"/>
      <c r="L514" s="67"/>
      <c r="M514" s="56"/>
      <c r="N514" s="55"/>
      <c r="O514" s="13"/>
      <c r="P514" s="71"/>
      <c r="Q514" s="31"/>
      <c r="R514" s="26">
        <f>+I514+L514+N514-P514</f>
        <v>0</v>
      </c>
      <c r="S514" s="85"/>
      <c r="T514" s="84"/>
      <c r="U514" s="27"/>
      <c r="V514" s="13"/>
      <c r="W514" s="67"/>
      <c r="X514" s="56"/>
      <c r="Y514" s="55"/>
      <c r="Z514" s="13"/>
      <c r="AA514" s="71"/>
      <c r="AB514" s="31"/>
      <c r="AC514" s="26">
        <f>+R514+W514+Y514-AA514</f>
        <v>0</v>
      </c>
      <c r="AD514" s="25"/>
      <c r="AE514" s="25"/>
      <c r="AF514" s="13"/>
      <c r="AG514" s="13"/>
      <c r="AH514" s="13"/>
    </row>
    <row r="515" spans="1:34" x14ac:dyDescent="0.3">
      <c r="A515" s="65">
        <v>512</v>
      </c>
      <c r="B515" s="25"/>
      <c r="C515" s="25"/>
      <c r="D515" s="25"/>
      <c r="E515" s="30" t="str">
        <f>CONCATENATE(B515,"-",C515,"-",D515)</f>
        <v>--</v>
      </c>
      <c r="F515" s="13">
        <f>VLOOKUP(E515,'LISTA ITEMS'!$E$2:$G$875,2,FALSE)</f>
        <v>0</v>
      </c>
      <c r="G515" s="25">
        <f>VLOOKUP(E515,'LISTA ITEMS'!$E$2:$G$875,3,FALSE)</f>
        <v>0</v>
      </c>
      <c r="H515" s="76"/>
      <c r="I515" s="75">
        <v>0</v>
      </c>
      <c r="J515" s="27"/>
      <c r="K515" s="13"/>
      <c r="L515" s="67"/>
      <c r="M515" s="56"/>
      <c r="N515" s="55"/>
      <c r="O515" s="13"/>
      <c r="P515" s="71"/>
      <c r="Q515" s="31"/>
      <c r="R515" s="26">
        <f>+I515+L515+N515-P515</f>
        <v>0</v>
      </c>
      <c r="S515" s="85"/>
      <c r="T515" s="84"/>
      <c r="U515" s="27"/>
      <c r="V515" s="13"/>
      <c r="W515" s="67"/>
      <c r="X515" s="56"/>
      <c r="Y515" s="55"/>
      <c r="Z515" s="13"/>
      <c r="AA515" s="71"/>
      <c r="AB515" s="31"/>
      <c r="AC515" s="26">
        <f>+R515+W515+Y515-AA515</f>
        <v>0</v>
      </c>
      <c r="AD515" s="25"/>
      <c r="AE515" s="25"/>
      <c r="AF515" s="13"/>
      <c r="AG515" s="13"/>
      <c r="AH515" s="13"/>
    </row>
    <row r="516" spans="1:34" x14ac:dyDescent="0.3">
      <c r="A516" s="65">
        <v>513</v>
      </c>
      <c r="B516" s="25"/>
      <c r="C516" s="25"/>
      <c r="D516" s="25"/>
      <c r="E516" s="30" t="str">
        <f>CONCATENATE(B516,"-",C516,"-",D516)</f>
        <v>--</v>
      </c>
      <c r="F516" s="13">
        <f>VLOOKUP(E516,'LISTA ITEMS'!$E$2:$G$875,2,FALSE)</f>
        <v>0</v>
      </c>
      <c r="G516" s="25">
        <f>VLOOKUP(E516,'LISTA ITEMS'!$E$2:$G$875,3,FALSE)</f>
        <v>0</v>
      </c>
      <c r="H516" s="76"/>
      <c r="I516" s="75">
        <v>0</v>
      </c>
      <c r="J516" s="27"/>
      <c r="K516" s="13"/>
      <c r="L516" s="67"/>
      <c r="M516" s="56"/>
      <c r="N516" s="55"/>
      <c r="O516" s="13"/>
      <c r="P516" s="71"/>
      <c r="Q516" s="31"/>
      <c r="R516" s="26">
        <f>+I516+L516+N516-P516</f>
        <v>0</v>
      </c>
      <c r="S516" s="85"/>
      <c r="T516" s="84"/>
      <c r="U516" s="27"/>
      <c r="V516" s="13"/>
      <c r="W516" s="67"/>
      <c r="X516" s="56"/>
      <c r="Y516" s="55"/>
      <c r="Z516" s="13"/>
      <c r="AA516" s="71"/>
      <c r="AB516" s="31"/>
      <c r="AC516" s="26">
        <f>+R516+W516+Y516-AA516</f>
        <v>0</v>
      </c>
      <c r="AD516" s="25"/>
      <c r="AE516" s="25"/>
      <c r="AF516" s="13"/>
      <c r="AG516" s="13"/>
      <c r="AH516" s="13"/>
    </row>
    <row r="517" spans="1:34" x14ac:dyDescent="0.3">
      <c r="A517" s="65">
        <v>514</v>
      </c>
      <c r="B517" s="25"/>
      <c r="C517" s="25"/>
      <c r="D517" s="25"/>
      <c r="E517" s="30" t="str">
        <f>CONCATENATE(B517,"-",C517,"-",D517)</f>
        <v>--</v>
      </c>
      <c r="F517" s="13">
        <f>VLOOKUP(E517,'LISTA ITEMS'!$E$2:$G$875,2,FALSE)</f>
        <v>0</v>
      </c>
      <c r="G517" s="25">
        <f>VLOOKUP(E517,'LISTA ITEMS'!$E$2:$G$875,3,FALSE)</f>
        <v>0</v>
      </c>
      <c r="H517" s="76"/>
      <c r="I517" s="75">
        <v>0</v>
      </c>
      <c r="J517" s="27"/>
      <c r="K517" s="13"/>
      <c r="L517" s="67"/>
      <c r="M517" s="56"/>
      <c r="N517" s="55"/>
      <c r="O517" s="13"/>
      <c r="P517" s="71"/>
      <c r="Q517" s="31"/>
      <c r="R517" s="26">
        <f>+I517+L517+N517-P517</f>
        <v>0</v>
      </c>
      <c r="S517" s="85"/>
      <c r="T517" s="84"/>
      <c r="U517" s="27"/>
      <c r="V517" s="13"/>
      <c r="W517" s="67"/>
      <c r="X517" s="56"/>
      <c r="Y517" s="55"/>
      <c r="Z517" s="13"/>
      <c r="AA517" s="71"/>
      <c r="AB517" s="31"/>
      <c r="AC517" s="26">
        <f>+R517+W517+Y517-AA517</f>
        <v>0</v>
      </c>
      <c r="AD517" s="25"/>
      <c r="AE517" s="25"/>
      <c r="AF517" s="13"/>
      <c r="AG517" s="13"/>
      <c r="AH517" s="13"/>
    </row>
    <row r="518" spans="1:34" x14ac:dyDescent="0.3">
      <c r="A518" s="65">
        <v>515</v>
      </c>
      <c r="B518" s="25"/>
      <c r="C518" s="25"/>
      <c r="D518" s="25"/>
      <c r="E518" s="30" t="str">
        <f>CONCATENATE(B518,"-",C518,"-",D518)</f>
        <v>--</v>
      </c>
      <c r="F518" s="13">
        <f>VLOOKUP(E518,'LISTA ITEMS'!$E$2:$G$875,2,FALSE)</f>
        <v>0</v>
      </c>
      <c r="G518" s="25">
        <f>VLOOKUP(E518,'LISTA ITEMS'!$E$2:$G$875,3,FALSE)</f>
        <v>0</v>
      </c>
      <c r="H518" s="76"/>
      <c r="I518" s="75">
        <v>0</v>
      </c>
      <c r="J518" s="27"/>
      <c r="K518" s="13"/>
      <c r="L518" s="67"/>
      <c r="M518" s="56"/>
      <c r="N518" s="55"/>
      <c r="O518" s="13"/>
      <c r="P518" s="71"/>
      <c r="Q518" s="31"/>
      <c r="R518" s="26">
        <f>+I518+L518+N518-P518</f>
        <v>0</v>
      </c>
      <c r="S518" s="85"/>
      <c r="T518" s="84"/>
      <c r="U518" s="27"/>
      <c r="V518" s="13"/>
      <c r="W518" s="67"/>
      <c r="X518" s="56"/>
      <c r="Y518" s="55"/>
      <c r="Z518" s="13"/>
      <c r="AA518" s="71"/>
      <c r="AB518" s="31"/>
      <c r="AC518" s="26">
        <f>+R518+W518+Y518-AA518</f>
        <v>0</v>
      </c>
      <c r="AD518" s="25"/>
      <c r="AE518" s="25"/>
      <c r="AF518" s="13"/>
      <c r="AG518" s="13"/>
      <c r="AH518" s="13"/>
    </row>
    <row r="519" spans="1:34" x14ac:dyDescent="0.3">
      <c r="A519" s="65">
        <v>516</v>
      </c>
      <c r="B519" s="25"/>
      <c r="C519" s="25"/>
      <c r="D519" s="25"/>
      <c r="E519" s="30" t="str">
        <f>CONCATENATE(B519,"-",C519,"-",D519)</f>
        <v>--</v>
      </c>
      <c r="F519" s="13">
        <f>VLOOKUP(E519,'LISTA ITEMS'!$E$2:$G$875,2,FALSE)</f>
        <v>0</v>
      </c>
      <c r="G519" s="25">
        <f>VLOOKUP(E519,'LISTA ITEMS'!$E$2:$G$875,3,FALSE)</f>
        <v>0</v>
      </c>
      <c r="H519" s="76"/>
      <c r="I519" s="75">
        <v>0</v>
      </c>
      <c r="J519" s="27"/>
      <c r="K519" s="13"/>
      <c r="L519" s="67"/>
      <c r="M519" s="56"/>
      <c r="N519" s="55"/>
      <c r="O519" s="13"/>
      <c r="P519" s="71"/>
      <c r="Q519" s="31"/>
      <c r="R519" s="26">
        <f>+I519+L519+N519-P519</f>
        <v>0</v>
      </c>
      <c r="S519" s="85"/>
      <c r="T519" s="84"/>
      <c r="U519" s="27"/>
      <c r="V519" s="13"/>
      <c r="W519" s="67"/>
      <c r="X519" s="56"/>
      <c r="Y519" s="55"/>
      <c r="Z519" s="13"/>
      <c r="AA519" s="71"/>
      <c r="AB519" s="31"/>
      <c r="AC519" s="26">
        <f>+R519+W519+Y519-AA519</f>
        <v>0</v>
      </c>
      <c r="AD519" s="25"/>
      <c r="AE519" s="25"/>
      <c r="AF519" s="13"/>
      <c r="AG519" s="13"/>
      <c r="AH519" s="13"/>
    </row>
    <row r="520" spans="1:34" x14ac:dyDescent="0.3">
      <c r="A520" s="65">
        <v>517</v>
      </c>
      <c r="B520" s="25"/>
      <c r="C520" s="25"/>
      <c r="D520" s="25"/>
      <c r="E520" s="30" t="str">
        <f>CONCATENATE(B520,"-",C520,"-",D520)</f>
        <v>--</v>
      </c>
      <c r="F520" s="13">
        <f>VLOOKUP(E520,'LISTA ITEMS'!$E$2:$G$875,2,FALSE)</f>
        <v>0</v>
      </c>
      <c r="G520" s="25">
        <f>VLOOKUP(E520,'LISTA ITEMS'!$E$2:$G$875,3,FALSE)</f>
        <v>0</v>
      </c>
      <c r="H520" s="76"/>
      <c r="I520" s="75">
        <v>0</v>
      </c>
      <c r="J520" s="27"/>
      <c r="K520" s="13"/>
      <c r="L520" s="67"/>
      <c r="M520" s="56"/>
      <c r="N520" s="55"/>
      <c r="O520" s="13"/>
      <c r="P520" s="71"/>
      <c r="Q520" s="31"/>
      <c r="R520" s="26">
        <f>+I520+L520+N520-P520</f>
        <v>0</v>
      </c>
      <c r="S520" s="85"/>
      <c r="T520" s="84"/>
      <c r="U520" s="27"/>
      <c r="V520" s="13"/>
      <c r="W520" s="67"/>
      <c r="X520" s="56"/>
      <c r="Y520" s="55"/>
      <c r="Z520" s="13"/>
      <c r="AA520" s="71"/>
      <c r="AB520" s="31"/>
      <c r="AC520" s="26">
        <f>+R520+W520+Y520-AA520</f>
        <v>0</v>
      </c>
      <c r="AD520" s="25"/>
      <c r="AE520" s="25"/>
      <c r="AF520" s="13"/>
      <c r="AG520" s="13"/>
      <c r="AH520" s="13"/>
    </row>
    <row r="521" spans="1:34" x14ac:dyDescent="0.3">
      <c r="A521" s="65">
        <v>518</v>
      </c>
      <c r="B521" s="25"/>
      <c r="C521" s="25"/>
      <c r="D521" s="25"/>
      <c r="E521" s="30" t="str">
        <f>CONCATENATE(B521,"-",C521,"-",D521)</f>
        <v>--</v>
      </c>
      <c r="F521" s="13">
        <f>VLOOKUP(E521,'LISTA ITEMS'!$E$2:$G$875,2,FALSE)</f>
        <v>0</v>
      </c>
      <c r="G521" s="25">
        <f>VLOOKUP(E521,'LISTA ITEMS'!$E$2:$G$875,3,FALSE)</f>
        <v>0</v>
      </c>
      <c r="H521" s="76"/>
      <c r="I521" s="75">
        <v>0</v>
      </c>
      <c r="J521" s="27"/>
      <c r="K521" s="13"/>
      <c r="L521" s="67"/>
      <c r="M521" s="56"/>
      <c r="N521" s="55"/>
      <c r="O521" s="13"/>
      <c r="P521" s="71"/>
      <c r="Q521" s="31"/>
      <c r="R521" s="26">
        <f>+I521+L521+N521-P521</f>
        <v>0</v>
      </c>
      <c r="S521" s="85"/>
      <c r="T521" s="84"/>
      <c r="U521" s="27"/>
      <c r="V521" s="13"/>
      <c r="W521" s="67"/>
      <c r="X521" s="56"/>
      <c r="Y521" s="55"/>
      <c r="Z521" s="13"/>
      <c r="AA521" s="71"/>
      <c r="AB521" s="31"/>
      <c r="AC521" s="26">
        <f>+R521+W521+Y521-AA521</f>
        <v>0</v>
      </c>
      <c r="AD521" s="25"/>
      <c r="AE521" s="25"/>
      <c r="AF521" s="13"/>
      <c r="AG521" s="13"/>
      <c r="AH521" s="13"/>
    </row>
    <row r="522" spans="1:34" x14ac:dyDescent="0.3">
      <c r="A522" s="65">
        <v>519</v>
      </c>
      <c r="B522" s="25"/>
      <c r="C522" s="25"/>
      <c r="D522" s="25"/>
      <c r="E522" s="30" t="str">
        <f>CONCATENATE(B522,"-",C522,"-",D522)</f>
        <v>--</v>
      </c>
      <c r="F522" s="13">
        <f>VLOOKUP(E522,'LISTA ITEMS'!$E$2:$G$875,2,FALSE)</f>
        <v>0</v>
      </c>
      <c r="G522" s="25">
        <f>VLOOKUP(E522,'LISTA ITEMS'!$E$2:$G$875,3,FALSE)</f>
        <v>0</v>
      </c>
      <c r="H522" s="76"/>
      <c r="I522" s="75">
        <v>0</v>
      </c>
      <c r="J522" s="27"/>
      <c r="K522" s="13"/>
      <c r="L522" s="67"/>
      <c r="M522" s="56"/>
      <c r="N522" s="55"/>
      <c r="O522" s="13"/>
      <c r="P522" s="71"/>
      <c r="Q522" s="31"/>
      <c r="R522" s="26">
        <f>+I522+L522+N522-P522</f>
        <v>0</v>
      </c>
      <c r="S522" s="85"/>
      <c r="T522" s="84"/>
      <c r="U522" s="27"/>
      <c r="V522" s="13"/>
      <c r="W522" s="67"/>
      <c r="X522" s="56"/>
      <c r="Y522" s="55"/>
      <c r="Z522" s="13"/>
      <c r="AA522" s="71"/>
      <c r="AB522" s="31"/>
      <c r="AC522" s="26">
        <f>+R522+W522+Y522-AA522</f>
        <v>0</v>
      </c>
      <c r="AD522" s="25"/>
      <c r="AE522" s="25"/>
      <c r="AF522" s="13"/>
      <c r="AG522" s="13"/>
      <c r="AH522" s="13"/>
    </row>
    <row r="523" spans="1:34" x14ac:dyDescent="0.3">
      <c r="A523" s="65">
        <v>520</v>
      </c>
      <c r="B523" s="25"/>
      <c r="C523" s="25"/>
      <c r="D523" s="25"/>
      <c r="E523" s="30" t="str">
        <f>CONCATENATE(B523,"-",C523,"-",D523)</f>
        <v>--</v>
      </c>
      <c r="F523" s="13">
        <f>VLOOKUP(E523,'LISTA ITEMS'!$E$2:$G$875,2,FALSE)</f>
        <v>0</v>
      </c>
      <c r="G523" s="25">
        <f>VLOOKUP(E523,'LISTA ITEMS'!$E$2:$G$875,3,FALSE)</f>
        <v>0</v>
      </c>
      <c r="H523" s="76"/>
      <c r="I523" s="75">
        <v>0</v>
      </c>
      <c r="J523" s="27"/>
      <c r="K523" s="13"/>
      <c r="L523" s="67"/>
      <c r="M523" s="56"/>
      <c r="N523" s="55"/>
      <c r="O523" s="13"/>
      <c r="P523" s="71"/>
      <c r="Q523" s="31"/>
      <c r="R523" s="26">
        <f>+I523+L523+N523-P523</f>
        <v>0</v>
      </c>
      <c r="S523" s="85"/>
      <c r="T523" s="84"/>
      <c r="U523" s="27"/>
      <c r="V523" s="13"/>
      <c r="W523" s="67"/>
      <c r="X523" s="56"/>
      <c r="Y523" s="55"/>
      <c r="Z523" s="13"/>
      <c r="AA523" s="71"/>
      <c r="AB523" s="31"/>
      <c r="AC523" s="26">
        <f>+R523+W523+Y523-AA523</f>
        <v>0</v>
      </c>
      <c r="AD523" s="25"/>
      <c r="AE523" s="25"/>
      <c r="AF523" s="13"/>
      <c r="AG523" s="13"/>
      <c r="AH523" s="13"/>
    </row>
    <row r="524" spans="1:34" x14ac:dyDescent="0.3">
      <c r="A524" s="65">
        <v>521</v>
      </c>
      <c r="B524" s="25"/>
      <c r="C524" s="25"/>
      <c r="D524" s="25"/>
      <c r="E524" s="30" t="str">
        <f>CONCATENATE(B524,"-",C524,"-",D524)</f>
        <v>--</v>
      </c>
      <c r="F524" s="13">
        <f>VLOOKUP(E524,'LISTA ITEMS'!$E$2:$G$875,2,FALSE)</f>
        <v>0</v>
      </c>
      <c r="G524" s="25">
        <f>VLOOKUP(E524,'LISTA ITEMS'!$E$2:$G$875,3,FALSE)</f>
        <v>0</v>
      </c>
      <c r="H524" s="76"/>
      <c r="I524" s="75">
        <v>0</v>
      </c>
      <c r="J524" s="27"/>
      <c r="K524" s="13"/>
      <c r="L524" s="67"/>
      <c r="M524" s="56"/>
      <c r="N524" s="55"/>
      <c r="O524" s="13"/>
      <c r="P524" s="71"/>
      <c r="Q524" s="31"/>
      <c r="R524" s="26">
        <f>+I524+L524+N524-P524</f>
        <v>0</v>
      </c>
      <c r="S524" s="85"/>
      <c r="T524" s="84"/>
      <c r="U524" s="27"/>
      <c r="V524" s="13"/>
      <c r="W524" s="67"/>
      <c r="X524" s="56"/>
      <c r="Y524" s="55"/>
      <c r="Z524" s="13"/>
      <c r="AA524" s="71"/>
      <c r="AB524" s="31"/>
      <c r="AC524" s="26">
        <f>+R524+W524+Y524-AA524</f>
        <v>0</v>
      </c>
      <c r="AD524" s="25"/>
      <c r="AE524" s="25"/>
      <c r="AF524" s="13"/>
      <c r="AG524" s="13"/>
      <c r="AH524" s="13"/>
    </row>
    <row r="525" spans="1:34" x14ac:dyDescent="0.3">
      <c r="A525" s="65">
        <v>522</v>
      </c>
      <c r="B525" s="25"/>
      <c r="C525" s="25"/>
      <c r="D525" s="25"/>
      <c r="E525" s="30" t="str">
        <f>CONCATENATE(B525,"-",C525,"-",D525)</f>
        <v>--</v>
      </c>
      <c r="F525" s="13">
        <f>VLOOKUP(E525,'LISTA ITEMS'!$E$2:$G$875,2,FALSE)</f>
        <v>0</v>
      </c>
      <c r="G525" s="25">
        <f>VLOOKUP(E525,'LISTA ITEMS'!$E$2:$G$875,3,FALSE)</f>
        <v>0</v>
      </c>
      <c r="H525" s="76"/>
      <c r="I525" s="75">
        <v>0</v>
      </c>
      <c r="J525" s="27"/>
      <c r="K525" s="13"/>
      <c r="L525" s="67"/>
      <c r="M525" s="56"/>
      <c r="N525" s="55"/>
      <c r="O525" s="13"/>
      <c r="P525" s="71"/>
      <c r="Q525" s="31"/>
      <c r="R525" s="26">
        <f>+I525+L525+N525-P525</f>
        <v>0</v>
      </c>
      <c r="S525" s="85"/>
      <c r="T525" s="84"/>
      <c r="U525" s="27"/>
      <c r="V525" s="13"/>
      <c r="W525" s="67"/>
      <c r="X525" s="56"/>
      <c r="Y525" s="55"/>
      <c r="Z525" s="13"/>
      <c r="AA525" s="71"/>
      <c r="AB525" s="31"/>
      <c r="AC525" s="26">
        <f>+R525+W525+Y525-AA525</f>
        <v>0</v>
      </c>
      <c r="AD525" s="25"/>
      <c r="AE525" s="25"/>
      <c r="AF525" s="13"/>
      <c r="AG525" s="13"/>
      <c r="AH525" s="13"/>
    </row>
    <row r="526" spans="1:34" x14ac:dyDescent="0.3">
      <c r="A526" s="65">
        <v>523</v>
      </c>
      <c r="B526" s="25"/>
      <c r="C526" s="25"/>
      <c r="D526" s="25"/>
      <c r="E526" s="30" t="str">
        <f>CONCATENATE(B526,"-",C526,"-",D526)</f>
        <v>--</v>
      </c>
      <c r="F526" s="13">
        <f>VLOOKUP(E526,'LISTA ITEMS'!$E$2:$G$875,2,FALSE)</f>
        <v>0</v>
      </c>
      <c r="G526" s="25">
        <f>VLOOKUP(E526,'LISTA ITEMS'!$E$2:$G$875,3,FALSE)</f>
        <v>0</v>
      </c>
      <c r="H526" s="76"/>
      <c r="I526" s="75">
        <v>0</v>
      </c>
      <c r="J526" s="27"/>
      <c r="K526" s="13"/>
      <c r="L526" s="67"/>
      <c r="M526" s="56"/>
      <c r="N526" s="55"/>
      <c r="O526" s="13"/>
      <c r="P526" s="71"/>
      <c r="Q526" s="31"/>
      <c r="R526" s="26">
        <f>+I526+L526+N526-P526</f>
        <v>0</v>
      </c>
      <c r="S526" s="85"/>
      <c r="T526" s="84"/>
      <c r="U526" s="27"/>
      <c r="V526" s="13"/>
      <c r="W526" s="67"/>
      <c r="X526" s="56"/>
      <c r="Y526" s="55"/>
      <c r="Z526" s="13"/>
      <c r="AA526" s="71"/>
      <c r="AB526" s="31"/>
      <c r="AC526" s="26">
        <f>+R526+W526+Y526-AA526</f>
        <v>0</v>
      </c>
      <c r="AD526" s="25"/>
      <c r="AE526" s="25"/>
      <c r="AF526" s="13"/>
      <c r="AG526" s="13"/>
      <c r="AH526" s="13"/>
    </row>
    <row r="527" spans="1:34" x14ac:dyDescent="0.3">
      <c r="A527" s="65">
        <v>524</v>
      </c>
      <c r="B527" s="25"/>
      <c r="C527" s="25"/>
      <c r="D527" s="25"/>
      <c r="E527" s="30" t="str">
        <f>CONCATENATE(B527,"-",C527,"-",D527)</f>
        <v>--</v>
      </c>
      <c r="F527" s="13">
        <f>VLOOKUP(E527,'LISTA ITEMS'!$E$2:$G$875,2,FALSE)</f>
        <v>0</v>
      </c>
      <c r="G527" s="25">
        <f>VLOOKUP(E527,'LISTA ITEMS'!$E$2:$G$875,3,FALSE)</f>
        <v>0</v>
      </c>
      <c r="H527" s="76"/>
      <c r="I527" s="75">
        <v>0</v>
      </c>
      <c r="J527" s="27"/>
      <c r="K527" s="13"/>
      <c r="L527" s="67"/>
      <c r="M527" s="56"/>
      <c r="N527" s="55"/>
      <c r="O527" s="13"/>
      <c r="P527" s="71"/>
      <c r="Q527" s="31"/>
      <c r="R527" s="26">
        <f>+I527+L527+N527-P527</f>
        <v>0</v>
      </c>
      <c r="S527" s="85"/>
      <c r="T527" s="84"/>
      <c r="U527" s="27"/>
      <c r="V527" s="13"/>
      <c r="W527" s="67"/>
      <c r="X527" s="56"/>
      <c r="Y527" s="55"/>
      <c r="Z527" s="13"/>
      <c r="AA527" s="71"/>
      <c r="AB527" s="31"/>
      <c r="AC527" s="26">
        <f>+R527+W527+Y527-AA527</f>
        <v>0</v>
      </c>
      <c r="AD527" s="25"/>
      <c r="AE527" s="25"/>
      <c r="AF527" s="13"/>
      <c r="AG527" s="13"/>
      <c r="AH527" s="13"/>
    </row>
    <row r="528" spans="1:34" x14ac:dyDescent="0.3">
      <c r="A528" s="65">
        <v>525</v>
      </c>
      <c r="B528" s="25"/>
      <c r="C528" s="25"/>
      <c r="D528" s="25"/>
      <c r="E528" s="30" t="str">
        <f>CONCATENATE(B528,"-",C528,"-",D528)</f>
        <v>--</v>
      </c>
      <c r="F528" s="13">
        <f>VLOOKUP(E528,'LISTA ITEMS'!$E$2:$G$875,2,FALSE)</f>
        <v>0</v>
      </c>
      <c r="G528" s="25">
        <f>VLOOKUP(E528,'LISTA ITEMS'!$E$2:$G$875,3,FALSE)</f>
        <v>0</v>
      </c>
      <c r="H528" s="76"/>
      <c r="I528" s="75">
        <v>0</v>
      </c>
      <c r="J528" s="27"/>
      <c r="K528" s="13"/>
      <c r="L528" s="67"/>
      <c r="M528" s="56"/>
      <c r="N528" s="55"/>
      <c r="O528" s="13"/>
      <c r="P528" s="71"/>
      <c r="Q528" s="31"/>
      <c r="R528" s="26">
        <f>+I528+L528+N528-P528</f>
        <v>0</v>
      </c>
      <c r="S528" s="85"/>
      <c r="T528" s="84"/>
      <c r="U528" s="27"/>
      <c r="V528" s="13"/>
      <c r="W528" s="67"/>
      <c r="X528" s="56"/>
      <c r="Y528" s="55"/>
      <c r="Z528" s="13"/>
      <c r="AA528" s="71"/>
      <c r="AB528" s="31"/>
      <c r="AC528" s="26">
        <f>+R528+W528+Y528-AA528</f>
        <v>0</v>
      </c>
      <c r="AD528" s="25"/>
      <c r="AE528" s="25"/>
      <c r="AF528" s="13"/>
      <c r="AG528" s="13"/>
      <c r="AH528" s="13"/>
    </row>
    <row r="529" spans="1:34" x14ac:dyDescent="0.3">
      <c r="A529" s="65">
        <v>526</v>
      </c>
      <c r="B529" s="25"/>
      <c r="C529" s="25"/>
      <c r="D529" s="25"/>
      <c r="E529" s="30" t="str">
        <f>CONCATENATE(B529,"-",C529,"-",D529)</f>
        <v>--</v>
      </c>
      <c r="F529" s="13">
        <f>VLOOKUP(E529,'LISTA ITEMS'!$E$2:$G$875,2,FALSE)</f>
        <v>0</v>
      </c>
      <c r="G529" s="25">
        <f>VLOOKUP(E529,'LISTA ITEMS'!$E$2:$G$875,3,FALSE)</f>
        <v>0</v>
      </c>
      <c r="H529" s="76"/>
      <c r="I529" s="75">
        <v>0</v>
      </c>
      <c r="J529" s="27"/>
      <c r="K529" s="13"/>
      <c r="L529" s="67"/>
      <c r="M529" s="56"/>
      <c r="N529" s="55"/>
      <c r="O529" s="13"/>
      <c r="P529" s="71"/>
      <c r="Q529" s="31"/>
      <c r="R529" s="26">
        <f>+I529+L529+N529-P529</f>
        <v>0</v>
      </c>
      <c r="S529" s="85"/>
      <c r="T529" s="84"/>
      <c r="U529" s="27"/>
      <c r="V529" s="13"/>
      <c r="W529" s="67"/>
      <c r="X529" s="56"/>
      <c r="Y529" s="55"/>
      <c r="Z529" s="13"/>
      <c r="AA529" s="71"/>
      <c r="AB529" s="31"/>
      <c r="AC529" s="26">
        <f>+R529+W529+Y529-AA529</f>
        <v>0</v>
      </c>
      <c r="AD529" s="25"/>
      <c r="AE529" s="25"/>
      <c r="AF529" s="13"/>
      <c r="AG529" s="13"/>
      <c r="AH529" s="13"/>
    </row>
    <row r="530" spans="1:34" x14ac:dyDescent="0.3">
      <c r="A530" s="65">
        <v>527</v>
      </c>
      <c r="B530" s="25"/>
      <c r="C530" s="25"/>
      <c r="D530" s="25"/>
      <c r="E530" s="30" t="str">
        <f>CONCATENATE(B530,"-",C530,"-",D530)</f>
        <v>--</v>
      </c>
      <c r="F530" s="13">
        <f>VLOOKUP(E530,'LISTA ITEMS'!$E$2:$G$875,2,FALSE)</f>
        <v>0</v>
      </c>
      <c r="G530" s="25">
        <f>VLOOKUP(E530,'LISTA ITEMS'!$E$2:$G$875,3,FALSE)</f>
        <v>0</v>
      </c>
      <c r="H530" s="76"/>
      <c r="I530" s="75">
        <v>0</v>
      </c>
      <c r="J530" s="27"/>
      <c r="K530" s="13"/>
      <c r="L530" s="67"/>
      <c r="M530" s="56"/>
      <c r="N530" s="55"/>
      <c r="O530" s="13"/>
      <c r="P530" s="71"/>
      <c r="Q530" s="31"/>
      <c r="R530" s="26">
        <f>+I530+L530+N530-P530</f>
        <v>0</v>
      </c>
      <c r="S530" s="85"/>
      <c r="T530" s="84"/>
      <c r="U530" s="27"/>
      <c r="V530" s="13"/>
      <c r="W530" s="67"/>
      <c r="X530" s="56"/>
      <c r="Y530" s="55"/>
      <c r="Z530" s="13"/>
      <c r="AA530" s="71"/>
      <c r="AB530" s="31"/>
      <c r="AC530" s="26">
        <f>+R530+W530+Y530-AA530</f>
        <v>0</v>
      </c>
      <c r="AD530" s="25"/>
      <c r="AE530" s="25"/>
      <c r="AF530" s="13"/>
      <c r="AG530" s="13"/>
      <c r="AH530" s="13"/>
    </row>
    <row r="531" spans="1:34" x14ac:dyDescent="0.3">
      <c r="A531" s="65">
        <v>528</v>
      </c>
      <c r="B531" s="25"/>
      <c r="C531" s="25"/>
      <c r="D531" s="25"/>
      <c r="E531" s="30" t="str">
        <f>CONCATENATE(B531,"-",C531,"-",D531)</f>
        <v>--</v>
      </c>
      <c r="F531" s="13">
        <f>VLOOKUP(E531,'LISTA ITEMS'!$E$2:$G$875,2,FALSE)</f>
        <v>0</v>
      </c>
      <c r="G531" s="25">
        <f>VLOOKUP(E531,'LISTA ITEMS'!$E$2:$G$875,3,FALSE)</f>
        <v>0</v>
      </c>
      <c r="H531" s="76"/>
      <c r="I531" s="75">
        <v>0</v>
      </c>
      <c r="J531" s="27"/>
      <c r="K531" s="13"/>
      <c r="L531" s="67"/>
      <c r="M531" s="56"/>
      <c r="N531" s="55"/>
      <c r="O531" s="13"/>
      <c r="P531" s="71"/>
      <c r="Q531" s="31"/>
      <c r="R531" s="26">
        <f>+I531+L531+N531-P531</f>
        <v>0</v>
      </c>
      <c r="S531" s="85"/>
      <c r="T531" s="84"/>
      <c r="U531" s="27"/>
      <c r="V531" s="13"/>
      <c r="W531" s="67"/>
      <c r="X531" s="56"/>
      <c r="Y531" s="55"/>
      <c r="Z531" s="13"/>
      <c r="AA531" s="71"/>
      <c r="AB531" s="31"/>
      <c r="AC531" s="26">
        <f>+R531+W531+Y531-AA531</f>
        <v>0</v>
      </c>
      <c r="AD531" s="25"/>
      <c r="AE531" s="25"/>
      <c r="AF531" s="13"/>
      <c r="AG531" s="13"/>
      <c r="AH531" s="13"/>
    </row>
    <row r="532" spans="1:34" x14ac:dyDescent="0.3">
      <c r="A532" s="65">
        <v>529</v>
      </c>
      <c r="B532" s="25"/>
      <c r="C532" s="25"/>
      <c r="D532" s="25"/>
      <c r="E532" s="30" t="str">
        <f>CONCATENATE(B532,"-",C532,"-",D532)</f>
        <v>--</v>
      </c>
      <c r="F532" s="13">
        <f>VLOOKUP(E532,'LISTA ITEMS'!$E$2:$G$875,2,FALSE)</f>
        <v>0</v>
      </c>
      <c r="G532" s="25">
        <f>VLOOKUP(E532,'LISTA ITEMS'!$E$2:$G$875,3,FALSE)</f>
        <v>0</v>
      </c>
      <c r="H532" s="76"/>
      <c r="I532" s="75">
        <v>0</v>
      </c>
      <c r="J532" s="27"/>
      <c r="K532" s="13"/>
      <c r="L532" s="67"/>
      <c r="M532" s="56"/>
      <c r="N532" s="55"/>
      <c r="O532" s="13"/>
      <c r="P532" s="71"/>
      <c r="Q532" s="31"/>
      <c r="R532" s="26">
        <f>+I532+L532+N532-P532</f>
        <v>0</v>
      </c>
      <c r="S532" s="85"/>
      <c r="T532" s="84"/>
      <c r="U532" s="27"/>
      <c r="V532" s="13"/>
      <c r="W532" s="67"/>
      <c r="X532" s="56"/>
      <c r="Y532" s="55"/>
      <c r="Z532" s="13"/>
      <c r="AA532" s="71"/>
      <c r="AB532" s="31"/>
      <c r="AC532" s="26">
        <f>+R532+W532+Y532-AA532</f>
        <v>0</v>
      </c>
      <c r="AD532" s="25"/>
      <c r="AE532" s="25"/>
      <c r="AF532" s="13"/>
      <c r="AG532" s="13"/>
      <c r="AH532" s="13"/>
    </row>
    <row r="533" spans="1:34" x14ac:dyDescent="0.3">
      <c r="A533" s="65">
        <v>530</v>
      </c>
      <c r="B533" s="25"/>
      <c r="C533" s="25"/>
      <c r="D533" s="25"/>
      <c r="E533" s="30" t="str">
        <f>CONCATENATE(B533,"-",C533,"-",D533)</f>
        <v>--</v>
      </c>
      <c r="F533" s="13">
        <f>VLOOKUP(E533,'LISTA ITEMS'!$E$2:$G$875,2,FALSE)</f>
        <v>0</v>
      </c>
      <c r="G533" s="25">
        <f>VLOOKUP(E533,'LISTA ITEMS'!$E$2:$G$875,3,FALSE)</f>
        <v>0</v>
      </c>
      <c r="H533" s="76"/>
      <c r="I533" s="75">
        <v>0</v>
      </c>
      <c r="J533" s="27"/>
      <c r="K533" s="13"/>
      <c r="L533" s="67"/>
      <c r="M533" s="56"/>
      <c r="N533" s="55"/>
      <c r="O533" s="13"/>
      <c r="P533" s="71"/>
      <c r="Q533" s="31"/>
      <c r="R533" s="26">
        <f>+I533+L533+N533-P533</f>
        <v>0</v>
      </c>
      <c r="S533" s="85"/>
      <c r="T533" s="84"/>
      <c r="U533" s="27"/>
      <c r="V533" s="13"/>
      <c r="W533" s="67"/>
      <c r="X533" s="56"/>
      <c r="Y533" s="55"/>
      <c r="Z533" s="13"/>
      <c r="AA533" s="71"/>
      <c r="AB533" s="31"/>
      <c r="AC533" s="26">
        <f>+R533+W533+Y533-AA533</f>
        <v>0</v>
      </c>
      <c r="AD533" s="25"/>
      <c r="AE533" s="25"/>
      <c r="AF533" s="13"/>
      <c r="AG533" s="13"/>
      <c r="AH533" s="13"/>
    </row>
    <row r="534" spans="1:34" x14ac:dyDescent="0.3">
      <c r="A534" s="65">
        <v>531</v>
      </c>
      <c r="B534" s="25"/>
      <c r="C534" s="25"/>
      <c r="D534" s="25"/>
      <c r="E534" s="30" t="str">
        <f>CONCATENATE(B534,"-",C534,"-",D534)</f>
        <v>--</v>
      </c>
      <c r="F534" s="13">
        <f>VLOOKUP(E534,'LISTA ITEMS'!$E$2:$G$875,2,FALSE)</f>
        <v>0</v>
      </c>
      <c r="G534" s="25">
        <f>VLOOKUP(E534,'LISTA ITEMS'!$E$2:$G$875,3,FALSE)</f>
        <v>0</v>
      </c>
      <c r="H534" s="76"/>
      <c r="I534" s="75">
        <v>0</v>
      </c>
      <c r="J534" s="27"/>
      <c r="K534" s="13"/>
      <c r="L534" s="67"/>
      <c r="M534" s="56"/>
      <c r="N534" s="55"/>
      <c r="O534" s="13"/>
      <c r="P534" s="71"/>
      <c r="Q534" s="31"/>
      <c r="R534" s="26">
        <f>+I534+L534+N534-P534</f>
        <v>0</v>
      </c>
      <c r="S534" s="85"/>
      <c r="T534" s="84"/>
      <c r="U534" s="27"/>
      <c r="V534" s="13"/>
      <c r="W534" s="67"/>
      <c r="X534" s="56"/>
      <c r="Y534" s="55"/>
      <c r="Z534" s="13"/>
      <c r="AA534" s="71"/>
      <c r="AB534" s="31"/>
      <c r="AC534" s="26">
        <f>+R534+W534+Y534-AA534</f>
        <v>0</v>
      </c>
      <c r="AD534" s="25"/>
      <c r="AE534" s="25"/>
      <c r="AF534" s="13"/>
      <c r="AG534" s="13"/>
      <c r="AH534" s="13"/>
    </row>
    <row r="535" spans="1:34" x14ac:dyDescent="0.3">
      <c r="A535" s="65">
        <v>532</v>
      </c>
      <c r="B535" s="25"/>
      <c r="C535" s="25"/>
      <c r="D535" s="25"/>
      <c r="E535" s="30" t="str">
        <f>CONCATENATE(B535,"-",C535,"-",D535)</f>
        <v>--</v>
      </c>
      <c r="F535" s="13">
        <f>VLOOKUP(E535,'LISTA ITEMS'!$E$2:$G$875,2,FALSE)</f>
        <v>0</v>
      </c>
      <c r="G535" s="25">
        <f>VLOOKUP(E535,'LISTA ITEMS'!$E$2:$G$875,3,FALSE)</f>
        <v>0</v>
      </c>
      <c r="H535" s="76"/>
      <c r="I535" s="75">
        <v>0</v>
      </c>
      <c r="J535" s="27"/>
      <c r="K535" s="13"/>
      <c r="L535" s="67"/>
      <c r="M535" s="56"/>
      <c r="N535" s="55"/>
      <c r="O535" s="13"/>
      <c r="P535" s="71"/>
      <c r="Q535" s="31"/>
      <c r="R535" s="26">
        <f>+I535+L535+N535-P535</f>
        <v>0</v>
      </c>
      <c r="S535" s="85"/>
      <c r="T535" s="84"/>
      <c r="U535" s="27"/>
      <c r="V535" s="13"/>
      <c r="W535" s="67"/>
      <c r="X535" s="56"/>
      <c r="Y535" s="55"/>
      <c r="Z535" s="13"/>
      <c r="AA535" s="71"/>
      <c r="AB535" s="31"/>
      <c r="AC535" s="26">
        <f>+R535+W535+Y535-AA535</f>
        <v>0</v>
      </c>
      <c r="AD535" s="25"/>
      <c r="AE535" s="25"/>
      <c r="AF535" s="13"/>
      <c r="AG535" s="13"/>
      <c r="AH535" s="13"/>
    </row>
    <row r="536" spans="1:34" x14ac:dyDescent="0.3">
      <c r="A536" s="65">
        <v>533</v>
      </c>
      <c r="B536" s="25"/>
      <c r="C536" s="25"/>
      <c r="D536" s="25"/>
      <c r="E536" s="30" t="str">
        <f>CONCATENATE(B536,"-",C536,"-",D536)</f>
        <v>--</v>
      </c>
      <c r="F536" s="13">
        <f>VLOOKUP(E536,'LISTA ITEMS'!$E$2:$G$875,2,FALSE)</f>
        <v>0</v>
      </c>
      <c r="G536" s="25">
        <f>VLOOKUP(E536,'LISTA ITEMS'!$E$2:$G$875,3,FALSE)</f>
        <v>0</v>
      </c>
      <c r="H536" s="76"/>
      <c r="I536" s="75">
        <v>0</v>
      </c>
      <c r="J536" s="27"/>
      <c r="K536" s="13"/>
      <c r="L536" s="67"/>
      <c r="M536" s="56"/>
      <c r="N536" s="55"/>
      <c r="O536" s="13"/>
      <c r="P536" s="71"/>
      <c r="Q536" s="31"/>
      <c r="R536" s="26">
        <f>+I536+L536+N536-P536</f>
        <v>0</v>
      </c>
      <c r="S536" s="85"/>
      <c r="T536" s="84"/>
      <c r="U536" s="27"/>
      <c r="V536" s="13"/>
      <c r="W536" s="67"/>
      <c r="X536" s="56"/>
      <c r="Y536" s="55"/>
      <c r="Z536" s="13"/>
      <c r="AA536" s="71"/>
      <c r="AB536" s="31"/>
      <c r="AC536" s="26">
        <f>+R536+W536+Y536-AA536</f>
        <v>0</v>
      </c>
      <c r="AD536" s="25"/>
      <c r="AE536" s="25"/>
      <c r="AF536" s="13"/>
      <c r="AG536" s="13"/>
      <c r="AH536" s="13"/>
    </row>
    <row r="537" spans="1:34" x14ac:dyDescent="0.3">
      <c r="A537" s="65">
        <v>534</v>
      </c>
      <c r="B537" s="25"/>
      <c r="C537" s="25"/>
      <c r="D537" s="25"/>
      <c r="E537" s="30" t="str">
        <f>CONCATENATE(B537,"-",C537,"-",D537)</f>
        <v>--</v>
      </c>
      <c r="F537" s="13">
        <f>VLOOKUP(E537,'LISTA ITEMS'!$E$2:$G$875,2,FALSE)</f>
        <v>0</v>
      </c>
      <c r="G537" s="25">
        <f>VLOOKUP(E537,'LISTA ITEMS'!$E$2:$G$875,3,FALSE)</f>
        <v>0</v>
      </c>
      <c r="H537" s="76"/>
      <c r="I537" s="75">
        <v>0</v>
      </c>
      <c r="J537" s="27"/>
      <c r="K537" s="13"/>
      <c r="L537" s="67"/>
      <c r="M537" s="56"/>
      <c r="N537" s="55"/>
      <c r="O537" s="13"/>
      <c r="P537" s="71"/>
      <c r="Q537" s="31"/>
      <c r="R537" s="26">
        <f>+I537+L537+N537-P537</f>
        <v>0</v>
      </c>
      <c r="S537" s="85"/>
      <c r="T537" s="84"/>
      <c r="U537" s="27"/>
      <c r="V537" s="13"/>
      <c r="W537" s="67"/>
      <c r="X537" s="56"/>
      <c r="Y537" s="55"/>
      <c r="Z537" s="13"/>
      <c r="AA537" s="71"/>
      <c r="AB537" s="31"/>
      <c r="AC537" s="26">
        <f>+R537+W537+Y537-AA537</f>
        <v>0</v>
      </c>
      <c r="AD537" s="25"/>
      <c r="AE537" s="25"/>
      <c r="AF537" s="13"/>
      <c r="AG537" s="13"/>
      <c r="AH537" s="13"/>
    </row>
    <row r="538" spans="1:34" x14ac:dyDescent="0.3">
      <c r="A538" s="65">
        <v>535</v>
      </c>
      <c r="B538" s="25"/>
      <c r="C538" s="25"/>
      <c r="D538" s="25"/>
      <c r="E538" s="30" t="str">
        <f>CONCATENATE(B538,"-",C538,"-",D538)</f>
        <v>--</v>
      </c>
      <c r="F538" s="13">
        <f>VLOOKUP(E538,'LISTA ITEMS'!$E$2:$G$875,2,FALSE)</f>
        <v>0</v>
      </c>
      <c r="G538" s="25">
        <f>VLOOKUP(E538,'LISTA ITEMS'!$E$2:$G$875,3,FALSE)</f>
        <v>0</v>
      </c>
      <c r="H538" s="76"/>
      <c r="I538" s="75">
        <v>0</v>
      </c>
      <c r="J538" s="27"/>
      <c r="K538" s="13"/>
      <c r="L538" s="67"/>
      <c r="M538" s="56"/>
      <c r="N538" s="55"/>
      <c r="O538" s="13"/>
      <c r="P538" s="71"/>
      <c r="Q538" s="31"/>
      <c r="R538" s="26">
        <f>+I538+L538+N538-P538</f>
        <v>0</v>
      </c>
      <c r="S538" s="85"/>
      <c r="T538" s="84"/>
      <c r="U538" s="27"/>
      <c r="V538" s="13"/>
      <c r="W538" s="67"/>
      <c r="X538" s="56"/>
      <c r="Y538" s="55"/>
      <c r="Z538" s="13"/>
      <c r="AA538" s="71"/>
      <c r="AB538" s="31"/>
      <c r="AC538" s="26">
        <f>+R538+W538+Y538-AA538</f>
        <v>0</v>
      </c>
      <c r="AD538" s="25"/>
      <c r="AE538" s="25"/>
      <c r="AF538" s="13"/>
      <c r="AG538" s="13"/>
      <c r="AH538" s="13"/>
    </row>
    <row r="539" spans="1:34" x14ac:dyDescent="0.3">
      <c r="A539" s="65">
        <v>536</v>
      </c>
      <c r="B539" s="25"/>
      <c r="C539" s="25"/>
      <c r="D539" s="25"/>
      <c r="E539" s="30" t="str">
        <f>CONCATENATE(B539,"-",C539,"-",D539)</f>
        <v>--</v>
      </c>
      <c r="F539" s="13">
        <f>VLOOKUP(E539,'LISTA ITEMS'!$E$2:$G$875,2,FALSE)</f>
        <v>0</v>
      </c>
      <c r="G539" s="25">
        <f>VLOOKUP(E539,'LISTA ITEMS'!$E$2:$G$875,3,FALSE)</f>
        <v>0</v>
      </c>
      <c r="H539" s="76"/>
      <c r="I539" s="75">
        <v>0</v>
      </c>
      <c r="J539" s="27"/>
      <c r="K539" s="13"/>
      <c r="L539" s="67"/>
      <c r="M539" s="56"/>
      <c r="N539" s="55"/>
      <c r="O539" s="13"/>
      <c r="P539" s="71"/>
      <c r="Q539" s="31"/>
      <c r="R539" s="26">
        <f>+I539+L539+N539-P539</f>
        <v>0</v>
      </c>
      <c r="S539" s="85"/>
      <c r="T539" s="84"/>
      <c r="U539" s="27"/>
      <c r="V539" s="13"/>
      <c r="W539" s="67"/>
      <c r="X539" s="56"/>
      <c r="Y539" s="55"/>
      <c r="Z539" s="13"/>
      <c r="AA539" s="71"/>
      <c r="AB539" s="31"/>
      <c r="AC539" s="26">
        <f>+R539+W539+Y539-AA539</f>
        <v>0</v>
      </c>
      <c r="AD539" s="25"/>
      <c r="AE539" s="25"/>
      <c r="AF539" s="13"/>
      <c r="AG539" s="13"/>
      <c r="AH539" s="13"/>
    </row>
    <row r="540" spans="1:34" x14ac:dyDescent="0.3">
      <c r="A540" s="65">
        <v>537</v>
      </c>
      <c r="B540" s="25"/>
      <c r="C540" s="25"/>
      <c r="D540" s="25"/>
      <c r="E540" s="30" t="str">
        <f>CONCATENATE(B540,"-",C540,"-",D540)</f>
        <v>--</v>
      </c>
      <c r="F540" s="13">
        <f>VLOOKUP(E540,'LISTA ITEMS'!$E$2:$G$875,2,FALSE)</f>
        <v>0</v>
      </c>
      <c r="G540" s="25">
        <f>VLOOKUP(E540,'LISTA ITEMS'!$E$2:$G$875,3,FALSE)</f>
        <v>0</v>
      </c>
      <c r="H540" s="76"/>
      <c r="I540" s="75">
        <v>0</v>
      </c>
      <c r="J540" s="27"/>
      <c r="K540" s="13"/>
      <c r="L540" s="67"/>
      <c r="M540" s="56"/>
      <c r="N540" s="55"/>
      <c r="O540" s="13"/>
      <c r="P540" s="71"/>
      <c r="Q540" s="31"/>
      <c r="R540" s="26">
        <f>+I540+L540+N540-P540</f>
        <v>0</v>
      </c>
      <c r="S540" s="85"/>
      <c r="T540" s="84"/>
      <c r="U540" s="27"/>
      <c r="V540" s="13"/>
      <c r="W540" s="67"/>
      <c r="X540" s="56"/>
      <c r="Y540" s="55"/>
      <c r="Z540" s="13"/>
      <c r="AA540" s="71"/>
      <c r="AB540" s="31"/>
      <c r="AC540" s="26">
        <f>+R540+W540+Y540-AA540</f>
        <v>0</v>
      </c>
      <c r="AD540" s="25"/>
      <c r="AE540" s="25"/>
      <c r="AF540" s="13"/>
      <c r="AG540" s="13"/>
      <c r="AH540" s="13"/>
    </row>
    <row r="541" spans="1:34" x14ac:dyDescent="0.3">
      <c r="A541" s="65">
        <v>538</v>
      </c>
      <c r="B541" s="25"/>
      <c r="C541" s="25"/>
      <c r="D541" s="25"/>
      <c r="E541" s="30" t="str">
        <f>CONCATENATE(B541,"-",C541,"-",D541)</f>
        <v>--</v>
      </c>
      <c r="F541" s="13">
        <f>VLOOKUP(E541,'LISTA ITEMS'!$E$2:$G$875,2,FALSE)</f>
        <v>0</v>
      </c>
      <c r="G541" s="25">
        <f>VLOOKUP(E541,'LISTA ITEMS'!$E$2:$G$875,3,FALSE)</f>
        <v>0</v>
      </c>
      <c r="H541" s="76"/>
      <c r="I541" s="75">
        <v>0</v>
      </c>
      <c r="J541" s="27"/>
      <c r="K541" s="13"/>
      <c r="L541" s="67"/>
      <c r="M541" s="56"/>
      <c r="N541" s="55"/>
      <c r="O541" s="13"/>
      <c r="P541" s="71"/>
      <c r="Q541" s="31"/>
      <c r="R541" s="26">
        <f>+I541+L541+N541-P541</f>
        <v>0</v>
      </c>
      <c r="S541" s="85"/>
      <c r="T541" s="84"/>
      <c r="U541" s="27"/>
      <c r="V541" s="13"/>
      <c r="W541" s="67"/>
      <c r="X541" s="56"/>
      <c r="Y541" s="55"/>
      <c r="Z541" s="13"/>
      <c r="AA541" s="71"/>
      <c r="AB541" s="31"/>
      <c r="AC541" s="26">
        <f>+R541+W541+Y541-AA541</f>
        <v>0</v>
      </c>
      <c r="AD541" s="25"/>
      <c r="AE541" s="25"/>
      <c r="AF541" s="13"/>
      <c r="AG541" s="13"/>
      <c r="AH541" s="13"/>
    </row>
    <row r="542" spans="1:34" x14ac:dyDescent="0.3">
      <c r="A542" s="65">
        <v>539</v>
      </c>
      <c r="B542" s="25"/>
      <c r="C542" s="25"/>
      <c r="D542" s="25"/>
      <c r="E542" s="30" t="str">
        <f>CONCATENATE(B542,"-",C542,"-",D542)</f>
        <v>--</v>
      </c>
      <c r="F542" s="13">
        <f>VLOOKUP(E542,'LISTA ITEMS'!$E$2:$G$875,2,FALSE)</f>
        <v>0</v>
      </c>
      <c r="G542" s="25">
        <f>VLOOKUP(E542,'LISTA ITEMS'!$E$2:$G$875,3,FALSE)</f>
        <v>0</v>
      </c>
      <c r="H542" s="76"/>
      <c r="I542" s="75">
        <v>0</v>
      </c>
      <c r="J542" s="27"/>
      <c r="K542" s="13"/>
      <c r="L542" s="67"/>
      <c r="M542" s="56"/>
      <c r="N542" s="55"/>
      <c r="O542" s="13"/>
      <c r="P542" s="71"/>
      <c r="Q542" s="31"/>
      <c r="R542" s="26">
        <f>+I542+L542+N542-P542</f>
        <v>0</v>
      </c>
      <c r="S542" s="85"/>
      <c r="T542" s="84"/>
      <c r="U542" s="27"/>
      <c r="V542" s="13"/>
      <c r="W542" s="67"/>
      <c r="X542" s="56"/>
      <c r="Y542" s="55"/>
      <c r="Z542" s="13"/>
      <c r="AA542" s="71"/>
      <c r="AB542" s="31"/>
      <c r="AC542" s="26">
        <f>+R542+W542+Y542-AA542</f>
        <v>0</v>
      </c>
      <c r="AD542" s="25"/>
      <c r="AE542" s="25"/>
      <c r="AF542" s="13"/>
      <c r="AG542" s="13"/>
      <c r="AH542" s="13"/>
    </row>
    <row r="543" spans="1:34" x14ac:dyDescent="0.3">
      <c r="A543" s="65">
        <v>540</v>
      </c>
      <c r="B543" s="25"/>
      <c r="C543" s="25"/>
      <c r="D543" s="25"/>
      <c r="E543" s="30" t="str">
        <f>CONCATENATE(B543,"-",C543,"-",D543)</f>
        <v>--</v>
      </c>
      <c r="F543" s="13">
        <f>VLOOKUP(E543,'LISTA ITEMS'!$E$2:$G$875,2,FALSE)</f>
        <v>0</v>
      </c>
      <c r="G543" s="25">
        <f>VLOOKUP(E543,'LISTA ITEMS'!$E$2:$G$875,3,FALSE)</f>
        <v>0</v>
      </c>
      <c r="H543" s="76"/>
      <c r="I543" s="75">
        <v>0</v>
      </c>
      <c r="J543" s="27"/>
      <c r="K543" s="13"/>
      <c r="L543" s="67"/>
      <c r="M543" s="56"/>
      <c r="N543" s="55"/>
      <c r="O543" s="13"/>
      <c r="P543" s="71"/>
      <c r="Q543" s="31"/>
      <c r="R543" s="26">
        <f>+I543+L543+N543-P543</f>
        <v>0</v>
      </c>
      <c r="S543" s="85"/>
      <c r="T543" s="84"/>
      <c r="U543" s="27"/>
      <c r="V543" s="13"/>
      <c r="W543" s="67"/>
      <c r="X543" s="56"/>
      <c r="Y543" s="55"/>
      <c r="Z543" s="13"/>
      <c r="AA543" s="71"/>
      <c r="AB543" s="31"/>
      <c r="AC543" s="26">
        <f>+R543+W543+Y543-AA543</f>
        <v>0</v>
      </c>
      <c r="AD543" s="25"/>
      <c r="AE543" s="25"/>
      <c r="AF543" s="13"/>
      <c r="AG543" s="13"/>
      <c r="AH543" s="13"/>
    </row>
    <row r="544" spans="1:34" x14ac:dyDescent="0.3">
      <c r="A544" s="65">
        <v>541</v>
      </c>
      <c r="B544" s="25"/>
      <c r="C544" s="25"/>
      <c r="D544" s="25"/>
      <c r="E544" s="30" t="str">
        <f>CONCATENATE(B544,"-",C544,"-",D544)</f>
        <v>--</v>
      </c>
      <c r="F544" s="13">
        <f>VLOOKUP(E544,'LISTA ITEMS'!$E$2:$G$875,2,FALSE)</f>
        <v>0</v>
      </c>
      <c r="G544" s="25">
        <f>VLOOKUP(E544,'LISTA ITEMS'!$E$2:$G$875,3,FALSE)</f>
        <v>0</v>
      </c>
      <c r="H544" s="76"/>
      <c r="I544" s="75">
        <v>0</v>
      </c>
      <c r="J544" s="27"/>
      <c r="K544" s="13"/>
      <c r="L544" s="67"/>
      <c r="M544" s="56"/>
      <c r="N544" s="55"/>
      <c r="O544" s="13"/>
      <c r="P544" s="71"/>
      <c r="Q544" s="31"/>
      <c r="R544" s="26">
        <f>+I544+L544+N544-P544</f>
        <v>0</v>
      </c>
      <c r="S544" s="85"/>
      <c r="T544" s="84"/>
      <c r="U544" s="27"/>
      <c r="V544" s="13"/>
      <c r="W544" s="67"/>
      <c r="X544" s="56"/>
      <c r="Y544" s="55"/>
      <c r="Z544" s="13"/>
      <c r="AA544" s="71"/>
      <c r="AB544" s="31"/>
      <c r="AC544" s="26">
        <f>+R544+W544+Y544-AA544</f>
        <v>0</v>
      </c>
      <c r="AD544" s="25"/>
      <c r="AE544" s="25"/>
      <c r="AF544" s="13"/>
      <c r="AG544" s="13"/>
      <c r="AH544" s="13"/>
    </row>
    <row r="545" spans="1:34" x14ac:dyDescent="0.3">
      <c r="A545" s="65">
        <v>542</v>
      </c>
      <c r="B545" s="25"/>
      <c r="C545" s="25"/>
      <c r="D545" s="25"/>
      <c r="E545" s="30" t="str">
        <f>CONCATENATE(B545,"-",C545,"-",D545)</f>
        <v>--</v>
      </c>
      <c r="F545" s="13">
        <f>VLOOKUP(E545,'LISTA ITEMS'!$E$2:$G$875,2,FALSE)</f>
        <v>0</v>
      </c>
      <c r="G545" s="25">
        <f>VLOOKUP(E545,'LISTA ITEMS'!$E$2:$G$875,3,FALSE)</f>
        <v>0</v>
      </c>
      <c r="H545" s="76"/>
      <c r="I545" s="75">
        <v>0</v>
      </c>
      <c r="J545" s="27"/>
      <c r="K545" s="13"/>
      <c r="L545" s="67"/>
      <c r="M545" s="56"/>
      <c r="N545" s="55"/>
      <c r="O545" s="13"/>
      <c r="P545" s="71"/>
      <c r="Q545" s="31"/>
      <c r="R545" s="26">
        <f>+I545+L545+N545-P545</f>
        <v>0</v>
      </c>
      <c r="S545" s="85"/>
      <c r="T545" s="84"/>
      <c r="U545" s="27"/>
      <c r="V545" s="13"/>
      <c r="W545" s="67"/>
      <c r="X545" s="56"/>
      <c r="Y545" s="55"/>
      <c r="Z545" s="13"/>
      <c r="AA545" s="71"/>
      <c r="AB545" s="31"/>
      <c r="AC545" s="26">
        <f>+R545+W545+Y545-AA545</f>
        <v>0</v>
      </c>
      <c r="AD545" s="25"/>
      <c r="AE545" s="25"/>
      <c r="AF545" s="13"/>
      <c r="AG545" s="13"/>
      <c r="AH545" s="13"/>
    </row>
    <row r="546" spans="1:34" x14ac:dyDescent="0.3">
      <c r="A546" s="65">
        <v>543</v>
      </c>
      <c r="B546" s="25"/>
      <c r="C546" s="25"/>
      <c r="D546" s="25"/>
      <c r="E546" s="30" t="str">
        <f>CONCATENATE(B546,"-",C546,"-",D546)</f>
        <v>--</v>
      </c>
      <c r="F546" s="13">
        <f>VLOOKUP(E546,'LISTA ITEMS'!$E$2:$G$875,2,FALSE)</f>
        <v>0</v>
      </c>
      <c r="G546" s="25">
        <f>VLOOKUP(E546,'LISTA ITEMS'!$E$2:$G$875,3,FALSE)</f>
        <v>0</v>
      </c>
      <c r="H546" s="76"/>
      <c r="I546" s="75">
        <v>0</v>
      </c>
      <c r="J546" s="27"/>
      <c r="K546" s="13"/>
      <c r="L546" s="67"/>
      <c r="M546" s="56"/>
      <c r="N546" s="55"/>
      <c r="O546" s="13"/>
      <c r="P546" s="71"/>
      <c r="Q546" s="31"/>
      <c r="R546" s="26">
        <f>+I546+L546+N546-P546</f>
        <v>0</v>
      </c>
      <c r="S546" s="85"/>
      <c r="T546" s="84"/>
      <c r="U546" s="27"/>
      <c r="V546" s="13"/>
      <c r="W546" s="67"/>
      <c r="X546" s="56"/>
      <c r="Y546" s="55"/>
      <c r="Z546" s="13"/>
      <c r="AA546" s="71"/>
      <c r="AB546" s="31"/>
      <c r="AC546" s="26">
        <f>+R546+W546+Y546-AA546</f>
        <v>0</v>
      </c>
      <c r="AD546" s="25"/>
      <c r="AE546" s="25"/>
      <c r="AF546" s="13"/>
      <c r="AG546" s="13"/>
      <c r="AH546" s="13"/>
    </row>
    <row r="547" spans="1:34" x14ac:dyDescent="0.3">
      <c r="A547" s="65">
        <v>544</v>
      </c>
      <c r="B547" s="25"/>
      <c r="C547" s="25"/>
      <c r="D547" s="25"/>
      <c r="E547" s="30" t="str">
        <f>CONCATENATE(B547,"-",C547,"-",D547)</f>
        <v>--</v>
      </c>
      <c r="F547" s="13">
        <f>VLOOKUP(E547,'LISTA ITEMS'!$E$2:$G$875,2,FALSE)</f>
        <v>0</v>
      </c>
      <c r="G547" s="25">
        <f>VLOOKUP(E547,'LISTA ITEMS'!$E$2:$G$875,3,FALSE)</f>
        <v>0</v>
      </c>
      <c r="H547" s="76"/>
      <c r="I547" s="75">
        <v>0</v>
      </c>
      <c r="J547" s="27"/>
      <c r="K547" s="13"/>
      <c r="L547" s="67"/>
      <c r="M547" s="56"/>
      <c r="N547" s="55"/>
      <c r="O547" s="13"/>
      <c r="P547" s="71"/>
      <c r="Q547" s="31"/>
      <c r="R547" s="26">
        <f>+I547+L547+N547-P547</f>
        <v>0</v>
      </c>
      <c r="S547" s="85"/>
      <c r="T547" s="84"/>
      <c r="U547" s="27"/>
      <c r="V547" s="13"/>
      <c r="W547" s="67"/>
      <c r="X547" s="56"/>
      <c r="Y547" s="55"/>
      <c r="Z547" s="13"/>
      <c r="AA547" s="71"/>
      <c r="AB547" s="31"/>
      <c r="AC547" s="26">
        <f>+R547+W547+Y547-AA547</f>
        <v>0</v>
      </c>
      <c r="AD547" s="25"/>
      <c r="AE547" s="25"/>
      <c r="AF547" s="13"/>
      <c r="AG547" s="13"/>
      <c r="AH547" s="13"/>
    </row>
    <row r="548" spans="1:34" x14ac:dyDescent="0.3">
      <c r="A548" s="65">
        <v>545</v>
      </c>
      <c r="B548" s="25"/>
      <c r="C548" s="25"/>
      <c r="D548" s="25"/>
      <c r="E548" s="30" t="str">
        <f>CONCATENATE(B548,"-",C548,"-",D548)</f>
        <v>--</v>
      </c>
      <c r="F548" s="13">
        <f>VLOOKUP(E548,'LISTA ITEMS'!$E$2:$G$875,2,FALSE)</f>
        <v>0</v>
      </c>
      <c r="G548" s="25">
        <f>VLOOKUP(E548,'LISTA ITEMS'!$E$2:$G$875,3,FALSE)</f>
        <v>0</v>
      </c>
      <c r="H548" s="76"/>
      <c r="I548" s="75">
        <v>0</v>
      </c>
      <c r="J548" s="27"/>
      <c r="K548" s="13"/>
      <c r="L548" s="67"/>
      <c r="M548" s="56"/>
      <c r="N548" s="55"/>
      <c r="O548" s="13"/>
      <c r="P548" s="71"/>
      <c r="Q548" s="31"/>
      <c r="R548" s="26">
        <f>+I548+L548+N548-P548</f>
        <v>0</v>
      </c>
      <c r="S548" s="85"/>
      <c r="T548" s="84"/>
      <c r="U548" s="27"/>
      <c r="V548" s="13"/>
      <c r="W548" s="67"/>
      <c r="X548" s="56"/>
      <c r="Y548" s="55"/>
      <c r="Z548" s="13"/>
      <c r="AA548" s="71"/>
      <c r="AB548" s="31"/>
      <c r="AC548" s="26">
        <f>+R548+W548+Y548-AA548</f>
        <v>0</v>
      </c>
      <c r="AD548" s="25"/>
      <c r="AE548" s="25"/>
      <c r="AF548" s="13"/>
      <c r="AG548" s="13"/>
      <c r="AH548" s="13"/>
    </row>
    <row r="549" spans="1:34" x14ac:dyDescent="0.3">
      <c r="A549" s="65">
        <v>546</v>
      </c>
      <c r="B549" s="25"/>
      <c r="C549" s="25"/>
      <c r="D549" s="25"/>
      <c r="E549" s="30" t="str">
        <f>CONCATENATE(B549,"-",C549,"-",D549)</f>
        <v>--</v>
      </c>
      <c r="F549" s="13">
        <f>VLOOKUP(E549,'LISTA ITEMS'!$E$2:$G$875,2,FALSE)</f>
        <v>0</v>
      </c>
      <c r="G549" s="25">
        <f>VLOOKUP(E549,'LISTA ITEMS'!$E$2:$G$875,3,FALSE)</f>
        <v>0</v>
      </c>
      <c r="H549" s="76"/>
      <c r="I549" s="75">
        <v>0</v>
      </c>
      <c r="J549" s="27"/>
      <c r="K549" s="13"/>
      <c r="L549" s="67"/>
      <c r="M549" s="56"/>
      <c r="N549" s="55"/>
      <c r="O549" s="13"/>
      <c r="P549" s="71"/>
      <c r="Q549" s="31"/>
      <c r="R549" s="26">
        <f>+I549+L549+N549-P549</f>
        <v>0</v>
      </c>
      <c r="S549" s="85"/>
      <c r="T549" s="84"/>
      <c r="U549" s="27"/>
      <c r="V549" s="13"/>
      <c r="W549" s="67"/>
      <c r="X549" s="56"/>
      <c r="Y549" s="55"/>
      <c r="Z549" s="13"/>
      <c r="AA549" s="71"/>
      <c r="AB549" s="31"/>
      <c r="AC549" s="26">
        <f>+R549+W549+Y549-AA549</f>
        <v>0</v>
      </c>
      <c r="AD549" s="25"/>
      <c r="AE549" s="25"/>
      <c r="AF549" s="13"/>
      <c r="AG549" s="13"/>
      <c r="AH549" s="13"/>
    </row>
    <row r="550" spans="1:34" x14ac:dyDescent="0.3">
      <c r="A550" s="65">
        <v>547</v>
      </c>
      <c r="B550" s="25"/>
      <c r="C550" s="25"/>
      <c r="D550" s="25"/>
      <c r="E550" s="30" t="str">
        <f>CONCATENATE(B550,"-",C550,"-",D550)</f>
        <v>--</v>
      </c>
      <c r="F550" s="13">
        <f>VLOOKUP(E550,'LISTA ITEMS'!$E$2:$G$875,2,FALSE)</f>
        <v>0</v>
      </c>
      <c r="G550" s="25">
        <f>VLOOKUP(E550,'LISTA ITEMS'!$E$2:$G$875,3,FALSE)</f>
        <v>0</v>
      </c>
      <c r="H550" s="76"/>
      <c r="I550" s="75">
        <v>0</v>
      </c>
      <c r="J550" s="27"/>
      <c r="K550" s="13"/>
      <c r="L550" s="67"/>
      <c r="M550" s="56"/>
      <c r="N550" s="55"/>
      <c r="O550" s="13"/>
      <c r="P550" s="71"/>
      <c r="Q550" s="31"/>
      <c r="R550" s="26">
        <f>+I550+L550+N550-P550</f>
        <v>0</v>
      </c>
      <c r="S550" s="85"/>
      <c r="T550" s="84"/>
      <c r="U550" s="27"/>
      <c r="V550" s="13"/>
      <c r="W550" s="67"/>
      <c r="X550" s="56"/>
      <c r="Y550" s="55"/>
      <c r="Z550" s="13"/>
      <c r="AA550" s="71"/>
      <c r="AB550" s="31"/>
      <c r="AC550" s="26">
        <f>+R550+W550+Y550-AA550</f>
        <v>0</v>
      </c>
      <c r="AD550" s="25"/>
      <c r="AE550" s="25"/>
      <c r="AF550" s="13"/>
      <c r="AG550" s="13"/>
      <c r="AH550" s="13"/>
    </row>
    <row r="551" spans="1:34" x14ac:dyDescent="0.3">
      <c r="A551" s="65">
        <v>548</v>
      </c>
      <c r="B551" s="25"/>
      <c r="C551" s="25"/>
      <c r="D551" s="25"/>
      <c r="E551" s="30" t="str">
        <f>CONCATENATE(B551,"-",C551,"-",D551)</f>
        <v>--</v>
      </c>
      <c r="F551" s="13">
        <f>VLOOKUP(E551,'LISTA ITEMS'!$E$2:$G$875,2,FALSE)</f>
        <v>0</v>
      </c>
      <c r="G551" s="25">
        <f>VLOOKUP(E551,'LISTA ITEMS'!$E$2:$G$875,3,FALSE)</f>
        <v>0</v>
      </c>
      <c r="H551" s="76"/>
      <c r="I551" s="75">
        <v>0</v>
      </c>
      <c r="J551" s="27"/>
      <c r="K551" s="13"/>
      <c r="L551" s="67"/>
      <c r="M551" s="56"/>
      <c r="N551" s="55"/>
      <c r="O551" s="13"/>
      <c r="P551" s="71"/>
      <c r="Q551" s="31"/>
      <c r="R551" s="26">
        <f>+I551+L551+N551-P551</f>
        <v>0</v>
      </c>
      <c r="S551" s="85"/>
      <c r="T551" s="84"/>
      <c r="U551" s="27"/>
      <c r="V551" s="13"/>
      <c r="W551" s="67"/>
      <c r="X551" s="56"/>
      <c r="Y551" s="55"/>
      <c r="Z551" s="13"/>
      <c r="AA551" s="71"/>
      <c r="AB551" s="31"/>
      <c r="AC551" s="26">
        <f>+R551+W551+Y551-AA551</f>
        <v>0</v>
      </c>
      <c r="AD551" s="25"/>
      <c r="AE551" s="25"/>
      <c r="AF551" s="13"/>
      <c r="AG551" s="13"/>
      <c r="AH551" s="13"/>
    </row>
    <row r="552" spans="1:34" x14ac:dyDescent="0.3">
      <c r="A552" s="65">
        <v>549</v>
      </c>
      <c r="B552" s="25"/>
      <c r="C552" s="25"/>
      <c r="D552" s="25"/>
      <c r="E552" s="30" t="str">
        <f>CONCATENATE(B552,"-",C552,"-",D552)</f>
        <v>--</v>
      </c>
      <c r="F552" s="13">
        <f>VLOOKUP(E552,'LISTA ITEMS'!$E$2:$G$875,2,FALSE)</f>
        <v>0</v>
      </c>
      <c r="G552" s="25">
        <f>VLOOKUP(E552,'LISTA ITEMS'!$E$2:$G$875,3,FALSE)</f>
        <v>0</v>
      </c>
      <c r="H552" s="76"/>
      <c r="I552" s="75">
        <v>0</v>
      </c>
      <c r="J552" s="27"/>
      <c r="K552" s="13"/>
      <c r="L552" s="67"/>
      <c r="M552" s="56"/>
      <c r="N552" s="55"/>
      <c r="O552" s="13"/>
      <c r="P552" s="71"/>
      <c r="Q552" s="31"/>
      <c r="R552" s="26">
        <f>+I552+L552+N552-P552</f>
        <v>0</v>
      </c>
      <c r="S552" s="85"/>
      <c r="T552" s="84"/>
      <c r="U552" s="27"/>
      <c r="V552" s="13"/>
      <c r="W552" s="67"/>
      <c r="X552" s="56"/>
      <c r="Y552" s="55"/>
      <c r="Z552" s="13"/>
      <c r="AA552" s="71"/>
      <c r="AB552" s="31"/>
      <c r="AC552" s="26">
        <f>+R552+W552+Y552-AA552</f>
        <v>0</v>
      </c>
      <c r="AD552" s="25"/>
      <c r="AE552" s="25"/>
      <c r="AF552" s="13"/>
      <c r="AG552" s="13"/>
      <c r="AH552" s="13"/>
    </row>
    <row r="553" spans="1:34" x14ac:dyDescent="0.3">
      <c r="A553" s="65">
        <v>550</v>
      </c>
      <c r="B553" s="25"/>
      <c r="C553" s="25"/>
      <c r="D553" s="25"/>
      <c r="E553" s="30" t="str">
        <f>CONCATENATE(B553,"-",C553,"-",D553)</f>
        <v>--</v>
      </c>
      <c r="F553" s="13">
        <f>VLOOKUP(E553,'LISTA ITEMS'!$E$2:$G$875,2,FALSE)</f>
        <v>0</v>
      </c>
      <c r="G553" s="25">
        <f>VLOOKUP(E553,'LISTA ITEMS'!$E$2:$G$875,3,FALSE)</f>
        <v>0</v>
      </c>
      <c r="H553" s="76"/>
      <c r="I553" s="75">
        <v>0</v>
      </c>
      <c r="J553" s="27"/>
      <c r="K553" s="13"/>
      <c r="L553" s="67"/>
      <c r="M553" s="56"/>
      <c r="N553" s="55"/>
      <c r="O553" s="13"/>
      <c r="P553" s="71"/>
      <c r="Q553" s="31"/>
      <c r="R553" s="26">
        <f>+I553+L553+N553-P553</f>
        <v>0</v>
      </c>
      <c r="S553" s="85"/>
      <c r="T553" s="84"/>
      <c r="U553" s="27"/>
      <c r="V553" s="13"/>
      <c r="W553" s="67"/>
      <c r="X553" s="56"/>
      <c r="Y553" s="55"/>
      <c r="Z553" s="13"/>
      <c r="AA553" s="71"/>
      <c r="AB553" s="31"/>
      <c r="AC553" s="26">
        <f>+R553+W553+Y553-AA553</f>
        <v>0</v>
      </c>
      <c r="AD553" s="25"/>
      <c r="AE553" s="25"/>
      <c r="AF553" s="13"/>
      <c r="AG553" s="13"/>
      <c r="AH553" s="13"/>
    </row>
    <row r="554" spans="1:34" x14ac:dyDescent="0.3">
      <c r="A554" s="65">
        <v>551</v>
      </c>
      <c r="B554" s="25"/>
      <c r="C554" s="25"/>
      <c r="D554" s="25"/>
      <c r="E554" s="30" t="str">
        <f>CONCATENATE(B554,"-",C554,"-",D554)</f>
        <v>--</v>
      </c>
      <c r="F554" s="13">
        <f>VLOOKUP(E554,'LISTA ITEMS'!$E$2:$G$875,2,FALSE)</f>
        <v>0</v>
      </c>
      <c r="G554" s="25">
        <f>VLOOKUP(E554,'LISTA ITEMS'!$E$2:$G$875,3,FALSE)</f>
        <v>0</v>
      </c>
      <c r="H554" s="76"/>
      <c r="I554" s="75">
        <v>0</v>
      </c>
      <c r="J554" s="27"/>
      <c r="K554" s="13"/>
      <c r="L554" s="67"/>
      <c r="M554" s="56"/>
      <c r="N554" s="55"/>
      <c r="O554" s="13"/>
      <c r="P554" s="71"/>
      <c r="Q554" s="31"/>
      <c r="R554" s="26">
        <f>+I554+L554+N554-P554</f>
        <v>0</v>
      </c>
      <c r="S554" s="85"/>
      <c r="T554" s="84"/>
      <c r="U554" s="27"/>
      <c r="V554" s="13"/>
      <c r="W554" s="67"/>
      <c r="X554" s="56"/>
      <c r="Y554" s="55"/>
      <c r="Z554" s="13"/>
      <c r="AA554" s="71"/>
      <c r="AB554" s="31"/>
      <c r="AC554" s="26">
        <f>+R554+W554+Y554-AA554</f>
        <v>0</v>
      </c>
      <c r="AD554" s="25"/>
      <c r="AE554" s="25"/>
      <c r="AF554" s="13"/>
      <c r="AG554" s="13"/>
      <c r="AH554" s="13"/>
    </row>
    <row r="555" spans="1:34" x14ac:dyDescent="0.3">
      <c r="A555" s="65">
        <v>552</v>
      </c>
      <c r="B555" s="25"/>
      <c r="C555" s="25"/>
      <c r="D555" s="25"/>
      <c r="E555" s="30" t="str">
        <f>CONCATENATE(B555,"-",C555,"-",D555)</f>
        <v>--</v>
      </c>
      <c r="F555" s="13">
        <f>VLOOKUP(E555,'LISTA ITEMS'!$E$2:$G$875,2,FALSE)</f>
        <v>0</v>
      </c>
      <c r="G555" s="25">
        <f>VLOOKUP(E555,'LISTA ITEMS'!$E$2:$G$875,3,FALSE)</f>
        <v>0</v>
      </c>
      <c r="H555" s="76"/>
      <c r="I555" s="75">
        <v>0</v>
      </c>
      <c r="J555" s="27"/>
      <c r="K555" s="13"/>
      <c r="L555" s="67"/>
      <c r="M555" s="56"/>
      <c r="N555" s="55"/>
      <c r="O555" s="13"/>
      <c r="P555" s="71"/>
      <c r="Q555" s="31"/>
      <c r="R555" s="26">
        <f>+I555+L555+N555-P555</f>
        <v>0</v>
      </c>
      <c r="S555" s="85"/>
      <c r="T555" s="84"/>
      <c r="U555" s="27"/>
      <c r="V555" s="13"/>
      <c r="W555" s="67"/>
      <c r="X555" s="56"/>
      <c r="Y555" s="55"/>
      <c r="Z555" s="13"/>
      <c r="AA555" s="71"/>
      <c r="AB555" s="31"/>
      <c r="AC555" s="26">
        <f>+R555+W555+Y555-AA555</f>
        <v>0</v>
      </c>
      <c r="AD555" s="25"/>
      <c r="AE555" s="25"/>
      <c r="AF555" s="13"/>
      <c r="AG555" s="13"/>
      <c r="AH555" s="13"/>
    </row>
    <row r="556" spans="1:34" x14ac:dyDescent="0.3">
      <c r="A556" s="65">
        <v>553</v>
      </c>
      <c r="B556" s="25"/>
      <c r="C556" s="25"/>
      <c r="D556" s="25"/>
      <c r="E556" s="30" t="str">
        <f>CONCATENATE(B556,"-",C556,"-",D556)</f>
        <v>--</v>
      </c>
      <c r="F556" s="13">
        <f>VLOOKUP(E556,'LISTA ITEMS'!$E$2:$G$875,2,FALSE)</f>
        <v>0</v>
      </c>
      <c r="G556" s="25">
        <f>VLOOKUP(E556,'LISTA ITEMS'!$E$2:$G$875,3,FALSE)</f>
        <v>0</v>
      </c>
      <c r="H556" s="76"/>
      <c r="I556" s="75">
        <v>0</v>
      </c>
      <c r="J556" s="27"/>
      <c r="K556" s="13"/>
      <c r="L556" s="67"/>
      <c r="M556" s="56"/>
      <c r="N556" s="55"/>
      <c r="O556" s="13"/>
      <c r="P556" s="71"/>
      <c r="Q556" s="31"/>
      <c r="R556" s="26">
        <f>+I556+L556+N556-P556</f>
        <v>0</v>
      </c>
      <c r="S556" s="85"/>
      <c r="T556" s="84"/>
      <c r="U556" s="27"/>
      <c r="V556" s="13"/>
      <c r="W556" s="67"/>
      <c r="X556" s="56"/>
      <c r="Y556" s="55"/>
      <c r="Z556" s="13"/>
      <c r="AA556" s="71"/>
      <c r="AB556" s="31"/>
      <c r="AC556" s="26">
        <f>+R556+W556+Y556-AA556</f>
        <v>0</v>
      </c>
      <c r="AD556" s="25"/>
      <c r="AE556" s="25"/>
      <c r="AF556" s="13"/>
      <c r="AG556" s="13"/>
      <c r="AH556" s="13"/>
    </row>
    <row r="557" spans="1:34" x14ac:dyDescent="0.3">
      <c r="A557" s="65">
        <v>554</v>
      </c>
      <c r="B557" s="25"/>
      <c r="C557" s="25"/>
      <c r="D557" s="25"/>
      <c r="E557" s="30" t="str">
        <f>CONCATENATE(B557,"-",C557,"-",D557)</f>
        <v>--</v>
      </c>
      <c r="F557" s="13">
        <f>VLOOKUP(E557,'LISTA ITEMS'!$E$2:$G$875,2,FALSE)</f>
        <v>0</v>
      </c>
      <c r="G557" s="25">
        <f>VLOOKUP(E557,'LISTA ITEMS'!$E$2:$G$875,3,FALSE)</f>
        <v>0</v>
      </c>
      <c r="H557" s="76"/>
      <c r="I557" s="75">
        <v>0</v>
      </c>
      <c r="J557" s="27"/>
      <c r="K557" s="13"/>
      <c r="L557" s="67"/>
      <c r="M557" s="56"/>
      <c r="N557" s="55"/>
      <c r="O557" s="13"/>
      <c r="P557" s="71"/>
      <c r="Q557" s="31"/>
      <c r="R557" s="26">
        <f>+I557+L557+N557-P557</f>
        <v>0</v>
      </c>
      <c r="S557" s="85"/>
      <c r="T557" s="84"/>
      <c r="U557" s="27"/>
      <c r="V557" s="13"/>
      <c r="W557" s="67"/>
      <c r="X557" s="56"/>
      <c r="Y557" s="55"/>
      <c r="Z557" s="13"/>
      <c r="AA557" s="71"/>
      <c r="AB557" s="31"/>
      <c r="AC557" s="26">
        <f>+R557+W557+Y557-AA557</f>
        <v>0</v>
      </c>
      <c r="AD557" s="25"/>
      <c r="AE557" s="25"/>
      <c r="AF557" s="13"/>
      <c r="AG557" s="13"/>
      <c r="AH557" s="13"/>
    </row>
    <row r="558" spans="1:34" x14ac:dyDescent="0.3">
      <c r="A558" s="65">
        <v>555</v>
      </c>
      <c r="B558" s="25"/>
      <c r="C558" s="25"/>
      <c r="D558" s="25"/>
      <c r="E558" s="30" t="str">
        <f>CONCATENATE(B558,"-",C558,"-",D558)</f>
        <v>--</v>
      </c>
      <c r="F558" s="13">
        <f>VLOOKUP(E558,'LISTA ITEMS'!$E$2:$G$875,2,FALSE)</f>
        <v>0</v>
      </c>
      <c r="G558" s="25">
        <f>VLOOKUP(E558,'LISTA ITEMS'!$E$2:$G$875,3,FALSE)</f>
        <v>0</v>
      </c>
      <c r="H558" s="76"/>
      <c r="I558" s="75">
        <v>0</v>
      </c>
      <c r="J558" s="27"/>
      <c r="K558" s="13"/>
      <c r="L558" s="67"/>
      <c r="M558" s="56"/>
      <c r="N558" s="55"/>
      <c r="O558" s="13"/>
      <c r="P558" s="71"/>
      <c r="Q558" s="31"/>
      <c r="R558" s="26">
        <f>+I558+L558+N558-P558</f>
        <v>0</v>
      </c>
      <c r="S558" s="85"/>
      <c r="T558" s="84"/>
      <c r="U558" s="27"/>
      <c r="V558" s="13"/>
      <c r="W558" s="67"/>
      <c r="X558" s="56"/>
      <c r="Y558" s="55"/>
      <c r="Z558" s="13"/>
      <c r="AA558" s="71"/>
      <c r="AB558" s="31"/>
      <c r="AC558" s="26">
        <f>+R558+W558+Y558-AA558</f>
        <v>0</v>
      </c>
      <c r="AD558" s="25"/>
      <c r="AE558" s="25"/>
      <c r="AF558" s="13"/>
      <c r="AG558" s="13"/>
      <c r="AH558" s="13"/>
    </row>
    <row r="559" spans="1:34" x14ac:dyDescent="0.3">
      <c r="A559" s="65">
        <v>556</v>
      </c>
      <c r="B559" s="25"/>
      <c r="C559" s="25"/>
      <c r="D559" s="25"/>
      <c r="E559" s="30" t="str">
        <f>CONCATENATE(B559,"-",C559,"-",D559)</f>
        <v>--</v>
      </c>
      <c r="F559" s="13">
        <f>VLOOKUP(E559,'LISTA ITEMS'!$E$2:$G$875,2,FALSE)</f>
        <v>0</v>
      </c>
      <c r="G559" s="25">
        <f>VLOOKUP(E559,'LISTA ITEMS'!$E$2:$G$875,3,FALSE)</f>
        <v>0</v>
      </c>
      <c r="H559" s="76"/>
      <c r="I559" s="75">
        <v>0</v>
      </c>
      <c r="J559" s="27"/>
      <c r="K559" s="13"/>
      <c r="L559" s="67"/>
      <c r="M559" s="56"/>
      <c r="N559" s="55"/>
      <c r="O559" s="13"/>
      <c r="P559" s="71"/>
      <c r="Q559" s="31"/>
      <c r="R559" s="26">
        <f>+I559+L559+N559-P559</f>
        <v>0</v>
      </c>
      <c r="S559" s="85"/>
      <c r="T559" s="84"/>
      <c r="U559" s="27"/>
      <c r="V559" s="13"/>
      <c r="W559" s="67"/>
      <c r="X559" s="56"/>
      <c r="Y559" s="55"/>
      <c r="Z559" s="13"/>
      <c r="AA559" s="71"/>
      <c r="AB559" s="31"/>
      <c r="AC559" s="26">
        <f>+R559+W559+Y559-AA559</f>
        <v>0</v>
      </c>
      <c r="AD559" s="25"/>
      <c r="AE559" s="25"/>
      <c r="AF559" s="13"/>
      <c r="AG559" s="13"/>
      <c r="AH559" s="13"/>
    </row>
    <row r="560" spans="1:34" x14ac:dyDescent="0.3">
      <c r="A560" s="65">
        <v>557</v>
      </c>
      <c r="B560" s="25"/>
      <c r="C560" s="25"/>
      <c r="D560" s="25"/>
      <c r="E560" s="30" t="str">
        <f>CONCATENATE(B560,"-",C560,"-",D560)</f>
        <v>--</v>
      </c>
      <c r="F560" s="13">
        <f>VLOOKUP(E560,'LISTA ITEMS'!$E$2:$G$875,2,FALSE)</f>
        <v>0</v>
      </c>
      <c r="G560" s="25">
        <f>VLOOKUP(E560,'LISTA ITEMS'!$E$2:$G$875,3,FALSE)</f>
        <v>0</v>
      </c>
      <c r="H560" s="76"/>
      <c r="I560" s="75">
        <v>0</v>
      </c>
      <c r="J560" s="27"/>
      <c r="K560" s="13"/>
      <c r="L560" s="67"/>
      <c r="M560" s="56"/>
      <c r="N560" s="55"/>
      <c r="O560" s="13"/>
      <c r="P560" s="71"/>
      <c r="Q560" s="31"/>
      <c r="R560" s="26">
        <f>+I560+L560+N560-P560</f>
        <v>0</v>
      </c>
      <c r="S560" s="85"/>
      <c r="T560" s="84"/>
      <c r="U560" s="27"/>
      <c r="V560" s="13"/>
      <c r="W560" s="67"/>
      <c r="X560" s="56"/>
      <c r="Y560" s="55"/>
      <c r="Z560" s="13"/>
      <c r="AA560" s="71"/>
      <c r="AB560" s="31"/>
      <c r="AC560" s="26">
        <f>+R560+W560+Y560-AA560</f>
        <v>0</v>
      </c>
      <c r="AD560" s="25"/>
      <c r="AE560" s="25"/>
      <c r="AF560" s="13"/>
      <c r="AG560" s="13"/>
      <c r="AH560" s="13"/>
    </row>
    <row r="561" spans="1:36" x14ac:dyDescent="0.3">
      <c r="A561" s="65">
        <v>558</v>
      </c>
      <c r="B561" s="25"/>
      <c r="C561" s="25"/>
      <c r="D561" s="25"/>
      <c r="E561" s="30" t="str">
        <f>CONCATENATE(B561,"-",C561,"-",D561)</f>
        <v>--</v>
      </c>
      <c r="F561" s="13">
        <f>VLOOKUP(E561,'LISTA ITEMS'!$E$2:$G$875,2,FALSE)</f>
        <v>0</v>
      </c>
      <c r="G561" s="25">
        <f>VLOOKUP(E561,'LISTA ITEMS'!$E$2:$G$875,3,FALSE)</f>
        <v>0</v>
      </c>
      <c r="H561" s="76"/>
      <c r="I561" s="75">
        <v>0</v>
      </c>
      <c r="J561" s="27"/>
      <c r="K561" s="13"/>
      <c r="L561" s="67"/>
      <c r="M561" s="56"/>
      <c r="N561" s="55"/>
      <c r="O561" s="13"/>
      <c r="P561" s="71"/>
      <c r="Q561" s="31"/>
      <c r="R561" s="26">
        <f>+I561+L561+N561-P561</f>
        <v>0</v>
      </c>
      <c r="S561" s="85"/>
      <c r="T561" s="84"/>
      <c r="U561" s="27"/>
      <c r="V561" s="13"/>
      <c r="W561" s="67"/>
      <c r="X561" s="56"/>
      <c r="Y561" s="55"/>
      <c r="Z561" s="13"/>
      <c r="AA561" s="71"/>
      <c r="AB561" s="31"/>
      <c r="AC561" s="26">
        <f>+R561+W561+Y561-AA561</f>
        <v>0</v>
      </c>
      <c r="AD561" s="25"/>
      <c r="AE561" s="25"/>
      <c r="AF561" s="13"/>
      <c r="AG561" s="13"/>
      <c r="AH561" s="13"/>
    </row>
    <row r="562" spans="1:36" x14ac:dyDescent="0.3">
      <c r="A562" s="65">
        <v>559</v>
      </c>
      <c r="B562" s="25"/>
      <c r="C562" s="25"/>
      <c r="D562" s="25"/>
      <c r="E562" s="30" t="str">
        <f>CONCATENATE(B562,"-",C562,"-",D562)</f>
        <v>--</v>
      </c>
      <c r="F562" s="13">
        <f>VLOOKUP(E562,'LISTA ITEMS'!$E$2:$G$875,2,FALSE)</f>
        <v>0</v>
      </c>
      <c r="G562" s="25">
        <f>VLOOKUP(E562,'LISTA ITEMS'!$E$2:$G$875,3,FALSE)</f>
        <v>0</v>
      </c>
      <c r="H562" s="76"/>
      <c r="I562" s="75">
        <v>0</v>
      </c>
      <c r="J562" s="27"/>
      <c r="K562" s="13"/>
      <c r="L562" s="67"/>
      <c r="M562" s="56"/>
      <c r="N562" s="55"/>
      <c r="O562" s="13"/>
      <c r="P562" s="71"/>
      <c r="Q562" s="31"/>
      <c r="R562" s="26">
        <f>+I562+L562+N562-P562</f>
        <v>0</v>
      </c>
      <c r="S562" s="85"/>
      <c r="T562" s="84"/>
      <c r="U562" s="27"/>
      <c r="V562" s="13"/>
      <c r="W562" s="67"/>
      <c r="X562" s="56"/>
      <c r="Y562" s="55"/>
      <c r="Z562" s="13"/>
      <c r="AA562" s="71"/>
      <c r="AB562" s="31"/>
      <c r="AC562" s="26">
        <f>+R562+W562+Y562-AA562</f>
        <v>0</v>
      </c>
      <c r="AD562" s="25"/>
      <c r="AE562" s="25"/>
      <c r="AF562" s="13"/>
      <c r="AG562" s="13"/>
      <c r="AH562" s="13"/>
    </row>
    <row r="563" spans="1:36" x14ac:dyDescent="0.3">
      <c r="A563" s="65">
        <v>560</v>
      </c>
      <c r="B563" s="25"/>
      <c r="C563" s="25"/>
      <c r="D563" s="25"/>
      <c r="E563" s="30" t="str">
        <f>CONCATENATE(B563,"-",C563,"-",D563)</f>
        <v>--</v>
      </c>
      <c r="F563" s="13">
        <f>VLOOKUP(E563,'LISTA ITEMS'!$E$2:$G$875,2,FALSE)</f>
        <v>0</v>
      </c>
      <c r="G563" s="25">
        <f>VLOOKUP(E563,'LISTA ITEMS'!$E$2:$G$875,3,FALSE)</f>
        <v>0</v>
      </c>
      <c r="H563" s="76"/>
      <c r="I563" s="75">
        <v>0</v>
      </c>
      <c r="J563" s="27"/>
      <c r="K563" s="13"/>
      <c r="L563" s="67"/>
      <c r="M563" s="56"/>
      <c r="N563" s="55"/>
      <c r="O563" s="13"/>
      <c r="P563" s="71"/>
      <c r="Q563" s="31"/>
      <c r="R563" s="26">
        <f>+I563+L563+N563-P563</f>
        <v>0</v>
      </c>
      <c r="S563" s="85"/>
      <c r="T563" s="84"/>
      <c r="U563" s="27"/>
      <c r="V563" s="13"/>
      <c r="W563" s="67"/>
      <c r="X563" s="56"/>
      <c r="Y563" s="55"/>
      <c r="Z563" s="13"/>
      <c r="AA563" s="71"/>
      <c r="AB563" s="31"/>
      <c r="AC563" s="26">
        <f>+R563+W563+Y563-AA563</f>
        <v>0</v>
      </c>
      <c r="AD563" s="25"/>
      <c r="AE563" s="25"/>
      <c r="AF563" s="13"/>
      <c r="AG563" s="13"/>
      <c r="AH563" s="13"/>
    </row>
    <row r="564" spans="1:36" x14ac:dyDescent="0.3">
      <c r="A564" s="65">
        <v>561</v>
      </c>
      <c r="B564" s="25"/>
      <c r="C564" s="25"/>
      <c r="D564" s="25"/>
      <c r="E564" s="30" t="str">
        <f>CONCATENATE(B564,"-",C564,"-",D564)</f>
        <v>--</v>
      </c>
      <c r="F564" s="13">
        <f>VLOOKUP(E564,'LISTA ITEMS'!$E$2:$G$875,2,FALSE)</f>
        <v>0</v>
      </c>
      <c r="G564" s="25">
        <f>VLOOKUP(E564,'LISTA ITEMS'!$E$2:$G$875,3,FALSE)</f>
        <v>0</v>
      </c>
      <c r="H564" s="76"/>
      <c r="I564" s="75">
        <v>0</v>
      </c>
      <c r="J564" s="27"/>
      <c r="K564" s="13"/>
      <c r="L564" s="67"/>
      <c r="M564" s="56"/>
      <c r="N564" s="55"/>
      <c r="O564" s="13"/>
      <c r="P564" s="71"/>
      <c r="Q564" s="31"/>
      <c r="R564" s="26">
        <f>+I564+L564+N564-P564</f>
        <v>0</v>
      </c>
      <c r="S564" s="85"/>
      <c r="T564" s="84"/>
      <c r="U564" s="27"/>
      <c r="V564" s="13"/>
      <c r="W564" s="67"/>
      <c r="X564" s="56"/>
      <c r="Y564" s="55"/>
      <c r="Z564" s="13"/>
      <c r="AA564" s="71"/>
      <c r="AB564" s="31"/>
      <c r="AC564" s="26">
        <f>+R564+W564+Y564-AA564</f>
        <v>0</v>
      </c>
      <c r="AD564" s="25"/>
      <c r="AE564" s="25"/>
      <c r="AF564" s="13"/>
      <c r="AG564" s="13"/>
      <c r="AH564" s="13"/>
    </row>
    <row r="565" spans="1:36" x14ac:dyDescent="0.3">
      <c r="A565" s="65">
        <v>562</v>
      </c>
      <c r="B565" s="25"/>
      <c r="C565" s="25"/>
      <c r="D565" s="25"/>
      <c r="E565" s="30" t="str">
        <f>CONCATENATE(B565,"-",C565,"-",D565)</f>
        <v>--</v>
      </c>
      <c r="F565" s="13">
        <f>VLOOKUP(E565,'LISTA ITEMS'!$E$2:$G$875,2,FALSE)</f>
        <v>0</v>
      </c>
      <c r="G565" s="25">
        <f>VLOOKUP(E565,'LISTA ITEMS'!$E$2:$G$875,3,FALSE)</f>
        <v>0</v>
      </c>
      <c r="H565" s="76"/>
      <c r="I565" s="75">
        <v>0</v>
      </c>
      <c r="J565" s="27"/>
      <c r="K565" s="13"/>
      <c r="L565" s="67"/>
      <c r="M565" s="56"/>
      <c r="N565" s="55"/>
      <c r="O565" s="13"/>
      <c r="P565" s="71"/>
      <c r="Q565" s="31"/>
      <c r="R565" s="26">
        <f>+I565+L565+N565-P565</f>
        <v>0</v>
      </c>
      <c r="S565" s="85"/>
      <c r="T565" s="84"/>
      <c r="U565" s="27"/>
      <c r="V565" s="13"/>
      <c r="W565" s="67"/>
      <c r="X565" s="56"/>
      <c r="Y565" s="55"/>
      <c r="Z565" s="13"/>
      <c r="AA565" s="71"/>
      <c r="AB565" s="31"/>
      <c r="AC565" s="26">
        <f>+R565+W565+Y565-AA565</f>
        <v>0</v>
      </c>
      <c r="AD565" s="25"/>
      <c r="AE565" s="25"/>
      <c r="AF565" s="13"/>
      <c r="AG565" s="13"/>
      <c r="AH565" s="13"/>
    </row>
    <row r="566" spans="1:36" x14ac:dyDescent="0.3">
      <c r="A566" s="65">
        <v>563</v>
      </c>
      <c r="B566" s="25"/>
      <c r="C566" s="25"/>
      <c r="D566" s="25"/>
      <c r="E566" s="30" t="str">
        <f>CONCATENATE(B566,"-",C566,"-",D566)</f>
        <v>--</v>
      </c>
      <c r="F566" s="13">
        <f>VLOOKUP(E566,'LISTA ITEMS'!$E$2:$G$875,2,FALSE)</f>
        <v>0</v>
      </c>
      <c r="G566" s="25">
        <f>VLOOKUP(E566,'LISTA ITEMS'!$E$2:$G$875,3,FALSE)</f>
        <v>0</v>
      </c>
      <c r="H566" s="76"/>
      <c r="I566" s="75">
        <v>0</v>
      </c>
      <c r="J566" s="27"/>
      <c r="K566" s="13"/>
      <c r="L566" s="67"/>
      <c r="M566" s="56"/>
      <c r="N566" s="55"/>
      <c r="O566" s="13"/>
      <c r="P566" s="71"/>
      <c r="Q566" s="31"/>
      <c r="R566" s="26">
        <f>+I566+L566+N566-P566</f>
        <v>0</v>
      </c>
      <c r="S566" s="85"/>
      <c r="T566" s="84"/>
      <c r="U566" s="27"/>
      <c r="V566" s="13"/>
      <c r="W566" s="67"/>
      <c r="X566" s="56"/>
      <c r="Y566" s="55"/>
      <c r="Z566" s="13"/>
      <c r="AA566" s="71"/>
      <c r="AB566" s="31"/>
      <c r="AC566" s="26">
        <f>+R566+W566+Y566-AA566</f>
        <v>0</v>
      </c>
      <c r="AD566" s="25"/>
      <c r="AE566" s="25"/>
      <c r="AF566" s="13"/>
      <c r="AG566" s="13"/>
      <c r="AH566" s="13"/>
    </row>
    <row r="567" spans="1:36" x14ac:dyDescent="0.3">
      <c r="A567" s="65">
        <v>564</v>
      </c>
      <c r="B567" s="25"/>
      <c r="C567" s="25"/>
      <c r="D567" s="25"/>
      <c r="E567" s="30" t="str">
        <f>CONCATENATE(B567,"-",C567,"-",D567)</f>
        <v>--</v>
      </c>
      <c r="F567" s="13">
        <f>VLOOKUP(E567,'LISTA ITEMS'!$E$2:$G$875,2,FALSE)</f>
        <v>0</v>
      </c>
      <c r="G567" s="25">
        <f>VLOOKUP(E567,'LISTA ITEMS'!$E$2:$G$875,3,FALSE)</f>
        <v>0</v>
      </c>
      <c r="H567" s="76"/>
      <c r="I567" s="75">
        <v>0</v>
      </c>
      <c r="J567" s="27"/>
      <c r="K567" s="13"/>
      <c r="L567" s="67"/>
      <c r="M567" s="56"/>
      <c r="N567" s="55"/>
      <c r="O567" s="13"/>
      <c r="P567" s="71"/>
      <c r="Q567" s="31"/>
      <c r="R567" s="26">
        <f>+I567+L567+N567-P567</f>
        <v>0</v>
      </c>
      <c r="S567" s="85"/>
      <c r="T567" s="84"/>
      <c r="U567" s="27"/>
      <c r="V567" s="13"/>
      <c r="W567" s="67"/>
      <c r="X567" s="56"/>
      <c r="Y567" s="55"/>
      <c r="Z567" s="13"/>
      <c r="AA567" s="71"/>
      <c r="AB567" s="31"/>
      <c r="AC567" s="26">
        <f>+R567+W567+Y567-AA567</f>
        <v>0</v>
      </c>
      <c r="AD567" s="25"/>
      <c r="AE567" s="25"/>
      <c r="AF567" s="13"/>
      <c r="AG567" s="13"/>
      <c r="AH567" s="13"/>
    </row>
    <row r="568" spans="1:36" x14ac:dyDescent="0.3">
      <c r="A568" s="65">
        <v>565</v>
      </c>
      <c r="B568" s="25"/>
      <c r="C568" s="25"/>
      <c r="D568" s="25"/>
      <c r="E568" s="30" t="str">
        <f>CONCATENATE(B568,"-",C568,"-",D568)</f>
        <v>--</v>
      </c>
      <c r="F568" s="13">
        <f>VLOOKUP(E568,'LISTA ITEMS'!$E$2:$G$875,2,FALSE)</f>
        <v>0</v>
      </c>
      <c r="G568" s="25">
        <f>VLOOKUP(E568,'LISTA ITEMS'!$E$2:$G$875,3,FALSE)</f>
        <v>0</v>
      </c>
      <c r="H568" s="76"/>
      <c r="I568" s="75">
        <v>0</v>
      </c>
      <c r="J568" s="27"/>
      <c r="K568" s="13"/>
      <c r="L568" s="67"/>
      <c r="M568" s="56"/>
      <c r="N568" s="55"/>
      <c r="O568" s="13"/>
      <c r="P568" s="71"/>
      <c r="Q568" s="31"/>
      <c r="R568" s="26">
        <f>+I568+L568+N568-P568</f>
        <v>0</v>
      </c>
      <c r="S568" s="85"/>
      <c r="T568" s="84"/>
      <c r="U568" s="27"/>
      <c r="V568" s="13"/>
      <c r="W568" s="67"/>
      <c r="X568" s="56"/>
      <c r="Y568" s="55"/>
      <c r="Z568" s="13"/>
      <c r="AA568" s="71"/>
      <c r="AB568" s="31"/>
      <c r="AC568" s="26">
        <f>+R568+W568+Y568-AA568</f>
        <v>0</v>
      </c>
      <c r="AD568" s="25"/>
      <c r="AE568" s="25"/>
      <c r="AF568" s="13"/>
      <c r="AG568" s="13"/>
      <c r="AH568" s="13"/>
    </row>
    <row r="569" spans="1:36" x14ac:dyDescent="0.3">
      <c r="A569" s="65">
        <v>566</v>
      </c>
      <c r="B569" s="25"/>
      <c r="C569" s="25"/>
      <c r="D569" s="25"/>
      <c r="E569" s="30" t="str">
        <f>CONCATENATE(B569,"-",C569,"-",D569)</f>
        <v>--</v>
      </c>
      <c r="F569" s="13">
        <f>VLOOKUP(E569,'LISTA ITEMS'!$E$2:$G$875,2,FALSE)</f>
        <v>0</v>
      </c>
      <c r="G569" s="25">
        <f>VLOOKUP(E569,'LISTA ITEMS'!$E$2:$G$875,3,FALSE)</f>
        <v>0</v>
      </c>
      <c r="H569" s="76"/>
      <c r="I569" s="75">
        <v>0</v>
      </c>
      <c r="J569" s="27"/>
      <c r="K569" s="13"/>
      <c r="L569" s="67"/>
      <c r="M569" s="56"/>
      <c r="N569" s="55"/>
      <c r="O569" s="13"/>
      <c r="P569" s="71"/>
      <c r="Q569" s="31"/>
      <c r="R569" s="26">
        <f>+I569+L569+N569-P569</f>
        <v>0</v>
      </c>
      <c r="S569" s="85"/>
      <c r="T569" s="84"/>
      <c r="U569" s="27"/>
      <c r="V569" s="13"/>
      <c r="W569" s="67"/>
      <c r="X569" s="56"/>
      <c r="Y569" s="55"/>
      <c r="Z569" s="13"/>
      <c r="AA569" s="71"/>
      <c r="AB569" s="31"/>
      <c r="AC569" s="26">
        <f>+R569+W569+Y569-AA569</f>
        <v>0</v>
      </c>
      <c r="AD569" s="25"/>
      <c r="AE569" s="25"/>
      <c r="AF569" s="13"/>
      <c r="AG569" s="13"/>
      <c r="AH569" s="13"/>
    </row>
    <row r="570" spans="1:36" x14ac:dyDescent="0.3">
      <c r="A570" s="65">
        <v>567</v>
      </c>
      <c r="B570" s="25"/>
      <c r="C570" s="25"/>
      <c r="D570" s="25"/>
      <c r="E570" s="30" t="str">
        <f>CONCATENATE(B570,"-",C570,"-",D570)</f>
        <v>--</v>
      </c>
      <c r="F570" s="13">
        <f>VLOOKUP(E570,'LISTA ITEMS'!$E$2:$G$875,2,FALSE)</f>
        <v>0</v>
      </c>
      <c r="G570" s="25">
        <f>VLOOKUP(E570,'LISTA ITEMS'!$E$2:$G$875,3,FALSE)</f>
        <v>0</v>
      </c>
      <c r="H570" s="76"/>
      <c r="I570" s="75">
        <v>0</v>
      </c>
      <c r="J570" s="27"/>
      <c r="K570" s="13"/>
      <c r="L570" s="67"/>
      <c r="M570" s="56"/>
      <c r="N570" s="55"/>
      <c r="O570" s="13"/>
      <c r="P570" s="71"/>
      <c r="Q570" s="31"/>
      <c r="R570" s="26">
        <f>+I570+L570+N570-P570</f>
        <v>0</v>
      </c>
      <c r="S570" s="85"/>
      <c r="T570" s="84"/>
      <c r="U570" s="27"/>
      <c r="V570" s="13"/>
      <c r="W570" s="67"/>
      <c r="X570" s="56"/>
      <c r="Y570" s="55"/>
      <c r="Z570" s="13"/>
      <c r="AA570" s="71"/>
      <c r="AB570" s="31"/>
      <c r="AC570" s="26">
        <f>+R570+W570+Y570-AA570</f>
        <v>0</v>
      </c>
      <c r="AD570" s="25"/>
      <c r="AE570" s="25"/>
      <c r="AF570" s="13"/>
      <c r="AG570" s="13"/>
      <c r="AH570" s="13"/>
    </row>
    <row r="571" spans="1:36" x14ac:dyDescent="0.3">
      <c r="A571" s="65">
        <v>568</v>
      </c>
      <c r="B571" s="25"/>
      <c r="C571" s="25"/>
      <c r="D571" s="25"/>
      <c r="E571" s="30" t="str">
        <f>CONCATENATE(B571,"-",C571,"-",D571)</f>
        <v>--</v>
      </c>
      <c r="F571" s="13">
        <f>VLOOKUP(E571,'LISTA ITEMS'!$E$2:$G$875,2,FALSE)</f>
        <v>0</v>
      </c>
      <c r="G571" s="25">
        <f>VLOOKUP(E571,'LISTA ITEMS'!$E$2:$G$875,3,FALSE)</f>
        <v>0</v>
      </c>
      <c r="H571" s="76"/>
      <c r="I571" s="75">
        <v>0</v>
      </c>
      <c r="J571" s="27"/>
      <c r="K571" s="13"/>
      <c r="L571" s="67"/>
      <c r="M571" s="56"/>
      <c r="N571" s="55"/>
      <c r="O571" s="13"/>
      <c r="P571" s="71"/>
      <c r="Q571" s="31"/>
      <c r="R571" s="26">
        <f>+I571+L571+N571-P571</f>
        <v>0</v>
      </c>
      <c r="S571" s="85"/>
      <c r="T571" s="84"/>
      <c r="U571" s="27"/>
      <c r="V571" s="13"/>
      <c r="W571" s="67"/>
      <c r="X571" s="56"/>
      <c r="Y571" s="55"/>
      <c r="Z571" s="13"/>
      <c r="AA571" s="71"/>
      <c r="AB571" s="31"/>
      <c r="AC571" s="26">
        <f>+R571+W571+Y571-AA571</f>
        <v>0</v>
      </c>
      <c r="AD571" s="25"/>
      <c r="AE571" s="25"/>
      <c r="AF571" s="13"/>
      <c r="AG571" s="13"/>
      <c r="AH571" s="13"/>
    </row>
    <row r="572" spans="1:36" x14ac:dyDescent="0.3">
      <c r="A572" s="65">
        <v>569</v>
      </c>
      <c r="B572" s="25"/>
      <c r="C572" s="25"/>
      <c r="D572" s="25"/>
      <c r="E572" s="30" t="str">
        <f>CONCATENATE(B572,"-",C572,"-",D572)</f>
        <v>--</v>
      </c>
      <c r="F572" s="13">
        <f>VLOOKUP(E572,'LISTA ITEMS'!$E$2:$G$875,2,FALSE)</f>
        <v>0</v>
      </c>
      <c r="G572" s="25">
        <f>VLOOKUP(E572,'LISTA ITEMS'!$E$2:$G$875,3,FALSE)</f>
        <v>0</v>
      </c>
      <c r="H572" s="76"/>
      <c r="I572" s="75">
        <v>0</v>
      </c>
      <c r="J572" s="27"/>
      <c r="K572" s="13"/>
      <c r="L572" s="67"/>
      <c r="M572" s="56"/>
      <c r="N572" s="55"/>
      <c r="O572" s="13"/>
      <c r="P572" s="71"/>
      <c r="Q572" s="31"/>
      <c r="R572" s="26">
        <f>+I572+L572+N572-P572</f>
        <v>0</v>
      </c>
      <c r="S572" s="85"/>
      <c r="T572" s="84"/>
      <c r="U572" s="27"/>
      <c r="V572" s="13"/>
      <c r="W572" s="67"/>
      <c r="X572" s="56"/>
      <c r="Y572" s="55"/>
      <c r="Z572" s="13"/>
      <c r="AA572" s="71"/>
      <c r="AB572" s="31"/>
      <c r="AC572" s="26">
        <f>+R572+W572+Y572-AA572</f>
        <v>0</v>
      </c>
      <c r="AD572" s="25"/>
      <c r="AE572" s="25"/>
      <c r="AF572" s="13"/>
      <c r="AG572" s="13"/>
      <c r="AH572" s="13"/>
    </row>
    <row r="573" spans="1:36" x14ac:dyDescent="0.3">
      <c r="A573" s="65">
        <v>570</v>
      </c>
      <c r="B573" s="25"/>
      <c r="C573" s="25"/>
      <c r="D573" s="25"/>
      <c r="E573" s="30" t="str">
        <f>CONCATENATE(B573,"-",C573,"-",D573)</f>
        <v>--</v>
      </c>
      <c r="F573" s="13">
        <f>VLOOKUP(E573,'LISTA ITEMS'!$E$2:$G$875,2,FALSE)</f>
        <v>0</v>
      </c>
      <c r="G573" s="25">
        <f>VLOOKUP(E573,'LISTA ITEMS'!$E$2:$G$875,3,FALSE)</f>
        <v>0</v>
      </c>
      <c r="H573" s="76"/>
      <c r="I573" s="75">
        <v>0</v>
      </c>
      <c r="J573" s="27"/>
      <c r="K573" s="13"/>
      <c r="L573" s="67"/>
      <c r="M573" s="56"/>
      <c r="N573" s="55"/>
      <c r="O573" s="13"/>
      <c r="P573" s="71"/>
      <c r="Q573" s="31"/>
      <c r="R573" s="26">
        <f>+I573+L573+N573-P573</f>
        <v>0</v>
      </c>
      <c r="S573" s="85"/>
      <c r="T573" s="84"/>
      <c r="U573" s="27"/>
      <c r="V573" s="13"/>
      <c r="W573" s="67"/>
      <c r="X573" s="56"/>
      <c r="Y573" s="55"/>
      <c r="Z573" s="13"/>
      <c r="AA573" s="71"/>
      <c r="AB573" s="31"/>
      <c r="AC573" s="26">
        <f>+R573+W573+Y573-AA573</f>
        <v>0</v>
      </c>
      <c r="AD573" s="25"/>
      <c r="AE573" s="25"/>
      <c r="AF573" s="13"/>
      <c r="AG573" s="13"/>
      <c r="AH573" s="13"/>
    </row>
    <row r="574" spans="1:36" x14ac:dyDescent="0.3">
      <c r="A574" s="65">
        <v>571</v>
      </c>
      <c r="B574" s="25" t="s">
        <v>9</v>
      </c>
      <c r="C574" s="25" t="s">
        <v>9</v>
      </c>
      <c r="D574" s="25" t="s">
        <v>9</v>
      </c>
      <c r="E574" s="30" t="s">
        <v>9</v>
      </c>
      <c r="F574" s="13" t="s">
        <v>9</v>
      </c>
      <c r="G574" s="25" t="s">
        <v>9</v>
      </c>
      <c r="H574" s="76" t="s">
        <v>9</v>
      </c>
      <c r="I574" s="75">
        <v>0</v>
      </c>
      <c r="J574" s="27" t="s">
        <v>9</v>
      </c>
      <c r="K574" s="13" t="s">
        <v>9</v>
      </c>
      <c r="L574" s="67">
        <f>SUM(L571:L573)</f>
        <v>0</v>
      </c>
      <c r="M574" s="56" t="s">
        <v>9</v>
      </c>
      <c r="N574" s="67">
        <f>SUM(N571:N573)</f>
        <v>0</v>
      </c>
      <c r="O574" s="13" t="s">
        <v>9</v>
      </c>
      <c r="P574" s="71" t="s">
        <v>9</v>
      </c>
      <c r="Q574" s="31" t="s">
        <v>9</v>
      </c>
      <c r="R574" s="26" t="s">
        <v>9</v>
      </c>
      <c r="S574" s="85" t="s">
        <v>9</v>
      </c>
      <c r="T574" s="84" t="s">
        <v>9</v>
      </c>
      <c r="U574" s="27" t="s">
        <v>9</v>
      </c>
      <c r="V574" s="13" t="s">
        <v>9</v>
      </c>
      <c r="W574" s="67" t="s">
        <v>9</v>
      </c>
      <c r="X574" s="56" t="s">
        <v>9</v>
      </c>
      <c r="Y574" s="56" t="s">
        <v>9</v>
      </c>
      <c r="Z574" s="13" t="s">
        <v>9</v>
      </c>
      <c r="AA574" s="71" t="s">
        <v>9</v>
      </c>
      <c r="AB574" s="31" t="s">
        <v>9</v>
      </c>
      <c r="AC574" s="26" t="s">
        <v>9</v>
      </c>
      <c r="AD574" s="25" t="s">
        <v>9</v>
      </c>
      <c r="AE574" s="25" t="s">
        <v>9</v>
      </c>
      <c r="AF574" s="13" t="s">
        <v>9</v>
      </c>
      <c r="AG574" s="13" t="s">
        <v>9</v>
      </c>
      <c r="AH574" s="13" t="s">
        <v>9</v>
      </c>
      <c r="AI574" s="2" t="s">
        <v>9</v>
      </c>
      <c r="AJ574" s="2" t="s">
        <v>9</v>
      </c>
    </row>
    <row r="575" spans="1:36" x14ac:dyDescent="0.3">
      <c r="I575" s="81"/>
      <c r="L575" s="79"/>
      <c r="N575" s="82">
        <v>12</v>
      </c>
      <c r="P575" s="80"/>
      <c r="W575" s="79"/>
      <c r="Y575" s="82">
        <v>12</v>
      </c>
      <c r="AA575" s="80"/>
    </row>
    <row r="576" spans="1:36" x14ac:dyDescent="0.3">
      <c r="I576" s="81"/>
      <c r="L576" s="79"/>
      <c r="N576" s="82">
        <v>4640</v>
      </c>
      <c r="P576" s="80"/>
      <c r="W576" s="79"/>
      <c r="Y576" s="82">
        <v>4640</v>
      </c>
      <c r="AA576" s="80"/>
    </row>
    <row r="603" spans="33:33" x14ac:dyDescent="0.3">
      <c r="AG603" s="1">
        <v>2</v>
      </c>
    </row>
  </sheetData>
  <autoFilter ref="A3:AH576" xr:uid="{A38B47D7-F60E-41A1-A90D-7C42107FF128}">
    <sortState xmlns:xlrd2="http://schemas.microsoft.com/office/spreadsheetml/2017/richdata2" ref="A4:AH576">
      <sortCondition ref="A3:A576"/>
    </sortState>
  </autoFilter>
  <mergeCells count="15">
    <mergeCell ref="A2:C2"/>
    <mergeCell ref="D2:F2"/>
    <mergeCell ref="AF2:AH2"/>
    <mergeCell ref="H2:I2"/>
    <mergeCell ref="K2:L2"/>
    <mergeCell ref="M2:N2"/>
    <mergeCell ref="O2:P2"/>
    <mergeCell ref="Q2:R2"/>
    <mergeCell ref="K1:R1"/>
    <mergeCell ref="V1:AC1"/>
    <mergeCell ref="V2:W2"/>
    <mergeCell ref="X2:Y2"/>
    <mergeCell ref="Z2:AA2"/>
    <mergeCell ref="AB2:AC2"/>
    <mergeCell ref="S2:T2"/>
  </mergeCells>
  <phoneticPr fontId="12" type="noConversion"/>
  <conditionalFormatting sqref="E1:E1048576">
    <cfRule type="duplicateValues" dxfId="5" priority="1"/>
    <cfRule type="duplicateValues" dxfId="4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7088F-D4DC-4177-9DC0-21E82F522A6E}">
  <dimension ref="A1:K875"/>
  <sheetViews>
    <sheetView workbookViewId="0">
      <pane ySplit="2" topLeftCell="A239" activePane="bottomLeft" state="frozen"/>
      <selection pane="bottomLeft" activeCell="B249" sqref="B249:D249"/>
    </sheetView>
  </sheetViews>
  <sheetFormatPr baseColWidth="10" defaultRowHeight="14.4" x14ac:dyDescent="0.3"/>
  <cols>
    <col min="1" max="1" width="3.77734375" style="1" customWidth="1"/>
    <col min="2" max="4" width="11.5546875" style="1"/>
    <col min="5" max="5" width="14" style="3" bestFit="1" customWidth="1"/>
    <col min="6" max="6" width="56.88671875" style="2" customWidth="1"/>
    <col min="7" max="7" width="11.5546875" style="4"/>
    <col min="8" max="8" width="11.5546875" style="1"/>
    <col min="9" max="16384" width="11.5546875" style="2"/>
  </cols>
  <sheetData>
    <row r="1" spans="1:8" ht="21" customHeight="1" x14ac:dyDescent="0.3">
      <c r="A1" s="136" t="s">
        <v>0</v>
      </c>
      <c r="B1" s="136"/>
      <c r="C1" s="136"/>
      <c r="D1" s="136"/>
      <c r="E1" s="136"/>
      <c r="F1" s="136"/>
      <c r="G1" s="136"/>
      <c r="H1" s="136"/>
    </row>
    <row r="2" spans="1:8" ht="28.8" x14ac:dyDescent="0.3">
      <c r="A2" s="43" t="s">
        <v>372</v>
      </c>
      <c r="B2" s="43" t="s">
        <v>1</v>
      </c>
      <c r="C2" s="43" t="s">
        <v>2</v>
      </c>
      <c r="D2" s="43" t="s">
        <v>3</v>
      </c>
      <c r="E2" s="49" t="s">
        <v>4</v>
      </c>
      <c r="F2" s="43" t="s">
        <v>5</v>
      </c>
      <c r="G2" s="50" t="s">
        <v>6</v>
      </c>
      <c r="H2" s="43" t="s">
        <v>8</v>
      </c>
    </row>
    <row r="3" spans="1:8" x14ac:dyDescent="0.3">
      <c r="A3" s="25">
        <v>1</v>
      </c>
      <c r="B3" s="25">
        <v>7</v>
      </c>
      <c r="C3" s="25">
        <v>20</v>
      </c>
      <c r="D3" s="25">
        <v>178</v>
      </c>
      <c r="E3" s="30" t="str">
        <f t="shared" ref="E3:E34" si="0">CONCATENATE(B3,"-",C3,"-",D3)</f>
        <v>7-20-178</v>
      </c>
      <c r="F3" s="13" t="str">
        <f>IFERROR(VLOOKUP(E3,'ESTRUCTURA CODIGO'!$H$2:$J$1048576,2,FALSE)," ")</f>
        <v>ESTUFA CALEFACCION 9 KW</v>
      </c>
      <c r="G3" s="25" t="str">
        <f>IFERROR(VLOOKUP(E3,'ESTRUCTURA CODIGO'!$H$2:$J$1048576,3,FALSE)," ")</f>
        <v>UND</v>
      </c>
      <c r="H3" s="25">
        <f>IFERROR(VLOOKUP(E3,'ESTRUCTURA CODIGO'!$H$2:$L$612,4,FALSE)," ")</f>
        <v>0</v>
      </c>
    </row>
    <row r="4" spans="1:8" x14ac:dyDescent="0.3">
      <c r="A4" s="25">
        <v>2</v>
      </c>
      <c r="B4" s="25">
        <v>7</v>
      </c>
      <c r="C4" s="25">
        <v>20</v>
      </c>
      <c r="D4" s="25">
        <v>179</v>
      </c>
      <c r="E4" s="30" t="str">
        <f t="shared" si="0"/>
        <v>7-20-179</v>
      </c>
      <c r="F4" s="13" t="str">
        <f>IFERROR(VLOOKUP(E4,'ESTRUCTURA CODIGO'!$H$2:$J$1048576,2,FALSE)," ")</f>
        <v>ESTUFA CALEFACCION 12 KW</v>
      </c>
      <c r="G4" s="25" t="str">
        <f>IFERROR(VLOOKUP(E4,'ESTRUCTURA CODIGO'!$H$2:$J$1048576,3,FALSE)," ")</f>
        <v>UND</v>
      </c>
      <c r="H4" s="25">
        <f>IFERROR(VLOOKUP(E4,'ESTRUCTURA CODIGO'!$H$2:$L$612,4,FALSE)," ")</f>
        <v>0</v>
      </c>
    </row>
    <row r="5" spans="1:8" x14ac:dyDescent="0.3">
      <c r="A5" s="25">
        <v>3</v>
      </c>
      <c r="B5" s="25">
        <v>13</v>
      </c>
      <c r="C5" s="25">
        <v>21</v>
      </c>
      <c r="D5" s="25">
        <v>180</v>
      </c>
      <c r="E5" s="30" t="str">
        <f t="shared" si="0"/>
        <v>13-21-180</v>
      </c>
      <c r="F5" s="13" t="str">
        <f>IFERROR(VLOOKUP(E5,'ESTRUCTURA CODIGO'!$H$2:$J$1048576,2,FALSE)," ")</f>
        <v>TACO P/BRIDA BLANCO</v>
      </c>
      <c r="G5" s="25" t="str">
        <f>IFERROR(VLOOKUP(E5,'ESTRUCTURA CODIGO'!$H$2:$J$1048576,3,FALSE)," ")</f>
        <v>UND</v>
      </c>
      <c r="H5" s="25" t="str">
        <f>IFERROR(VLOOKUP(E5,'ESTRUCTURA CODIGO'!$H$2:$L$612,4,FALSE)," ")</f>
        <v>RECA</v>
      </c>
    </row>
    <row r="6" spans="1:8" x14ac:dyDescent="0.3">
      <c r="A6" s="25">
        <v>4</v>
      </c>
      <c r="B6" s="25">
        <v>13</v>
      </c>
      <c r="C6" s="25">
        <v>21</v>
      </c>
      <c r="D6" s="25">
        <v>181</v>
      </c>
      <c r="E6" s="30" t="str">
        <f t="shared" si="0"/>
        <v>13-21-181</v>
      </c>
      <c r="F6" s="13" t="str">
        <f>IFERROR(VLOOKUP(E6,'ESTRUCTURA CODIGO'!$H$2:$J$1048576,2,FALSE)," ")</f>
        <v>TACO P/BRIDA NEGRO</v>
      </c>
      <c r="G6" s="25" t="str">
        <f>IFERROR(VLOOKUP(E6,'ESTRUCTURA CODIGO'!$H$2:$J$1048576,3,FALSE)," ")</f>
        <v>UND</v>
      </c>
      <c r="H6" s="25" t="str">
        <f>IFERROR(VLOOKUP(E6,'ESTRUCTURA CODIGO'!$H$2:$L$612,4,FALSE)," ")</f>
        <v>RECA</v>
      </c>
    </row>
    <row r="7" spans="1:8" x14ac:dyDescent="0.3">
      <c r="A7" s="25">
        <v>5</v>
      </c>
      <c r="B7" s="25">
        <v>13</v>
      </c>
      <c r="C7" s="25">
        <v>22</v>
      </c>
      <c r="D7" s="25">
        <v>182</v>
      </c>
      <c r="E7" s="30" t="str">
        <f t="shared" si="0"/>
        <v>13-22-182</v>
      </c>
      <c r="F7" s="13" t="str">
        <f>IFERROR(VLOOKUP(E7,'ESTRUCTURA CODIGO'!$H$2:$J$1048576,2,FALSE)," ")</f>
        <v>BRIDA P/INTERIOR BLANCA</v>
      </c>
      <c r="G7" s="25" t="str">
        <f>IFERROR(VLOOKUP(E7,'ESTRUCTURA CODIGO'!$H$2:$J$1048576,3,FALSE)," ")</f>
        <v>UND</v>
      </c>
      <c r="H7" s="25" t="str">
        <f>IFERROR(VLOOKUP(E7,'ESTRUCTURA CODIGO'!$H$2:$L$612,4,FALSE)," ")</f>
        <v>RECA</v>
      </c>
    </row>
    <row r="8" spans="1:8" x14ac:dyDescent="0.3">
      <c r="A8" s="25">
        <v>6</v>
      </c>
      <c r="B8" s="25">
        <v>13</v>
      </c>
      <c r="C8" s="25">
        <v>22</v>
      </c>
      <c r="D8" s="25">
        <v>183</v>
      </c>
      <c r="E8" s="30" t="str">
        <f t="shared" si="0"/>
        <v>13-22-183</v>
      </c>
      <c r="F8" s="13" t="str">
        <f>IFERROR(VLOOKUP(E8,'ESTRUCTURA CODIGO'!$H$2:$J$1048576,2,FALSE)," ")</f>
        <v>BRIDA P/INTERIOR NEGRA</v>
      </c>
      <c r="G8" s="25" t="str">
        <f>IFERROR(VLOOKUP(E8,'ESTRUCTURA CODIGO'!$H$2:$J$1048576,3,FALSE)," ")</f>
        <v>UND</v>
      </c>
      <c r="H8" s="25" t="str">
        <f>IFERROR(VLOOKUP(E8,'ESTRUCTURA CODIGO'!$H$2:$L$612,4,FALSE)," ")</f>
        <v>RECA</v>
      </c>
    </row>
    <row r="9" spans="1:8" x14ac:dyDescent="0.3">
      <c r="A9" s="25">
        <v>7</v>
      </c>
      <c r="B9" s="25">
        <v>13</v>
      </c>
      <c r="C9" s="25">
        <v>22</v>
      </c>
      <c r="D9" s="25">
        <v>184</v>
      </c>
      <c r="E9" s="30" t="str">
        <f t="shared" si="0"/>
        <v>13-22-184</v>
      </c>
      <c r="F9" s="13" t="str">
        <f>IFERROR(VLOOKUP(E9,'ESTRUCTURA CODIGO'!$H$2:$J$1048576,2,FALSE)," ")</f>
        <v>BRIDA P/EXTERIOR NEGRA</v>
      </c>
      <c r="G9" s="25" t="str">
        <f>IFERROR(VLOOKUP(E9,'ESTRUCTURA CODIGO'!$H$2:$J$1048576,3,FALSE)," ")</f>
        <v>UND</v>
      </c>
      <c r="H9" s="25" t="str">
        <f>IFERROR(VLOOKUP(E9,'ESTRUCTURA CODIGO'!$H$2:$L$612,4,FALSE)," ")</f>
        <v>RECA</v>
      </c>
    </row>
    <row r="10" spans="1:8" x14ac:dyDescent="0.3">
      <c r="A10" s="25">
        <v>8</v>
      </c>
      <c r="B10" s="25">
        <v>13</v>
      </c>
      <c r="C10" s="25">
        <v>23</v>
      </c>
      <c r="D10" s="25">
        <v>185</v>
      </c>
      <c r="E10" s="30" t="str">
        <f t="shared" si="0"/>
        <v>13-23-185</v>
      </c>
      <c r="F10" s="13" t="str">
        <f>IFERROR(VLOOKUP(E10,'ESTRUCTURA CODIGO'!$H$2:$J$1048576,2,FALSE)," ")</f>
        <v>CINTA BLANCA AISLANTE PVC 50MM</v>
      </c>
      <c r="G10" s="25" t="str">
        <f>IFERROR(VLOOKUP(E10,'ESTRUCTURA CODIGO'!$H$2:$J$1048576,3,FALSE)," ")</f>
        <v>UND</v>
      </c>
      <c r="H10" s="25" t="str">
        <f>IFERROR(VLOOKUP(E10,'ESTRUCTURA CODIGO'!$H$2:$L$612,4,FALSE)," ")</f>
        <v>RECA</v>
      </c>
    </row>
    <row r="11" spans="1:8" x14ac:dyDescent="0.3">
      <c r="A11" s="25">
        <v>9</v>
      </c>
      <c r="B11" s="25">
        <v>13</v>
      </c>
      <c r="C11" s="25">
        <v>23</v>
      </c>
      <c r="D11" s="25">
        <v>186</v>
      </c>
      <c r="E11" s="30" t="str">
        <f t="shared" si="0"/>
        <v>13-23-186</v>
      </c>
      <c r="F11" s="13" t="str">
        <f>IFERROR(VLOOKUP(E11,'ESTRUCTURA CODIGO'!$H$2:$J$1048576,2,FALSE)," ")</f>
        <v>CINTA NEGRA AISLANTE PVC 50MM</v>
      </c>
      <c r="G11" s="25" t="str">
        <f>IFERROR(VLOOKUP(E11,'ESTRUCTURA CODIGO'!$H$2:$J$1048576,3,FALSE)," ")</f>
        <v>UND</v>
      </c>
      <c r="H11" s="25" t="str">
        <f>IFERROR(VLOOKUP(E11,'ESTRUCTURA CODIGO'!$H$2:$L$612,4,FALSE)," ")</f>
        <v>RECA</v>
      </c>
    </row>
    <row r="12" spans="1:8" x14ac:dyDescent="0.3">
      <c r="A12" s="25">
        <v>10</v>
      </c>
      <c r="B12" s="25">
        <v>13</v>
      </c>
      <c r="C12" s="25">
        <v>23</v>
      </c>
      <c r="D12" s="25">
        <v>187</v>
      </c>
      <c r="E12" s="30" t="str">
        <f t="shared" si="0"/>
        <v>13-23-187</v>
      </c>
      <c r="F12" s="13" t="str">
        <f>IFERROR(VLOOKUP(E12,'ESTRUCTURA CODIGO'!$H$2:$J$1048576,2,FALSE)," ")</f>
        <v>CINTA VERDE AMARILLA AISLANTE PVC 19MM</v>
      </c>
      <c r="G12" s="25" t="str">
        <f>IFERROR(VLOOKUP(E12,'ESTRUCTURA CODIGO'!$H$2:$J$1048576,3,FALSE)," ")</f>
        <v>UND</v>
      </c>
      <c r="H12" s="25" t="str">
        <f>IFERROR(VLOOKUP(E12,'ESTRUCTURA CODIGO'!$H$2:$L$612,4,FALSE)," ")</f>
        <v>RECA</v>
      </c>
    </row>
    <row r="13" spans="1:8" x14ac:dyDescent="0.3">
      <c r="A13" s="25">
        <v>11</v>
      </c>
      <c r="B13" s="25">
        <v>13</v>
      </c>
      <c r="C13" s="25">
        <v>23</v>
      </c>
      <c r="D13" s="25">
        <v>188</v>
      </c>
      <c r="E13" s="30" t="str">
        <f t="shared" si="0"/>
        <v>13-23-188</v>
      </c>
      <c r="F13" s="13" t="str">
        <f>IFERROR(VLOOKUP(E13,'ESTRUCTURA CODIGO'!$H$2:$J$1048576,2,FALSE)," ")</f>
        <v>CINTA ROJA AISLANTE PVC 19MM</v>
      </c>
      <c r="G13" s="25" t="str">
        <f>IFERROR(VLOOKUP(E13,'ESTRUCTURA CODIGO'!$H$2:$J$1048576,3,FALSE)," ")</f>
        <v>UND</v>
      </c>
      <c r="H13" s="25" t="str">
        <f>IFERROR(VLOOKUP(E13,'ESTRUCTURA CODIGO'!$H$2:$L$612,4,FALSE)," ")</f>
        <v>RECA</v>
      </c>
    </row>
    <row r="14" spans="1:8" x14ac:dyDescent="0.3">
      <c r="A14" s="25">
        <v>12</v>
      </c>
      <c r="B14" s="25">
        <v>13</v>
      </c>
      <c r="C14" s="25">
        <v>23</v>
      </c>
      <c r="D14" s="25">
        <v>189</v>
      </c>
      <c r="E14" s="30" t="str">
        <f t="shared" si="0"/>
        <v>13-23-189</v>
      </c>
      <c r="F14" s="13" t="str">
        <f>IFERROR(VLOOKUP(E14,'ESTRUCTURA CODIGO'!$H$2:$J$1048576,2,FALSE)," ")</f>
        <v>CINTA AZUL AISLANTE PVC 19MM</v>
      </c>
      <c r="G14" s="25" t="str">
        <f>IFERROR(VLOOKUP(E14,'ESTRUCTURA CODIGO'!$H$2:$J$1048576,3,FALSE)," ")</f>
        <v>UND</v>
      </c>
      <c r="H14" s="25" t="str">
        <f>IFERROR(VLOOKUP(E14,'ESTRUCTURA CODIGO'!$H$2:$L$612,4,FALSE)," ")</f>
        <v>RECA</v>
      </c>
    </row>
    <row r="15" spans="1:8" x14ac:dyDescent="0.3">
      <c r="A15" s="25">
        <v>13</v>
      </c>
      <c r="B15" s="25">
        <v>13</v>
      </c>
      <c r="C15" s="25">
        <v>23</v>
      </c>
      <c r="D15" s="25">
        <v>190</v>
      </c>
      <c r="E15" s="30" t="str">
        <f t="shared" si="0"/>
        <v>13-23-190</v>
      </c>
      <c r="F15" s="13" t="str">
        <f>IFERROR(VLOOKUP(E15,'ESTRUCTURA CODIGO'!$H$2:$J$1048576,2,FALSE)," ")</f>
        <v>CINTA BLANCA AISLANTE PVC 19MM</v>
      </c>
      <c r="G15" s="25" t="str">
        <f>IFERROR(VLOOKUP(E15,'ESTRUCTURA CODIGO'!$H$2:$J$1048576,3,FALSE)," ")</f>
        <v>UND</v>
      </c>
      <c r="H15" s="25" t="str">
        <f>IFERROR(VLOOKUP(E15,'ESTRUCTURA CODIGO'!$H$2:$L$612,4,FALSE)," ")</f>
        <v>RECA</v>
      </c>
    </row>
    <row r="16" spans="1:8" x14ac:dyDescent="0.3">
      <c r="A16" s="25">
        <v>14</v>
      </c>
      <c r="B16" s="25">
        <v>13</v>
      </c>
      <c r="C16" s="25">
        <v>23</v>
      </c>
      <c r="D16" s="25">
        <v>191</v>
      </c>
      <c r="E16" s="30" t="str">
        <f t="shared" si="0"/>
        <v>13-23-191</v>
      </c>
      <c r="F16" s="13" t="str">
        <f>IFERROR(VLOOKUP(E16,'ESTRUCTURA CODIGO'!$H$2:$J$1048576,2,FALSE)," ")</f>
        <v>CINTA NEGRA AISLANTE PVC 19MM</v>
      </c>
      <c r="G16" s="25" t="str">
        <f>IFERROR(VLOOKUP(E16,'ESTRUCTURA CODIGO'!$H$2:$J$1048576,3,FALSE)," ")</f>
        <v>UND</v>
      </c>
      <c r="H16" s="25" t="str">
        <f>IFERROR(VLOOKUP(E16,'ESTRUCTURA CODIGO'!$H$2:$L$612,4,FALSE)," ")</f>
        <v>RECA</v>
      </c>
    </row>
    <row r="17" spans="1:8" x14ac:dyDescent="0.3">
      <c r="A17" s="25">
        <v>15</v>
      </c>
      <c r="B17" s="25">
        <v>6</v>
      </c>
      <c r="C17" s="25">
        <v>23</v>
      </c>
      <c r="D17" s="25">
        <v>192</v>
      </c>
      <c r="E17" s="30" t="str">
        <f t="shared" si="0"/>
        <v>6-23-192</v>
      </c>
      <c r="F17" s="13" t="str">
        <f>IFERROR(VLOOKUP(E17,'ESTRUCTURA CODIGO'!$H$2:$J$1048576,2,FALSE)," ")</f>
        <v xml:space="preserve">CINTA ACERO PERFORADA PARA MONTAJE </v>
      </c>
      <c r="G17" s="25" t="str">
        <f>IFERROR(VLOOKUP(E17,'ESTRUCTURA CODIGO'!$H$2:$J$1048576,3,FALSE)," ")</f>
        <v>UND</v>
      </c>
      <c r="H17" s="25" t="str">
        <f>IFERROR(VLOOKUP(E17,'ESTRUCTURA CODIGO'!$H$2:$L$612,4,FALSE)," ")</f>
        <v>RECA</v>
      </c>
    </row>
    <row r="18" spans="1:8" x14ac:dyDescent="0.3">
      <c r="A18" s="25">
        <v>16</v>
      </c>
      <c r="B18" s="25">
        <v>14</v>
      </c>
      <c r="C18" s="25">
        <v>24</v>
      </c>
      <c r="D18" s="25">
        <v>193</v>
      </c>
      <c r="E18" s="30" t="str">
        <f t="shared" si="0"/>
        <v>14-24-193</v>
      </c>
      <c r="F18" s="13" t="str">
        <f>IFERROR(VLOOKUP(E18,'ESTRUCTURA CODIGO'!$H$2:$J$1048576,2,FALSE)," ")</f>
        <v>DISCO CORTE ACERO/INOX A1 2EN1</v>
      </c>
      <c r="G18" s="25" t="str">
        <f>IFERROR(VLOOKUP(E18,'ESTRUCTURA CODIGO'!$H$2:$J$1048576,3,FALSE)," ")</f>
        <v>UND</v>
      </c>
      <c r="H18" s="25" t="str">
        <f>IFERROR(VLOOKUP(E18,'ESTRUCTURA CODIGO'!$H$2:$L$612,4,FALSE)," ")</f>
        <v>RECA</v>
      </c>
    </row>
    <row r="19" spans="1:8" ht="28.8" x14ac:dyDescent="0.3">
      <c r="A19" s="25">
        <v>17</v>
      </c>
      <c r="B19" s="25">
        <v>13</v>
      </c>
      <c r="C19" s="25">
        <v>25</v>
      </c>
      <c r="D19" s="25">
        <v>194</v>
      </c>
      <c r="E19" s="30" t="str">
        <f t="shared" si="0"/>
        <v>13-25-194</v>
      </c>
      <c r="F19" s="13" t="str">
        <f>IFERROR(VLOOKUP(E19,'ESTRUCTURA CODIGO'!$H$2:$J$1048576,2,FALSE)," ")</f>
        <v>ANCLAJE PLASTICO ROSCADO PARA CARTON Y PLADUR TIPO K (WURTH)</v>
      </c>
      <c r="G19" s="25" t="str">
        <f>IFERROR(VLOOKUP(E19,'ESTRUCTURA CODIGO'!$H$2:$J$1048576,3,FALSE)," ")</f>
        <v>UND</v>
      </c>
      <c r="H19" s="25" t="str">
        <f>IFERROR(VLOOKUP(E19,'ESTRUCTURA CODIGO'!$H$2:$L$612,4,FALSE)," ")</f>
        <v>WURTH</v>
      </c>
    </row>
    <row r="20" spans="1:8" x14ac:dyDescent="0.3">
      <c r="A20" s="25">
        <v>18</v>
      </c>
      <c r="B20" s="25">
        <v>15</v>
      </c>
      <c r="C20" s="25">
        <v>25</v>
      </c>
      <c r="D20" s="25">
        <v>195</v>
      </c>
      <c r="E20" s="30" t="str">
        <f t="shared" si="0"/>
        <v>15-25-195</v>
      </c>
      <c r="F20" s="13" t="str">
        <f>IFERROR(VLOOKUP(E20,'ESTRUCTURA CODIGO'!$H$2:$J$1048576,2,FALSE)," ")</f>
        <v>ANCLAJE METALICO ROSCADO PARA PLADUR TIPO K (WURTH)</v>
      </c>
      <c r="G20" s="25" t="str">
        <f>IFERROR(VLOOKUP(E20,'ESTRUCTURA CODIGO'!$H$2:$J$1048576,3,FALSE)," ")</f>
        <v>UND</v>
      </c>
      <c r="H20" s="25" t="str">
        <f>IFERROR(VLOOKUP(E20,'ESTRUCTURA CODIGO'!$H$2:$L$612,4,FALSE)," ")</f>
        <v>WURTH</v>
      </c>
    </row>
    <row r="21" spans="1:8" x14ac:dyDescent="0.3">
      <c r="A21" s="25">
        <v>19</v>
      </c>
      <c r="B21" s="25">
        <v>7</v>
      </c>
      <c r="C21" s="25">
        <v>26</v>
      </c>
      <c r="D21" s="25">
        <v>196</v>
      </c>
      <c r="E21" s="30" t="str">
        <f t="shared" si="0"/>
        <v>7-26-196</v>
      </c>
      <c r="F21" s="13" t="str">
        <f>IFERROR(VLOOKUP(E21,'ESTRUCTURA CODIGO'!$H$2:$J$1048576,2,FALSE)," ")</f>
        <v>ESTACION DE CARGA THOR O7AS-P-V1 GROWATT</v>
      </c>
      <c r="G21" s="25" t="str">
        <f>IFERROR(VLOOKUP(E21,'ESTRUCTURA CODIGO'!$H$2:$J$1048576,3,FALSE)," ")</f>
        <v>UND</v>
      </c>
      <c r="H21" s="25" t="str">
        <f>IFERROR(VLOOKUP(E21,'ESTRUCTURA CODIGO'!$H$2:$L$612,4,FALSE)," ")</f>
        <v>GROWATT</v>
      </c>
    </row>
    <row r="22" spans="1:8" ht="28.8" x14ac:dyDescent="0.3">
      <c r="A22" s="25">
        <v>20</v>
      </c>
      <c r="B22" s="25">
        <v>4</v>
      </c>
      <c r="C22" s="25">
        <v>27</v>
      </c>
      <c r="D22" s="25">
        <v>197</v>
      </c>
      <c r="E22" s="30" t="str">
        <f t="shared" si="0"/>
        <v>4-27-197</v>
      </c>
      <c r="F22" s="13" t="str">
        <f>IFERROR(VLOOKUP(E22,'ESTRUCTURA CODIGO'!$H$2:$J$1048576,2,FALSE)," ")</f>
        <v>TORNILLO C/AVELLANADA CON R/COMPLETA PARA AGLOMERADO/MADERA X40</v>
      </c>
      <c r="G22" s="25" t="str">
        <f>IFERROR(VLOOKUP(E22,'ESTRUCTURA CODIGO'!$H$2:$J$1048576,3,FALSE)," ")</f>
        <v>UND</v>
      </c>
      <c r="H22" s="25" t="str">
        <f>IFERROR(VLOOKUP(E22,'ESTRUCTURA CODIGO'!$H$2:$L$612,4,FALSE)," ")</f>
        <v>RECA</v>
      </c>
    </row>
    <row r="23" spans="1:8" ht="28.8" x14ac:dyDescent="0.3">
      <c r="A23" s="25">
        <v>21</v>
      </c>
      <c r="B23" s="25">
        <v>4</v>
      </c>
      <c r="C23" s="25">
        <v>27</v>
      </c>
      <c r="D23" s="25">
        <v>198</v>
      </c>
      <c r="E23" s="30" t="str">
        <f t="shared" si="0"/>
        <v>4-27-198</v>
      </c>
      <c r="F23" s="13" t="str">
        <f>IFERROR(VLOOKUP(E23,'ESTRUCTURA CODIGO'!$H$2:$J$1048576,2,FALSE)," ")</f>
        <v>TORNILLO C/AVELLANADA CON R/PARCIAL PARA AGLOMERADO/MADERA X70</v>
      </c>
      <c r="G23" s="25" t="str">
        <f>IFERROR(VLOOKUP(E23,'ESTRUCTURA CODIGO'!$H$2:$J$1048576,3,FALSE)," ")</f>
        <v>UND</v>
      </c>
      <c r="H23" s="25" t="str">
        <f>IFERROR(VLOOKUP(E23,'ESTRUCTURA CODIGO'!$H$2:$L$612,4,FALSE)," ")</f>
        <v>RECA</v>
      </c>
    </row>
    <row r="24" spans="1:8" ht="28.8" x14ac:dyDescent="0.3">
      <c r="A24" s="25">
        <v>22</v>
      </c>
      <c r="B24" s="25">
        <v>4</v>
      </c>
      <c r="C24" s="25">
        <v>27</v>
      </c>
      <c r="D24" s="25">
        <v>199</v>
      </c>
      <c r="E24" s="30" t="str">
        <f t="shared" si="0"/>
        <v>4-27-199</v>
      </c>
      <c r="F24" s="13" t="str">
        <f>IFERROR(VLOOKUP(E24,'ESTRUCTURA CODIGO'!$H$2:$J$1048576,2,FALSE)," ")</f>
        <v>TORNILLO C/AVELLANADA CON R/COMPLETA PARA AGLOMERADO/MADERA X50</v>
      </c>
      <c r="G24" s="25" t="str">
        <f>IFERROR(VLOOKUP(E24,'ESTRUCTURA CODIGO'!$H$2:$J$1048576,3,FALSE)," ")</f>
        <v>UND</v>
      </c>
      <c r="H24" s="25" t="str">
        <f>IFERROR(VLOOKUP(E24,'ESTRUCTURA CODIGO'!$H$2:$L$612,4,FALSE)," ")</f>
        <v>RECA</v>
      </c>
    </row>
    <row r="25" spans="1:8" x14ac:dyDescent="0.3">
      <c r="A25" s="25">
        <v>23</v>
      </c>
      <c r="B25" s="25">
        <v>8</v>
      </c>
      <c r="C25" s="25">
        <v>28</v>
      </c>
      <c r="D25" s="25">
        <v>200</v>
      </c>
      <c r="E25" s="30" t="str">
        <f t="shared" si="0"/>
        <v>8-28-200</v>
      </c>
      <c r="F25" s="13" t="str">
        <f>IFERROR(VLOOKUP(E25,'ESTRUCTURA CODIGO'!$H$2:$J$1048576,2,FALSE)," ")</f>
        <v>ARANDELA A/GALVANIZADO 6.4X18X1.5</v>
      </c>
      <c r="G25" s="25" t="str">
        <f>IFERROR(VLOOKUP(E25,'ESTRUCTURA CODIGO'!$H$2:$J$1048576,3,FALSE)," ")</f>
        <v>UND</v>
      </c>
      <c r="H25" s="25" t="str">
        <f>IFERROR(VLOOKUP(E25,'ESTRUCTURA CODIGO'!$H$2:$L$612,4,FALSE)," ")</f>
        <v>RECA</v>
      </c>
    </row>
    <row r="26" spans="1:8" x14ac:dyDescent="0.3">
      <c r="A26" s="25">
        <v>24</v>
      </c>
      <c r="B26" s="25">
        <v>8</v>
      </c>
      <c r="C26" s="25">
        <v>28</v>
      </c>
      <c r="D26" s="25">
        <v>201</v>
      </c>
      <c r="E26" s="30" t="str">
        <f t="shared" si="0"/>
        <v>8-28-201</v>
      </c>
      <c r="F26" s="13" t="str">
        <f>IFERROR(VLOOKUP(E26,'ESTRUCTURA CODIGO'!$H$2:$J$1048576,2,FALSE)," ")</f>
        <v>ARANDELA A/GALVANIZADO 8.4X20X1.25</v>
      </c>
      <c r="G26" s="25" t="str">
        <f>IFERROR(VLOOKUP(E26,'ESTRUCTURA CODIGO'!$H$2:$J$1048576,3,FALSE)," ")</f>
        <v>UND</v>
      </c>
      <c r="H26" s="25" t="str">
        <f>IFERROR(VLOOKUP(E26,'ESTRUCTURA CODIGO'!$H$2:$L$612,4,FALSE)," ")</f>
        <v>RECA</v>
      </c>
    </row>
    <row r="27" spans="1:8" x14ac:dyDescent="0.3">
      <c r="A27" s="25">
        <v>25</v>
      </c>
      <c r="B27" s="25">
        <v>4</v>
      </c>
      <c r="C27" s="25">
        <v>27</v>
      </c>
      <c r="D27" s="25">
        <v>202</v>
      </c>
      <c r="E27" s="30" t="str">
        <f t="shared" si="0"/>
        <v>4-27-202</v>
      </c>
      <c r="F27" s="13" t="str">
        <f>IFERROR(VLOOKUP(E27,'ESTRUCTURA CODIGO'!$H$2:$J$1048576,2,FALSE)," ")</f>
        <v>TORNILLO FIJACION FUERTE C/HEZAGONAL R/COMPLETA M-8 X70</v>
      </c>
      <c r="G27" s="25" t="str">
        <f>IFERROR(VLOOKUP(E27,'ESTRUCTURA CODIGO'!$H$2:$J$1048576,3,FALSE)," ")</f>
        <v>UND</v>
      </c>
      <c r="H27" s="25" t="str">
        <f>IFERROR(VLOOKUP(E27,'ESTRUCTURA CODIGO'!$H$2:$L$612,4,FALSE)," ")</f>
        <v>RECA</v>
      </c>
    </row>
    <row r="28" spans="1:8" x14ac:dyDescent="0.3">
      <c r="A28" s="25">
        <v>26</v>
      </c>
      <c r="B28" s="25">
        <v>8</v>
      </c>
      <c r="C28" s="25">
        <v>29</v>
      </c>
      <c r="D28" s="25">
        <v>202</v>
      </c>
      <c r="E28" s="30" t="str">
        <f t="shared" si="0"/>
        <v>8-29-202</v>
      </c>
      <c r="F28" s="13" t="str">
        <f>IFERROR(VLOOKUP(E28,'ESTRUCTURA CODIGO'!$H$2:$J$1048576,2,FALSE)," ")</f>
        <v>ARGOLLA  A/GALVANIZADO R/PARCIAL Ꝋ23 12X190</v>
      </c>
      <c r="G28" s="25" t="str">
        <f>IFERROR(VLOOKUP(E28,'ESTRUCTURA CODIGO'!$H$2:$J$1048576,3,FALSE)," ")</f>
        <v>UND</v>
      </c>
      <c r="H28" s="25" t="str">
        <f>IFERROR(VLOOKUP(E28,'ESTRUCTURA CODIGO'!$H$2:$L$612,4,FALSE)," ")</f>
        <v>RECA</v>
      </c>
    </row>
    <row r="29" spans="1:8" ht="28.8" x14ac:dyDescent="0.3">
      <c r="A29" s="25">
        <v>27</v>
      </c>
      <c r="B29" s="25">
        <v>8</v>
      </c>
      <c r="C29" s="25">
        <v>27</v>
      </c>
      <c r="D29" s="25">
        <v>203</v>
      </c>
      <c r="E29" s="30" t="str">
        <f t="shared" si="0"/>
        <v>8-27-203</v>
      </c>
      <c r="F29" s="13" t="str">
        <f>IFERROR(VLOOKUP(E29,'ESTRUCTURA CODIGO'!$H$2:$J$1048576,2,FALSE)," ")</f>
        <v>TORNILLO A/GALVANIZADO CON C/HEZAGONAL, R/COMPLETA, C/ARANDELA Y AUTOTALADRANTE 6.3X90</v>
      </c>
      <c r="G29" s="25" t="str">
        <f>IFERROR(VLOOKUP(E29,'ESTRUCTURA CODIGO'!$H$2:$J$1048576,3,FALSE)," ")</f>
        <v>UND</v>
      </c>
      <c r="H29" s="25" t="str">
        <f>IFERROR(VLOOKUP(E29,'ESTRUCTURA CODIGO'!$H$2:$L$612,4,FALSE)," ")</f>
        <v>RECA</v>
      </c>
    </row>
    <row r="30" spans="1:8" ht="28.8" x14ac:dyDescent="0.3">
      <c r="A30" s="25">
        <v>28</v>
      </c>
      <c r="B30" s="25">
        <v>8</v>
      </c>
      <c r="C30" s="25">
        <v>27</v>
      </c>
      <c r="D30" s="25">
        <v>204</v>
      </c>
      <c r="E30" s="30" t="str">
        <f t="shared" si="0"/>
        <v>8-27-204</v>
      </c>
      <c r="F30" s="13" t="str">
        <f>IFERROR(VLOOKUP(E30,'ESTRUCTURA CODIGO'!$H$2:$J$1048576,2,FALSE)," ")</f>
        <v>TORNILLO A/GALVANIZADO CON C/HEZAGONAL, R/COMPLETA, C/ARANDELA Y AUTOTALADRANTE 6.3X50</v>
      </c>
      <c r="G30" s="25" t="str">
        <f>IFERROR(VLOOKUP(E30,'ESTRUCTURA CODIGO'!$H$2:$J$1048576,3,FALSE)," ")</f>
        <v>UND</v>
      </c>
      <c r="H30" s="25" t="str">
        <f>IFERROR(VLOOKUP(E30,'ESTRUCTURA CODIGO'!$H$2:$L$612,4,FALSE)," ")</f>
        <v>RECA</v>
      </c>
    </row>
    <row r="31" spans="1:8" x14ac:dyDescent="0.3">
      <c r="A31" s="25">
        <v>29</v>
      </c>
      <c r="B31" s="25">
        <v>8</v>
      </c>
      <c r="C31" s="25">
        <v>4</v>
      </c>
      <c r="D31" s="25">
        <v>205</v>
      </c>
      <c r="E31" s="30" t="str">
        <f t="shared" si="0"/>
        <v>8-4-205</v>
      </c>
      <c r="F31" s="13" t="str">
        <f>IFERROR(VLOOKUP(E31,'ESTRUCTURA CODIGO'!$H$2:$J$1048576,2,FALSE)," ")</f>
        <v>ABRAZADERA EN U C/TUERCA HEZAGONAL</v>
      </c>
      <c r="G31" s="25" t="str">
        <f>IFERROR(VLOOKUP(E31,'ESTRUCTURA CODIGO'!$H$2:$J$1048576,3,FALSE)," ")</f>
        <v>UND</v>
      </c>
      <c r="H31" s="25" t="str">
        <f>IFERROR(VLOOKUP(E31,'ESTRUCTURA CODIGO'!$H$2:$L$612,4,FALSE)," ")</f>
        <v>RECA</v>
      </c>
    </row>
    <row r="32" spans="1:8" ht="28.8" x14ac:dyDescent="0.3">
      <c r="A32" s="25">
        <v>30</v>
      </c>
      <c r="B32" s="25">
        <v>8</v>
      </c>
      <c r="C32" s="25">
        <v>30</v>
      </c>
      <c r="D32" s="25">
        <v>206</v>
      </c>
      <c r="E32" s="30" t="str">
        <f t="shared" si="0"/>
        <v>8-30-206</v>
      </c>
      <c r="F32" s="13" t="str">
        <f>IFERROR(VLOOKUP(E32,'ESTRUCTURA CODIGO'!$H$2:$J$1048576,2,FALSE)," ")</f>
        <v>PERRILLO PAR CABLE Nª 6/8mm 25x30 A/GALVANIZADO Y T/HEZAGONAL</v>
      </c>
      <c r="G32" s="25" t="str">
        <f>IFERROR(VLOOKUP(E32,'ESTRUCTURA CODIGO'!$H$2:$J$1048576,3,FALSE)," ")</f>
        <v>UND</v>
      </c>
      <c r="H32" s="25" t="str">
        <f>IFERROR(VLOOKUP(E32,'ESTRUCTURA CODIGO'!$H$2:$L$612,4,FALSE)," ")</f>
        <v>RECA</v>
      </c>
    </row>
    <row r="33" spans="1:8" x14ac:dyDescent="0.3">
      <c r="A33" s="25">
        <v>31</v>
      </c>
      <c r="B33" s="25">
        <v>1</v>
      </c>
      <c r="C33" s="25">
        <v>27</v>
      </c>
      <c r="D33" s="25">
        <v>207</v>
      </c>
      <c r="E33" s="30" t="str">
        <f t="shared" si="0"/>
        <v>1-27-207</v>
      </c>
      <c r="F33" s="13" t="str">
        <f>IFERROR(VLOOKUP(E33,'ESTRUCTURA CODIGO'!$H$2:$J$1048576,2,FALSE)," ")</f>
        <v>TORNILLO A/INOX CABEZA CILINDRICA ALLEN M8X35mm</v>
      </c>
      <c r="G33" s="25" t="str">
        <f>IFERROR(VLOOKUP(E33,'ESTRUCTURA CODIGO'!$H$2:$J$1048576,3,FALSE)," ")</f>
        <v>UND</v>
      </c>
      <c r="H33" s="25" t="str">
        <f>IFERROR(VLOOKUP(E33,'ESTRUCTURA CODIGO'!$H$2:$L$612,4,FALSE)," ")</f>
        <v>RECA</v>
      </c>
    </row>
    <row r="34" spans="1:8" x14ac:dyDescent="0.3">
      <c r="A34" s="25">
        <v>32</v>
      </c>
      <c r="B34" s="25">
        <v>1</v>
      </c>
      <c r="C34" s="25">
        <v>27</v>
      </c>
      <c r="D34" s="25">
        <v>208</v>
      </c>
      <c r="E34" s="30" t="str">
        <f t="shared" si="0"/>
        <v>1-27-208</v>
      </c>
      <c r="F34" s="13" t="str">
        <f>IFERROR(VLOOKUP(E34,'ESTRUCTURA CODIGO'!$H$2:$J$1048576,2,FALSE)," ")</f>
        <v>TORNILLO A/INOX CABEZA CILINDRICA ALLEN M8X30mm</v>
      </c>
      <c r="G34" s="25" t="str">
        <f>IFERROR(VLOOKUP(E34,'ESTRUCTURA CODIGO'!$H$2:$J$1048576,3,FALSE)," ")</f>
        <v>UND</v>
      </c>
      <c r="H34" s="25" t="str">
        <f>IFERROR(VLOOKUP(E34,'ESTRUCTURA CODIGO'!$H$2:$L$612,4,FALSE)," ")</f>
        <v>RECA</v>
      </c>
    </row>
    <row r="35" spans="1:8" ht="28.8" x14ac:dyDescent="0.3">
      <c r="A35" s="25">
        <v>33</v>
      </c>
      <c r="B35" s="25">
        <v>3</v>
      </c>
      <c r="C35" s="25">
        <v>31</v>
      </c>
      <c r="D35" s="25">
        <v>209</v>
      </c>
      <c r="E35" s="30" t="str">
        <f t="shared" ref="E35:E66" si="1">CONCATENATE(B35,"-",C35,"-",D35)</f>
        <v>3-31-209</v>
      </c>
      <c r="F35" s="13" t="str">
        <f>IFERROR(VLOOKUP(E35,'ESTRUCTURA CODIGO'!$H$2:$J$1048576,2,FALSE)," ")</f>
        <v>CABLE Nª 6 C/ALTERNA MARRON</v>
      </c>
      <c r="G35" s="25" t="str">
        <f>IFERROR(VLOOKUP(E35,'ESTRUCTURA CODIGO'!$H$2:$J$1048576,3,FALSE)," ")</f>
        <v>MT</v>
      </c>
      <c r="H35" s="25" t="str">
        <f>IFERROR(VLOOKUP(E35,'ESTRUCTURA CODIGO'!$H$2:$L$612,4,FALSE)," ")</f>
        <v>BELTRAN Y CRIADO</v>
      </c>
    </row>
    <row r="36" spans="1:8" ht="28.8" x14ac:dyDescent="0.3">
      <c r="A36" s="25">
        <v>34</v>
      </c>
      <c r="B36" s="25">
        <v>3</v>
      </c>
      <c r="C36" s="25">
        <v>31</v>
      </c>
      <c r="D36" s="25">
        <v>210</v>
      </c>
      <c r="E36" s="30" t="str">
        <f t="shared" si="1"/>
        <v>3-31-210</v>
      </c>
      <c r="F36" s="13" t="str">
        <f>IFERROR(VLOOKUP(E36,'ESTRUCTURA CODIGO'!$H$2:$J$1048576,2,FALSE)," ")</f>
        <v>CABLE Nª 6 C/ALTERNA GRIS</v>
      </c>
      <c r="G36" s="25" t="str">
        <f>IFERROR(VLOOKUP(E36,'ESTRUCTURA CODIGO'!$H$2:$J$1048576,3,FALSE)," ")</f>
        <v>MT</v>
      </c>
      <c r="H36" s="25" t="str">
        <f>IFERROR(VLOOKUP(E36,'ESTRUCTURA CODIGO'!$H$2:$L$612,4,FALSE)," ")</f>
        <v>BELTRAN Y CRIADO</v>
      </c>
    </row>
    <row r="37" spans="1:8" ht="28.8" x14ac:dyDescent="0.3">
      <c r="A37" s="25">
        <v>35</v>
      </c>
      <c r="B37" s="25">
        <v>3</v>
      </c>
      <c r="C37" s="25">
        <v>31</v>
      </c>
      <c r="D37" s="25">
        <v>211</v>
      </c>
      <c r="E37" s="30" t="str">
        <f t="shared" si="1"/>
        <v>3-31-211</v>
      </c>
      <c r="F37" s="13" t="str">
        <f>IFERROR(VLOOKUP(E37,'ESTRUCTURA CODIGO'!$H$2:$J$1048576,2,FALSE)," ")</f>
        <v>CABLE Nª 6 C/ALTERNA VERDE/AMARILLO</v>
      </c>
      <c r="G37" s="25" t="str">
        <f>IFERROR(VLOOKUP(E37,'ESTRUCTURA CODIGO'!$H$2:$J$1048576,3,FALSE)," ")</f>
        <v>MT</v>
      </c>
      <c r="H37" s="25" t="str">
        <f>IFERROR(VLOOKUP(E37,'ESTRUCTURA CODIGO'!$H$2:$L$612,4,FALSE)," ")</f>
        <v>BELTRAN Y CRIADO</v>
      </c>
    </row>
    <row r="38" spans="1:8" ht="28.8" x14ac:dyDescent="0.3">
      <c r="A38" s="25">
        <v>36</v>
      </c>
      <c r="B38" s="25">
        <v>3</v>
      </c>
      <c r="C38" s="25">
        <v>31</v>
      </c>
      <c r="D38" s="25">
        <v>212</v>
      </c>
      <c r="E38" s="30" t="str">
        <f t="shared" si="1"/>
        <v>3-31-212</v>
      </c>
      <c r="F38" s="13" t="str">
        <f>IFERROR(VLOOKUP(E38,'ESTRUCTURA CODIGO'!$H$2:$J$1048576,2,FALSE)," ")</f>
        <v>CABLE Nª 6 C/ALTERNA AZUL</v>
      </c>
      <c r="G38" s="25" t="str">
        <f>IFERROR(VLOOKUP(E38,'ESTRUCTURA CODIGO'!$H$2:$J$1048576,3,FALSE)," ")</f>
        <v>MT</v>
      </c>
      <c r="H38" s="25" t="str">
        <f>IFERROR(VLOOKUP(E38,'ESTRUCTURA CODIGO'!$H$2:$L$612,4,FALSE)," ")</f>
        <v>BELTRAN Y CRIADO</v>
      </c>
    </row>
    <row r="39" spans="1:8" ht="28.8" x14ac:dyDescent="0.3">
      <c r="A39" s="25">
        <v>37</v>
      </c>
      <c r="B39" s="25">
        <v>3</v>
      </c>
      <c r="C39" s="25">
        <v>31</v>
      </c>
      <c r="D39" s="25">
        <v>213</v>
      </c>
      <c r="E39" s="30" t="str">
        <f t="shared" si="1"/>
        <v>3-31-213</v>
      </c>
      <c r="F39" s="13" t="str">
        <f>IFERROR(VLOOKUP(E39,'ESTRUCTURA CODIGO'!$H$2:$J$1048576,2,FALSE)," ")</f>
        <v>CABLE Nª 6 C/ALTERNA NEGRO</v>
      </c>
      <c r="G39" s="25" t="str">
        <f>IFERROR(VLOOKUP(E39,'ESTRUCTURA CODIGO'!$H$2:$J$1048576,3,FALSE)," ")</f>
        <v>MT</v>
      </c>
      <c r="H39" s="25" t="str">
        <f>IFERROR(VLOOKUP(E39,'ESTRUCTURA CODIGO'!$H$2:$L$612,4,FALSE)," ")</f>
        <v>BELTRAN Y CRIADO</v>
      </c>
    </row>
    <row r="40" spans="1:8" ht="28.8" x14ac:dyDescent="0.3">
      <c r="A40" s="25">
        <v>38</v>
      </c>
      <c r="B40" s="25">
        <v>3</v>
      </c>
      <c r="C40" s="25">
        <v>31</v>
      </c>
      <c r="D40" s="25">
        <v>214</v>
      </c>
      <c r="E40" s="30" t="str">
        <f t="shared" si="1"/>
        <v>3-31-214</v>
      </c>
      <c r="F40" s="13" t="str">
        <f>IFERROR(VLOOKUP(E40,'ESTRUCTURA CODIGO'!$H$2:$J$1048576,2,FALSE)," ")</f>
        <v>CABLE Nª 16 C/ALTERNA NEGRO</v>
      </c>
      <c r="G40" s="25" t="str">
        <f>IFERROR(VLOOKUP(E40,'ESTRUCTURA CODIGO'!$H$2:$J$1048576,3,FALSE)," ")</f>
        <v>MT</v>
      </c>
      <c r="H40" s="25" t="str">
        <f>IFERROR(VLOOKUP(E40,'ESTRUCTURA CODIGO'!$H$2:$L$612,4,FALSE)," ")</f>
        <v>BELTRAN Y CRIADO</v>
      </c>
    </row>
    <row r="41" spans="1:8" ht="28.8" x14ac:dyDescent="0.3">
      <c r="A41" s="25">
        <v>39</v>
      </c>
      <c r="B41" s="25">
        <v>3</v>
      </c>
      <c r="C41" s="25">
        <v>31</v>
      </c>
      <c r="D41" s="25">
        <v>215</v>
      </c>
      <c r="E41" s="30" t="str">
        <f t="shared" si="1"/>
        <v>3-31-215</v>
      </c>
      <c r="F41" s="13" t="str">
        <f>IFERROR(VLOOKUP(E41,'ESTRUCTURA CODIGO'!$H$2:$J$1048576,2,FALSE)," ")</f>
        <v>CABLE Nª 16 C/ALTERNA MARRON</v>
      </c>
      <c r="G41" s="25" t="str">
        <f>IFERROR(VLOOKUP(E41,'ESTRUCTURA CODIGO'!$H$2:$J$1048576,3,FALSE)," ")</f>
        <v>MT</v>
      </c>
      <c r="H41" s="25" t="str">
        <f>IFERROR(VLOOKUP(E41,'ESTRUCTURA CODIGO'!$H$2:$L$612,4,FALSE)," ")</f>
        <v>BELTRAN Y CRIADO</v>
      </c>
    </row>
    <row r="42" spans="1:8" ht="28.8" x14ac:dyDescent="0.3">
      <c r="A42" s="25">
        <v>40</v>
      </c>
      <c r="B42" s="25">
        <v>3</v>
      </c>
      <c r="C42" s="25">
        <v>31</v>
      </c>
      <c r="D42" s="25">
        <v>216</v>
      </c>
      <c r="E42" s="30" t="str">
        <f t="shared" si="1"/>
        <v>3-31-216</v>
      </c>
      <c r="F42" s="13" t="str">
        <f>IFERROR(VLOOKUP(E42,'ESTRUCTURA CODIGO'!$H$2:$J$1048576,2,FALSE)," ")</f>
        <v>CABLE Nª 16 C/ALTERNA AZUL</v>
      </c>
      <c r="G42" s="25" t="str">
        <f>IFERROR(VLOOKUP(E42,'ESTRUCTURA CODIGO'!$H$2:$J$1048576,3,FALSE)," ")</f>
        <v>MT</v>
      </c>
      <c r="H42" s="25" t="str">
        <f>IFERROR(VLOOKUP(E42,'ESTRUCTURA CODIGO'!$H$2:$L$612,4,FALSE)," ")</f>
        <v>BELTRAN Y CRIADO</v>
      </c>
    </row>
    <row r="43" spans="1:8" ht="28.8" x14ac:dyDescent="0.3">
      <c r="A43" s="25">
        <v>41</v>
      </c>
      <c r="B43" s="25">
        <v>3</v>
      </c>
      <c r="C43" s="25">
        <v>31</v>
      </c>
      <c r="D43" s="25">
        <v>217</v>
      </c>
      <c r="E43" s="30" t="str">
        <f t="shared" si="1"/>
        <v>3-31-217</v>
      </c>
      <c r="F43" s="13" t="str">
        <f>IFERROR(VLOOKUP(E43,'ESTRUCTURA CODIGO'!$H$2:$J$1048576,2,FALSE)," ")</f>
        <v>CABLE Nª 16 C/ALTERNA GRIS</v>
      </c>
      <c r="G43" s="25" t="str">
        <f>IFERROR(VLOOKUP(E43,'ESTRUCTURA CODIGO'!$H$2:$J$1048576,3,FALSE)," ")</f>
        <v>MT</v>
      </c>
      <c r="H43" s="25" t="str">
        <f>IFERROR(VLOOKUP(E43,'ESTRUCTURA CODIGO'!$H$2:$L$612,4,FALSE)," ")</f>
        <v>BELTRAN Y CRIADO</v>
      </c>
    </row>
    <row r="44" spans="1:8" ht="28.8" x14ac:dyDescent="0.3">
      <c r="A44" s="25">
        <v>42</v>
      </c>
      <c r="B44" s="25">
        <v>3</v>
      </c>
      <c r="C44" s="25">
        <v>31</v>
      </c>
      <c r="D44" s="25">
        <v>218</v>
      </c>
      <c r="E44" s="30" t="str">
        <f t="shared" si="1"/>
        <v>3-31-218</v>
      </c>
      <c r="F44" s="13" t="str">
        <f>IFERROR(VLOOKUP(E44,'ESTRUCTURA CODIGO'!$H$2:$J$1048576,2,FALSE)," ")</f>
        <v>CABLE Nª 10 C/ALTERNA VERDE/AMARILLO</v>
      </c>
      <c r="G44" s="25" t="str">
        <f>IFERROR(VLOOKUP(E44,'ESTRUCTURA CODIGO'!$H$2:$J$1048576,3,FALSE)," ")</f>
        <v>MT</v>
      </c>
      <c r="H44" s="25" t="str">
        <f>IFERROR(VLOOKUP(E44,'ESTRUCTURA CODIGO'!$H$2:$L$612,4,FALSE)," ")</f>
        <v>BELTRAN Y CRIADO</v>
      </c>
    </row>
    <row r="45" spans="1:8" ht="28.8" x14ac:dyDescent="0.3">
      <c r="A45" s="25">
        <v>43</v>
      </c>
      <c r="B45" s="25">
        <v>3</v>
      </c>
      <c r="C45" s="25">
        <v>31</v>
      </c>
      <c r="D45" s="25">
        <v>219</v>
      </c>
      <c r="E45" s="30" t="str">
        <f t="shared" si="1"/>
        <v>3-31-219</v>
      </c>
      <c r="F45" s="13" t="str">
        <f>IFERROR(VLOOKUP(E45,'ESTRUCTURA CODIGO'!$H$2:$J$1048576,2,FALSE)," ")</f>
        <v>CABLE Nª 10 C/ALTERNA MARRON</v>
      </c>
      <c r="G45" s="25" t="str">
        <f>IFERROR(VLOOKUP(E45,'ESTRUCTURA CODIGO'!$H$2:$J$1048576,3,FALSE)," ")</f>
        <v>MT</v>
      </c>
      <c r="H45" s="25" t="str">
        <f>IFERROR(VLOOKUP(E45,'ESTRUCTURA CODIGO'!$H$2:$L$612,4,FALSE)," ")</f>
        <v>BELTRAN Y CRIADO</v>
      </c>
    </row>
    <row r="46" spans="1:8" ht="28.8" x14ac:dyDescent="0.3">
      <c r="A46" s="25">
        <v>44</v>
      </c>
      <c r="B46" s="25">
        <v>3</v>
      </c>
      <c r="C46" s="25">
        <v>31</v>
      </c>
      <c r="D46" s="25">
        <v>220</v>
      </c>
      <c r="E46" s="30" t="str">
        <f t="shared" si="1"/>
        <v>3-31-220</v>
      </c>
      <c r="F46" s="13" t="str">
        <f>IFERROR(VLOOKUP(E46,'ESTRUCTURA CODIGO'!$H$2:$J$1048576,2,FALSE)," ")</f>
        <v>CABLE Nª 10 C/ALTERNA GRIS</v>
      </c>
      <c r="G46" s="25" t="str">
        <f>IFERROR(VLOOKUP(E46,'ESTRUCTURA CODIGO'!$H$2:$J$1048576,3,FALSE)," ")</f>
        <v>MT</v>
      </c>
      <c r="H46" s="25" t="str">
        <f>IFERROR(VLOOKUP(E46,'ESTRUCTURA CODIGO'!$H$2:$L$612,4,FALSE)," ")</f>
        <v>BELTRAN Y CRIADO</v>
      </c>
    </row>
    <row r="47" spans="1:8" ht="28.8" x14ac:dyDescent="0.3">
      <c r="A47" s="25">
        <v>45</v>
      </c>
      <c r="B47" s="25">
        <v>3</v>
      </c>
      <c r="C47" s="25">
        <v>31</v>
      </c>
      <c r="D47" s="25">
        <v>221</v>
      </c>
      <c r="E47" s="30" t="str">
        <f t="shared" si="1"/>
        <v>3-31-221</v>
      </c>
      <c r="F47" s="13" t="str">
        <f>IFERROR(VLOOKUP(E47,'ESTRUCTURA CODIGO'!$H$2:$J$1048576,2,FALSE)," ")</f>
        <v>CABLE Nª 10 C/ALTERNA AZUL</v>
      </c>
      <c r="G47" s="25" t="str">
        <f>IFERROR(VLOOKUP(E47,'ESTRUCTURA CODIGO'!$H$2:$J$1048576,3,FALSE)," ")</f>
        <v>MT</v>
      </c>
      <c r="H47" s="25" t="str">
        <f>IFERROR(VLOOKUP(E47,'ESTRUCTURA CODIGO'!$H$2:$L$612,4,FALSE)," ")</f>
        <v>BELTRAN Y CRIADO</v>
      </c>
    </row>
    <row r="48" spans="1:8" ht="28.8" x14ac:dyDescent="0.3">
      <c r="A48" s="25">
        <v>46</v>
      </c>
      <c r="B48" s="25">
        <v>3</v>
      </c>
      <c r="C48" s="25">
        <v>31</v>
      </c>
      <c r="D48" s="25">
        <v>222</v>
      </c>
      <c r="E48" s="30" t="str">
        <f t="shared" si="1"/>
        <v>3-31-222</v>
      </c>
      <c r="F48" s="13" t="str">
        <f>IFERROR(VLOOKUP(E48,'ESTRUCTURA CODIGO'!$H$2:$J$1048576,2,FALSE)," ")</f>
        <v>CABLE Nª 10 C/ALTERNA NEGRO</v>
      </c>
      <c r="G48" s="25" t="str">
        <f>IFERROR(VLOOKUP(E48,'ESTRUCTURA CODIGO'!$H$2:$J$1048576,3,FALSE)," ")</f>
        <v>MT</v>
      </c>
      <c r="H48" s="25" t="str">
        <f>IFERROR(VLOOKUP(E48,'ESTRUCTURA CODIGO'!$H$2:$L$612,4,FALSE)," ")</f>
        <v>BELTRAN Y CRIADO</v>
      </c>
    </row>
    <row r="49" spans="1:8" ht="28.8" x14ac:dyDescent="0.3">
      <c r="A49" s="25">
        <v>47</v>
      </c>
      <c r="B49" s="25">
        <v>9</v>
      </c>
      <c r="C49" s="25">
        <v>32</v>
      </c>
      <c r="D49" s="25">
        <v>223</v>
      </c>
      <c r="E49" s="30" t="str">
        <f t="shared" si="1"/>
        <v>9-32-223</v>
      </c>
      <c r="F49" s="13" t="str">
        <f>IFERROR(VLOOKUP(E49,'ESTRUCTURA CODIGO'!$H$2:$J$1048576,2,FALSE)," ")</f>
        <v>CURVA PVC M-25 GRIS TIPO A</v>
      </c>
      <c r="G49" s="25" t="str">
        <f>IFERROR(VLOOKUP(E49,'ESTRUCTURA CODIGO'!$H$2:$J$1048576,3,FALSE)," ")</f>
        <v>UND</v>
      </c>
      <c r="H49" s="25" t="str">
        <f>IFERROR(VLOOKUP(E49,'ESTRUCTURA CODIGO'!$H$2:$L$612,4,FALSE)," ")</f>
        <v>BELTRAN Y CRIADO</v>
      </c>
    </row>
    <row r="50" spans="1:8" ht="28.8" x14ac:dyDescent="0.3">
      <c r="A50" s="25">
        <v>48</v>
      </c>
      <c r="B50" s="25">
        <v>9</v>
      </c>
      <c r="C50" s="25">
        <v>32</v>
      </c>
      <c r="D50" s="25">
        <v>224</v>
      </c>
      <c r="E50" s="30" t="str">
        <f t="shared" si="1"/>
        <v>9-32-224</v>
      </c>
      <c r="F50" s="13" t="str">
        <f>IFERROR(VLOOKUP(E50,'ESTRUCTURA CODIGO'!$H$2:$J$1048576,2,FALSE)," ")</f>
        <v>CURVA PVC M-25 GRIS TIPO B</v>
      </c>
      <c r="G50" s="25" t="str">
        <f>IFERROR(VLOOKUP(E50,'ESTRUCTURA CODIGO'!$H$2:$J$1048576,3,FALSE)," ")</f>
        <v>UND</v>
      </c>
      <c r="H50" s="25" t="str">
        <f>IFERROR(VLOOKUP(E50,'ESTRUCTURA CODIGO'!$H$2:$L$612,4,FALSE)," ")</f>
        <v>BELTRAN Y CRIADO</v>
      </c>
    </row>
    <row r="51" spans="1:8" ht="28.8" x14ac:dyDescent="0.3">
      <c r="A51" s="25">
        <v>49</v>
      </c>
      <c r="B51" s="25">
        <v>9</v>
      </c>
      <c r="C51" s="25">
        <v>32</v>
      </c>
      <c r="D51" s="25">
        <v>225</v>
      </c>
      <c r="E51" s="30" t="str">
        <f t="shared" si="1"/>
        <v>9-32-225</v>
      </c>
      <c r="F51" s="13" t="str">
        <f>IFERROR(VLOOKUP(E51,'ESTRUCTURA CODIGO'!$H$2:$J$1048576,2,FALSE)," ")</f>
        <v>CURVA PVC M-40 GRIS</v>
      </c>
      <c r="G51" s="25" t="str">
        <f>IFERROR(VLOOKUP(E51,'ESTRUCTURA CODIGO'!$H$2:$J$1048576,3,FALSE)," ")</f>
        <v>UND</v>
      </c>
      <c r="H51" s="25" t="str">
        <f>IFERROR(VLOOKUP(E51,'ESTRUCTURA CODIGO'!$H$2:$L$612,4,FALSE)," ")</f>
        <v>BELTRAN Y CRIADO</v>
      </c>
    </row>
    <row r="52" spans="1:8" x14ac:dyDescent="0.3">
      <c r="A52" s="25">
        <v>50</v>
      </c>
      <c r="B52" s="25">
        <v>16</v>
      </c>
      <c r="C52" s="25">
        <v>33</v>
      </c>
      <c r="D52" s="25">
        <v>226</v>
      </c>
      <c r="E52" s="30" t="str">
        <f t="shared" si="1"/>
        <v>16-33-226</v>
      </c>
      <c r="F52" s="13" t="str">
        <f>IFERROR(VLOOKUP(E52,'ESTRUCTURA CODIGO'!$H$2:$J$1048576,2,FALSE)," ")</f>
        <v>OPTIMIZADOR SUN2000P-375W</v>
      </c>
      <c r="G52" s="25" t="str">
        <f>IFERROR(VLOOKUP(E52,'ESTRUCTURA CODIGO'!$H$2:$J$1048576,3,FALSE)," ")</f>
        <v>UND</v>
      </c>
      <c r="H52" s="25" t="str">
        <f>IFERROR(VLOOKUP(E52,'ESTRUCTURA CODIGO'!$H$2:$L$612,4,FALSE)," ")</f>
        <v>N/A</v>
      </c>
    </row>
    <row r="53" spans="1:8" ht="28.8" x14ac:dyDescent="0.3">
      <c r="A53" s="25">
        <v>51</v>
      </c>
      <c r="B53" s="25">
        <v>10</v>
      </c>
      <c r="C53" s="25">
        <v>34</v>
      </c>
      <c r="D53" s="25">
        <v>227</v>
      </c>
      <c r="E53" s="30" t="str">
        <f t="shared" si="1"/>
        <v>10-34-227</v>
      </c>
      <c r="F53" s="13" t="str">
        <f>IFERROR(VLOOKUP(E53,'ESTRUCTURA CODIGO'!$H$2:$J$1048576,2,FALSE)," ")</f>
        <v>MICRORAIL 2X30 PERFORADO</v>
      </c>
      <c r="G53" s="25" t="str">
        <f>IFERROR(VLOOKUP(E53,'ESTRUCTURA CODIGO'!$H$2:$J$1048576,3,FALSE)," ")</f>
        <v>UND</v>
      </c>
      <c r="H53" s="25" t="str">
        <f>IFERROR(VLOOKUP(E53,'ESTRUCTURA CODIGO'!$H$2:$L$612,4,FALSE)," ")</f>
        <v>ESTRUSUR SOLAR</v>
      </c>
    </row>
    <row r="54" spans="1:8" x14ac:dyDescent="0.3">
      <c r="A54" s="25">
        <v>52</v>
      </c>
      <c r="B54" s="25">
        <v>7</v>
      </c>
      <c r="C54" s="25">
        <v>35</v>
      </c>
      <c r="D54" s="25">
        <v>228</v>
      </c>
      <c r="E54" s="30" t="str">
        <f t="shared" si="1"/>
        <v>7-35-228</v>
      </c>
      <c r="F54" s="13" t="str">
        <f>IFERROR(VLOOKUP(E54,'ESTRUCTURA CODIGO'!$H$2:$J$1048576,2,FALSE)," ")</f>
        <v>INVERSOR M-5K-64-PAR- A MARCA ROHS COMPLIANT</v>
      </c>
      <c r="G54" s="25" t="str">
        <f>IFERROR(VLOOKUP(E54,'ESTRUCTURA CODIGO'!$H$2:$J$1048576,3,FALSE)," ")</f>
        <v>UND</v>
      </c>
      <c r="H54" s="25" t="str">
        <f>IFERROR(VLOOKUP(E54,'ESTRUCTURA CODIGO'!$H$2:$L$612,4,FALSE)," ")</f>
        <v>N/A</v>
      </c>
    </row>
    <row r="55" spans="1:8" x14ac:dyDescent="0.3">
      <c r="A55" s="25">
        <v>53</v>
      </c>
      <c r="B55" s="25">
        <v>7</v>
      </c>
      <c r="C55" s="25">
        <v>35</v>
      </c>
      <c r="D55" s="25">
        <v>229</v>
      </c>
      <c r="E55" s="30" t="str">
        <f t="shared" si="1"/>
        <v>7-35-229</v>
      </c>
      <c r="F55" s="13" t="str">
        <f>IFERROR(VLOOKUP(E55,'ESTRUCTURA CODIGO'!$H$2:$J$1048576,2,FALSE)," ")</f>
        <v>INVERSOR AXPERT MK5-3K-24V-PLUS MARCA ROHS COMPLIANT</v>
      </c>
      <c r="G55" s="25" t="str">
        <f>IFERROR(VLOOKUP(E55,'ESTRUCTURA CODIGO'!$H$2:$J$1048576,3,FALSE)," ")</f>
        <v>UND</v>
      </c>
      <c r="H55" s="25" t="str">
        <f>IFERROR(VLOOKUP(E55,'ESTRUCTURA CODIGO'!$H$2:$L$612,4,FALSE)," ")</f>
        <v>N/A</v>
      </c>
    </row>
    <row r="56" spans="1:8" ht="28.8" x14ac:dyDescent="0.3">
      <c r="A56" s="25">
        <v>54</v>
      </c>
      <c r="B56" s="25">
        <v>7</v>
      </c>
      <c r="C56" s="25">
        <v>36</v>
      </c>
      <c r="D56" s="25">
        <v>231</v>
      </c>
      <c r="E56" s="30" t="str">
        <f t="shared" si="1"/>
        <v>7-36-231</v>
      </c>
      <c r="F56" s="13" t="str">
        <f>IFERROR(VLOOKUP(E56,'ESTRUCTURA CODIGO'!$H$2:$J$1048576,2,FALSE)," ")</f>
        <v>CONTROLADOR SMART SOLAR MPPT 250/100-TR VICTROM ENERGY</v>
      </c>
      <c r="G56" s="25" t="str">
        <f>IFERROR(VLOOKUP(E56,'ESTRUCTURA CODIGO'!$H$2:$J$1048576,3,FALSE)," ")</f>
        <v>UND</v>
      </c>
      <c r="H56" s="25" t="str">
        <f>IFERROR(VLOOKUP(E56,'ESTRUCTURA CODIGO'!$H$2:$L$612,4,FALSE)," ")</f>
        <v>VICTROM ENERGY</v>
      </c>
    </row>
    <row r="57" spans="1:8" ht="28.8" x14ac:dyDescent="0.3">
      <c r="A57" s="25">
        <v>55</v>
      </c>
      <c r="B57" s="25">
        <v>7</v>
      </c>
      <c r="C57" s="25">
        <v>35</v>
      </c>
      <c r="D57" s="25">
        <v>230</v>
      </c>
      <c r="E57" s="30" t="str">
        <f t="shared" si="1"/>
        <v>7-35-230</v>
      </c>
      <c r="F57" s="13" t="str">
        <f>IFERROR(VLOOKUP(E57,'ESTRUCTURA CODIGO'!$H$2:$J$1048576,2,FALSE)," ")</f>
        <v>INVERSOR VICTROM ENERGY MULTIPLUS 24/3000/70-16-230V</v>
      </c>
      <c r="G57" s="25" t="str">
        <f>IFERROR(VLOOKUP(E57,'ESTRUCTURA CODIGO'!$H$2:$J$1048576,3,FALSE)," ")</f>
        <v>UND</v>
      </c>
      <c r="H57" s="25" t="str">
        <f>IFERROR(VLOOKUP(E57,'ESTRUCTURA CODIGO'!$H$2:$L$612,4,FALSE)," ")</f>
        <v>VICTROM ENERGY</v>
      </c>
    </row>
    <row r="58" spans="1:8" ht="28.8" x14ac:dyDescent="0.3">
      <c r="A58" s="25">
        <v>56</v>
      </c>
      <c r="B58" s="25">
        <v>10</v>
      </c>
      <c r="C58" s="25">
        <v>37</v>
      </c>
      <c r="D58" s="25">
        <v>232</v>
      </c>
      <c r="E58" s="30" t="str">
        <f t="shared" si="1"/>
        <v>10-37-232</v>
      </c>
      <c r="F58" s="13" t="str">
        <f>IFERROR(VLOOKUP(E58,'ESTRUCTURA CODIGO'!$H$2:$J$1048576,2,FALSE)," ")</f>
        <v>SOPORTE CENTRAL NEGRO</v>
      </c>
      <c r="G58" s="25" t="str">
        <f>IFERROR(VLOOKUP(E58,'ESTRUCTURA CODIGO'!$H$2:$J$1048576,3,FALSE)," ")</f>
        <v>UND</v>
      </c>
      <c r="H58" s="25" t="str">
        <f>IFERROR(VLOOKUP(E58,'ESTRUCTURA CODIGO'!$H$2:$L$612,4,FALSE)," ")</f>
        <v>ESTRUSUR SOLAR</v>
      </c>
    </row>
    <row r="59" spans="1:8" ht="43.2" x14ac:dyDescent="0.3">
      <c r="A59" s="25">
        <v>57</v>
      </c>
      <c r="B59" s="25">
        <v>7</v>
      </c>
      <c r="C59" s="25">
        <v>38</v>
      </c>
      <c r="D59" s="25">
        <v>233</v>
      </c>
      <c r="E59" s="30" t="str">
        <f t="shared" si="1"/>
        <v>7-38-233</v>
      </c>
      <c r="F59" s="13" t="str">
        <f>IFERROR(VLOOKUP(E59,'ESTRUCTURA CODIGO'!$H$2:$J$1048576,2,FALSE)," ")</f>
        <v>PLACA SOLAR EX-275P-60 275W / 31.50V</v>
      </c>
      <c r="G59" s="25" t="str">
        <f>IFERROR(VLOOKUP(E59,'ESTRUCTURA CODIGO'!$H$2:$J$1048576,3,FALSE)," ")</f>
        <v>UND</v>
      </c>
      <c r="H59" s="25" t="str">
        <f>IFERROR(VLOOKUP(E59,'ESTRUCTURA CODIGO'!$H$2:$L$612,4,FALSE)," ")</f>
        <v>EXIOM SOLUTION SA</v>
      </c>
    </row>
    <row r="60" spans="1:8" ht="28.8" x14ac:dyDescent="0.3">
      <c r="A60" s="25">
        <v>58</v>
      </c>
      <c r="B60" s="25">
        <v>7</v>
      </c>
      <c r="C60" s="25">
        <v>38</v>
      </c>
      <c r="D60" s="25">
        <v>234</v>
      </c>
      <c r="E60" s="30" t="str">
        <f t="shared" si="1"/>
        <v>7-38-234</v>
      </c>
      <c r="F60" s="13" t="str">
        <f>IFERROR(VLOOKUP(E60,'ESTRUCTURA CODIGO'!$H$2:$J$1048576,2,FALSE)," ")</f>
        <v>PLACA SOLAR CSP-6P-345W / 38.3C</v>
      </c>
      <c r="G60" s="25" t="str">
        <f>IFERROR(VLOOKUP(E60,'ESTRUCTURA CODIGO'!$H$2:$J$1048576,3,FALSE)," ")</f>
        <v>UND</v>
      </c>
      <c r="H60" s="25" t="str">
        <f>IFERROR(VLOOKUP(E60,'ESTRUCTURA CODIGO'!$H$2:$L$612,4,FALSE)," ")</f>
        <v>CRADY SOLAR</v>
      </c>
    </row>
    <row r="61" spans="1:8" ht="28.8" x14ac:dyDescent="0.3">
      <c r="A61" s="25">
        <v>59</v>
      </c>
      <c r="B61" s="25">
        <v>7</v>
      </c>
      <c r="C61" s="25">
        <v>38</v>
      </c>
      <c r="D61" s="25">
        <v>235</v>
      </c>
      <c r="E61" s="30" t="str">
        <f t="shared" si="1"/>
        <v>7-38-235</v>
      </c>
      <c r="F61" s="13" t="str">
        <f>IFERROR(VLOOKUP(E61,'ESTRUCTURA CODIGO'!$H$2:$J$1048576,2,FALSE)," ")</f>
        <v>PLACA SOLAR CS6L-450MS 450W / 34.4V</v>
      </c>
      <c r="G61" s="25" t="str">
        <f>IFERROR(VLOOKUP(E61,'ESTRUCTURA CODIGO'!$H$2:$J$1048576,3,FALSE)," ")</f>
        <v>UND</v>
      </c>
      <c r="H61" s="25" t="str">
        <f>IFERROR(VLOOKUP(E61,'ESTRUCTURA CODIGO'!$H$2:$L$612,4,FALSE)," ")</f>
        <v>CANADIANSOLAR</v>
      </c>
    </row>
    <row r="62" spans="1:8" x14ac:dyDescent="0.3">
      <c r="A62" s="25">
        <v>60</v>
      </c>
      <c r="B62" s="25">
        <v>7</v>
      </c>
      <c r="C62" s="25">
        <v>38</v>
      </c>
      <c r="D62" s="25">
        <v>236</v>
      </c>
      <c r="E62" s="30" t="str">
        <f t="shared" si="1"/>
        <v>7-38-236</v>
      </c>
      <c r="F62" s="13" t="str">
        <f>IFERROR(VLOOKUP(E62,'ESTRUCTURA CODIGO'!$H$2:$J$1048576,2,FALSE)," ")</f>
        <v>PLACA SOLAR JAM66S30-505MR 505W / 45.72V</v>
      </c>
      <c r="G62" s="25" t="str">
        <f>IFERROR(VLOOKUP(E62,'ESTRUCTURA CODIGO'!$H$2:$J$1048576,3,FALSE)," ")</f>
        <v>UND</v>
      </c>
      <c r="H62" s="25" t="str">
        <f>IFERROR(VLOOKUP(E62,'ESTRUCTURA CODIGO'!$H$2:$L$612,4,FALSE)," ")</f>
        <v>JASOLAR</v>
      </c>
    </row>
    <row r="63" spans="1:8" ht="28.8" x14ac:dyDescent="0.3">
      <c r="A63" s="25">
        <v>61</v>
      </c>
      <c r="B63" s="25">
        <v>7</v>
      </c>
      <c r="C63" s="25">
        <v>38</v>
      </c>
      <c r="D63" s="25">
        <v>237</v>
      </c>
      <c r="E63" s="30" t="str">
        <f t="shared" si="1"/>
        <v>7-38-237</v>
      </c>
      <c r="F63" s="13" t="str">
        <f>IFERROR(VLOOKUP(E63,'ESTRUCTURA CODIGO'!$H$2:$J$1048576,2,FALSE)," ")</f>
        <v>PLACA SOLAR CS6.1-60TB-505 505W / 43.4V</v>
      </c>
      <c r="G63" s="25" t="str">
        <f>IFERROR(VLOOKUP(E63,'ESTRUCTURA CODIGO'!$H$2:$J$1048576,3,FALSE)," ")</f>
        <v>UND</v>
      </c>
      <c r="H63" s="25" t="str">
        <f>IFERROR(VLOOKUP(E63,'ESTRUCTURA CODIGO'!$H$2:$L$612,4,FALSE)," ")</f>
        <v>CANADIANSOLAR</v>
      </c>
    </row>
    <row r="64" spans="1:8" x14ac:dyDescent="0.3">
      <c r="A64" s="25">
        <v>62</v>
      </c>
      <c r="B64" s="25">
        <v>7</v>
      </c>
      <c r="C64" s="25">
        <v>38</v>
      </c>
      <c r="D64" s="25">
        <v>238</v>
      </c>
      <c r="E64" s="30" t="str">
        <f t="shared" si="1"/>
        <v>7-38-238</v>
      </c>
      <c r="F64" s="13" t="str">
        <f>IFERROR(VLOOKUP(E64,'ESTRUCTURA CODIGO'!$H$2:$J$1048576,2,FALSE)," ")</f>
        <v>PLACA SOLAR SPR-P3-375-BLK-E4-AC 375W / 35.5V</v>
      </c>
      <c r="G64" s="25" t="str">
        <f>IFERROR(VLOOKUP(E64,'ESTRUCTURA CODIGO'!$H$2:$J$1048576,3,FALSE)," ")</f>
        <v>UND</v>
      </c>
      <c r="H64" s="25" t="str">
        <f>IFERROR(VLOOKUP(E64,'ESTRUCTURA CODIGO'!$H$2:$L$612,4,FALSE)," ")</f>
        <v>SUNPOWER</v>
      </c>
    </row>
    <row r="65" spans="1:8" x14ac:dyDescent="0.3">
      <c r="A65" s="25">
        <v>63</v>
      </c>
      <c r="B65" s="25">
        <v>7</v>
      </c>
      <c r="C65" s="25">
        <v>38</v>
      </c>
      <c r="D65" s="25">
        <v>239</v>
      </c>
      <c r="E65" s="30" t="str">
        <f t="shared" si="1"/>
        <v>7-38-239</v>
      </c>
      <c r="F65" s="13" t="str">
        <f>IFERROR(VLOOKUP(E65,'ESTRUCTURA CODIGO'!$H$2:$J$1048576,2,FALSE)," ")</f>
        <v>PLACA SOLAR JAMS0D42-520LB 520W / 43.53V</v>
      </c>
      <c r="G65" s="25" t="str">
        <f>IFERROR(VLOOKUP(E65,'ESTRUCTURA CODIGO'!$H$2:$J$1048576,3,FALSE)," ")</f>
        <v>UND</v>
      </c>
      <c r="H65" s="25" t="str">
        <f>IFERROR(VLOOKUP(E65,'ESTRUCTURA CODIGO'!$H$2:$L$612,4,FALSE)," ")</f>
        <v>JASOLAR</v>
      </c>
    </row>
    <row r="66" spans="1:8" x14ac:dyDescent="0.3">
      <c r="A66" s="25">
        <v>64</v>
      </c>
      <c r="B66" s="25">
        <v>7</v>
      </c>
      <c r="C66" s="25">
        <v>38</v>
      </c>
      <c r="D66" s="25">
        <v>240</v>
      </c>
      <c r="E66" s="30" t="str">
        <f t="shared" si="1"/>
        <v>7-38-240</v>
      </c>
      <c r="F66" s="13" t="str">
        <f>IFERROR(VLOOKUP(E66,'ESTRUCTURA CODIGO'!$H$2:$J$1048576,2,FALSE)," ")</f>
        <v>PLACA SOLAR JAM72D30-545MB 545W / 49.75V</v>
      </c>
      <c r="G66" s="25" t="str">
        <f>IFERROR(VLOOKUP(E66,'ESTRUCTURA CODIGO'!$H$2:$J$1048576,3,FALSE)," ")</f>
        <v>UND</v>
      </c>
      <c r="H66" s="25" t="str">
        <f>IFERROR(VLOOKUP(E66,'ESTRUCTURA CODIGO'!$H$2:$L$612,4,FALSE)," ")</f>
        <v>JASOLAR</v>
      </c>
    </row>
    <row r="67" spans="1:8" x14ac:dyDescent="0.3">
      <c r="A67" s="25">
        <v>65</v>
      </c>
      <c r="B67" s="25">
        <v>7</v>
      </c>
      <c r="C67" s="25">
        <v>38</v>
      </c>
      <c r="D67" s="25">
        <v>241</v>
      </c>
      <c r="E67" s="30" t="str">
        <f t="shared" ref="E67:E98" si="2">CONCATENATE(B67,"-",C67,"-",D67)</f>
        <v>7-38-241</v>
      </c>
      <c r="F67" s="13" t="str">
        <f>IFERROR(VLOOKUP(E67,'ESTRUCTURA CODIGO'!$H$2:$J$1048576,2,FALSE)," ")</f>
        <v>PLACA SOLAR PS555M6H-24TH 555W / 41.64V</v>
      </c>
      <c r="G67" s="25" t="str">
        <f>IFERROR(VLOOKUP(E67,'ESTRUCTURA CODIGO'!$H$2:$J$1048576,3,FALSE)," ")</f>
        <v>UND</v>
      </c>
      <c r="H67" s="25" t="str">
        <f>IFERROR(VLOOKUP(E67,'ESTRUCTURA CODIGO'!$H$2:$L$612,4,FALSE)," ")</f>
        <v>PHONO</v>
      </c>
    </row>
    <row r="68" spans="1:8" ht="28.8" x14ac:dyDescent="0.3">
      <c r="A68" s="25">
        <v>66</v>
      </c>
      <c r="B68" s="25">
        <v>7</v>
      </c>
      <c r="C68" s="25">
        <v>38</v>
      </c>
      <c r="D68" s="25">
        <v>242</v>
      </c>
      <c r="E68" s="30" t="str">
        <f t="shared" si="2"/>
        <v>7-38-242</v>
      </c>
      <c r="F68" s="13" t="str">
        <f>IFERROR(VLOOKUP(E68,'ESTRUCTURA CODIGO'!$H$2:$J$1048576,2,FALSE)," ")</f>
        <v>PLACA SOLAR CS6W-585T 585W / 52.4V</v>
      </c>
      <c r="G68" s="25" t="str">
        <f>IFERROR(VLOOKUP(E68,'ESTRUCTURA CODIGO'!$H$2:$J$1048576,3,FALSE)," ")</f>
        <v>UND</v>
      </c>
      <c r="H68" s="25" t="str">
        <f>IFERROR(VLOOKUP(E68,'ESTRUCTURA CODIGO'!$H$2:$L$612,4,FALSE)," ")</f>
        <v>CANADIANSOLAR</v>
      </c>
    </row>
    <row r="69" spans="1:8" ht="28.8" x14ac:dyDescent="0.3">
      <c r="A69" s="25">
        <v>67</v>
      </c>
      <c r="B69" s="25">
        <v>7</v>
      </c>
      <c r="C69" s="25">
        <v>38</v>
      </c>
      <c r="D69" s="25">
        <v>243</v>
      </c>
      <c r="E69" s="30" t="str">
        <f t="shared" si="2"/>
        <v>7-38-243</v>
      </c>
      <c r="F69" s="13" t="str">
        <f>IFERROR(VLOOKUP(E69,'ESTRUCTURA CODIGO'!$H$2:$J$1048576,2,FALSE)," ")</f>
        <v>PLACA SOLAR YL550D-49e 1500V 1/2 550W / 42.0V</v>
      </c>
      <c r="G69" s="25" t="str">
        <f>IFERROR(VLOOKUP(E69,'ESTRUCTURA CODIGO'!$H$2:$J$1048576,3,FALSE)," ")</f>
        <v>UND</v>
      </c>
      <c r="H69" s="25" t="str">
        <f>IFERROR(VLOOKUP(E69,'ESTRUCTURA CODIGO'!$H$2:$L$612,4,FALSE)," ")</f>
        <v>YINGLI SOLAR</v>
      </c>
    </row>
    <row r="70" spans="1:8" x14ac:dyDescent="0.3">
      <c r="A70" s="25">
        <v>68</v>
      </c>
      <c r="B70" s="25">
        <v>7</v>
      </c>
      <c r="C70" s="25">
        <v>38</v>
      </c>
      <c r="D70" s="25">
        <v>244</v>
      </c>
      <c r="E70" s="30" t="str">
        <f t="shared" si="2"/>
        <v>7-38-244</v>
      </c>
      <c r="F70" s="13" t="str">
        <f>IFERROR(VLOOKUP(E70,'ESTRUCTURA CODIGO'!$H$2:$J$1048576,2,FALSE)," ")</f>
        <v>PLACA SOLAR SK9612MHVC-550 550W / 42.16V</v>
      </c>
      <c r="G70" s="25" t="str">
        <f>IFERROR(VLOOKUP(E70,'ESTRUCTURA CODIGO'!$H$2:$J$1048576,3,FALSE)," ")</f>
        <v>UND</v>
      </c>
      <c r="H70" s="25" t="str">
        <f>IFERROR(VLOOKUP(E70,'ESTRUCTURA CODIGO'!$H$2:$L$612,4,FALSE)," ")</f>
        <v>AKCOME</v>
      </c>
    </row>
    <row r="71" spans="1:8" x14ac:dyDescent="0.3">
      <c r="A71" s="25">
        <v>69</v>
      </c>
      <c r="B71" s="25">
        <v>7</v>
      </c>
      <c r="C71" s="25">
        <v>38</v>
      </c>
      <c r="D71" s="25">
        <v>245</v>
      </c>
      <c r="E71" s="30" t="str">
        <f t="shared" si="2"/>
        <v>7-38-245</v>
      </c>
      <c r="F71" s="13" t="str">
        <f>IFERROR(VLOOKUP(E71,'ESTRUCTURA CODIGO'!$H$2:$J$1048576,2,FALSE)," ")</f>
        <v>PLACA SOLAR JAM72D40-590MB 590W / 52.37V</v>
      </c>
      <c r="G71" s="25" t="str">
        <f>IFERROR(VLOOKUP(E71,'ESTRUCTURA CODIGO'!$H$2:$J$1048576,3,FALSE)," ")</f>
        <v>UND</v>
      </c>
      <c r="H71" s="25" t="str">
        <f>IFERROR(VLOOKUP(E71,'ESTRUCTURA CODIGO'!$H$2:$L$612,4,FALSE)," ")</f>
        <v>JASOLAR</v>
      </c>
    </row>
    <row r="72" spans="1:8" x14ac:dyDescent="0.3">
      <c r="A72" s="25">
        <v>70</v>
      </c>
      <c r="B72" s="25">
        <v>7</v>
      </c>
      <c r="C72" s="25">
        <v>38</v>
      </c>
      <c r="D72" s="25">
        <v>246</v>
      </c>
      <c r="E72" s="30" t="str">
        <f t="shared" si="2"/>
        <v>7-38-246</v>
      </c>
      <c r="F72" s="13" t="str">
        <f>IFERROR(VLOOKUP(E72,'ESTRUCTURA CODIGO'!$H$2:$J$1048576,2,FALSE)," ")</f>
        <v>PLACA SOLAR TSM-505DE18M.08(II) 505W / 43.0V</v>
      </c>
      <c r="G72" s="25" t="str">
        <f>IFERROR(VLOOKUP(E72,'ESTRUCTURA CODIGO'!$H$2:$J$1048576,3,FALSE)," ")</f>
        <v>UND</v>
      </c>
      <c r="H72" s="25" t="str">
        <f>IFERROR(VLOOKUP(E72,'ESTRUCTURA CODIGO'!$H$2:$L$612,4,FALSE)," ")</f>
        <v>TRINASOLAR</v>
      </c>
    </row>
    <row r="73" spans="1:8" x14ac:dyDescent="0.3">
      <c r="A73" s="25">
        <v>71</v>
      </c>
      <c r="B73" s="25">
        <v>7</v>
      </c>
      <c r="C73" s="25">
        <v>38</v>
      </c>
      <c r="D73" s="25">
        <v>247</v>
      </c>
      <c r="E73" s="30" t="str">
        <f t="shared" si="2"/>
        <v>7-38-247</v>
      </c>
      <c r="F73" s="13" t="str">
        <f>IFERROR(VLOOKUP(E73,'ESTRUCTURA CODIGO'!$H$2:$J$1048576,2,FALSE)," ")</f>
        <v>PLACA SOLAR JAM60D42-535LB 535W / 44.13V</v>
      </c>
      <c r="G73" s="25" t="str">
        <f>IFERROR(VLOOKUP(E73,'ESTRUCTURA CODIGO'!$H$2:$J$1048576,3,FALSE)," ")</f>
        <v>UND</v>
      </c>
      <c r="H73" s="25" t="str">
        <f>IFERROR(VLOOKUP(E73,'ESTRUCTURA CODIGO'!$H$2:$L$612,4,FALSE)," ")</f>
        <v>JASOLAR</v>
      </c>
    </row>
    <row r="74" spans="1:8" x14ac:dyDescent="0.3">
      <c r="A74" s="25">
        <v>72</v>
      </c>
      <c r="B74" s="25">
        <v>7</v>
      </c>
      <c r="C74" s="25">
        <v>38</v>
      </c>
      <c r="D74" s="25">
        <v>248</v>
      </c>
      <c r="E74" s="30" t="str">
        <f t="shared" si="2"/>
        <v>7-38-248</v>
      </c>
      <c r="F74" s="13" t="str">
        <f>IFERROR(VLOOKUP(E74,'ESTRUCTURA CODIGO'!$H$2:$J$1048576,2,FALSE)," ")</f>
        <v>PLACA SOLAR TSM-505NEG 18R.28 505W / 33.5V</v>
      </c>
      <c r="G74" s="25" t="str">
        <f>IFERROR(VLOOKUP(E74,'ESTRUCTURA CODIGO'!$H$2:$J$1048576,3,FALSE)," ")</f>
        <v>UND</v>
      </c>
      <c r="H74" s="25" t="str">
        <f>IFERROR(VLOOKUP(E74,'ESTRUCTURA CODIGO'!$H$2:$L$612,4,FALSE)," ")</f>
        <v>TRINASOLAR</v>
      </c>
    </row>
    <row r="75" spans="1:8" x14ac:dyDescent="0.3">
      <c r="A75" s="25">
        <v>73</v>
      </c>
      <c r="B75" s="25">
        <v>7</v>
      </c>
      <c r="C75" s="25">
        <v>38</v>
      </c>
      <c r="D75" s="25">
        <v>249</v>
      </c>
      <c r="E75" s="30" t="str">
        <f t="shared" si="2"/>
        <v>7-38-249</v>
      </c>
      <c r="F75" s="13" t="str">
        <f>IFERROR(VLOOKUP(E75,'ESTRUCTURA CODIGO'!$H$2:$J$1048576,2,FALSE)," ")</f>
        <v>PLACA SOLAR JAM72S30-570LR 570W / 50.68V</v>
      </c>
      <c r="G75" s="25" t="str">
        <f>IFERROR(VLOOKUP(E75,'ESTRUCTURA CODIGO'!$H$2:$J$1048576,3,FALSE)," ")</f>
        <v>UND</v>
      </c>
      <c r="H75" s="25" t="str">
        <f>IFERROR(VLOOKUP(E75,'ESTRUCTURA CODIGO'!$H$2:$L$612,4,FALSE)," ")</f>
        <v>JASOLAR</v>
      </c>
    </row>
    <row r="76" spans="1:8" x14ac:dyDescent="0.3">
      <c r="A76" s="25">
        <v>74</v>
      </c>
      <c r="B76" s="25">
        <v>4</v>
      </c>
      <c r="C76" s="25">
        <v>39</v>
      </c>
      <c r="D76" s="25">
        <v>250</v>
      </c>
      <c r="E76" s="30" t="str">
        <f t="shared" si="2"/>
        <v>4-39-250</v>
      </c>
      <c r="F76" s="13" t="str">
        <f>IFERROR(VLOOKUP(E76,'ESTRUCTURA CODIGO'!$H$2:$J$1048576,2,FALSE)," ")</f>
        <v>CASQUILLO ESPACIADOR GALV M8X25</v>
      </c>
      <c r="G76" s="25" t="str">
        <f>IFERROR(VLOOKUP(E76,'ESTRUCTURA CODIGO'!$H$2:$J$1048576,3,FALSE)," ")</f>
        <v>UND</v>
      </c>
      <c r="H76" s="25" t="str">
        <f>IFERROR(VLOOKUP(E76,'ESTRUCTURA CODIGO'!$H$2:$L$612,4,FALSE)," ")</f>
        <v>RECA</v>
      </c>
    </row>
    <row r="77" spans="1:8" x14ac:dyDescent="0.3">
      <c r="A77" s="25">
        <v>75</v>
      </c>
      <c r="B77" s="25">
        <v>4</v>
      </c>
      <c r="C77" s="25">
        <v>40</v>
      </c>
      <c r="D77" s="25">
        <v>251</v>
      </c>
      <c r="E77" s="30" t="str">
        <f t="shared" si="2"/>
        <v>4-40-251</v>
      </c>
      <c r="F77" s="13" t="str">
        <f>IFERROR(VLOOKUP(E77,'ESTRUCTURA CODIGO'!$H$2:$J$1048576,2,FALSE)," ")</f>
        <v>TORNILLO ESPARRAGO GALV TX25 M8X80</v>
      </c>
      <c r="G77" s="25" t="str">
        <f>IFERROR(VLOOKUP(E77,'ESTRUCTURA CODIGO'!$H$2:$J$1048576,3,FALSE)," ")</f>
        <v>UND</v>
      </c>
      <c r="H77" s="25" t="str">
        <f>IFERROR(VLOOKUP(E77,'ESTRUCTURA CODIGO'!$H$2:$L$612,4,FALSE)," ")</f>
        <v>RECA</v>
      </c>
    </row>
    <row r="78" spans="1:8" x14ac:dyDescent="0.3">
      <c r="A78" s="25">
        <v>76</v>
      </c>
      <c r="B78" s="25">
        <v>13</v>
      </c>
      <c r="C78" s="25">
        <v>25</v>
      </c>
      <c r="D78" s="25">
        <v>252</v>
      </c>
      <c r="E78" s="30" t="str">
        <f t="shared" si="2"/>
        <v>13-25-252</v>
      </c>
      <c r="F78" s="13" t="str">
        <f>IFERROR(VLOOKUP(E78,'ESTRUCTURA CODIGO'!$H$2:$J$1048576,2,FALSE)," ")</f>
        <v>ANCLAJE PLASTICO MULTIUSO NYLON 2ALAS 14X100</v>
      </c>
      <c r="G78" s="25" t="str">
        <f>IFERROR(VLOOKUP(E78,'ESTRUCTURA CODIGO'!$H$2:$J$1048576,3,FALSE)," ")</f>
        <v>UND</v>
      </c>
      <c r="H78" s="25" t="str">
        <f>IFERROR(VLOOKUP(E78,'ESTRUCTURA CODIGO'!$H$2:$L$612,4,FALSE)," ")</f>
        <v>RECA</v>
      </c>
    </row>
    <row r="79" spans="1:8" x14ac:dyDescent="0.3">
      <c r="A79" s="25">
        <v>77</v>
      </c>
      <c r="B79" s="25">
        <v>13</v>
      </c>
      <c r="C79" s="25">
        <v>25</v>
      </c>
      <c r="D79" s="25">
        <v>253</v>
      </c>
      <c r="E79" s="30" t="str">
        <f t="shared" si="2"/>
        <v>13-25-253</v>
      </c>
      <c r="F79" s="13" t="str">
        <f>IFERROR(VLOOKUP(E79,'ESTRUCTURA CODIGO'!$H$2:$J$1048576,2,FALSE)," ")</f>
        <v>ANCLAJE PLASTICO MULTIUSO C/COLLARIN 6X36MM</v>
      </c>
      <c r="G79" s="25" t="str">
        <f>IFERROR(VLOOKUP(E79,'ESTRUCTURA CODIGO'!$H$2:$J$1048576,3,FALSE)," ")</f>
        <v>UND</v>
      </c>
      <c r="H79" s="25" t="str">
        <f>IFERROR(VLOOKUP(E79,'ESTRUCTURA CODIGO'!$H$2:$L$612,4,FALSE)," ")</f>
        <v>RECA</v>
      </c>
    </row>
    <row r="80" spans="1:8" x14ac:dyDescent="0.3">
      <c r="A80" s="25">
        <v>78</v>
      </c>
      <c r="B80" s="25">
        <v>13</v>
      </c>
      <c r="C80" s="25">
        <v>25</v>
      </c>
      <c r="D80" s="25">
        <v>254</v>
      </c>
      <c r="E80" s="30" t="str">
        <f t="shared" si="2"/>
        <v>13-25-254</v>
      </c>
      <c r="F80" s="13" t="str">
        <f>IFERROR(VLOOKUP(E80,'ESTRUCTURA CODIGO'!$H$2:$J$1048576,2,FALSE)," ")</f>
        <v>ANCLAJE PLASTICO MULTIUSO C/COLLARIN 8X51MM</v>
      </c>
      <c r="G80" s="25" t="str">
        <f>IFERROR(VLOOKUP(E80,'ESTRUCTURA CODIGO'!$H$2:$J$1048576,3,FALSE)," ")</f>
        <v>UND</v>
      </c>
      <c r="H80" s="25" t="str">
        <f>IFERROR(VLOOKUP(E80,'ESTRUCTURA CODIGO'!$H$2:$L$612,4,FALSE)," ")</f>
        <v>RECA</v>
      </c>
    </row>
    <row r="81" spans="1:8" x14ac:dyDescent="0.3">
      <c r="A81" s="25">
        <v>79</v>
      </c>
      <c r="B81" s="25">
        <v>13</v>
      </c>
      <c r="C81" s="25">
        <v>25</v>
      </c>
      <c r="D81" s="25">
        <v>255</v>
      </c>
      <c r="E81" s="30" t="str">
        <f t="shared" si="2"/>
        <v>13-25-255</v>
      </c>
      <c r="F81" s="13" t="str">
        <f>IFERROR(VLOOKUP(E81,'ESTRUCTURA CODIGO'!$H$2:$J$1048576,2,FALSE)," ")</f>
        <v>ANCLAJE PLASTICO MULTIUSO C/COLLARIN 10X61MM</v>
      </c>
      <c r="G81" s="25" t="str">
        <f>IFERROR(VLOOKUP(E81,'ESTRUCTURA CODIGO'!$H$2:$J$1048576,3,FALSE)," ")</f>
        <v>UND</v>
      </c>
      <c r="H81" s="25" t="str">
        <f>IFERROR(VLOOKUP(E81,'ESTRUCTURA CODIGO'!$H$2:$L$612,4,FALSE)," ")</f>
        <v>RECA</v>
      </c>
    </row>
    <row r="82" spans="1:8" x14ac:dyDescent="0.3">
      <c r="A82" s="25">
        <v>80</v>
      </c>
      <c r="B82" s="25">
        <v>13</v>
      </c>
      <c r="C82" s="25">
        <v>25</v>
      </c>
      <c r="D82" s="25">
        <v>256</v>
      </c>
      <c r="E82" s="30" t="str">
        <f t="shared" si="2"/>
        <v>13-25-256</v>
      </c>
      <c r="F82" s="13" t="str">
        <f>IFERROR(VLOOKUP(E82,'ESTRUCTURA CODIGO'!$H$2:$J$1048576,2,FALSE)," ")</f>
        <v>ANCLAJE PLASTICO MULTIUSO C/COLLARIN 12X71MM</v>
      </c>
      <c r="G82" s="25" t="str">
        <f>IFERROR(VLOOKUP(E82,'ESTRUCTURA CODIGO'!$H$2:$J$1048576,3,FALSE)," ")</f>
        <v>UND</v>
      </c>
      <c r="H82" s="25" t="str">
        <f>IFERROR(VLOOKUP(E82,'ESTRUCTURA CODIGO'!$H$2:$L$612,4,FALSE)," ")</f>
        <v>RECA</v>
      </c>
    </row>
    <row r="83" spans="1:8" x14ac:dyDescent="0.3">
      <c r="A83" s="25">
        <v>81</v>
      </c>
      <c r="B83" s="25">
        <v>8</v>
      </c>
      <c r="C83" s="25">
        <v>28</v>
      </c>
      <c r="D83" s="25">
        <v>257</v>
      </c>
      <c r="E83" s="30" t="str">
        <f t="shared" si="2"/>
        <v>8-28-257</v>
      </c>
      <c r="F83" s="13" t="str">
        <f>IFERROR(VLOOKUP(E83,'ESTRUCTURA CODIGO'!$H$2:$J$1048576,2,FALSE)," ")</f>
        <v>ARANDELA A/GALVANIZADO P/CARROCERIA 8.4X30X1.5</v>
      </c>
      <c r="G83" s="25" t="str">
        <f>IFERROR(VLOOKUP(E83,'ESTRUCTURA CODIGO'!$H$2:$J$1048576,3,FALSE)," ")</f>
        <v>UND</v>
      </c>
      <c r="H83" s="25" t="str">
        <f>IFERROR(VLOOKUP(E83,'ESTRUCTURA CODIGO'!$H$2:$L$612,4,FALSE)," ")</f>
        <v>RECA</v>
      </c>
    </row>
    <row r="84" spans="1:8" x14ac:dyDescent="0.3">
      <c r="A84" s="25">
        <v>82</v>
      </c>
      <c r="B84" s="25">
        <v>8</v>
      </c>
      <c r="C84" s="25">
        <v>28</v>
      </c>
      <c r="D84" s="25">
        <v>258</v>
      </c>
      <c r="E84" s="30" t="str">
        <f t="shared" si="2"/>
        <v>8-28-258</v>
      </c>
      <c r="F84" s="13" t="str">
        <f>IFERROR(VLOOKUP(E84,'ESTRUCTURA CODIGO'!$H$2:$J$1048576,2,FALSE)," ")</f>
        <v>ARANDELA A/GALVANIZADO P/CARROCERIA 8.4X25X1.25</v>
      </c>
      <c r="G84" s="25" t="str">
        <f>IFERROR(VLOOKUP(E84,'ESTRUCTURA CODIGO'!$H$2:$J$1048576,3,FALSE)," ")</f>
        <v>UND</v>
      </c>
      <c r="H84" s="25" t="str">
        <f>IFERROR(VLOOKUP(E84,'ESTRUCTURA CODIGO'!$H$2:$L$612,4,FALSE)," ")</f>
        <v>RECA</v>
      </c>
    </row>
    <row r="85" spans="1:8" ht="28.8" x14ac:dyDescent="0.3">
      <c r="A85" s="25">
        <v>83</v>
      </c>
      <c r="B85" s="25">
        <v>8</v>
      </c>
      <c r="C85" s="25">
        <v>13</v>
      </c>
      <c r="D85" s="25">
        <v>259</v>
      </c>
      <c r="E85" s="30" t="str">
        <f t="shared" si="2"/>
        <v>8-13-259</v>
      </c>
      <c r="F85" s="13" t="str">
        <f>IFERROR(VLOOKUP(E85,'ESTRUCTURA CODIGO'!$H$2:$J$1048576,2,FALSE)," ")</f>
        <v>KIT TORNILLO TIPO T 18X30mm CON ARANDELA Y T/HEXAGONAL M8X25MM A/GALV</v>
      </c>
      <c r="G85" s="25" t="str">
        <f>IFERROR(VLOOKUP(E85,'ESTRUCTURA CODIGO'!$H$2:$J$1048576,3,FALSE)," ")</f>
        <v>UND</v>
      </c>
      <c r="H85" s="25" t="str">
        <f>IFERROR(VLOOKUP(E85,'ESTRUCTURA CODIGO'!$H$2:$L$612,4,FALSE)," ")</f>
        <v>RECA</v>
      </c>
    </row>
    <row r="86" spans="1:8" ht="28.8" x14ac:dyDescent="0.3">
      <c r="A86" s="25">
        <v>84</v>
      </c>
      <c r="B86" s="25">
        <v>1</v>
      </c>
      <c r="C86" s="25">
        <v>13</v>
      </c>
      <c r="D86" s="25">
        <v>260</v>
      </c>
      <c r="E86" s="30" t="str">
        <f t="shared" si="2"/>
        <v>1-13-260</v>
      </c>
      <c r="F86" s="13" t="str">
        <f>IFERROR(VLOOKUP(E86,'ESTRUCTURA CODIGO'!$H$2:$J$1048576,2,FALSE)," ")</f>
        <v>KIT TORNILLO TIPO T 10X23mm CON ARANDELA DE PRESION, ARANDELA LISA Y T/HEXAGONAL M8X20MM A/INOX</v>
      </c>
      <c r="G86" s="25" t="str">
        <f>IFERROR(VLOOKUP(E86,'ESTRUCTURA CODIGO'!$H$2:$J$1048576,3,FALSE)," ")</f>
        <v>UND</v>
      </c>
      <c r="H86" s="25" t="str">
        <f>IFERROR(VLOOKUP(E86,'ESTRUCTURA CODIGO'!$H$2:$L$612,4,FALSE)," ")</f>
        <v>RECA</v>
      </c>
    </row>
    <row r="87" spans="1:8" x14ac:dyDescent="0.3">
      <c r="A87" s="25">
        <v>85</v>
      </c>
      <c r="B87" s="25">
        <v>1</v>
      </c>
      <c r="C87" s="25">
        <v>28</v>
      </c>
      <c r="D87" s="25">
        <v>261</v>
      </c>
      <c r="E87" s="30" t="str">
        <f t="shared" si="2"/>
        <v>1-28-261</v>
      </c>
      <c r="F87" s="13" t="str">
        <f>IFERROR(VLOOKUP(E87,'ESTRUCTURA CODIGO'!$H$2:$J$1048576,2,FALSE)," ")</f>
        <v>ARANDELA DE PRESION A/INOX PARA TORN. M8</v>
      </c>
      <c r="G87" s="25" t="str">
        <f>IFERROR(VLOOKUP(E87,'ESTRUCTURA CODIGO'!$H$2:$J$1048576,3,FALSE)," ")</f>
        <v>UND</v>
      </c>
      <c r="H87" s="25" t="str">
        <f>IFERROR(VLOOKUP(E87,'ESTRUCTURA CODIGO'!$H$2:$L$612,4,FALSE)," ")</f>
        <v>RECA</v>
      </c>
    </row>
    <row r="88" spans="1:8" ht="28.8" x14ac:dyDescent="0.3">
      <c r="A88" s="25">
        <v>86</v>
      </c>
      <c r="B88" s="25">
        <v>8</v>
      </c>
      <c r="C88" s="25">
        <v>13</v>
      </c>
      <c r="D88" s="25">
        <v>262</v>
      </c>
      <c r="E88" s="30" t="str">
        <f t="shared" si="2"/>
        <v>8-13-262</v>
      </c>
      <c r="F88" s="13" t="str">
        <f>IFERROR(VLOOKUP(E88,'ESTRUCTURA CODIGO'!$H$2:$J$1048576,2,FALSE)," ")</f>
        <v>KIT TORNILLO TIPO T 18X30mm CON ARANDELA Y T/HEXAGONAL M8X35MM A/GALV</v>
      </c>
      <c r="G88" s="25" t="str">
        <f>IFERROR(VLOOKUP(E88,'ESTRUCTURA CODIGO'!$H$2:$J$1048576,3,FALSE)," ")</f>
        <v>UND</v>
      </c>
      <c r="H88" s="25" t="str">
        <f>IFERROR(VLOOKUP(E88,'ESTRUCTURA CODIGO'!$H$2:$L$612,4,FALSE)," ")</f>
        <v>RECA</v>
      </c>
    </row>
    <row r="89" spans="1:8" x14ac:dyDescent="0.3">
      <c r="A89" s="25">
        <v>87</v>
      </c>
      <c r="B89" s="25">
        <v>1</v>
      </c>
      <c r="C89" s="25">
        <v>28</v>
      </c>
      <c r="D89" s="25">
        <v>263</v>
      </c>
      <c r="E89" s="30" t="str">
        <f t="shared" si="2"/>
        <v>1-28-263</v>
      </c>
      <c r="F89" s="13" t="str">
        <f>IFERROR(VLOOKUP(E89,'ESTRUCTURA CODIGO'!$H$2:$J$1048576,2,FALSE)," ")</f>
        <v>ARANDELA A/INOX 9X1.5 PARA TORN. M8</v>
      </c>
      <c r="G89" s="25" t="str">
        <f>IFERROR(VLOOKUP(E89,'ESTRUCTURA CODIGO'!$H$2:$J$1048576,3,FALSE)," ")</f>
        <v>UND</v>
      </c>
      <c r="H89" s="25" t="str">
        <f>IFERROR(VLOOKUP(E89,'ESTRUCTURA CODIGO'!$H$2:$L$612,4,FALSE)," ")</f>
        <v>RECA</v>
      </c>
    </row>
    <row r="90" spans="1:8" x14ac:dyDescent="0.3">
      <c r="A90" s="25">
        <v>88</v>
      </c>
      <c r="B90" s="25">
        <v>1</v>
      </c>
      <c r="C90" s="25">
        <v>28</v>
      </c>
      <c r="D90" s="25">
        <v>264</v>
      </c>
      <c r="E90" s="30" t="str">
        <f t="shared" si="2"/>
        <v>1-28-264</v>
      </c>
      <c r="F90" s="13" t="str">
        <f>IFERROR(VLOOKUP(E90,'ESTRUCTURA CODIGO'!$H$2:$J$1048576,2,FALSE)," ")</f>
        <v>ARANDELA A/INOX 11X20mm PARA TORN. M8/M10</v>
      </c>
      <c r="G90" s="25" t="str">
        <f>IFERROR(VLOOKUP(E90,'ESTRUCTURA CODIGO'!$H$2:$J$1048576,3,FALSE)," ")</f>
        <v>UND</v>
      </c>
      <c r="H90" s="25" t="str">
        <f>IFERROR(VLOOKUP(E90,'ESTRUCTURA CODIGO'!$H$2:$L$612,4,FALSE)," ")</f>
        <v>RECA</v>
      </c>
    </row>
    <row r="91" spans="1:8" x14ac:dyDescent="0.3">
      <c r="A91" s="25">
        <v>89</v>
      </c>
      <c r="B91" s="25">
        <v>8</v>
      </c>
      <c r="C91" s="25">
        <v>41</v>
      </c>
      <c r="D91" s="25">
        <v>265</v>
      </c>
      <c r="E91" s="30" t="str">
        <f t="shared" si="2"/>
        <v>8-41-265</v>
      </c>
      <c r="F91" s="13" t="str">
        <f>IFERROR(VLOOKUP(E91,'ESTRUCTURA CODIGO'!$H$2:$J$1048576,2,FALSE)," ")</f>
        <v>TUERCA HEXAGONAL CLASE RESISTENCIA DIN 934 M8 A/GALV.</v>
      </c>
      <c r="G91" s="25" t="str">
        <f>IFERROR(VLOOKUP(E91,'ESTRUCTURA CODIGO'!$H$2:$J$1048576,3,FALSE)," ")</f>
        <v>UND</v>
      </c>
      <c r="H91" s="25" t="str">
        <f>IFERROR(VLOOKUP(E91,'ESTRUCTURA CODIGO'!$H$2:$L$612,4,FALSE)," ")</f>
        <v>RECA</v>
      </c>
    </row>
    <row r="92" spans="1:8" x14ac:dyDescent="0.3">
      <c r="A92" s="25">
        <v>90</v>
      </c>
      <c r="B92" s="25">
        <v>4</v>
      </c>
      <c r="C92" s="25">
        <v>40</v>
      </c>
      <c r="D92" s="25">
        <v>266</v>
      </c>
      <c r="E92" s="30" t="str">
        <f t="shared" si="2"/>
        <v>4-40-266</v>
      </c>
      <c r="F92" s="13" t="str">
        <f>IFERROR(VLOOKUP(E92,'ESTRUCTURA CODIGO'!$H$2:$J$1048576,2,FALSE)," ")</f>
        <v>TORNILLO ESPARRAGO GALV TX25 M8X120</v>
      </c>
      <c r="G92" s="25" t="str">
        <f>IFERROR(VLOOKUP(E92,'ESTRUCTURA CODIGO'!$H$2:$J$1048576,3,FALSE)," ")</f>
        <v>UND</v>
      </c>
      <c r="H92" s="25" t="str">
        <f>IFERROR(VLOOKUP(E92,'ESTRUCTURA CODIGO'!$H$2:$L$612,4,FALSE)," ")</f>
        <v>RECA</v>
      </c>
    </row>
    <row r="93" spans="1:8" x14ac:dyDescent="0.3">
      <c r="A93" s="25">
        <v>91</v>
      </c>
      <c r="B93" s="25">
        <v>4</v>
      </c>
      <c r="C93" s="25">
        <v>15</v>
      </c>
      <c r="D93" s="25">
        <v>267</v>
      </c>
      <c r="E93" s="30" t="str">
        <f t="shared" si="2"/>
        <v>4-15-267</v>
      </c>
      <c r="F93" s="13" t="str">
        <f>IFERROR(VLOOKUP(E93,'ESTRUCTURA CODIGO'!$H$2:$J$1048576,2,FALSE)," ")</f>
        <v>BARRA PERFORADA PARA REFUERZO 20X10X2MT GALV.</v>
      </c>
      <c r="G93" s="25" t="str">
        <f>IFERROR(VLOOKUP(E93,'ESTRUCTURA CODIGO'!$H$2:$J$1048576,3,FALSE)," ")</f>
        <v>UND</v>
      </c>
      <c r="H93" s="25" t="str">
        <f>IFERROR(VLOOKUP(E93,'ESTRUCTURA CODIGO'!$H$2:$L$612,4,FALSE)," ")</f>
        <v>PROINCO</v>
      </c>
    </row>
    <row r="94" spans="1:8" ht="28.8" x14ac:dyDescent="0.3">
      <c r="A94" s="25">
        <v>92</v>
      </c>
      <c r="B94" s="25">
        <v>10</v>
      </c>
      <c r="C94" s="25">
        <v>42</v>
      </c>
      <c r="D94" s="25">
        <v>268</v>
      </c>
      <c r="E94" s="30" t="str">
        <f t="shared" si="2"/>
        <v>10-42-268</v>
      </c>
      <c r="F94" s="13" t="str">
        <f>IFERROR(VLOOKUP(E94,'ESTRUCTURA CODIGO'!$H$2:$J$1048576,2,FALSE)," ")</f>
        <v>PATA ALUMINIO PARA ESTRUCTURA PLACA SOLAR ANGULO 30º</v>
      </c>
      <c r="G94" s="25" t="str">
        <f>IFERROR(VLOOKUP(E94,'ESTRUCTURA CODIGO'!$H$2:$J$1048576,3,FALSE)," ")</f>
        <v>UND</v>
      </c>
      <c r="H94" s="25" t="str">
        <f>IFERROR(VLOOKUP(E94,'ESTRUCTURA CODIGO'!$H$2:$L$612,4,FALSE)," ")</f>
        <v>ESTRUSUR SOLAR</v>
      </c>
    </row>
    <row r="95" spans="1:8" ht="28.8" x14ac:dyDescent="0.3">
      <c r="A95" s="25">
        <v>93</v>
      </c>
      <c r="B95" s="25">
        <v>10</v>
      </c>
      <c r="C95" s="25">
        <v>15</v>
      </c>
      <c r="D95" s="25">
        <v>269</v>
      </c>
      <c r="E95" s="30" t="str">
        <f t="shared" si="2"/>
        <v>10-15-269</v>
      </c>
      <c r="F95" s="13" t="str">
        <f>IFERROR(VLOOKUP(E95,'ESTRUCTURA CODIGO'!$H$2:$J$1048576,2,FALSE)," ")</f>
        <v xml:space="preserve">BARRA ALUMINIO PARA ESTRUCTURA </v>
      </c>
      <c r="G95" s="25" t="str">
        <f>IFERROR(VLOOKUP(E95,'ESTRUCTURA CODIGO'!$H$2:$J$1048576,3,FALSE)," ")</f>
        <v>UND</v>
      </c>
      <c r="H95" s="25" t="str">
        <f>IFERROR(VLOOKUP(E95,'ESTRUCTURA CODIGO'!$H$2:$L$612,4,FALSE)," ")</f>
        <v>ESTRUSUR SOLAR</v>
      </c>
    </row>
    <row r="96" spans="1:8" ht="28.8" x14ac:dyDescent="0.3">
      <c r="A96" s="25">
        <v>94</v>
      </c>
      <c r="B96" s="25">
        <v>10</v>
      </c>
      <c r="C96" s="25">
        <v>43</v>
      </c>
      <c r="D96" s="25">
        <v>270</v>
      </c>
      <c r="E96" s="30" t="str">
        <f t="shared" si="2"/>
        <v>10-43-270</v>
      </c>
      <c r="F96" s="13" t="str">
        <f>IFERROR(VLOOKUP(E96,'ESTRUCTURA CODIGO'!$H$2:$J$1048576,2,FALSE)," ")</f>
        <v>EMPALME ALUMINIO P/BARRA</v>
      </c>
      <c r="G96" s="25" t="str">
        <f>IFERROR(VLOOKUP(E96,'ESTRUCTURA CODIGO'!$H$2:$J$1048576,3,FALSE)," ")</f>
        <v>UND</v>
      </c>
      <c r="H96" s="25" t="str">
        <f>IFERROR(VLOOKUP(E96,'ESTRUCTURA CODIGO'!$H$2:$L$612,4,FALSE)," ")</f>
        <v>ESTRUSUR SOLAR</v>
      </c>
    </row>
    <row r="97" spans="1:8" x14ac:dyDescent="0.3">
      <c r="A97" s="25">
        <v>95</v>
      </c>
      <c r="B97" s="25">
        <v>17</v>
      </c>
      <c r="C97" s="25">
        <v>44</v>
      </c>
      <c r="D97" s="25">
        <v>271</v>
      </c>
      <c r="E97" s="30" t="str">
        <f t="shared" si="2"/>
        <v>17-44-271</v>
      </c>
      <c r="F97" s="13" t="str">
        <f>IFERROR(VLOOKUP(E97,'ESTRUCTURA CODIGO'!$H$2:$J$1048576,2,FALSE)," ")</f>
        <v>SELLANTE QUIMICO BLANCO</v>
      </c>
      <c r="G97" s="25" t="str">
        <f>IFERROR(VLOOKUP(E97,'ESTRUCTURA CODIGO'!$H$2:$J$1048576,3,FALSE)," ")</f>
        <v>UND</v>
      </c>
      <c r="H97" s="25" t="str">
        <f>IFERROR(VLOOKUP(E97,'ESTRUCTURA CODIGO'!$H$2:$L$612,4,FALSE)," ")</f>
        <v>RECA</v>
      </c>
    </row>
    <row r="98" spans="1:8" x14ac:dyDescent="0.3">
      <c r="A98" s="25">
        <v>96</v>
      </c>
      <c r="B98" s="25">
        <v>17</v>
      </c>
      <c r="C98" s="25">
        <v>44</v>
      </c>
      <c r="D98" s="25">
        <v>272</v>
      </c>
      <c r="E98" s="30" t="str">
        <f t="shared" si="2"/>
        <v>17-44-272</v>
      </c>
      <c r="F98" s="13" t="str">
        <f>IFERROR(VLOOKUP(E98,'ESTRUCTURA CODIGO'!$H$2:$J$1048576,2,FALSE)," ")</f>
        <v>SELLANTE QUIMICO GRIS</v>
      </c>
      <c r="G98" s="25" t="str">
        <f>IFERROR(VLOOKUP(E98,'ESTRUCTURA CODIGO'!$H$2:$J$1048576,3,FALSE)," ")</f>
        <v>UND</v>
      </c>
      <c r="H98" s="25" t="str">
        <f>IFERROR(VLOOKUP(E98,'ESTRUCTURA CODIGO'!$H$2:$L$612,4,FALSE)," ")</f>
        <v>RECA</v>
      </c>
    </row>
    <row r="99" spans="1:8" x14ac:dyDescent="0.3">
      <c r="A99" s="25">
        <v>97</v>
      </c>
      <c r="B99" s="25">
        <v>17</v>
      </c>
      <c r="C99" s="25">
        <v>44</v>
      </c>
      <c r="D99" s="25">
        <v>273</v>
      </c>
      <c r="E99" s="30" t="str">
        <f t="shared" ref="E99:E113" si="3">CONCATENATE(B99,"-",C99,"-",D99)</f>
        <v>17-44-273</v>
      </c>
      <c r="F99" s="13" t="str">
        <f>IFERROR(VLOOKUP(E99,'ESTRUCTURA CODIGO'!$H$2:$J$1048576,2,FALSE)," ")</f>
        <v>SELLANTE QUIMICO TACO</v>
      </c>
      <c r="G99" s="25" t="str">
        <f>IFERROR(VLOOKUP(E99,'ESTRUCTURA CODIGO'!$H$2:$J$1048576,3,FALSE)," ")</f>
        <v>UND</v>
      </c>
      <c r="H99" s="25" t="str">
        <f>IFERROR(VLOOKUP(E99,'ESTRUCTURA CODIGO'!$H$2:$L$612,4,FALSE)," ")</f>
        <v>RECA</v>
      </c>
    </row>
    <row r="100" spans="1:8" ht="28.8" x14ac:dyDescent="0.3">
      <c r="A100" s="25">
        <v>98</v>
      </c>
      <c r="B100" s="25">
        <v>7</v>
      </c>
      <c r="C100" s="25">
        <v>35</v>
      </c>
      <c r="D100" s="25">
        <v>274</v>
      </c>
      <c r="E100" s="30" t="str">
        <f t="shared" si="3"/>
        <v>7-35-274</v>
      </c>
      <c r="F100" s="13" t="str">
        <f>IFERROR(VLOOKUP(E100,'ESTRUCTURA CODIGO'!$H$2:$J$1048576,2,FALSE)," ")</f>
        <v>INVERSOR HIBRIDO MONOFASICO SPE 10000ES 10KW BATER. BAJO VOLTAJE Y BACKUP INCORP. (GROWATT)</v>
      </c>
      <c r="G100" s="25" t="s">
        <v>10</v>
      </c>
      <c r="H100" s="25" t="str">
        <f>IFERROR(VLOOKUP(E100,'ESTRUCTURA CODIGO'!$H$2:$L$612,4,FALSE)," ")</f>
        <v>COTO</v>
      </c>
    </row>
    <row r="101" spans="1:8" ht="28.8" x14ac:dyDescent="0.3">
      <c r="A101" s="25">
        <v>99</v>
      </c>
      <c r="B101" s="25">
        <v>16</v>
      </c>
      <c r="C101" s="25">
        <v>45</v>
      </c>
      <c r="D101" s="25">
        <v>275</v>
      </c>
      <c r="E101" s="30" t="str">
        <f t="shared" si="3"/>
        <v>16-45-275</v>
      </c>
      <c r="F101" s="13" t="str">
        <f>IFERROR(VLOOKUP(E101,'ESTRUCTURA CODIGO'!$H$2:$J$1048576,2,FALSE)," ")</f>
        <v>CAJA DISTRIBUCION INTERIOR 18 ELEM. (SOLERA)</v>
      </c>
      <c r="G101" s="25" t="str">
        <f>IFERROR(VLOOKUP(E101,'ESTRUCTURA CODIGO'!$H$2:$J$1048576,3,FALSE)," ")</f>
        <v>UND</v>
      </c>
      <c r="H101" s="25" t="str">
        <f>IFERROR(VLOOKUP(E101,'ESTRUCTURA CODIGO'!$H$2:$L$612,4,FALSE)," ")</f>
        <v>BELTRAN Y CRIADO</v>
      </c>
    </row>
    <row r="102" spans="1:8" ht="28.8" x14ac:dyDescent="0.3">
      <c r="A102" s="25">
        <v>100</v>
      </c>
      <c r="B102" s="25">
        <v>16</v>
      </c>
      <c r="C102" s="25">
        <v>45</v>
      </c>
      <c r="D102" s="25">
        <v>276</v>
      </c>
      <c r="E102" s="30" t="str">
        <f t="shared" si="3"/>
        <v>16-45-276</v>
      </c>
      <c r="F102" s="13" t="str">
        <f>IFERROR(VLOOKUP(E102,'ESTRUCTURA CODIGO'!$H$2:$J$1048576,2,FALSE)," ")</f>
        <v>CAJA ESTANCA (COCHERA) EXTERIOR 18PT (IDE)</v>
      </c>
      <c r="G102" s="25" t="str">
        <f>IFERROR(VLOOKUP(E102,'ESTRUCTURA CODIGO'!$H$2:$J$1048576,3,FALSE)," ")</f>
        <v>UND</v>
      </c>
      <c r="H102" s="25" t="str">
        <f>IFERROR(VLOOKUP(E102,'ESTRUCTURA CODIGO'!$H$2:$L$612,4,FALSE)," ")</f>
        <v>BELTRAN Y CRIADO</v>
      </c>
    </row>
    <row r="103" spans="1:8" x14ac:dyDescent="0.3">
      <c r="A103" s="25">
        <v>101</v>
      </c>
      <c r="B103" s="25">
        <v>3</v>
      </c>
      <c r="C103" s="25">
        <v>31</v>
      </c>
      <c r="D103" s="25">
        <v>277</v>
      </c>
      <c r="E103" s="30" t="str">
        <f t="shared" si="3"/>
        <v>3-31-277</v>
      </c>
      <c r="F103" s="13" t="str">
        <f>IFERROR(VLOOKUP(E103,'ESTRUCTURA CODIGO'!$H$2:$J$1048576,2,FALSE)," ")</f>
        <v>CABLE Nª 6 P/PLACA SOLAR NEGRO</v>
      </c>
      <c r="G103" s="25" t="str">
        <f>IFERROR(VLOOKUP(E103,'ESTRUCTURA CODIGO'!$H$2:$J$1048576,3,FALSE)," ")</f>
        <v>MT</v>
      </c>
      <c r="H103" s="25" t="str">
        <f>IFERROR(VLOOKUP(E103,'ESTRUCTURA CODIGO'!$H$2:$L$612,4,FALSE)," ")</f>
        <v>COTO</v>
      </c>
    </row>
    <row r="104" spans="1:8" x14ac:dyDescent="0.3">
      <c r="A104" s="25">
        <v>102</v>
      </c>
      <c r="B104" s="25">
        <v>3</v>
      </c>
      <c r="C104" s="25">
        <v>31</v>
      </c>
      <c r="D104" s="25">
        <v>278</v>
      </c>
      <c r="E104" s="30" t="str">
        <f t="shared" si="3"/>
        <v>3-31-278</v>
      </c>
      <c r="F104" s="13" t="str">
        <f>IFERROR(VLOOKUP(E104,'ESTRUCTURA CODIGO'!$H$2:$J$1048576,2,FALSE)," ")</f>
        <v>CABLE Nª 6 P/PLACA SOLAR ROJO</v>
      </c>
      <c r="G104" s="25" t="str">
        <f>IFERROR(VLOOKUP(E104,'ESTRUCTURA CODIGO'!$H$2:$J$1048576,3,FALSE)," ")</f>
        <v>MT</v>
      </c>
      <c r="H104" s="25" t="str">
        <f>IFERROR(VLOOKUP(E104,'ESTRUCTURA CODIGO'!$H$2:$L$612,4,FALSE)," ")</f>
        <v>COTO</v>
      </c>
    </row>
    <row r="105" spans="1:8" x14ac:dyDescent="0.3">
      <c r="A105" s="25">
        <v>103</v>
      </c>
      <c r="B105" s="25">
        <v>16</v>
      </c>
      <c r="C105" s="25">
        <v>46</v>
      </c>
      <c r="D105" s="25">
        <v>279</v>
      </c>
      <c r="E105" s="30" t="str">
        <f t="shared" si="3"/>
        <v>16-46-279</v>
      </c>
      <c r="F105" s="13" t="str">
        <f>IFERROR(VLOOKUP(E105,'ESTRUCTURA CODIGO'!$H$2:$J$1048576,2,FALSE)," ")</f>
        <v>MANGUERA CORRUGADA 25mm NEGRA</v>
      </c>
      <c r="G105" s="25" t="str">
        <f>IFERROR(VLOOKUP(E105,'ESTRUCTURA CODIGO'!$H$2:$J$1048576,3,FALSE)," ")</f>
        <v>MT</v>
      </c>
      <c r="H105" s="25">
        <f>IFERROR(VLOOKUP(E105,'ESTRUCTURA CODIGO'!$H$2:$L$612,4,FALSE)," ")</f>
        <v>0</v>
      </c>
    </row>
    <row r="106" spans="1:8" ht="28.8" x14ac:dyDescent="0.3">
      <c r="A106" s="25">
        <v>104</v>
      </c>
      <c r="B106" s="25">
        <v>16</v>
      </c>
      <c r="C106" s="25">
        <v>47</v>
      </c>
      <c r="D106" s="25">
        <v>280</v>
      </c>
      <c r="E106" s="30" t="str">
        <f t="shared" si="3"/>
        <v>16-47-280</v>
      </c>
      <c r="F106" s="13" t="str">
        <f>IFERROR(VLOOKUP(E106,'ESTRUCTURA CODIGO'!$H$2:$J$1048576,2,FALSE)," ")</f>
        <v>DIFERENCIAL EPR2A063030 2P-63A-30mA (MAXGE)</v>
      </c>
      <c r="G106" s="25" t="str">
        <f>IFERROR(VLOOKUP(E106,'ESTRUCTURA CODIGO'!$H$2:$J$1048576,3,FALSE)," ")</f>
        <v>UND</v>
      </c>
      <c r="H106" s="25" t="str">
        <f>IFERROR(VLOOKUP(E106,'ESTRUCTURA CODIGO'!$H$2:$L$612,4,FALSE)," ")</f>
        <v>BELTRAN Y CRIADO</v>
      </c>
    </row>
    <row r="107" spans="1:8" ht="28.8" x14ac:dyDescent="0.3">
      <c r="A107" s="25">
        <v>105</v>
      </c>
      <c r="B107" s="25">
        <v>16</v>
      </c>
      <c r="C107" s="25">
        <v>48</v>
      </c>
      <c r="D107" s="25">
        <v>281</v>
      </c>
      <c r="E107" s="30" t="str">
        <f t="shared" si="3"/>
        <v>16-48-281</v>
      </c>
      <c r="F107" s="13" t="str">
        <f>IFERROR(VLOOKUP(E107,'ESTRUCTURA CODIGO'!$H$2:$J$1048576,2,FALSE)," ")</f>
        <v>PORTA FUSIBLE SGF-32-DC (MAXGE)</v>
      </c>
      <c r="G107" s="25" t="str">
        <f>IFERROR(VLOOKUP(E107,'ESTRUCTURA CODIGO'!$H$2:$J$1048576,3,FALSE)," ")</f>
        <v>UND</v>
      </c>
      <c r="H107" s="25" t="str">
        <f>IFERROR(VLOOKUP(E107,'ESTRUCTURA CODIGO'!$H$2:$L$612,4,FALSE)," ")</f>
        <v>BELTRAN Y CRIADO</v>
      </c>
    </row>
    <row r="108" spans="1:8" x14ac:dyDescent="0.3">
      <c r="A108" s="25">
        <v>106</v>
      </c>
      <c r="B108" s="25">
        <v>16</v>
      </c>
      <c r="C108" s="25">
        <v>49</v>
      </c>
      <c r="D108" s="25">
        <v>282</v>
      </c>
      <c r="E108" s="30" t="str">
        <f t="shared" si="3"/>
        <v>16-49-282</v>
      </c>
      <c r="F108" s="13" t="str">
        <f>IFERROR(VLOOKUP(E108,'ESTRUCTURA CODIGO'!$H$2:$J$1048576,2,FALSE)," ")</f>
        <v>CONTACTOR MODULAR RV32 (REVALCO)</v>
      </c>
      <c r="G108" s="25" t="str">
        <f>IFERROR(VLOOKUP(E108,'ESTRUCTURA CODIGO'!$H$2:$J$1048576,3,FALSE)," ")</f>
        <v>UND</v>
      </c>
      <c r="H108" s="25" t="str">
        <f>IFERROR(VLOOKUP(E108,'ESTRUCTURA CODIGO'!$H$2:$L$612,4,FALSE)," ")</f>
        <v>INVERSOLAR</v>
      </c>
    </row>
    <row r="109" spans="1:8" ht="28.8" x14ac:dyDescent="0.3">
      <c r="A109" s="25">
        <v>107</v>
      </c>
      <c r="B109" s="25">
        <v>16</v>
      </c>
      <c r="C109" s="25">
        <v>50</v>
      </c>
      <c r="D109" s="25">
        <v>283</v>
      </c>
      <c r="E109" s="30" t="str">
        <f t="shared" si="3"/>
        <v>16-50-283</v>
      </c>
      <c r="F109" s="13" t="str">
        <f>IFERROR(VLOOKUP(E109,'ESTRUCTURA CODIGO'!$H$2:$J$1048576,2,FALSE)," ")</f>
        <v>FUSIBLE 32A-1000VDC (SASSIN)</v>
      </c>
      <c r="G109" s="25" t="str">
        <f>IFERROR(VLOOKUP(E109,'ESTRUCTURA CODIGO'!$H$2:$J$1048576,3,FALSE)," ")</f>
        <v>UND</v>
      </c>
      <c r="H109" s="25" t="str">
        <f>IFERROR(VLOOKUP(E109,'ESTRUCTURA CODIGO'!$H$2:$L$612,4,FALSE)," ")</f>
        <v>BELTRAN Y CRIADO</v>
      </c>
    </row>
    <row r="110" spans="1:8" ht="28.8" x14ac:dyDescent="0.3">
      <c r="A110" s="25">
        <v>108</v>
      </c>
      <c r="B110" s="25">
        <v>16</v>
      </c>
      <c r="C110" s="25">
        <v>51</v>
      </c>
      <c r="D110" s="25">
        <v>284</v>
      </c>
      <c r="E110" s="30" t="str">
        <f t="shared" si="3"/>
        <v>16-51-284</v>
      </c>
      <c r="F110" s="13" t="str">
        <f>IFERROR(VLOOKUP(E110,'ESTRUCTURA CODIGO'!$H$2:$J$1048576,2,FALSE)," ")</f>
        <v>LIMITADOR/SOBRETENSIONES MONOFASICO 3SUR1 15/30kA-275V (SASSIN)</v>
      </c>
      <c r="G110" s="25" t="str">
        <f>IFERROR(VLOOKUP(E110,'ESTRUCTURA CODIGO'!$H$2:$J$1048576,3,FALSE)," ")</f>
        <v>UND</v>
      </c>
      <c r="H110" s="25" t="str">
        <f>IFERROR(VLOOKUP(E110,'ESTRUCTURA CODIGO'!$H$2:$L$612,4,FALSE)," ")</f>
        <v>BELTRAN Y CRIADO</v>
      </c>
    </row>
    <row r="111" spans="1:8" ht="28.8" x14ac:dyDescent="0.3">
      <c r="A111" s="25">
        <v>109</v>
      </c>
      <c r="B111" s="25">
        <v>16</v>
      </c>
      <c r="C111" s="25">
        <v>52</v>
      </c>
      <c r="D111" s="25">
        <v>285</v>
      </c>
      <c r="E111" s="30" t="str">
        <f t="shared" si="3"/>
        <v>16-52-285</v>
      </c>
      <c r="F111" s="13" t="str">
        <f>IFERROR(VLOOKUP(E111,'ESTRUCTURA CODIGO'!$H$2:$J$1048576,2,FALSE)," ")</f>
        <v>TERMICO EPBE63M1NC63 1P+N C63 (MAXGE)</v>
      </c>
      <c r="G111" s="25" t="str">
        <f>IFERROR(VLOOKUP(E111,'ESTRUCTURA CODIGO'!$H$2:$J$1048576,3,FALSE)," ")</f>
        <v>UND</v>
      </c>
      <c r="H111" s="25" t="str">
        <f>IFERROR(VLOOKUP(E111,'ESTRUCTURA CODIGO'!$H$2:$L$612,4,FALSE)," ")</f>
        <v>BELTRAN Y CRIADO</v>
      </c>
    </row>
    <row r="112" spans="1:8" x14ac:dyDescent="0.3">
      <c r="A112" s="25">
        <v>110</v>
      </c>
      <c r="B112" s="25">
        <v>7</v>
      </c>
      <c r="C112" s="25">
        <v>35</v>
      </c>
      <c r="D112" s="25">
        <v>286</v>
      </c>
      <c r="E112" s="30" t="str">
        <f t="shared" si="3"/>
        <v>7-35-286</v>
      </c>
      <c r="F112" s="13" t="str">
        <f>IFERROR(VLOOKUP(E112,'ESTRUCTURA CODIGO'!$H$2:$J$1048576,2,FALSE)," ")</f>
        <v>INVERSOR SPH 6000TL BL-UP 6KW (GROWATT)</v>
      </c>
      <c r="G112" s="25" t="str">
        <f>IFERROR(VLOOKUP(E112,'ESTRUCTURA CODIGO'!$H$2:$J$1048576,3,FALSE)," ")</f>
        <v>UND</v>
      </c>
      <c r="H112" s="25" t="str">
        <f>IFERROR(VLOOKUP(E112,'ESTRUCTURA CODIGO'!$H$2:$L$612,4,FALSE)," ")</f>
        <v>INVERSOLAR</v>
      </c>
    </row>
    <row r="113" spans="1:8" ht="28.8" x14ac:dyDescent="0.3">
      <c r="A113" s="25">
        <v>111</v>
      </c>
      <c r="B113" s="25">
        <v>10</v>
      </c>
      <c r="C113" s="25">
        <v>37</v>
      </c>
      <c r="D113" s="25">
        <v>287</v>
      </c>
      <c r="E113" s="30" t="str">
        <f t="shared" si="3"/>
        <v>10-37-287</v>
      </c>
      <c r="F113" s="13" t="str">
        <f>IFERROR(VLOOKUP(E113,'ESTRUCTURA CODIGO'!$H$2:$J$1048576,2,FALSE)," ")</f>
        <v>SOPORTE CENTRAL GRIS</v>
      </c>
      <c r="G113" s="25" t="str">
        <f>IFERROR(VLOOKUP(E113,'ESTRUCTURA CODIGO'!$H$2:$J$1048576,3,FALSE)," ")</f>
        <v>UND</v>
      </c>
      <c r="H113" s="25" t="str">
        <f>IFERROR(VLOOKUP(E113,'ESTRUCTURA CODIGO'!$H$2:$L$612,4,FALSE)," ")</f>
        <v>ESTRUSUR SOLAR</v>
      </c>
    </row>
    <row r="114" spans="1:8" ht="28.8" x14ac:dyDescent="0.3">
      <c r="A114" s="25">
        <v>112</v>
      </c>
      <c r="B114" s="25">
        <v>16</v>
      </c>
      <c r="C114" s="25">
        <v>49</v>
      </c>
      <c r="D114" s="25">
        <v>288</v>
      </c>
      <c r="E114" s="30" t="s">
        <v>227</v>
      </c>
      <c r="F114" s="13" t="str">
        <f>IFERROR(VLOOKUP(E114,'ESTRUCTURA CODIGO'!$H$2:$J$1048576,2,FALSE)," ")</f>
        <v>CONTACTOR MODULAR EPC1-6322-P7 (MAXGE)</v>
      </c>
      <c r="G114" s="25" t="str">
        <f>IFERROR(VLOOKUP(E114,'ESTRUCTURA CODIGO'!$H$2:$J$1048576,3,FALSE)," ")</f>
        <v>UND</v>
      </c>
      <c r="H114" s="25" t="str">
        <f>IFERROR(VLOOKUP(E114,'ESTRUCTURA CODIGO'!$H$2:$L$612,4,FALSE)," ")</f>
        <v>BELTRAN Y CRIADO</v>
      </c>
    </row>
    <row r="115" spans="1:8" ht="28.8" x14ac:dyDescent="0.3">
      <c r="A115" s="25">
        <v>113</v>
      </c>
      <c r="B115" s="25">
        <v>16</v>
      </c>
      <c r="C115" s="25">
        <v>53</v>
      </c>
      <c r="D115" s="25">
        <v>289</v>
      </c>
      <c r="E115" s="30" t="s">
        <v>229</v>
      </c>
      <c r="F115" s="13" t="str">
        <f>IFERROR(VLOOKUP(E115,'ESTRUCTURA CODIGO'!$H$2:$J$1048576,2,FALSE)," ")</f>
        <v>PINCHO DE COMUNICACIÓN WIFI SHINEWILAN X (GROWATT)</v>
      </c>
      <c r="G115" s="25" t="str">
        <f>IFERROR(VLOOKUP(E115,'ESTRUCTURA CODIGO'!$H$2:$J$1048576,3,FALSE)," ")</f>
        <v>UND</v>
      </c>
      <c r="H115" s="25" t="str">
        <f>IFERROR(VLOOKUP(E115,'ESTRUCTURA CODIGO'!$H$2:$L$612,4,FALSE)," ")</f>
        <v>BELTRAN Y CRIADO</v>
      </c>
    </row>
    <row r="116" spans="1:8" ht="28.8" x14ac:dyDescent="0.3">
      <c r="A116" s="25">
        <v>114</v>
      </c>
      <c r="B116" s="25">
        <v>16</v>
      </c>
      <c r="C116" s="25">
        <v>53</v>
      </c>
      <c r="D116" s="25">
        <v>290</v>
      </c>
      <c r="E116" s="30" t="str">
        <f t="shared" ref="E116:E179" si="4">CONCATENATE(B116,"-",C116,"-",D116)</f>
        <v>16-53-290</v>
      </c>
      <c r="F116" s="13" t="str">
        <f>IFERROR(VLOOKUP(E116,'ESTRUCTURA CODIGO'!$H$2:$J$1048576,2,FALSE)," ")</f>
        <v>PINCHO DE COMUNICACIÓN WIFI SHINEWILAN X2 (GROWATT)</v>
      </c>
      <c r="G116" s="25" t="str">
        <f>IFERROR(VLOOKUP(E116,'ESTRUCTURA CODIGO'!$H$2:$J$1048576,3,FALSE)," ")</f>
        <v>UND</v>
      </c>
      <c r="H116" s="25" t="str">
        <f>IFERROR(VLOOKUP(E116,'ESTRUCTURA CODIGO'!$H$2:$L$612,4,FALSE)," ")</f>
        <v>BELTRAN Y CRIADO</v>
      </c>
    </row>
    <row r="117" spans="1:8" ht="28.8" x14ac:dyDescent="0.3">
      <c r="A117" s="25">
        <v>115</v>
      </c>
      <c r="B117" s="25">
        <v>9</v>
      </c>
      <c r="C117" s="25">
        <v>2</v>
      </c>
      <c r="D117" s="25">
        <v>291</v>
      </c>
      <c r="E117" s="30" t="str">
        <f t="shared" si="4"/>
        <v>9-2-291</v>
      </c>
      <c r="F117" s="13" t="str">
        <f>IFERROR(VLOOKUP(E117,'ESTRUCTURA CODIGO'!$H$2:$J$1048576,2,FALSE)," ")</f>
        <v>TUBO ELECTRICO PVC 25mm - 3mt(AISCAN)</v>
      </c>
      <c r="G117" s="25" t="str">
        <f>IFERROR(VLOOKUP(E117,'ESTRUCTURA CODIGO'!$H$2:$J$1048576,3,FALSE)," ")</f>
        <v>UND</v>
      </c>
      <c r="H117" s="25" t="str">
        <f>IFERROR(VLOOKUP(E117,'ESTRUCTURA CODIGO'!$H$2:$L$612,4,FALSE)," ")</f>
        <v>BELTRAN Y CRIADO</v>
      </c>
    </row>
    <row r="118" spans="1:8" ht="28.8" x14ac:dyDescent="0.3">
      <c r="A118" s="25">
        <v>116</v>
      </c>
      <c r="B118" s="25">
        <v>16</v>
      </c>
      <c r="C118" s="25">
        <v>52</v>
      </c>
      <c r="D118" s="25">
        <v>292</v>
      </c>
      <c r="E118" s="30" t="str">
        <f t="shared" si="4"/>
        <v>16-52-292</v>
      </c>
      <c r="F118" s="13" t="str">
        <f>IFERROR(VLOOKUP(E118,'ESTRUCTURA CODIGO'!$H$2:$J$1048576,2,FALSE)," ")</f>
        <v>TERMICO EPBE63M1NC63M1NC40 1P+N C40 (MAXGE)</v>
      </c>
      <c r="G118" s="25" t="str">
        <f>IFERROR(VLOOKUP(E118,'ESTRUCTURA CODIGO'!$H$2:$J$1048576,3,FALSE)," ")</f>
        <v>UND</v>
      </c>
      <c r="H118" s="25" t="str">
        <f>IFERROR(VLOOKUP(E118,'ESTRUCTURA CODIGO'!$H$2:$L$612,4,FALSE)," ")</f>
        <v>BELTRAN Y CRIADO</v>
      </c>
    </row>
    <row r="119" spans="1:8" ht="28.8" x14ac:dyDescent="0.3">
      <c r="A119" s="25">
        <v>117</v>
      </c>
      <c r="B119" s="25">
        <v>16</v>
      </c>
      <c r="C119" s="25">
        <v>52</v>
      </c>
      <c r="D119" s="25">
        <v>293</v>
      </c>
      <c r="E119" s="30" t="str">
        <f t="shared" si="4"/>
        <v>16-52-293</v>
      </c>
      <c r="F119" s="13" t="str">
        <f>IFERROR(VLOOKUP(E119,'ESTRUCTURA CODIGO'!$H$2:$J$1048576,2,FALSE)," ")</f>
        <v>TERMICO EPBE63M1NC63M1NC32 1P+N C32 (MAXGE)</v>
      </c>
      <c r="G119" s="25" t="str">
        <f>IFERROR(VLOOKUP(E119,'ESTRUCTURA CODIGO'!$H$2:$J$1048576,3,FALSE)," ")</f>
        <v>UND</v>
      </c>
      <c r="H119" s="25" t="str">
        <f>IFERROR(VLOOKUP(E119,'ESTRUCTURA CODIGO'!$H$2:$L$612,4,FALSE)," ")</f>
        <v>BELTRAN Y CRIADO</v>
      </c>
    </row>
    <row r="120" spans="1:8" ht="28.8" x14ac:dyDescent="0.3">
      <c r="A120" s="25">
        <v>118</v>
      </c>
      <c r="B120" s="25">
        <v>16</v>
      </c>
      <c r="C120" s="25">
        <v>45</v>
      </c>
      <c r="D120" s="25">
        <v>294</v>
      </c>
      <c r="E120" s="30" t="str">
        <f t="shared" si="4"/>
        <v>16-45-294</v>
      </c>
      <c r="F120" s="13" t="str">
        <f>IFERROR(VLOOKUP(E120,'ESTRUCTURA CODIGO'!$H$2:$J$1048576,2,FALSE)," ")</f>
        <v>CAJA DE ESTANCA 133X180X80 EV161 (IDE)</v>
      </c>
      <c r="G120" s="25" t="str">
        <f>IFERROR(VLOOKUP(E120,'ESTRUCTURA CODIGO'!$H$2:$J$1048576,3,FALSE)," ")</f>
        <v>UND</v>
      </c>
      <c r="H120" s="25" t="str">
        <f>IFERROR(VLOOKUP(E120,'ESTRUCTURA CODIGO'!$H$2:$L$612,4,FALSE)," ")</f>
        <v>BELTRAN Y CRIADO</v>
      </c>
    </row>
    <row r="121" spans="1:8" x14ac:dyDescent="0.3">
      <c r="A121" s="25">
        <v>119</v>
      </c>
      <c r="B121" s="25">
        <v>7</v>
      </c>
      <c r="C121" s="25">
        <v>54</v>
      </c>
      <c r="D121" s="25">
        <v>295</v>
      </c>
      <c r="E121" s="30" t="str">
        <f t="shared" si="4"/>
        <v>7-54-295</v>
      </c>
      <c r="F121" s="13" t="str">
        <f>IFERROR(VLOOKUP(E121,'ESTRUCTURA CODIGO'!$H$2:$J$1048576,2,FALSE)," ")</f>
        <v>BATERIA LFP LITHIUM DL5.OC (DYNESS)</v>
      </c>
      <c r="G121" s="25" t="str">
        <f>IFERROR(VLOOKUP(E121,'ESTRUCTURA CODIGO'!$H$2:$J$1048576,3,FALSE)," ")</f>
        <v>UND</v>
      </c>
      <c r="H121" s="25" t="str">
        <f>IFERROR(VLOOKUP(E121,'ESTRUCTURA CODIGO'!$H$2:$L$612,4,FALSE)," ")</f>
        <v>INVERSOLAR</v>
      </c>
    </row>
    <row r="122" spans="1:8" ht="28.8" x14ac:dyDescent="0.3">
      <c r="A122" s="25">
        <v>120</v>
      </c>
      <c r="B122" s="25">
        <v>7</v>
      </c>
      <c r="C122" s="25">
        <v>35</v>
      </c>
      <c r="D122" s="25">
        <v>296</v>
      </c>
      <c r="E122" s="30" t="str">
        <f t="shared" si="4"/>
        <v>7-35-296</v>
      </c>
      <c r="F122" s="13" t="str">
        <f>IFERROR(VLOOKUP(E122,'ESTRUCTURA CODIGO'!$H$2:$J$1048576,2,FALSE)," ")</f>
        <v>INVERSOR HIBRIDO MONOFASICO SUN 12KW AM3 (DEYE)</v>
      </c>
      <c r="G122" s="25" t="str">
        <f>IFERROR(VLOOKUP(E122,'ESTRUCTURA CODIGO'!$H$2:$J$1048576,3,FALSE)," ")</f>
        <v>UND</v>
      </c>
      <c r="H122" s="25" t="str">
        <f>IFERROR(VLOOKUP(E122,'ESTRUCTURA CODIGO'!$H$2:$L$612,4,FALSE)," ")</f>
        <v>BELTRAN Y CRIADO</v>
      </c>
    </row>
    <row r="123" spans="1:8" ht="28.8" x14ac:dyDescent="0.3">
      <c r="A123" s="25">
        <v>121</v>
      </c>
      <c r="B123" s="25">
        <v>16</v>
      </c>
      <c r="C123" s="25">
        <v>55</v>
      </c>
      <c r="D123" s="25">
        <v>297</v>
      </c>
      <c r="E123" s="30" t="str">
        <f t="shared" si="4"/>
        <v>16-55-297</v>
      </c>
      <c r="F123" s="13" t="str">
        <f>IFERROR(VLOOKUP(E123,'ESTRUCTURA CODIGO'!$H$2:$J$1048576,2,FALSE)," ")</f>
        <v>MEDIDOR ENERGIA DE CARRIL MODBUS SDM230V MONOFASICO (EASTRON)</v>
      </c>
      <c r="G123" s="25" t="str">
        <f>IFERROR(VLOOKUP(E123,'ESTRUCTURA CODIGO'!$H$2:$J$1048576,3,FALSE)," ")</f>
        <v>UND</v>
      </c>
      <c r="H123" s="25" t="str">
        <f>IFERROR(VLOOKUP(E123,'ESTRUCTURA CODIGO'!$H$2:$L$612,4,FALSE)," ")</f>
        <v>BELTRAN Y CRIADO</v>
      </c>
    </row>
    <row r="124" spans="1:8" ht="43.2" x14ac:dyDescent="0.3">
      <c r="A124" s="25">
        <v>122</v>
      </c>
      <c r="B124" s="25">
        <v>16</v>
      </c>
      <c r="C124" s="25">
        <v>35</v>
      </c>
      <c r="D124" s="25">
        <v>298</v>
      </c>
      <c r="E124" s="30" t="str">
        <f t="shared" si="4"/>
        <v>16-35-298</v>
      </c>
      <c r="F124" s="13" t="str">
        <f>IFERROR(VLOOKUP(E124,'ESTRUCTURA CODIGO'!$H$2:$J$1048576,2,FALSE)," ")</f>
        <v>INVERSOR HIBRIDO TRIFASICO 10KW WIT10K HU C/BACKUP INCORPORADO Y DISEÑADO PARA BATERIA DE BAJO VOLTAJE (GROTWATT)</v>
      </c>
      <c r="G124" s="25" t="str">
        <f>IFERROR(VLOOKUP(E124,'ESTRUCTURA CODIGO'!$H$2:$J$1048576,3,FALSE)," ")</f>
        <v>UND</v>
      </c>
      <c r="H124" s="25" t="str">
        <f>IFERROR(VLOOKUP(E124,'ESTRUCTURA CODIGO'!$H$2:$L$612,4,FALSE)," ")</f>
        <v>COTO</v>
      </c>
    </row>
    <row r="125" spans="1:8" ht="28.8" x14ac:dyDescent="0.3">
      <c r="A125" s="25">
        <v>123</v>
      </c>
      <c r="B125" s="25">
        <v>16</v>
      </c>
      <c r="C125" s="25">
        <v>45</v>
      </c>
      <c r="D125" s="25">
        <v>299</v>
      </c>
      <c r="E125" s="30" t="str">
        <f t="shared" si="4"/>
        <v>16-45-299</v>
      </c>
      <c r="F125" s="13" t="str">
        <f>IFERROR(VLOOKUP(E125,'ESTRUCTURA CODIGO'!$H$2:$J$1048576,2,FALSE)," ")</f>
        <v>CAJA ESTANCA (COCHERA) EXTERIOR 8PT (IDE)</v>
      </c>
      <c r="G125" s="25" t="str">
        <f>IFERROR(VLOOKUP(E125,'ESTRUCTURA CODIGO'!$H$2:$J$1048576,3,FALSE)," ")</f>
        <v>UND</v>
      </c>
      <c r="H125" s="25" t="str">
        <f>IFERROR(VLOOKUP(E125,'ESTRUCTURA CODIGO'!$H$2:$L$612,4,FALSE)," ")</f>
        <v>BELTRAN Y CRIADO</v>
      </c>
    </row>
    <row r="126" spans="1:8" ht="28.8" x14ac:dyDescent="0.3">
      <c r="A126" s="25">
        <v>124</v>
      </c>
      <c r="B126" s="25">
        <v>16</v>
      </c>
      <c r="C126" s="25">
        <v>45</v>
      </c>
      <c r="D126" s="25">
        <v>300</v>
      </c>
      <c r="E126" s="30" t="str">
        <f t="shared" si="4"/>
        <v>16-45-300</v>
      </c>
      <c r="F126" s="13" t="str">
        <f>IFERROR(VLOOKUP(E126,'ESTRUCTURA CODIGO'!$H$2:$J$1048576,2,FALSE)," ")</f>
        <v>CAJA ESTANCA (COCHERA) EXTERIOR 24PT (IDE)</v>
      </c>
      <c r="G126" s="25" t="str">
        <f>IFERROR(VLOOKUP(E126,'ESTRUCTURA CODIGO'!$H$2:$J$1048576,3,FALSE)," ")</f>
        <v>UND</v>
      </c>
      <c r="H126" s="25" t="str">
        <f>IFERROR(VLOOKUP(E126,'ESTRUCTURA CODIGO'!$H$2:$L$612,4,FALSE)," ")</f>
        <v>BELTRAN Y CRIADO</v>
      </c>
    </row>
    <row r="127" spans="1:8" ht="28.8" x14ac:dyDescent="0.3">
      <c r="A127" s="25">
        <v>125</v>
      </c>
      <c r="B127" s="25">
        <v>16</v>
      </c>
      <c r="C127" s="25">
        <v>45</v>
      </c>
      <c r="D127" s="25">
        <v>301</v>
      </c>
      <c r="E127" s="30" t="str">
        <f t="shared" si="4"/>
        <v>16-45-301</v>
      </c>
      <c r="F127" s="13" t="str">
        <f>IFERROR(VLOOKUP(E127,'ESTRUCTURA CODIGO'!$H$2:$J$1048576,2,FALSE)," ")</f>
        <v>CAJA ESTANCA (COCHERA) EXTERIOR 36PT (IDE)</v>
      </c>
      <c r="G127" s="25" t="str">
        <f>IFERROR(VLOOKUP(E127,'ESTRUCTURA CODIGO'!$H$2:$J$1048576,3,FALSE)," ")</f>
        <v>UND</v>
      </c>
      <c r="H127" s="25" t="str">
        <f>IFERROR(VLOOKUP(E127,'ESTRUCTURA CODIGO'!$H$2:$L$612,4,FALSE)," ")</f>
        <v>BELTRAN Y CRIADO</v>
      </c>
    </row>
    <row r="128" spans="1:8" x14ac:dyDescent="0.3">
      <c r="A128" s="25">
        <v>126</v>
      </c>
      <c r="B128" s="25">
        <v>16</v>
      </c>
      <c r="C128" s="25">
        <v>56</v>
      </c>
      <c r="D128" s="25">
        <v>302</v>
      </c>
      <c r="E128" s="30" t="str">
        <f t="shared" si="4"/>
        <v>16-56-302</v>
      </c>
      <c r="F128" s="13" t="str">
        <f>IFERROR(VLOOKUP(E128,'ESTRUCTURA CODIGO'!$H$2:$J$1048576,2,FALSE)," ")</f>
        <v>METER TRIFASICO 230/400Vac (GROWATT)</v>
      </c>
      <c r="G128" s="25" t="str">
        <f>IFERROR(VLOOKUP(E128,'ESTRUCTURA CODIGO'!$H$2:$J$1048576,3,FALSE)," ")</f>
        <v>UND</v>
      </c>
      <c r="H128" s="25" t="str">
        <f>IFERROR(VLOOKUP(E128,'ESTRUCTURA CODIGO'!$H$2:$L$612,4,FALSE)," ")</f>
        <v>INVERSOLAR</v>
      </c>
    </row>
    <row r="129" spans="1:8" x14ac:dyDescent="0.3">
      <c r="A129" s="25">
        <v>127</v>
      </c>
      <c r="B129" s="25">
        <v>16</v>
      </c>
      <c r="C129" s="25">
        <v>56</v>
      </c>
      <c r="D129" s="25">
        <v>303</v>
      </c>
      <c r="E129" s="30" t="str">
        <f t="shared" si="4"/>
        <v>16-56-303</v>
      </c>
      <c r="F129" s="13" t="str">
        <f>IFERROR(VLOOKUP(E129,'ESTRUCTURA CODIGO'!$H$2:$J$1048576,2,FALSE)," ")</f>
        <v>METER MONOFASICO 230/161-276Vac (GROWATT)</v>
      </c>
      <c r="G129" s="25" t="str">
        <f>IFERROR(VLOOKUP(E129,'ESTRUCTURA CODIGO'!$H$2:$J$1048576,3,FALSE)," ")</f>
        <v>UND</v>
      </c>
      <c r="H129" s="25" t="str">
        <f>IFERROR(VLOOKUP(E129,'ESTRUCTURA CODIGO'!$H$2:$L$612,4,FALSE)," ")</f>
        <v>INVERSOLAR</v>
      </c>
    </row>
    <row r="130" spans="1:8" ht="28.8" x14ac:dyDescent="0.3">
      <c r="A130" s="25">
        <v>128</v>
      </c>
      <c r="B130" s="25">
        <v>16</v>
      </c>
      <c r="C130" s="25">
        <v>45</v>
      </c>
      <c r="D130" s="25">
        <v>304</v>
      </c>
      <c r="E130" s="30" t="str">
        <f t="shared" si="4"/>
        <v>16-45-304</v>
      </c>
      <c r="F130" s="13" t="str">
        <f>IFERROR(VLOOKUP(E130,'ESTRUCTURA CODIGO'!$H$2:$J$1048576,2,FALSE)," ")</f>
        <v>CAJA DE ESTANCA 197X260X100 EV231 (IDE)</v>
      </c>
      <c r="G130" s="25" t="str">
        <f>IFERROR(VLOOKUP(E130,'ESTRUCTURA CODIGO'!$H$2:$J$1048576,3,FALSE)," ")</f>
        <v>UND</v>
      </c>
      <c r="H130" s="25" t="str">
        <f>IFERROR(VLOOKUP(E130,'ESTRUCTURA CODIGO'!$H$2:$L$612,4,FALSE)," ")</f>
        <v>BELTRAN Y CRIADO</v>
      </c>
    </row>
    <row r="131" spans="1:8" ht="28.8" x14ac:dyDescent="0.3">
      <c r="A131" s="25">
        <v>129</v>
      </c>
      <c r="B131" s="25">
        <v>16</v>
      </c>
      <c r="C131" s="25">
        <v>45</v>
      </c>
      <c r="D131" s="25">
        <v>305</v>
      </c>
      <c r="E131" s="30" t="str">
        <f t="shared" si="4"/>
        <v>16-45-305</v>
      </c>
      <c r="F131" s="13" t="str">
        <f>IFERROR(VLOOKUP(E131,'ESTRUCTURA CODIGO'!$H$2:$J$1048576,2,FALSE)," ")</f>
        <v>CAJA DE ESTANCA 167X191X100 EV171 (IDE)</v>
      </c>
      <c r="G131" s="25" t="str">
        <f>IFERROR(VLOOKUP(E131,'ESTRUCTURA CODIGO'!$H$2:$J$1048576,3,FALSE)," ")</f>
        <v>UND</v>
      </c>
      <c r="H131" s="25" t="str">
        <f>IFERROR(VLOOKUP(E131,'ESTRUCTURA CODIGO'!$H$2:$L$612,4,FALSE)," ")</f>
        <v>BELTRAN Y CRIADO</v>
      </c>
    </row>
    <row r="132" spans="1:8" ht="28.8" x14ac:dyDescent="0.3">
      <c r="A132" s="25">
        <v>130</v>
      </c>
      <c r="B132" s="25">
        <v>9</v>
      </c>
      <c r="C132" s="25">
        <v>32</v>
      </c>
      <c r="D132" s="25">
        <v>306</v>
      </c>
      <c r="E132" s="30" t="str">
        <f t="shared" si="4"/>
        <v>9-32-306</v>
      </c>
      <c r="F132" s="13" t="str">
        <f>IFERROR(VLOOKUP(E132,'ESTRUCTURA CODIGO'!$H$2:$J$1048576,2,FALSE)," ")</f>
        <v>CURVA PVC M-40 GRIS TIPO B</v>
      </c>
      <c r="G132" s="25" t="str">
        <f>IFERROR(VLOOKUP(E132,'ESTRUCTURA CODIGO'!$H$2:$J$1048576,3,FALSE)," ")</f>
        <v>UND</v>
      </c>
      <c r="H132" s="25" t="str">
        <f>IFERROR(VLOOKUP(E132,'ESTRUCTURA CODIGO'!$H$2:$L$612,4,FALSE)," ")</f>
        <v>BELTRAN Y CRIADO</v>
      </c>
    </row>
    <row r="133" spans="1:8" ht="28.8" x14ac:dyDescent="0.3">
      <c r="A133" s="25">
        <v>131</v>
      </c>
      <c r="B133" s="25">
        <v>9</v>
      </c>
      <c r="C133" s="25">
        <v>32</v>
      </c>
      <c r="D133" s="25">
        <v>307</v>
      </c>
      <c r="E133" s="30" t="str">
        <f t="shared" si="4"/>
        <v>9-32-307</v>
      </c>
      <c r="F133" s="13" t="str">
        <f>IFERROR(VLOOKUP(E133,'ESTRUCTURA CODIGO'!$H$2:$J$1048576,2,FALSE)," ")</f>
        <v>CURVA PVC DN-20 GRIS (PEMSA)</v>
      </c>
      <c r="G133" s="25" t="str">
        <f>IFERROR(VLOOKUP(E133,'ESTRUCTURA CODIGO'!$H$2:$J$1048576,3,FALSE)," ")</f>
        <v>UND</v>
      </c>
      <c r="H133" s="25" t="str">
        <f>IFERROR(VLOOKUP(E133,'ESTRUCTURA CODIGO'!$H$2:$L$612,4,FALSE)," ")</f>
        <v>BELTRAN Y CRIADO</v>
      </c>
    </row>
    <row r="134" spans="1:8" ht="28.8" x14ac:dyDescent="0.3">
      <c r="A134" s="25">
        <v>132</v>
      </c>
      <c r="B134" s="25">
        <v>9</v>
      </c>
      <c r="C134" s="25">
        <v>32</v>
      </c>
      <c r="D134" s="25">
        <v>308</v>
      </c>
      <c r="E134" s="30" t="str">
        <f t="shared" si="4"/>
        <v>9-32-308</v>
      </c>
      <c r="F134" s="13" t="str">
        <f>IFERROR(VLOOKUP(E134,'ESTRUCTURA CODIGO'!$H$2:$J$1048576,2,FALSE)," ")</f>
        <v>CURVA PVC M-32 GRIS</v>
      </c>
      <c r="G134" s="25" t="str">
        <f>IFERROR(VLOOKUP(E134,'ESTRUCTURA CODIGO'!$H$2:$J$1048576,3,FALSE)," ")</f>
        <v>UND</v>
      </c>
      <c r="H134" s="25" t="str">
        <f>IFERROR(VLOOKUP(E134,'ESTRUCTURA CODIGO'!$H$2:$L$612,4,FALSE)," ")</f>
        <v>BELTRAN Y CRIADO</v>
      </c>
    </row>
    <row r="135" spans="1:8" ht="28.8" x14ac:dyDescent="0.3">
      <c r="A135" s="25">
        <v>133</v>
      </c>
      <c r="B135" s="25">
        <v>16</v>
      </c>
      <c r="C135" s="25">
        <v>51</v>
      </c>
      <c r="D135" s="25">
        <v>309</v>
      </c>
      <c r="E135" s="30" t="str">
        <f t="shared" si="4"/>
        <v>16-51-309</v>
      </c>
      <c r="F135" s="13" t="str">
        <f>IFERROR(VLOOKUP(E135,'ESTRUCTURA CODIGO'!$H$2:$J$1048576,2,FALSE)," ")</f>
        <v>LIMITADOR/SOBRETENSIONES MONOFASICO EPS1 C/2 - 275-40 (MAXGE)</v>
      </c>
      <c r="G135" s="25" t="str">
        <f>IFERROR(VLOOKUP(E135,'ESTRUCTURA CODIGO'!$H$2:$J$1048576,3,FALSE)," ")</f>
        <v>UND</v>
      </c>
      <c r="H135" s="25" t="str">
        <f>IFERROR(VLOOKUP(E135,'ESTRUCTURA CODIGO'!$H$2:$L$612,4,FALSE)," ")</f>
        <v>BELTRAN Y CRIADO</v>
      </c>
    </row>
    <row r="136" spans="1:8" ht="28.8" x14ac:dyDescent="0.3">
      <c r="A136" s="25">
        <v>134</v>
      </c>
      <c r="B136" s="25">
        <v>16</v>
      </c>
      <c r="C136" s="25">
        <v>51</v>
      </c>
      <c r="D136" s="25">
        <v>310</v>
      </c>
      <c r="E136" s="30" t="str">
        <f t="shared" si="4"/>
        <v>16-51-310</v>
      </c>
      <c r="F136" s="13" t="str">
        <f>IFERROR(VLOOKUP(E136,'ESTRUCTURA CODIGO'!$H$2:$J$1048576,2,FALSE)," ")</f>
        <v>LIMITADOR/SOBRETENSIONES CORRIENTE CONTINUA 2P/40HA 2.5KV (APARELEC)</v>
      </c>
      <c r="G136" s="25" t="str">
        <f>IFERROR(VLOOKUP(E136,'ESTRUCTURA CODIGO'!$H$2:$J$1048576,3,FALSE)," ")</f>
        <v>UND</v>
      </c>
      <c r="H136" s="25" t="str">
        <f>IFERROR(VLOOKUP(E136,'ESTRUCTURA CODIGO'!$H$2:$L$612,4,FALSE)," ")</f>
        <v>BELTRAN Y CRIADO</v>
      </c>
    </row>
    <row r="137" spans="1:8" ht="28.8" x14ac:dyDescent="0.3">
      <c r="A137" s="25">
        <v>135</v>
      </c>
      <c r="B137" s="25">
        <v>16</v>
      </c>
      <c r="C137" s="25">
        <v>57</v>
      </c>
      <c r="D137" s="25">
        <v>311</v>
      </c>
      <c r="E137" s="30" t="str">
        <f t="shared" si="4"/>
        <v>16-57-311</v>
      </c>
      <c r="F137" s="13" t="str">
        <f>IFERROR(VLOOKUP(E137,'ESTRUCTURA CODIGO'!$H$2:$J$1048576,2,FALSE)," ")</f>
        <v>PROTECTOR ALTA TENSION FV1250/3S 1500V DC 5.2KV (TOSCANO VIGIVOLT)</v>
      </c>
      <c r="G137" s="25" t="str">
        <f>IFERROR(VLOOKUP(E137,'ESTRUCTURA CODIGO'!$H$2:$J$1048576,3,FALSE)," ")</f>
        <v>UND</v>
      </c>
      <c r="H137" s="25" t="str">
        <f>IFERROR(VLOOKUP(E137,'ESTRUCTURA CODIGO'!$H$2:$L$612,4,FALSE)," ")</f>
        <v>BELTRAN Y CRIADO</v>
      </c>
    </row>
    <row r="138" spans="1:8" ht="28.8" x14ac:dyDescent="0.3">
      <c r="A138" s="25">
        <v>136</v>
      </c>
      <c r="B138" s="25">
        <v>16</v>
      </c>
      <c r="C138" s="25">
        <v>58</v>
      </c>
      <c r="D138" s="25">
        <v>312</v>
      </c>
      <c r="E138" s="30" t="str">
        <f t="shared" si="4"/>
        <v>16-58-312</v>
      </c>
      <c r="F138" s="13" t="str">
        <f>IFERROR(VLOOKUP(E138,'ESTRUCTURA CODIGO'!$H$2:$J$1048576,2,FALSE)," ")</f>
        <v>INTERRUPTOR DIFERENCIAL PROTECTOR PERSONA CONTRA DESCARGAS RX3 40A (LEGRAND)</v>
      </c>
      <c r="G138" s="25" t="str">
        <f>IFERROR(VLOOKUP(E138,'ESTRUCTURA CODIGO'!$H$2:$J$1048576,3,FALSE)," ")</f>
        <v>UND</v>
      </c>
      <c r="H138" s="25" t="str">
        <f>IFERROR(VLOOKUP(E138,'ESTRUCTURA CODIGO'!$H$2:$L$612,4,FALSE)," ")</f>
        <v>BELTRAN Y CRIADO</v>
      </c>
    </row>
    <row r="139" spans="1:8" ht="28.8" x14ac:dyDescent="0.3">
      <c r="A139" s="25">
        <v>137</v>
      </c>
      <c r="B139" s="25">
        <v>16</v>
      </c>
      <c r="C139" s="25">
        <v>58</v>
      </c>
      <c r="D139" s="25">
        <v>313</v>
      </c>
      <c r="E139" s="30" t="str">
        <f t="shared" si="4"/>
        <v>16-58-313</v>
      </c>
      <c r="F139" s="13" t="str">
        <f>IFERROR(VLOOKUP(E139,'ESTRUCTURA CODIGO'!$H$2:$J$1048576,2,FALSE)," ")</f>
        <v>INTERRUPTOR DIFERENCIAL PROTECTOR PERSONA CONTRA DESCARGAS CDC 748m 40A (HAGER)</v>
      </c>
      <c r="G139" s="25" t="str">
        <f>IFERROR(VLOOKUP(E139,'ESTRUCTURA CODIGO'!$H$2:$J$1048576,3,FALSE)," ")</f>
        <v>UND</v>
      </c>
      <c r="H139" s="25" t="str">
        <f>IFERROR(VLOOKUP(E139,'ESTRUCTURA CODIGO'!$H$2:$L$612,4,FALSE)," ")</f>
        <v>BELTRAN Y CRIADO</v>
      </c>
    </row>
    <row r="140" spans="1:8" ht="28.8" x14ac:dyDescent="0.3">
      <c r="A140" s="25">
        <v>138</v>
      </c>
      <c r="B140" s="25">
        <v>16</v>
      </c>
      <c r="C140" s="25">
        <v>50</v>
      </c>
      <c r="D140" s="25">
        <v>314</v>
      </c>
      <c r="E140" s="30" t="str">
        <f t="shared" si="4"/>
        <v>16-50-314</v>
      </c>
      <c r="F140" s="13" t="str">
        <f>IFERROR(VLOOKUP(E140,'ESTRUCTURA CODIGO'!$H$2:$J$1048576,2,FALSE)," ")</f>
        <v>FUSIBLE MG10PV32A (MAXGE)</v>
      </c>
      <c r="G140" s="25" t="str">
        <f>IFERROR(VLOOKUP(E140,'ESTRUCTURA CODIGO'!$H$2:$J$1048576,3,FALSE)," ")</f>
        <v>UND</v>
      </c>
      <c r="H140" s="25" t="str">
        <f>IFERROR(VLOOKUP(E140,'ESTRUCTURA CODIGO'!$H$2:$L$612,4,FALSE)," ")</f>
        <v>BELTRAN Y CRIADO</v>
      </c>
    </row>
    <row r="141" spans="1:8" ht="28.8" x14ac:dyDescent="0.3">
      <c r="A141" s="25">
        <v>139</v>
      </c>
      <c r="B141" s="25">
        <v>10</v>
      </c>
      <c r="C141" s="25">
        <v>37</v>
      </c>
      <c r="D141" s="25">
        <v>315</v>
      </c>
      <c r="E141" s="30" t="str">
        <f t="shared" si="4"/>
        <v>10-37-315</v>
      </c>
      <c r="F141" s="13" t="str">
        <f>IFERROR(VLOOKUP(E141,'ESTRUCTURA CODIGO'!$H$2:$J$1048576,2,FALSE)," ")</f>
        <v>SOPORTE FINAL NEGRO</v>
      </c>
      <c r="G141" s="25" t="str">
        <f>IFERROR(VLOOKUP(E141,'ESTRUCTURA CODIGO'!$H$2:$J$1048576,3,FALSE)," ")</f>
        <v>UND</v>
      </c>
      <c r="H141" s="25" t="str">
        <f>IFERROR(VLOOKUP(E141,'ESTRUCTURA CODIGO'!$H$2:$L$612,4,FALSE)," ")</f>
        <v>ESTRUSUR SOLAR</v>
      </c>
    </row>
    <row r="142" spans="1:8" ht="28.8" x14ac:dyDescent="0.3">
      <c r="A142" s="25">
        <v>140</v>
      </c>
      <c r="B142" s="25">
        <v>10</v>
      </c>
      <c r="C142" s="25">
        <v>37</v>
      </c>
      <c r="D142" s="25">
        <v>316</v>
      </c>
      <c r="E142" s="30" t="str">
        <f t="shared" si="4"/>
        <v>10-37-316</v>
      </c>
      <c r="F142" s="13" t="str">
        <f>IFERROR(VLOOKUP(E142,'ESTRUCTURA CODIGO'!$H$2:$J$1048576,2,FALSE)," ")</f>
        <v>SOPORTE FINAL GRIS</v>
      </c>
      <c r="G142" s="25" t="str">
        <f>IFERROR(VLOOKUP(E142,'ESTRUCTURA CODIGO'!$H$2:$J$1048576,3,FALSE)," ")</f>
        <v>UND</v>
      </c>
      <c r="H142" s="25" t="str">
        <f>IFERROR(VLOOKUP(E142,'ESTRUCTURA CODIGO'!$H$2:$L$612,4,FALSE)," ")</f>
        <v>ESTRUSUR SOLAR</v>
      </c>
    </row>
    <row r="143" spans="1:8" ht="28.8" x14ac:dyDescent="0.3">
      <c r="A143" s="25">
        <v>141</v>
      </c>
      <c r="B143" s="25">
        <v>16</v>
      </c>
      <c r="C143" s="25">
        <v>45</v>
      </c>
      <c r="D143" s="25">
        <v>317</v>
      </c>
      <c r="E143" s="30" t="str">
        <f t="shared" si="4"/>
        <v>16-45-317</v>
      </c>
      <c r="F143" s="13" t="str">
        <f>IFERROR(VLOOKUP(E143,'ESTRUCTURA CODIGO'!$H$2:$J$1048576,2,FALSE)," ")</f>
        <v>CAJA DISTRIBUCION INTERIOR 8 ELEM. (SOLERA)</v>
      </c>
      <c r="G143" s="25" t="str">
        <f>IFERROR(VLOOKUP(E143,'ESTRUCTURA CODIGO'!$H$2:$J$1048576,3,FALSE)," ")</f>
        <v>UND</v>
      </c>
      <c r="H143" s="25" t="str">
        <f>IFERROR(VLOOKUP(E143,'ESTRUCTURA CODIGO'!$H$2:$L$612,4,FALSE)," ")</f>
        <v>BELTRAN Y CRIADO</v>
      </c>
    </row>
    <row r="144" spans="1:8" ht="28.8" x14ac:dyDescent="0.3">
      <c r="A144" s="25">
        <v>142</v>
      </c>
      <c r="B144" s="25">
        <v>16</v>
      </c>
      <c r="C144" s="25">
        <v>47</v>
      </c>
      <c r="D144" s="25">
        <v>318</v>
      </c>
      <c r="E144" s="30" t="str">
        <f t="shared" si="4"/>
        <v>16-47-318</v>
      </c>
      <c r="F144" s="13" t="str">
        <f>IFERROR(VLOOKUP(E144,'ESTRUCTURA CODIGO'!$H$2:$J$1048576,2,FALSE)," ")</f>
        <v>DIFERENCIAL EPR2A040030 2P-40A-30mA (MAXGE)</v>
      </c>
      <c r="G144" s="25" t="str">
        <f>IFERROR(VLOOKUP(E144,'ESTRUCTURA CODIGO'!$H$2:$J$1048576,3,FALSE)," ")</f>
        <v>UND</v>
      </c>
      <c r="H144" s="25" t="str">
        <f>IFERROR(VLOOKUP(E144,'ESTRUCTURA CODIGO'!$H$2:$L$612,4,FALSE)," ")</f>
        <v>BELTRAN Y CRIADO</v>
      </c>
    </row>
    <row r="145" spans="1:8" ht="28.8" x14ac:dyDescent="0.3">
      <c r="A145" s="25">
        <v>143</v>
      </c>
      <c r="B145" s="25">
        <v>16</v>
      </c>
      <c r="C145" s="25">
        <v>52</v>
      </c>
      <c r="D145" s="25">
        <v>319</v>
      </c>
      <c r="E145" s="30" t="str">
        <f t="shared" si="4"/>
        <v>16-52-319</v>
      </c>
      <c r="F145" s="13" t="str">
        <f>IFERROR(VLOOKUP(E145,'ESTRUCTURA CODIGO'!$H$2:$J$1048576,2,FALSE)," ")</f>
        <v>TERMICO EPBE63M1NC25 1P+N C25 (MAXGE)</v>
      </c>
      <c r="G145" s="25" t="str">
        <f>IFERROR(VLOOKUP(E145,'ESTRUCTURA CODIGO'!$H$2:$J$1048576,3,FALSE)," ")</f>
        <v>UND</v>
      </c>
      <c r="H145" s="25" t="str">
        <f>IFERROR(VLOOKUP(E145,'ESTRUCTURA CODIGO'!$H$2:$L$612,4,FALSE)," ")</f>
        <v>BELTRAN Y CRIADO</v>
      </c>
    </row>
    <row r="146" spans="1:8" x14ac:dyDescent="0.3">
      <c r="A146" s="25">
        <v>144</v>
      </c>
      <c r="B146" s="25">
        <v>16</v>
      </c>
      <c r="C146" s="25">
        <v>31</v>
      </c>
      <c r="D146" s="25">
        <v>320</v>
      </c>
      <c r="E146" s="30" t="str">
        <f t="shared" si="4"/>
        <v>16-31-320</v>
      </c>
      <c r="F146" s="13" t="str">
        <f>IFERROR(VLOOKUP(E146,'ESTRUCTURA CODIGO'!$H$2:$J$1048576,2,FALSE)," ")</f>
        <v xml:space="preserve">JUEGO CABLE PARA BATERIA DE LITIO B4850 </v>
      </c>
      <c r="G146" s="25" t="str">
        <f>IFERROR(VLOOKUP(E146,'ESTRUCTURA CODIGO'!$H$2:$J$1048576,3,FALSE)," ")</f>
        <v>UND</v>
      </c>
      <c r="H146" s="25">
        <f>IFERROR(VLOOKUP(E146,'ESTRUCTURA CODIGO'!$H$2:$L$612,4,FALSE)," ")</f>
        <v>0</v>
      </c>
    </row>
    <row r="147" spans="1:8" ht="28.8" x14ac:dyDescent="0.3">
      <c r="A147" s="25">
        <v>145</v>
      </c>
      <c r="B147" s="25">
        <v>8</v>
      </c>
      <c r="C147" s="25">
        <v>27</v>
      </c>
      <c r="D147" s="25">
        <v>321</v>
      </c>
      <c r="E147" s="30" t="str">
        <f t="shared" si="4"/>
        <v>8-27-321</v>
      </c>
      <c r="F147" s="13" t="str">
        <f>IFERROR(VLOOKUP(E147,'ESTRUCTURA CODIGO'!$H$2:$J$1048576,2,FALSE)," ")</f>
        <v>TORNILLO AUTOTALADRANTE CON C/HEXAGONAL - R/PARCIAL - ARANDELA CAUCHO 6X120mm  A/GALV.</v>
      </c>
      <c r="G147" s="25" t="str">
        <f>IFERROR(VLOOKUP(E147,'ESTRUCTURA CODIGO'!$H$2:$J$1048576,3,FALSE)," ")</f>
        <v>UND</v>
      </c>
      <c r="H147" s="25" t="str">
        <f>IFERROR(VLOOKUP(E147,'ESTRUCTURA CODIGO'!$H$2:$L$612,4,FALSE)," ")</f>
        <v>RECA</v>
      </c>
    </row>
    <row r="148" spans="1:8" ht="28.8" x14ac:dyDescent="0.3">
      <c r="A148" s="25">
        <v>146</v>
      </c>
      <c r="B148" s="25">
        <v>16</v>
      </c>
      <c r="C148" s="25">
        <v>59</v>
      </c>
      <c r="D148" s="25">
        <v>322</v>
      </c>
      <c r="E148" s="30" t="str">
        <f t="shared" si="4"/>
        <v>16-59-322</v>
      </c>
      <c r="F148" s="13" t="str">
        <f>IFERROR(VLOOKUP(E148,'ESTRUCTURA CODIGO'!$H$2:$J$1048576,2,FALSE)," ")</f>
        <v>CLAVIJA CAUCHO NEGRA 10/16A</v>
      </c>
      <c r="G148" s="25" t="str">
        <f>IFERROR(VLOOKUP(E148,'ESTRUCTURA CODIGO'!$H$2:$J$1048576,3,FALSE)," ")</f>
        <v>UND</v>
      </c>
      <c r="H148" s="25" t="str">
        <f>IFERROR(VLOOKUP(E148,'ESTRUCTURA CODIGO'!$H$2:$L$612,4,FALSE)," ")</f>
        <v>BELTRAN Y CRIADO</v>
      </c>
    </row>
    <row r="149" spans="1:8" x14ac:dyDescent="0.3">
      <c r="A149" s="25">
        <v>147</v>
      </c>
      <c r="B149" s="25">
        <v>7</v>
      </c>
      <c r="C149" s="25">
        <v>54</v>
      </c>
      <c r="D149" s="25">
        <v>323</v>
      </c>
      <c r="E149" s="30" t="str">
        <f t="shared" si="4"/>
        <v>7-54-323</v>
      </c>
      <c r="F149" s="13" t="str">
        <f>IFERROR(VLOOKUP(E149,'ESTRUCTURA CODIGO'!$H$2:$J$1048576,2,FALSE)," ")</f>
        <v>BATERIA LPF LITHIUM B3 48V 3.6kWh (DYNESS)</v>
      </c>
      <c r="G149" s="25" t="str">
        <f>IFERROR(VLOOKUP(E149,'ESTRUCTURA CODIGO'!$H$2:$J$1048576,3,FALSE)," ")</f>
        <v>UND</v>
      </c>
      <c r="H149" s="25" t="str">
        <f>IFERROR(VLOOKUP(E149,'ESTRUCTURA CODIGO'!$H$2:$L$612,4,FALSE)," ")</f>
        <v>INVERSOLAR</v>
      </c>
    </row>
    <row r="150" spans="1:8" ht="28.8" x14ac:dyDescent="0.3">
      <c r="A150" s="25">
        <v>148</v>
      </c>
      <c r="B150" s="25">
        <v>16</v>
      </c>
      <c r="C150" s="25">
        <v>60</v>
      </c>
      <c r="D150" s="25">
        <v>324</v>
      </c>
      <c r="E150" s="30" t="str">
        <f t="shared" si="4"/>
        <v>16-60-324</v>
      </c>
      <c r="F150" s="13" t="str">
        <f>IFERROR(VLOOKUP(E150,'ESTRUCTURA CODIGO'!$H$2:$J$1048576,2,FALSE)," ")</f>
        <v>REGLETA CONEXIÓN ELECTRICA 35mm NEGRA X12</v>
      </c>
      <c r="G150" s="25" t="str">
        <f>IFERROR(VLOOKUP(E150,'ESTRUCTURA CODIGO'!$H$2:$J$1048576,3,FALSE)," ")</f>
        <v>UND</v>
      </c>
      <c r="H150" s="25" t="str">
        <f>IFERROR(VLOOKUP(E150,'ESTRUCTURA CODIGO'!$H$2:$L$612,4,FALSE)," ")</f>
        <v>BELTRAN Y CRIADO</v>
      </c>
    </row>
    <row r="151" spans="1:8" ht="28.8" x14ac:dyDescent="0.3">
      <c r="A151" s="25">
        <v>149</v>
      </c>
      <c r="B151" s="25">
        <v>16</v>
      </c>
      <c r="C151" s="25">
        <v>60</v>
      </c>
      <c r="D151" s="25">
        <v>325</v>
      </c>
      <c r="E151" s="30" t="str">
        <f t="shared" si="4"/>
        <v>16-60-325</v>
      </c>
      <c r="F151" s="13" t="str">
        <f>IFERROR(VLOOKUP(E151,'ESTRUCTURA CODIGO'!$H$2:$J$1048576,2,FALSE)," ")</f>
        <v>REGLETA CONEXIÓN ELECTRICA 16mm NEGRA X12</v>
      </c>
      <c r="G151" s="25" t="str">
        <f>IFERROR(VLOOKUP(E151,'ESTRUCTURA CODIGO'!$H$2:$J$1048576,3,FALSE)," ")</f>
        <v>UND</v>
      </c>
      <c r="H151" s="25" t="str">
        <f>IFERROR(VLOOKUP(E151,'ESTRUCTURA CODIGO'!$H$2:$L$612,4,FALSE)," ")</f>
        <v>BELTRAN Y CRIADO</v>
      </c>
    </row>
    <row r="152" spans="1:8" x14ac:dyDescent="0.3">
      <c r="A152" s="25">
        <v>150</v>
      </c>
      <c r="B152" s="25">
        <v>4</v>
      </c>
      <c r="C152" s="25">
        <v>15</v>
      </c>
      <c r="D152" s="25">
        <v>326</v>
      </c>
      <c r="E152" s="30" t="str">
        <f t="shared" si="4"/>
        <v>4-15-326</v>
      </c>
      <c r="F152" s="13" t="str">
        <f>IFERROR(VLOOKUP(E152,'ESTRUCTURA CODIGO'!$H$2:$J$1048576,2,FALSE)," ")</f>
        <v>BARRA PERFORADA PARA REFUERZO 27x18x2MT GALV.</v>
      </c>
      <c r="G152" s="25" t="str">
        <f>IFERROR(VLOOKUP(E152,'ESTRUCTURA CODIGO'!$H$2:$J$1048576,3,FALSE)," ")</f>
        <v>UND</v>
      </c>
      <c r="H152" s="25" t="str">
        <f>IFERROR(VLOOKUP(E152,'ESTRUCTURA CODIGO'!$H$2:$L$612,4,FALSE)," ")</f>
        <v>PROINCO</v>
      </c>
    </row>
    <row r="153" spans="1:8" x14ac:dyDescent="0.3">
      <c r="A153" s="25">
        <v>151</v>
      </c>
      <c r="B153" s="25">
        <v>7</v>
      </c>
      <c r="C153" s="25">
        <v>35</v>
      </c>
      <c r="D153" s="25">
        <v>327</v>
      </c>
      <c r="E153" s="30" t="str">
        <f t="shared" si="4"/>
        <v>7-35-327</v>
      </c>
      <c r="F153" s="13" t="str">
        <f>IFERROR(VLOOKUP(E153,'ESTRUCTURA CODIGO'!$H$2:$J$1048576,2,FALSE)," ")</f>
        <v xml:space="preserve">INVERSOR 48/5000/70-50-230V MULTIPLUS (VICTROM ENERGY)  </v>
      </c>
      <c r="G153" s="25" t="str">
        <f>IFERROR(VLOOKUP(E153,'ESTRUCTURA CODIGO'!$H$2:$J$1048576,3,FALSE)," ")</f>
        <v>UND</v>
      </c>
      <c r="H153" s="25">
        <f>IFERROR(VLOOKUP(E153,'ESTRUCTURA CODIGO'!$H$2:$L$612,4,FALSE)," ")</f>
        <v>0</v>
      </c>
    </row>
    <row r="154" spans="1:8" ht="28.8" x14ac:dyDescent="0.3">
      <c r="A154" s="25">
        <v>152</v>
      </c>
      <c r="B154" s="25">
        <v>16</v>
      </c>
      <c r="C154" s="25">
        <v>53</v>
      </c>
      <c r="D154" s="25">
        <v>328</v>
      </c>
      <c r="E154" s="30" t="str">
        <f t="shared" si="4"/>
        <v>16-53-328</v>
      </c>
      <c r="F154" s="13" t="str">
        <f>IFERROR(VLOOKUP(E154,'ESTRUCTURA CODIGO'!$H$2:$J$1048576,2,FALSE)," ")</f>
        <v>PINCHO DE COMUNICACIÓN WIFI SHINErfsTICK- X  BLANCO (GROWATT)</v>
      </c>
      <c r="G154" s="25" t="str">
        <f>IFERROR(VLOOKUP(E154,'ESTRUCTURA CODIGO'!$H$2:$J$1048576,3,FALSE)," ")</f>
        <v>UND</v>
      </c>
      <c r="H154" s="25" t="str">
        <f>IFERROR(VLOOKUP(E154,'ESTRUCTURA CODIGO'!$H$2:$L$612,4,FALSE)," ")</f>
        <v>INVERSOLAR</v>
      </c>
    </row>
    <row r="155" spans="1:8" ht="28.8" x14ac:dyDescent="0.3">
      <c r="A155" s="25">
        <v>153</v>
      </c>
      <c r="B155" s="25">
        <v>10</v>
      </c>
      <c r="C155" s="25">
        <v>42</v>
      </c>
      <c r="D155" s="25">
        <v>329</v>
      </c>
      <c r="E155" s="30" t="str">
        <f t="shared" si="4"/>
        <v>10-42-329</v>
      </c>
      <c r="F155" s="13" t="str">
        <f>IFERROR(VLOOKUP(E155,'ESTRUCTURA CODIGO'!$H$2:$J$1048576,2,FALSE)," ")</f>
        <v>PATA ALUMINIO PARA ESTRUCTURA PLACA SOLAR VELA ANGULO 15º</v>
      </c>
      <c r="G155" s="25" t="str">
        <f>IFERROR(VLOOKUP(E155,'ESTRUCTURA CODIGO'!$H$2:$J$1048576,3,FALSE)," ")</f>
        <v>UND</v>
      </c>
      <c r="H155" s="25" t="str">
        <f>IFERROR(VLOOKUP(E155,'ESTRUCTURA CODIGO'!$H$2:$L$612,4,FALSE)," ")</f>
        <v>ESTRUSUR SOLAR</v>
      </c>
    </row>
    <row r="156" spans="1:8" ht="28.8" x14ac:dyDescent="0.3">
      <c r="A156" s="25">
        <v>154</v>
      </c>
      <c r="B156" s="25">
        <v>10</v>
      </c>
      <c r="C156" s="25">
        <v>37</v>
      </c>
      <c r="D156" s="25">
        <v>330</v>
      </c>
      <c r="E156" s="30" t="str">
        <f t="shared" si="4"/>
        <v>10-37-330</v>
      </c>
      <c r="F156" s="13" t="str">
        <f>IFERROR(VLOOKUP(E156,'ESTRUCTURA CODIGO'!$H$2:$J$1048576,2,FALSE)," ")</f>
        <v>SOPORTE EN L ALUMINIO GRIS</v>
      </c>
      <c r="G156" s="25" t="str">
        <f>IFERROR(VLOOKUP(E156,'ESTRUCTURA CODIGO'!$H$2:$J$1048576,3,FALSE)," ")</f>
        <v>UND</v>
      </c>
      <c r="H156" s="25" t="str">
        <f>IFERROR(VLOOKUP(E156,'ESTRUCTURA CODIGO'!$H$2:$L$612,4,FALSE)," ")</f>
        <v>ESTRUSUR SOLAR</v>
      </c>
    </row>
    <row r="157" spans="1:8" ht="28.8" x14ac:dyDescent="0.3">
      <c r="A157" s="25">
        <v>155</v>
      </c>
      <c r="B157" s="25">
        <v>16</v>
      </c>
      <c r="C157" s="25">
        <v>61</v>
      </c>
      <c r="D157" s="25">
        <v>331</v>
      </c>
      <c r="E157" s="30" t="str">
        <f t="shared" si="4"/>
        <v>16-61-331</v>
      </c>
      <c r="F157" s="13" t="str">
        <f>IFERROR(VLOOKUP(E157,'ESTRUCTURA CODIGO'!$H$2:$J$1048576,2,FALSE)," ")</f>
        <v>CONECTOR FOTOVOLTAICO HEMBRA M4 NEGRO</v>
      </c>
      <c r="G157" s="25" t="str">
        <f>IFERROR(VLOOKUP(E157,'ESTRUCTURA CODIGO'!$H$2:$J$1048576,3,FALSE)," ")</f>
        <v>UND</v>
      </c>
      <c r="H157" s="25" t="str">
        <f>IFERROR(VLOOKUP(E157,'ESTRUCTURA CODIGO'!$H$2:$L$612,4,FALSE)," ")</f>
        <v>BELTRAN Y CRIADO</v>
      </c>
    </row>
    <row r="158" spans="1:8" ht="28.8" x14ac:dyDescent="0.3">
      <c r="A158" s="25">
        <v>156</v>
      </c>
      <c r="B158" s="25">
        <v>16</v>
      </c>
      <c r="C158" s="25">
        <v>61</v>
      </c>
      <c r="D158" s="25">
        <v>332</v>
      </c>
      <c r="E158" s="30" t="str">
        <f t="shared" si="4"/>
        <v>16-61-332</v>
      </c>
      <c r="F158" s="13" t="str">
        <f>IFERROR(VLOOKUP(E158,'ESTRUCTURA CODIGO'!$H$2:$J$1048576,2,FALSE)," ")</f>
        <v>CONECTOR FOTOVOLTAICO MACHO M4 NEGRO</v>
      </c>
      <c r="G158" s="25" t="str">
        <f>IFERROR(VLOOKUP(E158,'ESTRUCTURA CODIGO'!$H$2:$J$1048576,3,FALSE)," ")</f>
        <v>UND</v>
      </c>
      <c r="H158" s="25" t="str">
        <f>IFERROR(VLOOKUP(E158,'ESTRUCTURA CODIGO'!$H$2:$L$612,4,FALSE)," ")</f>
        <v>BELTRAN Y CRIADO</v>
      </c>
    </row>
    <row r="159" spans="1:8" ht="28.8" x14ac:dyDescent="0.3">
      <c r="A159" s="25">
        <v>157</v>
      </c>
      <c r="B159" s="25">
        <v>16</v>
      </c>
      <c r="C159" s="25">
        <v>51</v>
      </c>
      <c r="D159" s="25">
        <v>333</v>
      </c>
      <c r="E159" s="30" t="str">
        <f t="shared" si="4"/>
        <v>16-51-333</v>
      </c>
      <c r="F159" s="13" t="str">
        <f>IFERROR(VLOOKUP(E159,'ESTRUCTURA CODIGO'!$H$2:$J$1048576,2,FALSE)," ")</f>
        <v>LIMITADOR/SOBRETENSIONES TRIFASICO 3SU1 20/40kA-400V 4P (SASSIN)</v>
      </c>
      <c r="G159" s="25" t="str">
        <f>IFERROR(VLOOKUP(E159,'ESTRUCTURA CODIGO'!$H$2:$J$1048576,3,FALSE)," ")</f>
        <v>UND</v>
      </c>
      <c r="H159" s="25" t="str">
        <f>IFERROR(VLOOKUP(E159,'ESTRUCTURA CODIGO'!$H$2:$L$612,4,FALSE)," ")</f>
        <v>BELTRAN Y CRIADO</v>
      </c>
    </row>
    <row r="160" spans="1:8" ht="28.8" x14ac:dyDescent="0.3">
      <c r="A160" s="25">
        <v>158</v>
      </c>
      <c r="B160" s="25">
        <v>13</v>
      </c>
      <c r="C160" s="25">
        <v>23</v>
      </c>
      <c r="D160" s="25">
        <v>334</v>
      </c>
      <c r="E160" s="30" t="str">
        <f t="shared" si="4"/>
        <v>13-23-334</v>
      </c>
      <c r="F160" s="13" t="str">
        <f>IFERROR(VLOOKUP(E160,'ESTRUCTURA CODIGO'!$H$2:$J$1048576,2,FALSE)," ")</f>
        <v>CINTA GRIS AISLANTE PVC 19MM</v>
      </c>
      <c r="G160" s="25" t="str">
        <f>IFERROR(VLOOKUP(E160,'ESTRUCTURA CODIGO'!$H$2:$J$1048576,3,FALSE)," ")</f>
        <v>UND</v>
      </c>
      <c r="H160" s="25" t="str">
        <f>IFERROR(VLOOKUP(E160,'ESTRUCTURA CODIGO'!$H$2:$L$612,4,FALSE)," ")</f>
        <v>BELTRAN Y CRIADO</v>
      </c>
    </row>
    <row r="161" spans="1:8" ht="28.8" x14ac:dyDescent="0.3">
      <c r="A161" s="25">
        <v>159</v>
      </c>
      <c r="B161" s="25">
        <v>13</v>
      </c>
      <c r="C161" s="25">
        <v>23</v>
      </c>
      <c r="D161" s="25">
        <v>335</v>
      </c>
      <c r="E161" s="30" t="str">
        <f t="shared" si="4"/>
        <v>13-23-335</v>
      </c>
      <c r="F161" s="13" t="str">
        <f>IFERROR(VLOOKUP(E161,'ESTRUCTURA CODIGO'!$H$2:$J$1048576,2,FALSE)," ")</f>
        <v>CINTA MARRON AISLANTE PVC 19MM</v>
      </c>
      <c r="G161" s="25" t="str">
        <f>IFERROR(VLOOKUP(E161,'ESTRUCTURA CODIGO'!$H$2:$J$1048576,3,FALSE)," ")</f>
        <v>UND</v>
      </c>
      <c r="H161" s="25" t="str">
        <f>IFERROR(VLOOKUP(E161,'ESTRUCTURA CODIGO'!$H$2:$L$612,4,FALSE)," ")</f>
        <v>BELTRAN Y CRIADO</v>
      </c>
    </row>
    <row r="162" spans="1:8" ht="28.8" x14ac:dyDescent="0.3">
      <c r="A162" s="25">
        <v>160</v>
      </c>
      <c r="B162" s="25">
        <v>16</v>
      </c>
      <c r="C162" s="25">
        <v>50</v>
      </c>
      <c r="D162" s="25">
        <v>336</v>
      </c>
      <c r="E162" s="30" t="str">
        <f t="shared" si="4"/>
        <v>16-50-336</v>
      </c>
      <c r="F162" s="13" t="str">
        <f>IFERROR(VLOOKUP(E162,'ESTRUCTURA CODIGO'!$H$2:$J$1048576,2,FALSE)," ")</f>
        <v>FUSIBLE 20A</v>
      </c>
      <c r="G162" s="25" t="str">
        <f>IFERROR(VLOOKUP(E162,'ESTRUCTURA CODIGO'!$H$2:$J$1048576,3,FALSE)," ")</f>
        <v>UND</v>
      </c>
      <c r="H162" s="25" t="str">
        <f>IFERROR(VLOOKUP(E162,'ESTRUCTURA CODIGO'!$H$2:$L$612,4,FALSE)," ")</f>
        <v>BELTRAN Y CRIADO</v>
      </c>
    </row>
    <row r="163" spans="1:8" ht="28.8" x14ac:dyDescent="0.3">
      <c r="A163" s="25">
        <v>161</v>
      </c>
      <c r="B163" s="25">
        <v>16</v>
      </c>
      <c r="C163" s="25">
        <v>52</v>
      </c>
      <c r="D163" s="25">
        <v>339</v>
      </c>
      <c r="E163" s="30" t="str">
        <f t="shared" si="4"/>
        <v>16-52-339</v>
      </c>
      <c r="F163" s="13" t="str">
        <f>IFERROR(VLOOKUP(E163,'ESTRUCTURA CODIGO'!$H$2:$J$1048576,2,FALSE)," ")</f>
        <v>TERMICO TRIFASICO EPB63MC25 4P-C25  (MAXGE)</v>
      </c>
      <c r="G163" s="25" t="str">
        <f>IFERROR(VLOOKUP(E163,'ESTRUCTURA CODIGO'!$H$2:$J$1048576,3,FALSE)," ")</f>
        <v>UND</v>
      </c>
      <c r="H163" s="25" t="str">
        <f>IFERROR(VLOOKUP(E163,'ESTRUCTURA CODIGO'!$H$2:$L$612,4,FALSE)," ")</f>
        <v>BELTRAN Y CRIADO</v>
      </c>
    </row>
    <row r="164" spans="1:8" ht="28.8" x14ac:dyDescent="0.3">
      <c r="A164" s="25">
        <v>162</v>
      </c>
      <c r="B164" s="25">
        <v>16</v>
      </c>
      <c r="C164" s="25">
        <v>52</v>
      </c>
      <c r="D164" s="25">
        <v>340</v>
      </c>
      <c r="E164" s="30" t="str">
        <f t="shared" si="4"/>
        <v>16-52-340</v>
      </c>
      <c r="F164" s="13" t="str">
        <f>IFERROR(VLOOKUP(E164,'ESTRUCTURA CODIGO'!$H$2:$J$1048576,2,FALSE)," ")</f>
        <v>TERMICO TRIFASICO EPB63M4C20 4P-C20  (MAXGE)</v>
      </c>
      <c r="G164" s="25" t="str">
        <f>IFERROR(VLOOKUP(E164,'ESTRUCTURA CODIGO'!$H$2:$J$1048576,3,FALSE)," ")</f>
        <v>UND</v>
      </c>
      <c r="H164" s="25" t="str">
        <f>IFERROR(VLOOKUP(E164,'ESTRUCTURA CODIGO'!$H$2:$L$612,4,FALSE)," ")</f>
        <v>BELTRAN Y CRIADO</v>
      </c>
    </row>
    <row r="165" spans="1:8" ht="28.8" x14ac:dyDescent="0.3">
      <c r="A165" s="25">
        <v>163</v>
      </c>
      <c r="B165" s="25">
        <v>16</v>
      </c>
      <c r="C165" s="25">
        <v>52</v>
      </c>
      <c r="D165" s="25">
        <v>341</v>
      </c>
      <c r="E165" s="30" t="str">
        <f t="shared" si="4"/>
        <v>16-52-341</v>
      </c>
      <c r="F165" s="13" t="str">
        <f>IFERROR(VLOOKUP(E165,'ESTRUCTURA CODIGO'!$H$2:$J$1048576,2,FALSE)," ")</f>
        <v>TERMICO TRIFASICO EPB63M4C16 4P-C16  (MAXGE)</v>
      </c>
      <c r="G165" s="25" t="str">
        <f>IFERROR(VLOOKUP(E165,'ESTRUCTURA CODIGO'!$H$2:$J$1048576,3,FALSE)," ")</f>
        <v>UND</v>
      </c>
      <c r="H165" s="25" t="str">
        <f>IFERROR(VLOOKUP(E165,'ESTRUCTURA CODIGO'!$H$2:$L$612,4,FALSE)," ")</f>
        <v>BELTRAN Y CRIADO</v>
      </c>
    </row>
    <row r="166" spans="1:8" ht="28.8" x14ac:dyDescent="0.3">
      <c r="A166" s="25">
        <v>164</v>
      </c>
      <c r="B166" s="25">
        <v>16</v>
      </c>
      <c r="C166" s="25">
        <v>47</v>
      </c>
      <c r="D166" s="25">
        <v>337</v>
      </c>
      <c r="E166" s="30" t="str">
        <f t="shared" si="4"/>
        <v>16-47-337</v>
      </c>
      <c r="F166" s="13" t="str">
        <f>IFERROR(VLOOKUP(E166,'ESTRUCTURA CODIGO'!$H$2:$J$1048576,2,FALSE)," ")</f>
        <v>DIFERENCIAL TRIFASICO EPR4C063300 (AC TYPE) 4P-63A-300mA AC 10KA (MAXGE)</v>
      </c>
      <c r="G166" s="25" t="str">
        <f>IFERROR(VLOOKUP(E166,'ESTRUCTURA CODIGO'!$H$2:$J$1048576,3,FALSE)," ")</f>
        <v>UND</v>
      </c>
      <c r="H166" s="25" t="str">
        <f>IFERROR(VLOOKUP(E166,'ESTRUCTURA CODIGO'!$H$2:$L$612,4,FALSE)," ")</f>
        <v>BELTRAN Y CRIADO</v>
      </c>
    </row>
    <row r="167" spans="1:8" ht="28.8" x14ac:dyDescent="0.3">
      <c r="A167" s="25">
        <v>165</v>
      </c>
      <c r="B167" s="25">
        <v>16</v>
      </c>
      <c r="C167" s="25">
        <v>47</v>
      </c>
      <c r="D167" s="25">
        <v>338</v>
      </c>
      <c r="E167" s="30" t="str">
        <f t="shared" si="4"/>
        <v>16-47-338</v>
      </c>
      <c r="F167" s="13" t="str">
        <f>IFERROR(VLOOKUP(E167,'ESTRUCTURA CODIGO'!$H$2:$J$1048576,2,FALSE)," ")</f>
        <v>DIFERENCIAL TRIFASICO EPR4A040030 4P-40A-30mA (MAXGE)</v>
      </c>
      <c r="G167" s="25" t="str">
        <f>IFERROR(VLOOKUP(E167,'ESTRUCTURA CODIGO'!$H$2:$J$1048576,3,FALSE)," ")</f>
        <v>UND</v>
      </c>
      <c r="H167" s="25" t="str">
        <f>IFERROR(VLOOKUP(E167,'ESTRUCTURA CODIGO'!$H$2:$L$612,4,FALSE)," ")</f>
        <v>BELTRAN Y CRIADO</v>
      </c>
    </row>
    <row r="168" spans="1:8" ht="29.4" customHeight="1" x14ac:dyDescent="0.3">
      <c r="A168" s="25">
        <v>166</v>
      </c>
      <c r="B168" s="25">
        <v>16</v>
      </c>
      <c r="C168" s="25">
        <v>62</v>
      </c>
      <c r="D168" s="25">
        <v>342</v>
      </c>
      <c r="E168" s="30" t="str">
        <f t="shared" si="4"/>
        <v>16-62-342</v>
      </c>
      <c r="F168" s="13" t="str">
        <f>IFERROR(VLOOKUP(E168,'ESTRUCTURA CODIGO'!$H$2:$J$1048576,2,FALSE)," ")</f>
        <v>MAGNETO 4P-25A</v>
      </c>
      <c r="G168" s="25" t="str">
        <f>IFERROR(VLOOKUP(E168,'ESTRUCTURA CODIGO'!$H$2:$J$1048576,3,FALSE)," ")</f>
        <v>UND</v>
      </c>
      <c r="H168" s="25" t="str">
        <f>IFERROR(VLOOKUP(E168,'ESTRUCTURA CODIGO'!$H$2:$L$612,4,FALSE)," ")</f>
        <v>BELTRAN Y CRIADO</v>
      </c>
    </row>
    <row r="169" spans="1:8" ht="28.8" x14ac:dyDescent="0.3">
      <c r="A169" s="25">
        <v>167</v>
      </c>
      <c r="B169" s="25">
        <v>16</v>
      </c>
      <c r="C169" s="25">
        <v>52</v>
      </c>
      <c r="D169" s="25">
        <v>343</v>
      </c>
      <c r="E169" s="30" t="str">
        <f t="shared" si="4"/>
        <v>16-52-343</v>
      </c>
      <c r="F169" s="13" t="str">
        <f>IFERROR(VLOOKUP(E169,'ESTRUCTURA CODIGO'!$H$2:$J$1048576,2,FALSE)," ")</f>
        <v>TERMICO EPBE63M1NC20 1P+N C20 (MAXGE)</v>
      </c>
      <c r="G169" s="25" t="str">
        <f>IFERROR(VLOOKUP(E169,'ESTRUCTURA CODIGO'!$H$2:$J$1048576,3,FALSE)," ")</f>
        <v>UND</v>
      </c>
      <c r="H169" s="25" t="str">
        <f>IFERROR(VLOOKUP(E169,'ESTRUCTURA CODIGO'!$H$2:$L$612,4,FALSE)," ")</f>
        <v>BELTRAN Y CRIADO</v>
      </c>
    </row>
    <row r="170" spans="1:8" ht="28.8" x14ac:dyDescent="0.3">
      <c r="A170" s="25">
        <v>168</v>
      </c>
      <c r="B170" s="25">
        <v>16</v>
      </c>
      <c r="C170" s="25">
        <v>56</v>
      </c>
      <c r="D170" s="25">
        <v>344</v>
      </c>
      <c r="E170" s="30" t="str">
        <f t="shared" si="4"/>
        <v>16-56-344</v>
      </c>
      <c r="F170" s="13" t="str">
        <f>IFERROR(VLOOKUP(E170,'ESTRUCTURA CODIGO'!$H$2:$J$1048576,2,FALSE)," ")</f>
        <v>METER TRIFASICO DTSU666 230/400Vac (CHINT)</v>
      </c>
      <c r="G170" s="25" t="str">
        <f>IFERROR(VLOOKUP(E170,'ESTRUCTURA CODIGO'!$H$2:$J$1048576,3,FALSE)," ")</f>
        <v>UND</v>
      </c>
      <c r="H170" s="25" t="str">
        <f>IFERROR(VLOOKUP(E170,'ESTRUCTURA CODIGO'!$H$2:$L$612,4,FALSE)," ")</f>
        <v>BELTRAN Y CRIADO</v>
      </c>
    </row>
    <row r="171" spans="1:8" ht="28.8" x14ac:dyDescent="0.3">
      <c r="A171" s="25">
        <v>169</v>
      </c>
      <c r="B171" s="25">
        <v>16</v>
      </c>
      <c r="C171" s="25">
        <v>56</v>
      </c>
      <c r="D171" s="25">
        <v>345</v>
      </c>
      <c r="E171" s="30" t="str">
        <f t="shared" si="4"/>
        <v>16-56-345</v>
      </c>
      <c r="F171" s="13" t="str">
        <f>IFERROR(VLOOKUP(E171,'ESTRUCTURA CODIGO'!$H$2:$J$1048576,2,FALSE)," ")</f>
        <v>METER TRIFASICO SDM630 V2 MID 230/400Vac (STROMZAHLER)</v>
      </c>
      <c r="G171" s="25" t="str">
        <f>IFERROR(VLOOKUP(E171,'ESTRUCTURA CODIGO'!$H$2:$J$1048576,3,FALSE)," ")</f>
        <v>UND</v>
      </c>
      <c r="H171" s="25" t="str">
        <f>IFERROR(VLOOKUP(E171,'ESTRUCTURA CODIGO'!$H$2:$L$612,4,FALSE)," ")</f>
        <v>BELTRAN Y CRIADO</v>
      </c>
    </row>
    <row r="172" spans="1:8" x14ac:dyDescent="0.3">
      <c r="A172" s="25">
        <v>170</v>
      </c>
      <c r="B172" s="25">
        <v>16</v>
      </c>
      <c r="C172" s="25">
        <v>16</v>
      </c>
      <c r="D172" s="25">
        <v>346</v>
      </c>
      <c r="E172" s="30" t="str">
        <f t="shared" si="4"/>
        <v>16-16-346</v>
      </c>
      <c r="F172" s="13" t="str">
        <f>IFERROR(VLOOKUP(E172,'ESTRUCTURA CODIGO'!$H$2:$J$1048576,2,FALSE)," ")</f>
        <v>REGLETA CONEXIÓN ELECTRICA 10mm NEGRA X12</v>
      </c>
      <c r="G172" s="25" t="str">
        <f>IFERROR(VLOOKUP(E172,'ESTRUCTURA CODIGO'!$H$2:$J$1048576,3,FALSE)," ")</f>
        <v>UND</v>
      </c>
      <c r="H172" s="25" t="str">
        <f>IFERROR(VLOOKUP(E172,'ESTRUCTURA CODIGO'!$H$2:$L$612,4,FALSE)," ")</f>
        <v>RECA</v>
      </c>
    </row>
    <row r="173" spans="1:8" x14ac:dyDescent="0.3">
      <c r="A173" s="25">
        <v>171</v>
      </c>
      <c r="B173" s="25">
        <v>16</v>
      </c>
      <c r="C173" s="25">
        <v>16</v>
      </c>
      <c r="D173" s="25">
        <v>347</v>
      </c>
      <c r="E173" s="30" t="str">
        <f t="shared" si="4"/>
        <v>16-16-347</v>
      </c>
      <c r="F173" s="13" t="str">
        <f>IFERROR(VLOOKUP(E173,'ESTRUCTURA CODIGO'!$H$2:$J$1048576,2,FALSE)," ")</f>
        <v>REGLETA CONEXIÓN ELECTRICA 6mm NEGRA X12</v>
      </c>
      <c r="G173" s="25" t="str">
        <f>IFERROR(VLOOKUP(E173,'ESTRUCTURA CODIGO'!$H$2:$J$1048576,3,FALSE)," ")</f>
        <v>UND</v>
      </c>
      <c r="H173" s="25" t="str">
        <f>IFERROR(VLOOKUP(E173,'ESTRUCTURA CODIGO'!$H$2:$L$612,4,FALSE)," ")</f>
        <v>RECA</v>
      </c>
    </row>
    <row r="174" spans="1:8" x14ac:dyDescent="0.3">
      <c r="A174" s="25">
        <v>172</v>
      </c>
      <c r="B174" s="9">
        <v>16</v>
      </c>
      <c r="C174" s="9">
        <v>16</v>
      </c>
      <c r="D174" s="9">
        <v>348</v>
      </c>
      <c r="E174" s="30" t="str">
        <f t="shared" si="4"/>
        <v>16-16-348</v>
      </c>
      <c r="F174" s="13" t="str">
        <f>IFERROR(VLOOKUP(E174,'ESTRUCTURA CODIGO'!$H$2:$J$1048576,2,FALSE)," ")</f>
        <v>REGLETA CONEXIÓN ELECTRICA 25mm NEGRA X12</v>
      </c>
      <c r="G174" s="25" t="str">
        <f>IFERROR(VLOOKUP(E174,'ESTRUCTURA CODIGO'!$H$2:$J$1048576,3,FALSE)," ")</f>
        <v>UND</v>
      </c>
      <c r="H174" s="25" t="str">
        <f>IFERROR(VLOOKUP(E174,'ESTRUCTURA CODIGO'!$H$2:$L$612,4,FALSE)," ")</f>
        <v>RECA</v>
      </c>
    </row>
    <row r="175" spans="1:8" ht="28.8" x14ac:dyDescent="0.3">
      <c r="A175" s="25">
        <v>173</v>
      </c>
      <c r="B175" s="25">
        <v>16</v>
      </c>
      <c r="C175" s="25">
        <v>47</v>
      </c>
      <c r="D175" s="25">
        <v>349</v>
      </c>
      <c r="E175" s="30" t="str">
        <f t="shared" si="4"/>
        <v>16-47-349</v>
      </c>
      <c r="F175" s="13" t="str">
        <f>IFERROR(VLOOKUP(E175,'ESTRUCTURA CODIGO'!$H$2:$J$1048576,2,FALSE)," ")</f>
        <v>DIFERENCIAL TRIFASICO TIPO A/C 4P-40A-30mA (AEG)</v>
      </c>
      <c r="G175" s="25" t="str">
        <f>IFERROR(VLOOKUP(E175,'ESTRUCTURA CODIGO'!$H$2:$J$1048576,3,FALSE)," ")</f>
        <v>UND</v>
      </c>
      <c r="H175" s="25" t="str">
        <f>IFERROR(VLOOKUP(E175,'ESTRUCTURA CODIGO'!$H$2:$L$612,4,FALSE)," ")</f>
        <v>BELTRAN Y CRIADO</v>
      </c>
    </row>
    <row r="176" spans="1:8" ht="28.8" x14ac:dyDescent="0.3">
      <c r="A176" s="25">
        <v>174</v>
      </c>
      <c r="B176" s="25">
        <v>16</v>
      </c>
      <c r="C176" s="25">
        <v>52</v>
      </c>
      <c r="D176" s="25">
        <v>350</v>
      </c>
      <c r="E176" s="30" t="str">
        <f t="shared" si="4"/>
        <v>16-52-350</v>
      </c>
      <c r="F176" s="13" t="str">
        <f>IFERROR(VLOOKUP(E176,'ESTRUCTURA CODIGO'!$H$2:$J$1048576,2,FALSE)," ")</f>
        <v>TERMICO EPBE63M1NC20 1P+N C20A 6KA (MAXGE)</v>
      </c>
      <c r="G176" s="25" t="str">
        <f>IFERROR(VLOOKUP(E176,'ESTRUCTURA CODIGO'!$H$2:$J$1048576,3,FALSE)," ")</f>
        <v>UND</v>
      </c>
      <c r="H176" s="25" t="str">
        <f>IFERROR(VLOOKUP(E176,'ESTRUCTURA CODIGO'!$H$2:$L$612,4,FALSE)," ")</f>
        <v>BELTRAN Y CRIADO</v>
      </c>
    </row>
    <row r="177" spans="1:8" ht="28.8" x14ac:dyDescent="0.3">
      <c r="A177" s="25">
        <v>175</v>
      </c>
      <c r="B177" s="25">
        <v>16</v>
      </c>
      <c r="C177" s="25">
        <v>52</v>
      </c>
      <c r="D177" s="25">
        <v>351</v>
      </c>
      <c r="E177" s="30" t="str">
        <f t="shared" si="4"/>
        <v>16-52-351</v>
      </c>
      <c r="F177" s="13" t="str">
        <f>IFERROR(VLOOKUP(E177,'ESTRUCTURA CODIGO'!$H$2:$J$1048576,2,FALSE)," ")</f>
        <v>TERMICO LIMITADOR ICP-M C32 20A (MERLIN GERIN)</v>
      </c>
      <c r="G177" s="25" t="str">
        <f>IFERROR(VLOOKUP(E177,'ESTRUCTURA CODIGO'!$H$2:$J$1048576,3,FALSE)," ")</f>
        <v>UND</v>
      </c>
      <c r="H177" s="25" t="str">
        <f>IFERROR(VLOOKUP(E177,'ESTRUCTURA CODIGO'!$H$2:$L$612,4,FALSE)," ")</f>
        <v>BELTRAN Y CRIADO</v>
      </c>
    </row>
    <row r="178" spans="1:8" ht="28.8" x14ac:dyDescent="0.3">
      <c r="A178" s="25">
        <v>176</v>
      </c>
      <c r="B178" s="25">
        <v>16</v>
      </c>
      <c r="C178" s="25">
        <v>52</v>
      </c>
      <c r="D178" s="25">
        <v>352</v>
      </c>
      <c r="E178" s="30" t="str">
        <f t="shared" si="4"/>
        <v>16-52-352</v>
      </c>
      <c r="F178" s="13" t="str">
        <f>IFERROR(VLOOKUP(E178,'ESTRUCTURA CODIGO'!$H$2:$J$1048576,2,FALSE)," ")</f>
        <v>TERMICO NDT C20 (CRADY)</v>
      </c>
      <c r="G178" s="25" t="str">
        <f>IFERROR(VLOOKUP(E178,'ESTRUCTURA CODIGO'!$H$2:$J$1048576,3,FALSE)," ")</f>
        <v>UND</v>
      </c>
      <c r="H178" s="25" t="str">
        <f>IFERROR(VLOOKUP(E178,'ESTRUCTURA CODIGO'!$H$2:$L$612,4,FALSE)," ")</f>
        <v>BELTRAN Y CRIADO</v>
      </c>
    </row>
    <row r="179" spans="1:8" ht="28.8" x14ac:dyDescent="0.3">
      <c r="A179" s="25">
        <v>177</v>
      </c>
      <c r="B179" s="25">
        <v>16</v>
      </c>
      <c r="C179" s="25">
        <v>52</v>
      </c>
      <c r="D179" s="25">
        <v>353</v>
      </c>
      <c r="E179" s="30" t="str">
        <f t="shared" si="4"/>
        <v>16-52-353</v>
      </c>
      <c r="F179" s="13" t="str">
        <f>IFERROR(VLOOKUP(E179,'ESTRUCTURA CODIGO'!$H$2:$J$1048576,2,FALSE)," ")</f>
        <v>TERMICO RX3 C20 (LEGRAND)</v>
      </c>
      <c r="G179" s="25" t="str">
        <f>IFERROR(VLOOKUP(E179,'ESTRUCTURA CODIGO'!$H$2:$J$1048576,3,FALSE)," ")</f>
        <v>UND</v>
      </c>
      <c r="H179" s="25" t="str">
        <f>IFERROR(VLOOKUP(E179,'ESTRUCTURA CODIGO'!$H$2:$L$612,4,FALSE)," ")</f>
        <v>BELTRAN Y CRIADO</v>
      </c>
    </row>
    <row r="180" spans="1:8" ht="28.8" x14ac:dyDescent="0.3">
      <c r="A180" s="25">
        <v>178</v>
      </c>
      <c r="B180" s="25">
        <v>16</v>
      </c>
      <c r="C180" s="25">
        <v>52</v>
      </c>
      <c r="D180" s="25">
        <v>354</v>
      </c>
      <c r="E180" s="30" t="str">
        <f t="shared" ref="E180:E243" si="5">CONCATENATE(B180,"-",C180,"-",D180)</f>
        <v>16-52-354</v>
      </c>
      <c r="F180" s="13" t="str">
        <f>IFERROR(VLOOKUP(E180,'ESTRUCTURA CODIGO'!$H$2:$J$1048576,2,FALSE)," ")</f>
        <v>TERMICO RX3 C25 (LEGRAND)</v>
      </c>
      <c r="G180" s="25" t="str">
        <f>IFERROR(VLOOKUP(E180,'ESTRUCTURA CODIGO'!$H$2:$J$1048576,3,FALSE)," ")</f>
        <v>UND</v>
      </c>
      <c r="H180" s="25" t="str">
        <f>IFERROR(VLOOKUP(E180,'ESTRUCTURA CODIGO'!$H$2:$L$612,4,FALSE)," ")</f>
        <v>BELTRAN Y CRIADO</v>
      </c>
    </row>
    <row r="181" spans="1:8" ht="28.8" x14ac:dyDescent="0.3">
      <c r="A181" s="25">
        <v>179</v>
      </c>
      <c r="B181" s="25">
        <v>16</v>
      </c>
      <c r="C181" s="25">
        <v>52</v>
      </c>
      <c r="D181" s="25">
        <v>355</v>
      </c>
      <c r="E181" s="30" t="str">
        <f t="shared" si="5"/>
        <v>16-52-355</v>
      </c>
      <c r="F181" s="13" t="str">
        <f>IFERROR(VLOOKUP(E181,'ESTRUCTURA CODIGO'!$H$2:$J$1048576,2,FALSE)," ")</f>
        <v>TERMICO TRIFASICO EP64 - C16  (GE)</v>
      </c>
      <c r="G181" s="25" t="str">
        <f>IFERROR(VLOOKUP(E181,'ESTRUCTURA CODIGO'!$H$2:$J$1048576,3,FALSE)," ")</f>
        <v>UND</v>
      </c>
      <c r="H181" s="25" t="str">
        <f>IFERROR(VLOOKUP(E181,'ESTRUCTURA CODIGO'!$H$2:$L$612,4,FALSE)," ")</f>
        <v>BELTRAN Y CRIADO</v>
      </c>
    </row>
    <row r="182" spans="1:8" ht="28.8" x14ac:dyDescent="0.3">
      <c r="A182" s="25">
        <v>180</v>
      </c>
      <c r="B182" s="25">
        <v>16</v>
      </c>
      <c r="C182" s="25">
        <v>52</v>
      </c>
      <c r="D182" s="25">
        <v>356</v>
      </c>
      <c r="E182" s="30" t="str">
        <f t="shared" si="5"/>
        <v>16-52-356</v>
      </c>
      <c r="F182" s="13" t="str">
        <f>IFERROR(VLOOKUP(E182,'ESTRUCTURA CODIGO'!$H$2:$J$1048576,2,FALSE)," ")</f>
        <v>TERMICO TRIFASICO EP64 - C20  (GE)</v>
      </c>
      <c r="G182" s="25" t="str">
        <f>IFERROR(VLOOKUP(E182,'ESTRUCTURA CODIGO'!$H$2:$J$1048576,3,FALSE)," ")</f>
        <v>UND</v>
      </c>
      <c r="H182" s="25" t="str">
        <f>IFERROR(VLOOKUP(E182,'ESTRUCTURA CODIGO'!$H$2:$L$612,4,FALSE)," ")</f>
        <v>BELTRAN Y CRIADO</v>
      </c>
    </row>
    <row r="183" spans="1:8" ht="28.8" x14ac:dyDescent="0.3">
      <c r="A183" s="25">
        <v>181</v>
      </c>
      <c r="B183" s="25">
        <v>16</v>
      </c>
      <c r="C183" s="25">
        <v>63</v>
      </c>
      <c r="D183" s="25">
        <v>357</v>
      </c>
      <c r="E183" s="30" t="str">
        <f t="shared" si="5"/>
        <v>16-63-357</v>
      </c>
      <c r="F183" s="13" t="str">
        <f>IFERROR(VLOOKUP(E183,'ESTRUCTURA CODIGO'!$H$2:$J$1048576,2,FALSE)," ")</f>
        <v>TORO IDAL CURRENT TRANSFORMER 100A:50mA For MULTIPLUS-II (VICTRON ENERGY)</v>
      </c>
      <c r="G183" s="25" t="str">
        <f>IFERROR(VLOOKUP(E183,'ESTRUCTURA CODIGO'!$H$2:$J$1048576,3,FALSE)," ")</f>
        <v>UND</v>
      </c>
      <c r="H183" s="25">
        <f>IFERROR(VLOOKUP(E183,'ESTRUCTURA CODIGO'!$H$2:$L$612,4,FALSE)," ")</f>
        <v>0</v>
      </c>
    </row>
    <row r="184" spans="1:8" x14ac:dyDescent="0.3">
      <c r="A184" s="25">
        <v>182</v>
      </c>
      <c r="B184" s="25">
        <v>8</v>
      </c>
      <c r="C184" s="25">
        <v>64</v>
      </c>
      <c r="D184" s="25">
        <v>358</v>
      </c>
      <c r="E184" s="30" t="str">
        <f t="shared" si="5"/>
        <v>8-64-358</v>
      </c>
      <c r="F184" s="13" t="str">
        <f>IFERROR(VLOOKUP(E184,'ESTRUCTURA CODIGO'!$H$2:$J$1048576,2,FALSE)," ")</f>
        <v>BARILLA ROSCADA M8 A/GALV X1000</v>
      </c>
      <c r="G184" s="25" t="str">
        <f>IFERROR(VLOOKUP(E184,'ESTRUCTURA CODIGO'!$H$2:$J$1048576,3,FALSE)," ")</f>
        <v>UND</v>
      </c>
      <c r="H184" s="25" t="str">
        <f>IFERROR(VLOOKUP(E184,'ESTRUCTURA CODIGO'!$H$2:$L$612,4,FALSE)," ")</f>
        <v>RECA</v>
      </c>
    </row>
    <row r="185" spans="1:8" x14ac:dyDescent="0.3">
      <c r="A185" s="25">
        <v>183</v>
      </c>
      <c r="B185" s="9">
        <v>16</v>
      </c>
      <c r="C185" s="9">
        <v>52</v>
      </c>
      <c r="D185" s="9">
        <v>359</v>
      </c>
      <c r="E185" s="30" t="str">
        <f t="shared" si="5"/>
        <v>16-52-359</v>
      </c>
      <c r="F185" s="13" t="str">
        <f>IFERROR(VLOOKUP(E185,'ESTRUCTURA CODIGO'!$H$2:$J$1048576,2,FALSE)," ")</f>
        <v>TERMICO MONOFASICO 230V C16</v>
      </c>
      <c r="G185" s="25" t="str">
        <f>IFERROR(VLOOKUP(E185,'ESTRUCTURA CODIGO'!$H$2:$J$1048576,3,FALSE)," ")</f>
        <v>UND</v>
      </c>
      <c r="H185" s="25">
        <f>IFERROR(VLOOKUP(E185,'ESTRUCTURA CODIGO'!$H$2:$L$612,4,FALSE)," ")</f>
        <v>0</v>
      </c>
    </row>
    <row r="186" spans="1:8" x14ac:dyDescent="0.3">
      <c r="A186" s="25">
        <v>184</v>
      </c>
      <c r="B186" s="25">
        <v>16</v>
      </c>
      <c r="C186" s="25">
        <v>63</v>
      </c>
      <c r="D186" s="25">
        <v>360</v>
      </c>
      <c r="E186" s="30" t="str">
        <f t="shared" si="5"/>
        <v>16-63-360</v>
      </c>
      <c r="F186" s="13" t="str">
        <f>IFERROR(VLOOKUP(E186,'ESTRUCTURA CODIGO'!$H$2:$J$1048576,2,FALSE)," ")</f>
        <v>TORO IDAL MONOFASICO 100A/5mA (HUAWEI)</v>
      </c>
      <c r="G186" s="25" t="str">
        <f>IFERROR(VLOOKUP(E186,'ESTRUCTURA CODIGO'!$H$2:$J$1048576,3,FALSE)," ")</f>
        <v>UND</v>
      </c>
      <c r="H186" s="25">
        <f>IFERROR(VLOOKUP(E186,'ESTRUCTURA CODIGO'!$H$2:$L$612,4,FALSE)," ")</f>
        <v>0</v>
      </c>
    </row>
    <row r="187" spans="1:8" x14ac:dyDescent="0.3">
      <c r="A187" s="25">
        <v>185</v>
      </c>
      <c r="B187" s="25">
        <v>16</v>
      </c>
      <c r="C187" s="25">
        <v>63</v>
      </c>
      <c r="D187" s="25">
        <v>361</v>
      </c>
      <c r="E187" s="30" t="str">
        <f t="shared" si="5"/>
        <v>16-63-361</v>
      </c>
      <c r="F187" s="13" t="str">
        <f>IFERROR(VLOOKUP(E187,'ESTRUCTURA CODIGO'!$H$2:$J$1048576,2,FALSE)," ")</f>
        <v>TORO IDAL TRIFASICO 250A/5mA (HUAWEI)</v>
      </c>
      <c r="G187" s="25" t="str">
        <f>IFERROR(VLOOKUP(E187,'ESTRUCTURA CODIGO'!$H$2:$J$1048576,3,FALSE)," ")</f>
        <v>UND</v>
      </c>
      <c r="H187" s="25">
        <f>IFERROR(VLOOKUP(E187,'ESTRUCTURA CODIGO'!$H$2:$L$612,4,FALSE)," ")</f>
        <v>0</v>
      </c>
    </row>
    <row r="188" spans="1:8" x14ac:dyDescent="0.3">
      <c r="A188" s="25">
        <v>186</v>
      </c>
      <c r="B188" s="25">
        <v>16</v>
      </c>
      <c r="C188" s="25">
        <v>63</v>
      </c>
      <c r="D188" s="25">
        <v>362</v>
      </c>
      <c r="E188" s="30" t="str">
        <f t="shared" si="5"/>
        <v>16-63-362</v>
      </c>
      <c r="F188" s="13" t="str">
        <f>IFERROR(VLOOKUP(E188,'ESTRUCTURA CODIGO'!$H$2:$J$1048576,2,FALSE)," ")</f>
        <v>TORO IDAL 100A/50mA</v>
      </c>
      <c r="G188" s="25" t="str">
        <f>IFERROR(VLOOKUP(E188,'ESTRUCTURA CODIGO'!$H$2:$J$1048576,3,FALSE)," ")</f>
        <v>UND</v>
      </c>
      <c r="H188" s="25">
        <f>IFERROR(VLOOKUP(E188,'ESTRUCTURA CODIGO'!$H$2:$L$612,4,FALSE)," ")</f>
        <v>0</v>
      </c>
    </row>
    <row r="189" spans="1:8" x14ac:dyDescent="0.3">
      <c r="A189" s="25">
        <v>187</v>
      </c>
      <c r="B189" s="25">
        <v>16</v>
      </c>
      <c r="C189" s="25">
        <v>63</v>
      </c>
      <c r="D189" s="25">
        <v>363</v>
      </c>
      <c r="E189" s="30" t="str">
        <f t="shared" si="5"/>
        <v>16-63-363</v>
      </c>
      <c r="F189" s="13" t="str">
        <f>IFERROR(VLOOKUP(E189,'ESTRUCTURA CODIGO'!$H$2:$J$1048576,2,FALSE)," ")</f>
        <v>TORO IDAL 100A/40mA</v>
      </c>
      <c r="G189" s="25" t="str">
        <f>IFERROR(VLOOKUP(E189,'ESTRUCTURA CODIGO'!$H$2:$J$1048576,3,FALSE)," ")</f>
        <v>UND</v>
      </c>
      <c r="H189" s="25">
        <f>IFERROR(VLOOKUP(E189,'ESTRUCTURA CODIGO'!$H$2:$L$612,4,FALSE)," ")</f>
        <v>0</v>
      </c>
    </row>
    <row r="190" spans="1:8" x14ac:dyDescent="0.3">
      <c r="A190" s="25">
        <v>188</v>
      </c>
      <c r="B190" s="25">
        <v>16</v>
      </c>
      <c r="C190" s="25">
        <v>63</v>
      </c>
      <c r="D190" s="25">
        <v>364</v>
      </c>
      <c r="E190" s="30" t="str">
        <f t="shared" si="5"/>
        <v>16-63-364</v>
      </c>
      <c r="F190" s="13" t="str">
        <f>IFERROR(VLOOKUP(E190,'ESTRUCTURA CODIGO'!$H$2:$J$1048576,2,FALSE)," ")</f>
        <v>TORO IDAL 250A/5A (LOVATO)</v>
      </c>
      <c r="G190" s="25" t="str">
        <f>IFERROR(VLOOKUP(E190,'ESTRUCTURA CODIGO'!$H$2:$J$1048576,3,FALSE)," ")</f>
        <v>UND</v>
      </c>
      <c r="H190" s="25">
        <f>IFERROR(VLOOKUP(E190,'ESTRUCTURA CODIGO'!$H$2:$L$612,4,FALSE)," ")</f>
        <v>0</v>
      </c>
    </row>
    <row r="191" spans="1:8" x14ac:dyDescent="0.3">
      <c r="A191" s="25">
        <v>189</v>
      </c>
      <c r="B191" s="25">
        <v>16</v>
      </c>
      <c r="C191" s="25">
        <v>63</v>
      </c>
      <c r="D191" s="25">
        <v>365</v>
      </c>
      <c r="E191" s="30" t="str">
        <f t="shared" si="5"/>
        <v>16-63-365</v>
      </c>
      <c r="F191" s="13" t="str">
        <f>IFERROR(VLOOKUP(E191,'ESTRUCTURA CODIGO'!$H$2:$J$1048576,2,FALSE)," ")</f>
        <v>TORO IDAL 200A/5A (LOVATO)</v>
      </c>
      <c r="G191" s="25" t="str">
        <f>IFERROR(VLOOKUP(E191,'ESTRUCTURA CODIGO'!$H$2:$J$1048576,3,FALSE)," ")</f>
        <v>UND</v>
      </c>
      <c r="H191" s="25">
        <f>IFERROR(VLOOKUP(E191,'ESTRUCTURA CODIGO'!$H$2:$L$612,4,FALSE)," ")</f>
        <v>0</v>
      </c>
    </row>
    <row r="192" spans="1:8" x14ac:dyDescent="0.3">
      <c r="A192" s="25">
        <v>190</v>
      </c>
      <c r="B192" s="25">
        <v>16</v>
      </c>
      <c r="C192" s="25">
        <v>63</v>
      </c>
      <c r="D192" s="25">
        <v>366</v>
      </c>
      <c r="E192" s="30" t="str">
        <f t="shared" si="5"/>
        <v>16-63-366</v>
      </c>
      <c r="F192" s="13" t="str">
        <f>IFERROR(VLOOKUP(E192,'ESTRUCTURA CODIGO'!$H$2:$J$1048576,2,FALSE)," ")</f>
        <v>TORO IDAL 400A/5A (SACI)</v>
      </c>
      <c r="G192" s="25" t="str">
        <f>IFERROR(VLOOKUP(E192,'ESTRUCTURA CODIGO'!$H$2:$J$1048576,3,FALSE)," ")</f>
        <v>UND</v>
      </c>
      <c r="H192" s="25">
        <f>IFERROR(VLOOKUP(E192,'ESTRUCTURA CODIGO'!$H$2:$L$612,4,FALSE)," ")</f>
        <v>0</v>
      </c>
    </row>
    <row r="193" spans="1:8" x14ac:dyDescent="0.3">
      <c r="A193" s="25">
        <v>191</v>
      </c>
      <c r="B193" s="25">
        <v>16</v>
      </c>
      <c r="C193" s="25">
        <v>63</v>
      </c>
      <c r="D193" s="25">
        <v>367</v>
      </c>
      <c r="E193" s="30" t="str">
        <f t="shared" si="5"/>
        <v>16-63-367</v>
      </c>
      <c r="F193" s="13" t="str">
        <f>IFERROR(VLOOKUP(E193,'ESTRUCTURA CODIGO'!$H$2:$J$1048576,2,FALSE)," ")</f>
        <v>TORO IDAL 600A/5A (SACI)</v>
      </c>
      <c r="G193" s="25" t="str">
        <f>IFERROR(VLOOKUP(E193,'ESTRUCTURA CODIGO'!$H$2:$J$1048576,3,FALSE)," ")</f>
        <v>UND</v>
      </c>
      <c r="H193" s="25">
        <f>IFERROR(VLOOKUP(E193,'ESTRUCTURA CODIGO'!$H$2:$L$612,4,FALSE)," ")</f>
        <v>0</v>
      </c>
    </row>
    <row r="194" spans="1:8" x14ac:dyDescent="0.3">
      <c r="A194" s="25">
        <v>192</v>
      </c>
      <c r="B194" s="25">
        <v>16</v>
      </c>
      <c r="C194" s="25">
        <v>63</v>
      </c>
      <c r="D194" s="25">
        <v>368</v>
      </c>
      <c r="E194" s="30" t="str">
        <f t="shared" si="5"/>
        <v>16-63-368</v>
      </c>
      <c r="F194" s="13" t="str">
        <f>IFERROR(VLOOKUP(E194,'ESTRUCTURA CODIGO'!$H$2:$J$1048576,2,FALSE)," ")</f>
        <v>TORO IDAL CT-100 P/MICROINVERSORES (ENPHASE)</v>
      </c>
      <c r="G194" s="25" t="str">
        <f>IFERROR(VLOOKUP(E194,'ESTRUCTURA CODIGO'!$H$2:$J$1048576,3,FALSE)," ")</f>
        <v>UND</v>
      </c>
      <c r="H194" s="25">
        <f>IFERROR(VLOOKUP(E194,'ESTRUCTURA CODIGO'!$H$2:$L$612,4,FALSE)," ")</f>
        <v>0</v>
      </c>
    </row>
    <row r="195" spans="1:8" x14ac:dyDescent="0.3">
      <c r="A195" s="25">
        <v>193</v>
      </c>
      <c r="B195" s="9">
        <v>16</v>
      </c>
      <c r="C195" s="9">
        <v>33</v>
      </c>
      <c r="D195" s="9">
        <v>369</v>
      </c>
      <c r="E195" s="30" t="str">
        <f t="shared" si="5"/>
        <v>16-33-369</v>
      </c>
      <c r="F195" s="13" t="str">
        <f>IFERROR(VLOOKUP(E195,'ESTRUCTURA CODIGO'!$H$2:$J$1048576,2,FALSE)," ")</f>
        <v>OPTIMIZADOR TS4-A-O (TIGO)</v>
      </c>
      <c r="G195" s="25" t="str">
        <f>IFERROR(VLOOKUP(E195,'ESTRUCTURA CODIGO'!$H$2:$J$1048576,3,FALSE)," ")</f>
        <v>UND</v>
      </c>
      <c r="H195" s="25">
        <f>IFERROR(VLOOKUP(E195,'ESTRUCTURA CODIGO'!$H$2:$L$612,4,FALSE)," ")</f>
        <v>0</v>
      </c>
    </row>
    <row r="196" spans="1:8" x14ac:dyDescent="0.3">
      <c r="A196" s="25">
        <v>194</v>
      </c>
      <c r="B196" s="25">
        <v>16</v>
      </c>
      <c r="C196" s="25">
        <v>65</v>
      </c>
      <c r="D196" s="25">
        <v>370</v>
      </c>
      <c r="E196" s="30" t="str">
        <f t="shared" si="5"/>
        <v>16-65-370</v>
      </c>
      <c r="F196" s="13" t="str">
        <f>IFERROR(VLOOKUP(E196,'ESTRUCTURA CODIGO'!$H$2:$J$1048576,2,FALSE)," ")</f>
        <v>ANTENA LSW-3 (IGEN)</v>
      </c>
      <c r="G196" s="25" t="str">
        <f>IFERROR(VLOOKUP(E196,'ESTRUCTURA CODIGO'!$H$2:$J$1048576,3,FALSE)," ")</f>
        <v>UND</v>
      </c>
      <c r="H196" s="25">
        <f>IFERROR(VLOOKUP(E196,'ESTRUCTURA CODIGO'!$H$2:$L$612,4,FALSE)," ")</f>
        <v>0</v>
      </c>
    </row>
    <row r="197" spans="1:8" x14ac:dyDescent="0.3">
      <c r="A197" s="25">
        <v>195</v>
      </c>
      <c r="B197" s="25">
        <v>16</v>
      </c>
      <c r="C197" s="25">
        <v>55</v>
      </c>
      <c r="D197" s="25">
        <v>371</v>
      </c>
      <c r="E197" s="30" t="str">
        <f t="shared" si="5"/>
        <v>16-55-371</v>
      </c>
      <c r="F197" s="13" t="str">
        <f>IFERROR(VLOOKUP(E197,'ESTRUCTURA CODIGO'!$H$2:$J$1048576,2,FALSE)," ")</f>
        <v>MEDIDOR ESM1-EQX (SALICRU)</v>
      </c>
      <c r="G197" s="25" t="str">
        <f>IFERROR(VLOOKUP(E197,'ESTRUCTURA CODIGO'!$H$2:$J$1048576,3,FALSE)," ")</f>
        <v>UND</v>
      </c>
      <c r="H197" s="25">
        <f>IFERROR(VLOOKUP(E197,'ESTRUCTURA CODIGO'!$H$2:$L$612,4,FALSE)," ")</f>
        <v>0</v>
      </c>
    </row>
    <row r="198" spans="1:8" x14ac:dyDescent="0.3">
      <c r="A198" s="25">
        <v>196</v>
      </c>
      <c r="B198" s="25">
        <v>16</v>
      </c>
      <c r="C198" s="25">
        <v>13</v>
      </c>
      <c r="D198" s="25">
        <v>372</v>
      </c>
      <c r="E198" s="30" t="str">
        <f t="shared" si="5"/>
        <v>16-13-372</v>
      </c>
      <c r="F198" s="13" t="str">
        <f>IFERROR(VLOOKUP(E198,'ESTRUCTURA CODIGO'!$H$2:$J$1048576,2,FALSE)," ")</f>
        <v>KIT CABLE BATERIA ARK</v>
      </c>
      <c r="G198" s="25" t="str">
        <f>IFERROR(VLOOKUP(E198,'ESTRUCTURA CODIGO'!$H$2:$J$1048576,3,FALSE)," ")</f>
        <v>UND</v>
      </c>
      <c r="H198" s="25">
        <f>IFERROR(VLOOKUP(E198,'ESTRUCTURA CODIGO'!$H$2:$L$612,4,FALSE)," ")</f>
        <v>0</v>
      </c>
    </row>
    <row r="199" spans="1:8" x14ac:dyDescent="0.3">
      <c r="A199" s="25">
        <v>197</v>
      </c>
      <c r="B199" s="25">
        <v>16</v>
      </c>
      <c r="C199" s="25">
        <v>63</v>
      </c>
      <c r="D199" s="25">
        <v>373</v>
      </c>
      <c r="E199" s="30" t="str">
        <f t="shared" si="5"/>
        <v>16-63-373</v>
      </c>
      <c r="F199" s="13" t="str">
        <f>IFERROR(VLOOKUP(E199,'ESTRUCTURA CODIGO'!$H$2:$J$1048576,2,FALSE)," ")</f>
        <v>TORO IDAL 90A SPH (LEM)</v>
      </c>
      <c r="G199" s="25" t="str">
        <f>IFERROR(VLOOKUP(E199,'ESTRUCTURA CODIGO'!$H$2:$J$1048576,3,FALSE)," ")</f>
        <v>UND</v>
      </c>
      <c r="H199" s="25">
        <f>IFERROR(VLOOKUP(E199,'ESTRUCTURA CODIGO'!$H$2:$L$612,4,FALSE)," ")</f>
        <v>0</v>
      </c>
    </row>
    <row r="200" spans="1:8" x14ac:dyDescent="0.3">
      <c r="A200" s="25">
        <v>198</v>
      </c>
      <c r="B200" s="25">
        <v>16</v>
      </c>
      <c r="C200" s="25">
        <v>55</v>
      </c>
      <c r="D200" s="25">
        <v>374</v>
      </c>
      <c r="E200" s="30" t="str">
        <f t="shared" si="5"/>
        <v>16-55-374</v>
      </c>
      <c r="F200" s="13" t="str">
        <f>IFERROR(VLOOKUP(E200,'ESTRUCTURA CODIGO'!$H$2:$J$1048576,2,FALSE)," ")</f>
        <v>MEDIDOR FRONIUS SMART METER TRIFASICO M/INDIRECTA</v>
      </c>
      <c r="G200" s="25" t="str">
        <f>IFERROR(VLOOKUP(E200,'ESTRUCTURA CODIGO'!$H$2:$J$1048576,3,FALSE)," ")</f>
        <v>UND</v>
      </c>
      <c r="H200" s="25">
        <f>IFERROR(VLOOKUP(E200,'ESTRUCTURA CODIGO'!$H$2:$L$612,4,FALSE)," ")</f>
        <v>0</v>
      </c>
    </row>
    <row r="201" spans="1:8" x14ac:dyDescent="0.3">
      <c r="A201" s="25">
        <v>199</v>
      </c>
      <c r="B201" s="25">
        <v>16</v>
      </c>
      <c r="C201" s="25">
        <v>55</v>
      </c>
      <c r="D201" s="25">
        <v>375</v>
      </c>
      <c r="E201" s="30" t="str">
        <f t="shared" si="5"/>
        <v>16-55-375</v>
      </c>
      <c r="F201" s="13" t="str">
        <f>IFERROR(VLOOKUP(E201,'ESTRUCTURA CODIGO'!$H$2:$J$1048576,2,FALSE)," ")</f>
        <v>MEDIDOR FRONIUS 63A-1 MONOFASICO M/DIRECTA</v>
      </c>
      <c r="G201" s="25" t="str">
        <f>IFERROR(VLOOKUP(E201,'ESTRUCTURA CODIGO'!$H$2:$J$1048576,3,FALSE)," ")</f>
        <v>UND</v>
      </c>
      <c r="H201" s="25">
        <f>IFERROR(VLOOKUP(E201,'ESTRUCTURA CODIGO'!$H$2:$L$612,4,FALSE)," ")</f>
        <v>0</v>
      </c>
    </row>
    <row r="202" spans="1:8" x14ac:dyDescent="0.3">
      <c r="A202" s="25">
        <v>200</v>
      </c>
      <c r="B202" s="25">
        <v>16</v>
      </c>
      <c r="C202" s="25">
        <v>55</v>
      </c>
      <c r="D202" s="25">
        <v>376</v>
      </c>
      <c r="E202" s="30" t="str">
        <f t="shared" si="5"/>
        <v>16-55-376</v>
      </c>
      <c r="F202" s="13" t="str">
        <f>IFERROR(VLOOKUP(E202,'ESTRUCTURA CODIGO'!$H$2:$J$1048576,2,FALSE)," ")</f>
        <v>MEDIDOR FRONIUS 63A TRIFASICO M/DIRECTA</v>
      </c>
      <c r="G202" s="25" t="str">
        <f>IFERROR(VLOOKUP(E202,'ESTRUCTURA CODIGO'!$H$2:$J$1048576,3,FALSE)," ")</f>
        <v>UND</v>
      </c>
      <c r="H202" s="25">
        <f>IFERROR(VLOOKUP(E202,'ESTRUCTURA CODIGO'!$H$2:$L$612,4,FALSE)," ")</f>
        <v>0</v>
      </c>
    </row>
    <row r="203" spans="1:8" x14ac:dyDescent="0.3">
      <c r="A203" s="25">
        <v>201</v>
      </c>
      <c r="B203" s="25">
        <v>16</v>
      </c>
      <c r="C203" s="25">
        <v>66</v>
      </c>
      <c r="D203" s="25">
        <v>377</v>
      </c>
      <c r="E203" s="30" t="str">
        <f t="shared" si="5"/>
        <v>16-66-377</v>
      </c>
      <c r="F203" s="13" t="str">
        <f>IFERROR(VLOOKUP(E203,'ESTRUCTURA CODIGO'!$H$2:$J$1048576,2,FALSE)," ")</f>
        <v>RELED DE RED Q-RELAY 3P-INT (ENPHASE)</v>
      </c>
      <c r="G203" s="25" t="str">
        <f>IFERROR(VLOOKUP(E203,'ESTRUCTURA CODIGO'!$H$2:$J$1048576,3,FALSE)," ")</f>
        <v>UND</v>
      </c>
      <c r="H203" s="25">
        <f>IFERROR(VLOOKUP(E203,'ESTRUCTURA CODIGO'!$H$2:$L$612,4,FALSE)," ")</f>
        <v>0</v>
      </c>
    </row>
    <row r="204" spans="1:8" x14ac:dyDescent="0.3">
      <c r="A204" s="25">
        <v>202</v>
      </c>
      <c r="B204" s="25">
        <v>16</v>
      </c>
      <c r="C204" s="25">
        <v>13</v>
      </c>
      <c r="D204" s="25">
        <v>378</v>
      </c>
      <c r="E204" s="30" t="str">
        <f t="shared" si="5"/>
        <v>16-13-378</v>
      </c>
      <c r="F204" s="13" t="str">
        <f>IFERROR(VLOOKUP(E204,'ESTRUCTURA CODIGO'!$H$2:$J$1048576,2,FALSE)," ")</f>
        <v>KIT MEDIDOR TORO IDAL M/INDIRECTA (CHINT)</v>
      </c>
      <c r="G204" s="25" t="str">
        <f>IFERROR(VLOOKUP(E204,'ESTRUCTURA CODIGO'!$H$2:$J$1048576,3,FALSE)," ")</f>
        <v>UND</v>
      </c>
      <c r="H204" s="25">
        <f>IFERROR(VLOOKUP(E204,'ESTRUCTURA CODIGO'!$H$2:$L$612,4,FALSE)," ")</f>
        <v>0</v>
      </c>
    </row>
    <row r="205" spans="1:8" x14ac:dyDescent="0.3">
      <c r="A205" s="25">
        <v>203</v>
      </c>
      <c r="B205" s="25">
        <v>16</v>
      </c>
      <c r="C205" s="25">
        <v>55</v>
      </c>
      <c r="D205" s="25">
        <v>379</v>
      </c>
      <c r="E205" s="30" t="str">
        <f t="shared" si="5"/>
        <v>16-55-379</v>
      </c>
      <c r="F205" s="13" t="str">
        <f>IFERROR(VLOOKUP(E205,'ESTRUCTURA CODIGO'!$H$2:$J$1048576,2,FALSE)," ")</f>
        <v>MEDIDOR MONOFASICO M/INDIRECTA (CHINT)</v>
      </c>
      <c r="G205" s="25" t="str">
        <f>IFERROR(VLOOKUP(E205,'ESTRUCTURA CODIGO'!$H$2:$J$1048576,3,FALSE)," ")</f>
        <v>UND</v>
      </c>
      <c r="H205" s="25">
        <f>IFERROR(VLOOKUP(E205,'ESTRUCTURA CODIGO'!$H$2:$L$612,4,FALSE)," ")</f>
        <v>0</v>
      </c>
    </row>
    <row r="206" spans="1:8" ht="28.8" x14ac:dyDescent="0.3">
      <c r="A206" s="25">
        <v>204</v>
      </c>
      <c r="B206" s="25">
        <v>16</v>
      </c>
      <c r="C206" s="25">
        <v>50</v>
      </c>
      <c r="D206" s="25">
        <v>380</v>
      </c>
      <c r="E206" s="30" t="str">
        <f t="shared" si="5"/>
        <v>16-50-380</v>
      </c>
      <c r="F206" s="13" t="str">
        <f>IFERROR(VLOOKUP(E206,'ESTRUCTURA CODIGO'!$H$2:$J$1048576,2,FALSE)," ")</f>
        <v>FUSIBLE 25A</v>
      </c>
      <c r="G206" s="25" t="str">
        <f>IFERROR(VLOOKUP(E206,'ESTRUCTURA CODIGO'!$H$2:$J$1048576,3,FALSE)," ")</f>
        <v>UND</v>
      </c>
      <c r="H206" s="25" t="str">
        <f>IFERROR(VLOOKUP(E206,'ESTRUCTURA CODIGO'!$H$2:$L$612,4,FALSE)," ")</f>
        <v>BELTRAN Y CRIADO</v>
      </c>
    </row>
    <row r="207" spans="1:8" ht="28.8" x14ac:dyDescent="0.3">
      <c r="A207" s="25">
        <v>205</v>
      </c>
      <c r="B207" s="25">
        <v>13</v>
      </c>
      <c r="C207" s="25">
        <v>67</v>
      </c>
      <c r="D207" s="25">
        <v>381</v>
      </c>
      <c r="E207" s="30" t="str">
        <f t="shared" si="5"/>
        <v>13-67-381</v>
      </c>
      <c r="F207" s="13" t="str">
        <f>IFERROR(VLOOKUP(E207,'ESTRUCTURA CODIGO'!$H$2:$J$1048576,2,FALSE)," ")</f>
        <v>CANALETA PLASTICA 40X40</v>
      </c>
      <c r="G207" s="25" t="str">
        <f>IFERROR(VLOOKUP(E207,'ESTRUCTURA CODIGO'!$H$2:$J$1048576,3,FALSE)," ")</f>
        <v>UND</v>
      </c>
      <c r="H207" s="25" t="str">
        <f>IFERROR(VLOOKUP(E207,'ESTRUCTURA CODIGO'!$H$2:$L$612,4,FALSE)," ")</f>
        <v>BELTRAN Y CRIADO</v>
      </c>
    </row>
    <row r="208" spans="1:8" ht="28.8" x14ac:dyDescent="0.3">
      <c r="A208" s="25">
        <v>206</v>
      </c>
      <c r="B208" s="25">
        <v>13</v>
      </c>
      <c r="C208" s="25">
        <v>67</v>
      </c>
      <c r="D208" s="25">
        <v>382</v>
      </c>
      <c r="E208" s="30" t="str">
        <f t="shared" si="5"/>
        <v>13-67-382</v>
      </c>
      <c r="F208" s="13" t="str">
        <f>IFERROR(VLOOKUP(E208,'ESTRUCTURA CODIGO'!$H$2:$J$1048576,2,FALSE)," ")</f>
        <v>CANALETA PLASTICA 60X40</v>
      </c>
      <c r="G208" s="25" t="str">
        <f>IFERROR(VLOOKUP(E208,'ESTRUCTURA CODIGO'!$H$2:$J$1048576,3,FALSE)," ")</f>
        <v>UND</v>
      </c>
      <c r="H208" s="25" t="str">
        <f>IFERROR(VLOOKUP(E208,'ESTRUCTURA CODIGO'!$H$2:$L$612,4,FALSE)," ")</f>
        <v>BELTRAN Y CRIADO</v>
      </c>
    </row>
    <row r="209" spans="1:8" x14ac:dyDescent="0.3">
      <c r="A209" s="25">
        <v>207</v>
      </c>
      <c r="B209" s="25">
        <v>16</v>
      </c>
      <c r="C209" s="25">
        <v>45</v>
      </c>
      <c r="D209" s="25">
        <v>383</v>
      </c>
      <c r="E209" s="30" t="str">
        <f t="shared" si="5"/>
        <v>16-45-383</v>
      </c>
      <c r="F209" s="13" t="str">
        <f>IFERROR(VLOOKUP(E209,'ESTRUCTURA CODIGO'!$H$2:$J$1048576,2,FALSE)," ")</f>
        <v xml:space="preserve">CAJA BLANCA P/BATERIA (DYNNES) </v>
      </c>
      <c r="G209" s="25" t="str">
        <f>IFERROR(VLOOKUP(E209,'ESTRUCTURA CODIGO'!$H$2:$J$1048576,3,FALSE)," ")</f>
        <v>UND</v>
      </c>
      <c r="H209" s="25" t="str">
        <f>IFERROR(VLOOKUP(E209,'ESTRUCTURA CODIGO'!$H$2:$L$612,4,FALSE)," ")</f>
        <v>INVERSOLAR</v>
      </c>
    </row>
    <row r="210" spans="1:8" ht="28.8" x14ac:dyDescent="0.3">
      <c r="A210" s="25">
        <v>208</v>
      </c>
      <c r="B210" s="25">
        <v>7</v>
      </c>
      <c r="C210" s="25">
        <v>68</v>
      </c>
      <c r="D210" s="25">
        <v>384</v>
      </c>
      <c r="E210" s="30" t="str">
        <f t="shared" si="5"/>
        <v>7-68-384</v>
      </c>
      <c r="F210" s="13" t="str">
        <f>IFERROR(VLOOKUP(E210,'ESTRUCTURA CODIGO'!$H$2:$J$1048576,2,FALSE)," ")</f>
        <v>TECHO SIN ENVOLVENTE FWE12FT FONCOIL D/AGUA (DAIKIN)</v>
      </c>
      <c r="G210" s="25" t="str">
        <f>IFERROR(VLOOKUP(E210,'ESTRUCTURA CODIGO'!$H$2:$J$1048576,3,FALSE)," ")</f>
        <v>UND</v>
      </c>
      <c r="H210" s="25" t="str">
        <f>IFERROR(VLOOKUP(E210,'ESTRUCTURA CODIGO'!$H$2:$L$612,4,FALSE)," ")</f>
        <v>FERRETERIA UBETENSE</v>
      </c>
    </row>
    <row r="211" spans="1:8" ht="28.8" x14ac:dyDescent="0.3">
      <c r="A211" s="25">
        <v>209</v>
      </c>
      <c r="B211" s="25">
        <v>16</v>
      </c>
      <c r="C211" s="25">
        <v>69</v>
      </c>
      <c r="D211" s="25">
        <v>385</v>
      </c>
      <c r="E211" s="30" t="str">
        <f t="shared" si="5"/>
        <v>16-69-385</v>
      </c>
      <c r="F211" s="13" t="str">
        <f>IFERROR(VLOOKUP(E211,'ESTRUCTURA CODIGO'!$H$2:$J$1048576,2,FALSE)," ")</f>
        <v>TERMOSTATO ELECTRONICO FWEC1A FANCOIL (DAIKIN)</v>
      </c>
      <c r="G211" s="25" t="str">
        <f>IFERROR(VLOOKUP(E211,'ESTRUCTURA CODIGO'!$H$2:$J$1048576,3,FALSE)," ")</f>
        <v>UND</v>
      </c>
      <c r="H211" s="25" t="str">
        <f>IFERROR(VLOOKUP(E211,'ESTRUCTURA CODIGO'!$H$2:$L$612,4,FALSE)," ")</f>
        <v>FERRETERIA UBETENSE</v>
      </c>
    </row>
    <row r="212" spans="1:8" ht="28.8" x14ac:dyDescent="0.3">
      <c r="A212" s="25">
        <v>210</v>
      </c>
      <c r="B212" s="25">
        <v>16</v>
      </c>
      <c r="C212" s="25">
        <v>10</v>
      </c>
      <c r="D212" s="25">
        <v>386</v>
      </c>
      <c r="E212" s="30" t="str">
        <f t="shared" si="5"/>
        <v>16-10-386</v>
      </c>
      <c r="F212" s="13" t="str">
        <f>IFERROR(VLOOKUP(E212,'ESTRUCTURA CODIGO'!$H$2:$J$1048576,2,FALSE)," ")</f>
        <v>VALVULA 3 VIAS 3/4 M-M 313134 P/FANCOIS (WATTS)</v>
      </c>
      <c r="G212" s="25" t="str">
        <f>IFERROR(VLOOKUP(E212,'ESTRUCTURA CODIGO'!$H$2:$J$1048576,3,FALSE)," ")</f>
        <v>UND</v>
      </c>
      <c r="H212" s="25" t="str">
        <f>IFERROR(VLOOKUP(E212,'ESTRUCTURA CODIGO'!$H$2:$L$612,4,FALSE)," ")</f>
        <v>FERRETERIA UBETENSE</v>
      </c>
    </row>
    <row r="213" spans="1:8" ht="28.8" x14ac:dyDescent="0.3">
      <c r="A213" s="25">
        <v>211</v>
      </c>
      <c r="B213" s="25">
        <v>16</v>
      </c>
      <c r="C213" s="25">
        <v>70</v>
      </c>
      <c r="D213" s="25">
        <v>387</v>
      </c>
      <c r="E213" s="30" t="str">
        <f t="shared" si="5"/>
        <v>16-70-387</v>
      </c>
      <c r="F213" s="13" t="str">
        <f>IFERROR(VLOOKUP(E213,'ESTRUCTURA CODIGO'!$H$2:$J$1048576,2,FALSE)," ")</f>
        <v>ACTUADOR 230V PARA V/FANCOIL 22CX230NC2 (WATTS)</v>
      </c>
      <c r="G213" s="25" t="str">
        <f>IFERROR(VLOOKUP(E213,'ESTRUCTURA CODIGO'!$H$2:$J$1048576,3,FALSE)," ")</f>
        <v>UND</v>
      </c>
      <c r="H213" s="25" t="str">
        <f>IFERROR(VLOOKUP(E213,'ESTRUCTURA CODIGO'!$H$2:$L$612,4,FALSE)," ")</f>
        <v>FERRETERIA UBETENSE</v>
      </c>
    </row>
    <row r="214" spans="1:8" ht="28.8" x14ac:dyDescent="0.3">
      <c r="A214" s="25">
        <v>212</v>
      </c>
      <c r="B214" s="25">
        <v>8</v>
      </c>
      <c r="C214" s="25">
        <v>27</v>
      </c>
      <c r="D214" s="25">
        <v>388</v>
      </c>
      <c r="E214" s="30" t="str">
        <f t="shared" si="5"/>
        <v>8-27-388</v>
      </c>
      <c r="F214" s="13" t="str">
        <f>IFERROR(VLOOKUP(E214,'ESTRUCTURA CODIGO'!$H$2:$J$1048576,2,FALSE)," ")</f>
        <v>TORNILLO A/GALVANIZADO CON C/HEZAGONAL, R/COMPLETA, C/ARANDELA Y AUTOTALADRANTE 6.3X35</v>
      </c>
      <c r="G214" s="25" t="str">
        <f>IFERROR(VLOOKUP(E214,'ESTRUCTURA CODIGO'!$H$2:$J$1048576,3,FALSE)," ")</f>
        <v>UND</v>
      </c>
      <c r="H214" s="25" t="str">
        <f>IFERROR(VLOOKUP(E214,'ESTRUCTURA CODIGO'!$H$2:$L$612,4,FALSE)," ")</f>
        <v>RECA</v>
      </c>
    </row>
    <row r="215" spans="1:8" x14ac:dyDescent="0.3">
      <c r="A215" s="25">
        <v>213</v>
      </c>
      <c r="B215" s="25">
        <v>18</v>
      </c>
      <c r="C215" s="25">
        <v>71</v>
      </c>
      <c r="D215" s="25">
        <v>389</v>
      </c>
      <c r="E215" s="30" t="str">
        <f t="shared" si="5"/>
        <v>18-71-389</v>
      </c>
      <c r="F215" s="13" t="str">
        <f>IFERROR(VLOOKUP(E215,'ESTRUCTURA CODIGO'!$H$2:$J$1048576,2,FALSE)," ")</f>
        <v>BROCA HELICOIDAL CONICA 8,5mm</v>
      </c>
      <c r="G215" s="25" t="str">
        <f>IFERROR(VLOOKUP(E215,'ESTRUCTURA CODIGO'!$H$2:$J$1048576,3,FALSE)," ")</f>
        <v>UND</v>
      </c>
      <c r="H215" s="25" t="str">
        <f>IFERROR(VLOOKUP(E215,'ESTRUCTURA CODIGO'!$H$2:$L$612,4,FALSE)," ")</f>
        <v>RECA</v>
      </c>
    </row>
    <row r="216" spans="1:8" x14ac:dyDescent="0.3">
      <c r="A216" s="25">
        <v>214</v>
      </c>
      <c r="B216" s="25">
        <v>13</v>
      </c>
      <c r="C216" s="25">
        <v>67</v>
      </c>
      <c r="D216" s="25">
        <v>390</v>
      </c>
      <c r="E216" s="30" t="str">
        <f t="shared" si="5"/>
        <v>13-67-390</v>
      </c>
      <c r="F216" s="13" t="str">
        <f>IFERROR(VLOOKUP(E216,'ESTRUCTURA CODIGO'!$H$2:$J$1048576,2,FALSE)," ")</f>
        <v>CANALETA PLASTICA 60X60</v>
      </c>
      <c r="G216" s="25" t="str">
        <f>IFERROR(VLOOKUP(E216,'ESTRUCTURA CODIGO'!$H$2:$J$1048576,3,FALSE)," ")</f>
        <v>UND</v>
      </c>
      <c r="H216" s="25" t="str">
        <f>IFERROR(VLOOKUP(E216,'ESTRUCTURA CODIGO'!$H$2:$L$612,4,FALSE)," ")</f>
        <v>ECLIMEN</v>
      </c>
    </row>
    <row r="217" spans="1:8" x14ac:dyDescent="0.3">
      <c r="A217" s="25">
        <v>215</v>
      </c>
      <c r="B217" s="25">
        <v>16</v>
      </c>
      <c r="C217" s="25">
        <v>72</v>
      </c>
      <c r="D217" s="25">
        <v>391</v>
      </c>
      <c r="E217" s="30" t="str">
        <f t="shared" si="5"/>
        <v>16-72-391</v>
      </c>
      <c r="F217" s="13" t="str">
        <f>IFERROR(VLOOKUP(E217,'ESTRUCTURA CODIGO'!$H$2:$J$1048576,2,FALSE)," ")</f>
        <v>RESISTENCIA D/ENCENDIDO 260W 1B-20X15X6-0 (2016)</v>
      </c>
      <c r="G217" s="25" t="str">
        <f>IFERROR(VLOOKUP(E217,'ESTRUCTURA CODIGO'!$H$2:$J$1048576,3,FALSE)," ")</f>
        <v>UND</v>
      </c>
      <c r="H217" s="25" t="str">
        <f>IFERROR(VLOOKUP(E217,'ESTRUCTURA CODIGO'!$H$2:$L$612,4,FALSE)," ")</f>
        <v>ECOFOREST</v>
      </c>
    </row>
    <row r="218" spans="1:8" x14ac:dyDescent="0.3">
      <c r="A218" s="25">
        <v>216</v>
      </c>
      <c r="B218" s="25">
        <v>16</v>
      </c>
      <c r="C218" s="25">
        <v>73</v>
      </c>
      <c r="D218" s="25">
        <v>392</v>
      </c>
      <c r="E218" s="30" t="str">
        <f t="shared" si="5"/>
        <v>16-73-392</v>
      </c>
      <c r="F218" s="13" t="str">
        <f>IFERROR(VLOOKUP(E218,'ESTRUCTURA CODIGO'!$H$2:$J$1048576,2,FALSE)," ")</f>
        <v>CRISTAL PARA PUERTA EAM/EH/MV</v>
      </c>
      <c r="G218" s="25" t="str">
        <f>IFERROR(VLOOKUP(E218,'ESTRUCTURA CODIGO'!$H$2:$J$1048576,3,FALSE)," ")</f>
        <v>UND</v>
      </c>
      <c r="H218" s="25" t="str">
        <f>IFERROR(VLOOKUP(E218,'ESTRUCTURA CODIGO'!$H$2:$L$612,4,FALSE)," ")</f>
        <v>ECOFOREST</v>
      </c>
    </row>
    <row r="219" spans="1:8" x14ac:dyDescent="0.3">
      <c r="A219" s="25">
        <v>217</v>
      </c>
      <c r="B219" s="25">
        <v>7</v>
      </c>
      <c r="C219" s="25">
        <v>26</v>
      </c>
      <c r="D219" s="25">
        <v>393</v>
      </c>
      <c r="E219" s="30" t="str">
        <f t="shared" si="5"/>
        <v>7-26-393</v>
      </c>
      <c r="F219" s="13" t="str">
        <f>IFERROR(VLOOKUP(E219,'ESTRUCTURA CODIGO'!$H$2:$J$1048576,2,FALSE)," ")</f>
        <v>ESTACION DE CARGA THOR 22AS-S GROWATT</v>
      </c>
      <c r="G219" s="25" t="str">
        <f>IFERROR(VLOOKUP(E219,'ESTRUCTURA CODIGO'!$H$2:$J$1048576,3,FALSE)," ")</f>
        <v>UND</v>
      </c>
      <c r="H219" s="25" t="str">
        <f>IFERROR(VLOOKUP(E219,'ESTRUCTURA CODIGO'!$H$2:$L$612,4,FALSE)," ")</f>
        <v>INVERSOLAR</v>
      </c>
    </row>
    <row r="220" spans="1:8" ht="28.8" x14ac:dyDescent="0.3">
      <c r="A220" s="25">
        <v>218</v>
      </c>
      <c r="B220" s="25">
        <v>6</v>
      </c>
      <c r="C220" s="25">
        <v>74</v>
      </c>
      <c r="D220" s="25">
        <v>394</v>
      </c>
      <c r="E220" s="30" t="str">
        <f t="shared" si="5"/>
        <v>6-74-394</v>
      </c>
      <c r="F220" s="13" t="str">
        <f>IFERROR(VLOOKUP(E220,'ESTRUCTURA CODIGO'!$H$2:$J$1048576,2,FALSE)," ")</f>
        <v>REPUESTO LUNA LUMIX FUNDIDA T/GRANDE 135X95mm (SML111-02) (SOLAR)</v>
      </c>
      <c r="G220" s="25" t="str">
        <f>IFERROR(VLOOKUP(E220,'ESTRUCTURA CODIGO'!$H$2:$J$1048576,3,FALSE)," ")</f>
        <v>UND</v>
      </c>
      <c r="H220" s="25" t="str">
        <f>IFERROR(VLOOKUP(E220,'ESTRUCTURA CODIGO'!$H$2:$L$612,4,FALSE)," ")</f>
        <v>SOLAR</v>
      </c>
    </row>
    <row r="221" spans="1:8" ht="28.8" x14ac:dyDescent="0.3">
      <c r="A221" s="25">
        <v>219</v>
      </c>
      <c r="B221" s="25">
        <v>7</v>
      </c>
      <c r="C221" s="25">
        <v>75</v>
      </c>
      <c r="D221" s="25">
        <v>395</v>
      </c>
      <c r="E221" s="30" t="str">
        <f t="shared" si="5"/>
        <v>7-75-395</v>
      </c>
      <c r="F221" s="13" t="str">
        <f>IFERROR(VLOOKUP(E221,'ESTRUCTURA CODIGO'!$H$2:$J$1048576,2,FALSE)," ")</f>
        <v>REPUESTO VENTILADOR TANGENCIAL DCHA (BOCA304X40mm) Ꝋ rotor 60mm)</v>
      </c>
      <c r="G221" s="25" t="str">
        <f>IFERROR(VLOOKUP(E221,'ESTRUCTURA CODIGO'!$H$2:$J$1048576,3,FALSE)," ")</f>
        <v>UND</v>
      </c>
      <c r="H221" s="25" t="str">
        <f>IFERROR(VLOOKUP(E221,'ESTRUCTURA CODIGO'!$H$2:$L$612,4,FALSE)," ")</f>
        <v>SOLAR</v>
      </c>
    </row>
    <row r="222" spans="1:8" x14ac:dyDescent="0.3">
      <c r="A222" s="25">
        <v>220</v>
      </c>
      <c r="B222" s="25">
        <v>16</v>
      </c>
      <c r="C222" s="25">
        <v>31</v>
      </c>
      <c r="D222" s="25">
        <v>396</v>
      </c>
      <c r="E222" s="30" t="str">
        <f t="shared" si="5"/>
        <v>16-31-396</v>
      </c>
      <c r="F222" s="13" t="str">
        <f>IFERROR(VLOOKUP(E222,'ESTRUCTURA CODIGO'!$H$2:$J$1048576,2,FALSE)," ")</f>
        <v>REPUESTO CABLE FIAT 1.5mm TARJETA-DISPLAY 16 PINES</v>
      </c>
      <c r="G222" s="25" t="str">
        <f>IFERROR(VLOOKUP(E222,'ESTRUCTURA CODIGO'!$H$2:$J$1048576,3,FALSE)," ")</f>
        <v>UND</v>
      </c>
      <c r="H222" s="25" t="str">
        <f>IFERROR(VLOOKUP(E222,'ESTRUCTURA CODIGO'!$H$2:$L$612,4,FALSE)," ")</f>
        <v>SOLAR</v>
      </c>
    </row>
    <row r="223" spans="1:8" x14ac:dyDescent="0.3">
      <c r="A223" s="25">
        <v>221</v>
      </c>
      <c r="B223" s="25">
        <v>16</v>
      </c>
      <c r="C223" s="25">
        <v>76</v>
      </c>
      <c r="D223" s="25">
        <v>397</v>
      </c>
      <c r="E223" s="30" t="str">
        <f t="shared" si="5"/>
        <v>16-76-397</v>
      </c>
      <c r="F223" s="13" t="str">
        <f>IFERROR(VLOOKUP(E223,'ESTRUCTURA CODIGO'!$H$2:$J$1048576,2,FALSE)," ")</f>
        <v>RACK MURAL S.ABI1260 12U 635X600X600mm</v>
      </c>
      <c r="G223" s="25" t="str">
        <f>IFERROR(VLOOKUP(E223,'ESTRUCTURA CODIGO'!$H$2:$J$1048576,3,FALSE)," ")</f>
        <v>UND</v>
      </c>
      <c r="H223" s="25" t="str">
        <f>IFERROR(VLOOKUP(E223,'ESTRUCTURA CODIGO'!$H$2:$L$612,4,FALSE)," ")</f>
        <v>COTO</v>
      </c>
    </row>
    <row r="224" spans="1:8" ht="28.8" x14ac:dyDescent="0.3">
      <c r="A224" s="25">
        <v>222</v>
      </c>
      <c r="B224" s="25">
        <v>18</v>
      </c>
      <c r="C224" s="25">
        <v>77</v>
      </c>
      <c r="D224" s="25">
        <v>398</v>
      </c>
      <c r="E224" s="30" t="str">
        <f t="shared" si="5"/>
        <v>18-77-398</v>
      </c>
      <c r="F224" s="13" t="str">
        <f>IFERROR(VLOOKUP(E224,'ESTRUCTURA CODIGO'!$H$2:$J$1048576,2,FALSE)," ")</f>
        <v>PINZA AMPERIMETRICA SMART PA420MINIKPS</v>
      </c>
      <c r="G224" s="25" t="str">
        <f>IFERROR(VLOOKUP(E224,'ESTRUCTURA CODIGO'!$H$2:$J$1048576,3,FALSE)," ")</f>
        <v>UND</v>
      </c>
      <c r="H224" s="25" t="str">
        <f>IFERROR(VLOOKUP(E224,'ESTRUCTURA CODIGO'!$H$2:$L$612,4,FALSE)," ")</f>
        <v>SALVADOR ESCODA</v>
      </c>
    </row>
    <row r="225" spans="1:8" x14ac:dyDescent="0.3">
      <c r="A225" s="25">
        <v>223</v>
      </c>
      <c r="B225" s="25">
        <v>7</v>
      </c>
      <c r="C225" s="25">
        <v>78</v>
      </c>
      <c r="D225" s="25">
        <v>399</v>
      </c>
      <c r="E225" s="30" t="str">
        <f t="shared" si="5"/>
        <v>7-78-399</v>
      </c>
      <c r="F225" s="13" t="str">
        <f>IFERROR(VLOOKUP(E225,'ESTRUCTURA CODIGO'!$H$2:$J$1048576,2,FALSE)," ")</f>
        <v>ACUMULADOR AEROTERMICO HTW-AT-200SR290A</v>
      </c>
      <c r="G225" s="25" t="str">
        <f>IFERROR(VLOOKUP(E225,'ESTRUCTURA CODIGO'!$H$2:$J$1048576,3,FALSE)," ")</f>
        <v>UND</v>
      </c>
      <c r="H225" s="25" t="str">
        <f>IFERROR(VLOOKUP(E225,'ESTRUCTURA CODIGO'!$H$2:$L$612,4,FALSE)," ")</f>
        <v>JAEN CLIMA</v>
      </c>
    </row>
    <row r="226" spans="1:8" ht="28.8" x14ac:dyDescent="0.3">
      <c r="A226" s="25">
        <v>224</v>
      </c>
      <c r="B226" s="25">
        <v>7</v>
      </c>
      <c r="C226" s="25">
        <v>79</v>
      </c>
      <c r="D226" s="25">
        <v>400</v>
      </c>
      <c r="E226" s="30" t="str">
        <f t="shared" si="5"/>
        <v>7-79-400</v>
      </c>
      <c r="F226" s="13" t="str">
        <f>IFERROR(VLOOKUP(E226,'ESTRUCTURA CODIGO'!$H$2:$J$1048576,2,FALSE)," ")</f>
        <v>DESCALCIFICADOR KINETICO ESSENTIAL 11lts</v>
      </c>
      <c r="G226" s="25" t="str">
        <f>IFERROR(VLOOKUP(E226,'ESTRUCTURA CODIGO'!$H$2:$J$1048576,3,FALSE)," ")</f>
        <v>UND</v>
      </c>
      <c r="H226" s="25" t="str">
        <f>IFERROR(VLOOKUP(E226,'ESTRUCTURA CODIGO'!$H$2:$L$612,4,FALSE)," ")</f>
        <v>FERRETERIA UBETENSE</v>
      </c>
    </row>
    <row r="227" spans="1:8" x14ac:dyDescent="0.3">
      <c r="A227" s="25">
        <v>225</v>
      </c>
      <c r="B227" s="25">
        <v>7</v>
      </c>
      <c r="C227" s="25">
        <v>80</v>
      </c>
      <c r="D227" s="25">
        <v>401</v>
      </c>
      <c r="E227" s="30" t="str">
        <f t="shared" si="5"/>
        <v>7-80-401</v>
      </c>
      <c r="F227" s="13" t="str">
        <f>IFERROR(VLOOKUP(E227,'ESTRUCTURA CODIGO'!$H$2:$J$1048576,2,FALSE)," ")</f>
        <v>CHIMENEA NETFLAME 10KW CANALIZABLE</v>
      </c>
      <c r="G227" s="25" t="str">
        <f>IFERROR(VLOOKUP(E227,'ESTRUCTURA CODIGO'!$H$2:$J$1048576,3,FALSE)," ")</f>
        <v>UND</v>
      </c>
      <c r="H227" s="25" t="str">
        <f>IFERROR(VLOOKUP(E227,'ESTRUCTURA CODIGO'!$H$2:$L$612,4,FALSE)," ")</f>
        <v>ECOFOREST</v>
      </c>
    </row>
    <row r="228" spans="1:8" x14ac:dyDescent="0.3">
      <c r="A228" s="25">
        <v>226</v>
      </c>
      <c r="B228" s="25">
        <v>16</v>
      </c>
      <c r="C228" s="25">
        <v>13</v>
      </c>
      <c r="D228" s="25">
        <v>402</v>
      </c>
      <c r="E228" s="30" t="str">
        <f t="shared" si="5"/>
        <v>16-13-402</v>
      </c>
      <c r="F228" s="13" t="str">
        <f>IFERROR(VLOOKUP(E228,'ESTRUCTURA CODIGO'!$H$2:$J$1048576,2,FALSE)," ")</f>
        <v>KIT CABLE M4 H/M AIKO 610WP (LATIGUILLO)</v>
      </c>
      <c r="G228" s="25" t="str">
        <f>IFERROR(VLOOKUP(E228,'ESTRUCTURA CODIGO'!$H$2:$J$1048576,3,FALSE)," ")</f>
        <v>UND</v>
      </c>
      <c r="H228" s="25" t="str">
        <f>IFERROR(VLOOKUP(E228,'ESTRUCTURA CODIGO'!$H$2:$L$612,4,FALSE)," ")</f>
        <v>BET SOLAR</v>
      </c>
    </row>
    <row r="229" spans="1:8" x14ac:dyDescent="0.3">
      <c r="A229" s="25">
        <v>227</v>
      </c>
      <c r="B229" s="25">
        <v>12</v>
      </c>
      <c r="C229" s="25">
        <v>38</v>
      </c>
      <c r="D229" s="25">
        <v>403</v>
      </c>
      <c r="E229" s="30" t="str">
        <f t="shared" si="5"/>
        <v>12-38-403</v>
      </c>
      <c r="F229" s="13" t="str">
        <f>IFERROR(VLOOKUP(E229,'ESTRUCTURA CODIGO'!$H$2:$J$1048576,2,FALSE)," ")</f>
        <v>MODULO PLACA SOLAR AIKO-A610-MAH72MW</v>
      </c>
      <c r="G229" s="25" t="str">
        <f>IFERROR(VLOOKUP(E229,'ESTRUCTURA CODIGO'!$H$2:$J$1048576,3,FALSE)," ")</f>
        <v>UND</v>
      </c>
      <c r="H229" s="25" t="str">
        <f>IFERROR(VLOOKUP(E229,'ESTRUCTURA CODIGO'!$H$2:$L$612,4,FALSE)," ")</f>
        <v>BET SOLAR</v>
      </c>
    </row>
    <row r="230" spans="1:8" x14ac:dyDescent="0.3">
      <c r="A230" s="25">
        <v>228</v>
      </c>
      <c r="B230" s="25">
        <v>7</v>
      </c>
      <c r="C230" s="25">
        <v>54</v>
      </c>
      <c r="D230" s="25">
        <v>404</v>
      </c>
      <c r="E230" s="30" t="str">
        <f t="shared" si="5"/>
        <v>7-54-404</v>
      </c>
      <c r="F230" s="13" t="str">
        <f>IFERROR(VLOOKUP(E230,'ESTRUCTURA CODIGO'!$H$2:$J$1048576,2,FALSE)," ")</f>
        <v>BATERIA RECARGABLE LITHIUM DL10 POWERBOX G2 (DYNESS)</v>
      </c>
      <c r="G230" s="25" t="str">
        <f>IFERROR(VLOOKUP(E230,'ESTRUCTURA CODIGO'!$H$2:$J$1048576,3,FALSE)," ")</f>
        <v>UND</v>
      </c>
      <c r="H230" s="25" t="str">
        <f>IFERROR(VLOOKUP(E230,'ESTRUCTURA CODIGO'!$H$2:$L$612,4,FALSE)," ")</f>
        <v>INVERSOLAR</v>
      </c>
    </row>
    <row r="231" spans="1:8" x14ac:dyDescent="0.3">
      <c r="A231" s="25">
        <v>229</v>
      </c>
      <c r="B231" s="25">
        <v>19</v>
      </c>
      <c r="C231" s="25">
        <v>81</v>
      </c>
      <c r="D231" s="25">
        <v>405</v>
      </c>
      <c r="E231" s="30" t="str">
        <f t="shared" si="5"/>
        <v>19-81-405</v>
      </c>
      <c r="F231" s="13" t="str">
        <f>IFERROR(VLOOKUP(E231,'ESTRUCTURA CODIGO'!$H$2:$J$1048576,2,FALSE)," ")</f>
        <v>GUANTE PRO NEGRO T-9</v>
      </c>
      <c r="G231" s="25" t="str">
        <f>IFERROR(VLOOKUP(E231,'ESTRUCTURA CODIGO'!$H$2:$J$1048576,3,FALSE)," ")</f>
        <v>PAR</v>
      </c>
      <c r="H231" s="25" t="str">
        <f>IFERROR(VLOOKUP(E231,'ESTRUCTURA CODIGO'!$H$2:$L$612,4,FALSE)," ")</f>
        <v>RECA</v>
      </c>
    </row>
    <row r="232" spans="1:8" ht="28.8" x14ac:dyDescent="0.3">
      <c r="A232" s="25">
        <v>230</v>
      </c>
      <c r="B232" s="25">
        <v>7</v>
      </c>
      <c r="C232" s="25">
        <v>82</v>
      </c>
      <c r="D232" s="25">
        <v>406</v>
      </c>
      <c r="E232" s="30" t="str">
        <f t="shared" si="5"/>
        <v>7-82-406</v>
      </c>
      <c r="F232" s="13" t="str">
        <f>IFERROR(VLOOKUP(E232,'ESTRUCTURA CODIGO'!$H$2:$J$1048576,2,FALSE)," ")</f>
        <v>AIRE ACONDICIONADO COMPLETO SPLIT D/PARED SU12H6 (SUNECO)</v>
      </c>
      <c r="G232" s="25" t="str">
        <f>IFERROR(VLOOKUP(E232,'ESTRUCTURA CODIGO'!$H$2:$J$1048576,3,FALSE)," ")</f>
        <v>UND</v>
      </c>
      <c r="H232" s="25" t="str">
        <f>IFERROR(VLOOKUP(E232,'ESTRUCTURA CODIGO'!$H$2:$L$612,4,FALSE)," ")</f>
        <v>FERRETERIA UBETENSE</v>
      </c>
    </row>
    <row r="233" spans="1:8" ht="28.8" x14ac:dyDescent="0.3">
      <c r="A233" s="25">
        <v>231</v>
      </c>
      <c r="B233" s="25">
        <v>8</v>
      </c>
      <c r="C233" s="25">
        <v>27</v>
      </c>
      <c r="D233" s="25">
        <v>407</v>
      </c>
      <c r="E233" s="30" t="str">
        <f t="shared" si="5"/>
        <v>8-27-407</v>
      </c>
      <c r="F233" s="13" t="str">
        <f>IFERROR(VLOOKUP(E233,'ESTRUCTURA CODIGO'!$H$2:$J$1048576,2,FALSE)," ")</f>
        <v>TORNILLO AUTOTALADRANTE CON C/HEXAGONAL - R/PARCIAL - ARANDELA CAUCHO 3X90mm  A/GALV.</v>
      </c>
      <c r="G233" s="25" t="str">
        <f>IFERROR(VLOOKUP(E233,'ESTRUCTURA CODIGO'!$H$2:$J$1048576,3,FALSE)," ")</f>
        <v>UND</v>
      </c>
      <c r="H233" s="25" t="str">
        <f>IFERROR(VLOOKUP(E233,'ESTRUCTURA CODIGO'!$H$2:$L$612,4,FALSE)," ")</f>
        <v>WURTH
RECA</v>
      </c>
    </row>
    <row r="234" spans="1:8" x14ac:dyDescent="0.3">
      <c r="A234" s="25">
        <v>232</v>
      </c>
      <c r="B234" s="25">
        <v>16</v>
      </c>
      <c r="C234" s="25">
        <v>4</v>
      </c>
      <c r="D234" s="25">
        <v>408</v>
      </c>
      <c r="E234" s="30" t="str">
        <f t="shared" si="5"/>
        <v>16-4-408</v>
      </c>
      <c r="F234" s="13" t="str">
        <f>IFERROR(VLOOKUP(E234,'ESTRUCTURA CODIGO'!$H$2:$J$1048576,2,FALSE)," ")</f>
        <v>ABRAZADERA ESPECIAL P/TUBO PVC 32mm</v>
      </c>
      <c r="G234" s="25" t="str">
        <f>IFERROR(VLOOKUP(E234,'ESTRUCTURA CODIGO'!$H$2:$J$1048576,3,FALSE)," ")</f>
        <v>UND</v>
      </c>
      <c r="H234" s="25" t="str">
        <f>IFERROR(VLOOKUP(E234,'ESTRUCTURA CODIGO'!$H$2:$L$612,4,FALSE)," ")</f>
        <v>ECLIMEN</v>
      </c>
    </row>
    <row r="235" spans="1:8" x14ac:dyDescent="0.3">
      <c r="A235" s="25">
        <v>233</v>
      </c>
      <c r="B235" s="25">
        <v>20</v>
      </c>
      <c r="C235" s="25">
        <v>83</v>
      </c>
      <c r="D235" s="25">
        <v>409</v>
      </c>
      <c r="E235" s="30" t="str">
        <f t="shared" si="5"/>
        <v>20-83-409</v>
      </c>
      <c r="F235" s="13" t="str">
        <f>IFERROR(VLOOKUP(E235,'ESTRUCTURA CODIGO'!$H$2:$J$1048576,2,FALSE)," ")</f>
        <v>TAMIZ NYLON 16X85</v>
      </c>
      <c r="G235" s="25" t="str">
        <f>IFERROR(VLOOKUP(E235,'ESTRUCTURA CODIGO'!$H$2:$J$1048576,3,FALSE)," ")</f>
        <v>UND</v>
      </c>
      <c r="H235" s="25" t="str">
        <f>IFERROR(VLOOKUP(E235,'ESTRUCTURA CODIGO'!$H$2:$L$612,4,FALSE)," ")</f>
        <v>RECA</v>
      </c>
    </row>
    <row r="236" spans="1:8" ht="28.8" x14ac:dyDescent="0.3">
      <c r="A236" s="25">
        <v>234</v>
      </c>
      <c r="B236" s="25">
        <v>16</v>
      </c>
      <c r="C236" s="25">
        <v>35</v>
      </c>
      <c r="D236" s="25">
        <v>410</v>
      </c>
      <c r="E236" s="30" t="str">
        <f t="shared" si="5"/>
        <v>16-35-410</v>
      </c>
      <c r="F236" s="13" t="str">
        <f>IFERROR(VLOOKUP(E236,'ESTRUCTURA CODIGO'!$H$2:$J$1048576,2,FALSE)," ")</f>
        <v>INVERSOR C/RED TRIFASICO 10KTL3-HU 10KW SUPPLY C/BACKUP INCORPORADO Y PREPARADO PARA BATERIA APX (GROTWATT)</v>
      </c>
      <c r="G236" s="25" t="str">
        <f>IFERROR(VLOOKUP(E236,'ESTRUCTURA CODIGO'!$H$2:$J$1048576,3,FALSE)," ")</f>
        <v>UND</v>
      </c>
      <c r="H236" s="25" t="str">
        <f>IFERROR(VLOOKUP(E236,'ESTRUCTURA CODIGO'!$H$2:$L$612,4,FALSE)," ")</f>
        <v>COTO</v>
      </c>
    </row>
    <row r="237" spans="1:8" x14ac:dyDescent="0.3">
      <c r="A237" s="25">
        <v>235</v>
      </c>
      <c r="B237" s="25">
        <v>21</v>
      </c>
      <c r="C237" s="25">
        <v>84</v>
      </c>
      <c r="D237" s="25">
        <v>411</v>
      </c>
      <c r="E237" s="30" t="str">
        <f t="shared" si="5"/>
        <v>21-84-411</v>
      </c>
      <c r="F237" s="13" t="str">
        <f>IFERROR(VLOOKUP(E237,'ESTRUCTURA CODIGO'!$H$2:$J$1048576,2,FALSE)," ")</f>
        <v>PAPEL BLANCO BOBLE CAPA PARA LIMPIEZA 2.5 KG</v>
      </c>
      <c r="G237" s="25" t="str">
        <f>IFERROR(VLOOKUP(E237,'ESTRUCTURA CODIGO'!$H$2:$J$1048576,3,FALSE)," ")</f>
        <v>UND</v>
      </c>
      <c r="H237" s="25" t="str">
        <f>IFERROR(VLOOKUP(E237,'ESTRUCTURA CODIGO'!$H$2:$L$612,4,FALSE)," ")</f>
        <v>RECA</v>
      </c>
    </row>
    <row r="238" spans="1:8" x14ac:dyDescent="0.3">
      <c r="A238" s="25">
        <v>236</v>
      </c>
      <c r="B238" s="25">
        <v>16</v>
      </c>
      <c r="C238" s="25">
        <v>31</v>
      </c>
      <c r="D238" s="25">
        <v>412</v>
      </c>
      <c r="E238" s="30" t="str">
        <f t="shared" si="5"/>
        <v>16-31-412</v>
      </c>
      <c r="F238" s="13" t="str">
        <f>IFERROR(VLOOKUP(E238,'ESTRUCTURA CODIGO'!$H$2:$J$1048576,2,FALSE)," ")</f>
        <v>CABLE UTP RJ45 1.8m (VICTRON ENERGY)</v>
      </c>
      <c r="G238" s="25" t="str">
        <f>IFERROR(VLOOKUP(E238,'ESTRUCTURA CODIGO'!$H$2:$J$1048576,3,FALSE)," ")</f>
        <v>UND</v>
      </c>
      <c r="H238" s="25" t="str">
        <f>IFERROR(VLOOKUP(E238,'ESTRUCTURA CODIGO'!$H$2:$L$612,4,FALSE)," ")</f>
        <v>INVERSOLAR</v>
      </c>
    </row>
    <row r="239" spans="1:8" ht="28.8" x14ac:dyDescent="0.3">
      <c r="A239" s="25">
        <v>237</v>
      </c>
      <c r="B239" s="25">
        <v>7</v>
      </c>
      <c r="C239" s="25">
        <v>85</v>
      </c>
      <c r="D239" s="25">
        <v>413</v>
      </c>
      <c r="E239" s="30" t="str">
        <f t="shared" si="5"/>
        <v>7-85-413</v>
      </c>
      <c r="F239" s="13" t="str">
        <f>IFERROR(VLOOKUP(E239,'ESTRUCTURA CODIGO'!$H$2:$J$1048576,2,FALSE)," ")</f>
        <v>UNIDAD EXTERIOR DE BAMBA DE CALOR WH-UD12HE5 (PANASONIC)</v>
      </c>
      <c r="G239" s="25" t="str">
        <f>IFERROR(VLOOKUP(E239,'ESTRUCTURA CODIGO'!$H$2:$J$1048576,3,FALSE)," ")</f>
        <v>UND</v>
      </c>
      <c r="H239" s="25" t="str">
        <f>IFERROR(VLOOKUP(E239,'ESTRUCTURA CODIGO'!$H$2:$L$612,4,FALSE)," ")</f>
        <v>FERRETERIA UBETENSE</v>
      </c>
    </row>
    <row r="240" spans="1:8" ht="28.8" x14ac:dyDescent="0.3">
      <c r="A240" s="25">
        <v>238</v>
      </c>
      <c r="B240" s="25">
        <v>16</v>
      </c>
      <c r="C240" s="25">
        <v>69</v>
      </c>
      <c r="D240" s="25">
        <v>414</v>
      </c>
      <c r="E240" s="30" t="str">
        <f t="shared" si="5"/>
        <v>16-69-414</v>
      </c>
      <c r="F240" s="13" t="str">
        <f>IFERROR(VLOOKUP(E240,'ESTRUCTURA CODIGO'!$H$2:$J$1048576,2,FALSE)," ")</f>
        <v>TERMOSTATO ELECTRONICO ROOM ECO-FACIL-RADIO (MUNDO CONTROL)</v>
      </c>
      <c r="G240" s="25" t="str">
        <f>IFERROR(VLOOKUP(E240,'ESTRUCTURA CODIGO'!$H$2:$J$1048576,3,FALSE)," ")</f>
        <v>UND</v>
      </c>
      <c r="H240" s="25">
        <f>IFERROR(VLOOKUP(E240,'ESTRUCTURA CODIGO'!$H$2:$L$612,4,FALSE)," ")</f>
        <v>0</v>
      </c>
    </row>
    <row r="241" spans="1:8" x14ac:dyDescent="0.3">
      <c r="A241" s="25">
        <v>239</v>
      </c>
      <c r="B241" s="25">
        <v>16</v>
      </c>
      <c r="C241" s="25">
        <v>86</v>
      </c>
      <c r="D241" s="25">
        <v>415</v>
      </c>
      <c r="E241" s="30" t="str">
        <f t="shared" si="5"/>
        <v>16-86-415</v>
      </c>
      <c r="F241" s="13" t="str">
        <f>IFERROR(VLOOKUP(E241,'ESTRUCTURA CODIGO'!$H$2:$J$1048576,2,FALSE)," ")</f>
        <v>SOPORTE EN L PARA BANDEJA ELECTRICA</v>
      </c>
      <c r="G241" s="25" t="str">
        <f>IFERROR(VLOOKUP(E241,'ESTRUCTURA CODIGO'!$H$2:$J$1048576,3,FALSE)," ")</f>
        <v>UND</v>
      </c>
      <c r="H241" s="25">
        <f>IFERROR(VLOOKUP(E241,'ESTRUCTURA CODIGO'!$H$2:$L$612,4,FALSE)," ")</f>
        <v>0</v>
      </c>
    </row>
    <row r="242" spans="1:8" ht="28.8" x14ac:dyDescent="0.3">
      <c r="A242" s="25">
        <v>240</v>
      </c>
      <c r="B242" s="25">
        <v>16</v>
      </c>
      <c r="C242" s="25">
        <v>56</v>
      </c>
      <c r="D242" s="25">
        <v>416</v>
      </c>
      <c r="E242" s="30" t="str">
        <f t="shared" si="5"/>
        <v>16-56-416</v>
      </c>
      <c r="F242" s="13" t="str">
        <f>IFERROR(VLOOKUP(E242,'ESTRUCTURA CODIGO'!$H$2:$J$1048576,2,FALSE)," ")</f>
        <v>METER TRIFASICO 230/400Vac C/BOBINA INCORPORADA(GROWATT)</v>
      </c>
      <c r="G242" s="25" t="str">
        <f>IFERROR(VLOOKUP(E242,'ESTRUCTURA CODIGO'!$H$2:$J$1048576,3,FALSE)," ")</f>
        <v>UND</v>
      </c>
      <c r="H242" s="25" t="str">
        <f>IFERROR(VLOOKUP(E242,'ESTRUCTURA CODIGO'!$H$2:$L$612,4,FALSE)," ")</f>
        <v>INVERSOLAR</v>
      </c>
    </row>
    <row r="243" spans="1:8" ht="28.8" x14ac:dyDescent="0.3">
      <c r="A243" s="25">
        <v>241</v>
      </c>
      <c r="B243" s="25">
        <v>16</v>
      </c>
      <c r="C243" s="25">
        <v>31</v>
      </c>
      <c r="D243" s="25">
        <v>417</v>
      </c>
      <c r="E243" s="30" t="str">
        <f t="shared" si="5"/>
        <v>16-31-417</v>
      </c>
      <c r="F243" s="13" t="str">
        <f>IFERROR(VLOOKUP(E243,'ESTRUCTURA CODIGO'!$H$2:$J$1048576,2,FALSE)," ")</f>
        <v>CABLE DE COMUNICACIÓN VE.Can to  CAN-bus BMS Type A 5m (VICTRON ENERGY)</v>
      </c>
      <c r="G243" s="25" t="str">
        <f>IFERROR(VLOOKUP(E243,'ESTRUCTURA CODIGO'!$H$2:$J$1048576,3,FALSE)," ")</f>
        <v>UND</v>
      </c>
      <c r="H243" s="25" t="str">
        <f>IFERROR(VLOOKUP(E243,'ESTRUCTURA CODIGO'!$H$2:$L$612,4,FALSE)," ")</f>
        <v>INVERSOLAR</v>
      </c>
    </row>
    <row r="244" spans="1:8" x14ac:dyDescent="0.3">
      <c r="A244" s="25">
        <v>242</v>
      </c>
      <c r="B244" s="25">
        <v>16</v>
      </c>
      <c r="C244" s="25">
        <v>87</v>
      </c>
      <c r="D244" s="25">
        <v>418</v>
      </c>
      <c r="E244" s="30" t="str">
        <f t="shared" ref="E244:E307" si="6">CONCATENATE(B244,"-",C244,"-",D244)</f>
        <v>16-87-418</v>
      </c>
      <c r="F244" s="13" t="str">
        <f>IFERROR(VLOOKUP(E244,'ESTRUCTURA CODIGO'!$H$2:$J$1048576,2,FALSE)," ")</f>
        <v>MODULO DE DISTRIBUCION LYNX POWER M10 (VICTRON ENERGY)</v>
      </c>
      <c r="G244" s="25" t="str">
        <f>IFERROR(VLOOKUP(E244,'ESTRUCTURA CODIGO'!$H$2:$J$1048576,3,FALSE)," ")</f>
        <v>UND</v>
      </c>
      <c r="H244" s="25" t="str">
        <f>IFERROR(VLOOKUP(E244,'ESTRUCTURA CODIGO'!$H$2:$L$612,4,FALSE)," ")</f>
        <v>INVERSOLAR</v>
      </c>
    </row>
    <row r="245" spans="1:8" ht="28.8" x14ac:dyDescent="0.3">
      <c r="A245" s="25">
        <v>243</v>
      </c>
      <c r="B245" s="25">
        <v>16</v>
      </c>
      <c r="C245" s="25">
        <v>31</v>
      </c>
      <c r="D245" s="25">
        <v>419</v>
      </c>
      <c r="E245" s="30" t="str">
        <f t="shared" si="6"/>
        <v>16-31-419</v>
      </c>
      <c r="F245" s="13" t="str">
        <f>IFERROR(VLOOKUP(E245,'ESTRUCTURA CODIGO'!$H$2:$J$1048576,2,FALSE)," ")</f>
        <v>CABLE DE COMUNICACIÓN INTERFAZ VE DIRECTA A USB (VICTRON ENERGY)</v>
      </c>
      <c r="G245" s="25" t="str">
        <f>IFERROR(VLOOKUP(E245,'ESTRUCTURA CODIGO'!$H$2:$J$1048576,3,FALSE)," ")</f>
        <v>UND</v>
      </c>
      <c r="H245" s="25" t="str">
        <f>IFERROR(VLOOKUP(E245,'ESTRUCTURA CODIGO'!$H$2:$L$612,4,FALSE)," ")</f>
        <v>INVERSOLAR</v>
      </c>
    </row>
    <row r="246" spans="1:8" x14ac:dyDescent="0.3">
      <c r="A246" s="25">
        <v>244</v>
      </c>
      <c r="B246" s="25">
        <v>7</v>
      </c>
      <c r="C246" s="25">
        <v>54</v>
      </c>
      <c r="D246" s="25">
        <v>420</v>
      </c>
      <c r="E246" s="30" t="str">
        <f t="shared" si="6"/>
        <v>7-54-420</v>
      </c>
      <c r="F246" s="13" t="str">
        <f>IFERROR(VLOOKUP(E246,'ESTRUCTURA CODIGO'!$H$2:$J$1048576,2,FALSE)," ")</f>
        <v>BATERIA SWITCH ON/OF 275A/48V M10 (VICTRON ENERGI)</v>
      </c>
      <c r="G246" s="25" t="str">
        <f>IFERROR(VLOOKUP(E246,'ESTRUCTURA CODIGO'!$H$2:$J$1048576,3,FALSE)," ")</f>
        <v>UND</v>
      </c>
      <c r="H246" s="25" t="str">
        <f>IFERROR(VLOOKUP(E246,'ESTRUCTURA CODIGO'!$H$2:$L$612,4,FALSE)," ")</f>
        <v>INVERSOLAR</v>
      </c>
    </row>
    <row r="247" spans="1:8" x14ac:dyDescent="0.3">
      <c r="A247" s="25">
        <v>245</v>
      </c>
      <c r="B247" s="25">
        <v>9</v>
      </c>
      <c r="C247" s="25">
        <v>2</v>
      </c>
      <c r="D247" s="25">
        <v>421</v>
      </c>
      <c r="E247" s="30" t="str">
        <f t="shared" si="6"/>
        <v>9-2-421</v>
      </c>
      <c r="F247" s="13" t="str">
        <f>IFERROR(VLOOKUP(E247,'ESTRUCTURA CODIGO'!$H$2:$J$1048576,2,FALSE)," ")</f>
        <v>TUBO ELECTRICO PVC 32mm - 3mt(AISCAN)</v>
      </c>
      <c r="G247" s="25" t="str">
        <f>IFERROR(VLOOKUP(E247,'ESTRUCTURA CODIGO'!$H$2:$J$1048576,3,FALSE)," ")</f>
        <v>UND</v>
      </c>
      <c r="H247" s="25" t="str">
        <f>IFERROR(VLOOKUP(E247,'ESTRUCTURA CODIGO'!$H$2:$L$612,4,FALSE)," ")</f>
        <v>ECLIMEN</v>
      </c>
    </row>
    <row r="248" spans="1:8" x14ac:dyDescent="0.3">
      <c r="A248" s="25">
        <v>246</v>
      </c>
      <c r="B248" s="25">
        <v>7</v>
      </c>
      <c r="C248" s="25">
        <v>38</v>
      </c>
      <c r="D248" s="25">
        <v>422</v>
      </c>
      <c r="E248" s="30" t="str">
        <f t="shared" si="6"/>
        <v>7-38-422</v>
      </c>
      <c r="F248" s="13" t="str">
        <f>IFERROR(VLOOKUP(E248,'ESTRUCTURA CODIGO'!$H$2:$J$1048576,2,FALSE)," ")</f>
        <v>PLACA SOLAR PS595M8GFH-24/TNH 595W (PHONO)</v>
      </c>
      <c r="G248" s="25" t="str">
        <f>IFERROR(VLOOKUP(E248,'ESTRUCTURA CODIGO'!$H$2:$J$1048576,3,FALSE)," ")</f>
        <v>UND</v>
      </c>
      <c r="H248" s="25">
        <f>IFERROR(VLOOKUP(E248,'ESTRUCTURA CODIGO'!$H$2:$L$612,4,FALSE)," ")</f>
        <v>0</v>
      </c>
    </row>
    <row r="249" spans="1:8" x14ac:dyDescent="0.3">
      <c r="A249" s="25">
        <v>247</v>
      </c>
      <c r="B249" s="25">
        <v>7</v>
      </c>
      <c r="C249" s="25">
        <v>54</v>
      </c>
      <c r="D249" s="25">
        <v>423</v>
      </c>
      <c r="E249" s="30" t="str">
        <f t="shared" si="6"/>
        <v>7-54-423</v>
      </c>
      <c r="F249" s="13" t="str">
        <f>IFERROR(VLOOKUP(E249,'ESTRUCTURA CODIGO'!$H$2:$J$1048576,2,FALSE)," ")</f>
        <v>BATERIA LFP LITHIUM DL5.OC RACK (DYNESS)</v>
      </c>
      <c r="G249" s="25" t="str">
        <f>IFERROR(VLOOKUP(E249,'ESTRUCTURA CODIGO'!$H$2:$J$1048576,3,FALSE)," ")</f>
        <v>UND</v>
      </c>
      <c r="H249" s="25" t="str">
        <f>IFERROR(VLOOKUP(E249,'ESTRUCTURA CODIGO'!$H$2:$L$612,4,FALSE)," ")</f>
        <v>INVERSOLAR</v>
      </c>
    </row>
    <row r="250" spans="1:8" x14ac:dyDescent="0.3">
      <c r="A250" s="25">
        <v>248</v>
      </c>
      <c r="B250" s="25"/>
      <c r="C250" s="25"/>
      <c r="D250" s="25"/>
      <c r="E250" s="30" t="str">
        <f t="shared" si="6"/>
        <v>--</v>
      </c>
      <c r="F250" s="13">
        <f>IFERROR(VLOOKUP(E250,'ESTRUCTURA CODIGO'!$H$2:$J$1048576,2,FALSE)," ")</f>
        <v>0</v>
      </c>
      <c r="G250" s="25">
        <f>IFERROR(VLOOKUP(E250,'ESTRUCTURA CODIGO'!$H$2:$J$1048576,3,FALSE)," ")</f>
        <v>0</v>
      </c>
      <c r="H250" s="25">
        <f>IFERROR(VLOOKUP(E250,'ESTRUCTURA CODIGO'!$H$2:$L$612,4,FALSE)," ")</f>
        <v>0</v>
      </c>
    </row>
    <row r="251" spans="1:8" x14ac:dyDescent="0.3">
      <c r="A251" s="25">
        <v>249</v>
      </c>
      <c r="B251" s="25"/>
      <c r="C251" s="25"/>
      <c r="D251" s="25"/>
      <c r="E251" s="30" t="str">
        <f t="shared" si="6"/>
        <v>--</v>
      </c>
      <c r="F251" s="13">
        <f>IFERROR(VLOOKUP(E251,'ESTRUCTURA CODIGO'!$H$2:$J$1048576,2,FALSE)," ")</f>
        <v>0</v>
      </c>
      <c r="G251" s="25">
        <f>IFERROR(VLOOKUP(E251,'ESTRUCTURA CODIGO'!$H$2:$J$1048576,3,FALSE)," ")</f>
        <v>0</v>
      </c>
      <c r="H251" s="25">
        <f>IFERROR(VLOOKUP(E251,'ESTRUCTURA CODIGO'!$H$2:$L$612,4,FALSE)," ")</f>
        <v>0</v>
      </c>
    </row>
    <row r="252" spans="1:8" x14ac:dyDescent="0.3">
      <c r="A252" s="25">
        <v>250</v>
      </c>
      <c r="B252" s="25"/>
      <c r="C252" s="25"/>
      <c r="D252" s="25"/>
      <c r="E252" s="30" t="str">
        <f t="shared" si="6"/>
        <v>--</v>
      </c>
      <c r="F252" s="13">
        <f>IFERROR(VLOOKUP(E252,'ESTRUCTURA CODIGO'!$H$2:$J$1048576,2,FALSE)," ")</f>
        <v>0</v>
      </c>
      <c r="G252" s="25">
        <f>IFERROR(VLOOKUP(E252,'ESTRUCTURA CODIGO'!$H$2:$J$1048576,3,FALSE)," ")</f>
        <v>0</v>
      </c>
      <c r="H252" s="25">
        <f>IFERROR(VLOOKUP(E252,'ESTRUCTURA CODIGO'!$H$2:$L$612,4,FALSE)," ")</f>
        <v>0</v>
      </c>
    </row>
    <row r="253" spans="1:8" x14ac:dyDescent="0.3">
      <c r="A253" s="25">
        <v>251</v>
      </c>
      <c r="B253" s="25"/>
      <c r="C253" s="25"/>
      <c r="D253" s="25"/>
      <c r="E253" s="30" t="str">
        <f t="shared" si="6"/>
        <v>--</v>
      </c>
      <c r="F253" s="13">
        <f>IFERROR(VLOOKUP(E253,'ESTRUCTURA CODIGO'!$H$2:$J$1048576,2,FALSE)," ")</f>
        <v>0</v>
      </c>
      <c r="G253" s="25">
        <f>IFERROR(VLOOKUP(E253,'ESTRUCTURA CODIGO'!$H$2:$J$1048576,3,FALSE)," ")</f>
        <v>0</v>
      </c>
      <c r="H253" s="25">
        <f>IFERROR(VLOOKUP(E253,'ESTRUCTURA CODIGO'!$H$2:$L$612,4,FALSE)," ")</f>
        <v>0</v>
      </c>
    </row>
    <row r="254" spans="1:8" x14ac:dyDescent="0.3">
      <c r="A254" s="25">
        <v>252</v>
      </c>
      <c r="B254" s="25"/>
      <c r="C254" s="25"/>
      <c r="D254" s="25"/>
      <c r="E254" s="30" t="str">
        <f t="shared" si="6"/>
        <v>--</v>
      </c>
      <c r="F254" s="13">
        <f>IFERROR(VLOOKUP(E254,'ESTRUCTURA CODIGO'!$H$2:$J$1048576,2,FALSE)," ")</f>
        <v>0</v>
      </c>
      <c r="G254" s="25">
        <f>IFERROR(VLOOKUP(E254,'ESTRUCTURA CODIGO'!$H$2:$J$1048576,3,FALSE)," ")</f>
        <v>0</v>
      </c>
      <c r="H254" s="25">
        <f>IFERROR(VLOOKUP(E254,'ESTRUCTURA CODIGO'!$H$2:$L$612,4,FALSE)," ")</f>
        <v>0</v>
      </c>
    </row>
    <row r="255" spans="1:8" x14ac:dyDescent="0.3">
      <c r="A255" s="25">
        <v>253</v>
      </c>
      <c r="B255" s="25"/>
      <c r="C255" s="25"/>
      <c r="D255" s="25"/>
      <c r="E255" s="30" t="str">
        <f t="shared" si="6"/>
        <v>--</v>
      </c>
      <c r="F255" s="13">
        <f>IFERROR(VLOOKUP(E255,'ESTRUCTURA CODIGO'!$H$2:$J$1048576,2,FALSE)," ")</f>
        <v>0</v>
      </c>
      <c r="G255" s="25">
        <f>IFERROR(VLOOKUP(E255,'ESTRUCTURA CODIGO'!$H$2:$J$1048576,3,FALSE)," ")</f>
        <v>0</v>
      </c>
      <c r="H255" s="25">
        <f>IFERROR(VLOOKUP(E255,'ESTRUCTURA CODIGO'!$H$2:$L$612,4,FALSE)," ")</f>
        <v>0</v>
      </c>
    </row>
    <row r="256" spans="1:8" x14ac:dyDescent="0.3">
      <c r="A256" s="25">
        <v>254</v>
      </c>
      <c r="B256" s="25"/>
      <c r="C256" s="25"/>
      <c r="D256" s="25"/>
      <c r="E256" s="30" t="str">
        <f t="shared" si="6"/>
        <v>--</v>
      </c>
      <c r="F256" s="13">
        <f>IFERROR(VLOOKUP(E256,'ESTRUCTURA CODIGO'!$H$2:$J$1048576,2,FALSE)," ")</f>
        <v>0</v>
      </c>
      <c r="G256" s="25">
        <f>IFERROR(VLOOKUP(E256,'ESTRUCTURA CODIGO'!$H$2:$J$1048576,3,FALSE)," ")</f>
        <v>0</v>
      </c>
      <c r="H256" s="25">
        <f>IFERROR(VLOOKUP(E256,'ESTRUCTURA CODIGO'!$H$2:$L$612,4,FALSE)," ")</f>
        <v>0</v>
      </c>
    </row>
    <row r="257" spans="1:8" x14ac:dyDescent="0.3">
      <c r="A257" s="25">
        <v>255</v>
      </c>
      <c r="B257" s="25"/>
      <c r="C257" s="25"/>
      <c r="D257" s="25"/>
      <c r="E257" s="30" t="str">
        <f t="shared" si="6"/>
        <v>--</v>
      </c>
      <c r="F257" s="13">
        <f>IFERROR(VLOOKUP(E257,'ESTRUCTURA CODIGO'!$H$2:$J$1048576,2,FALSE)," ")</f>
        <v>0</v>
      </c>
      <c r="G257" s="25">
        <f>IFERROR(VLOOKUP(E257,'ESTRUCTURA CODIGO'!$H$2:$J$1048576,3,FALSE)," ")</f>
        <v>0</v>
      </c>
      <c r="H257" s="25">
        <f>IFERROR(VLOOKUP(E257,'ESTRUCTURA CODIGO'!$H$2:$L$612,4,FALSE)," ")</f>
        <v>0</v>
      </c>
    </row>
    <row r="258" spans="1:8" x14ac:dyDescent="0.3">
      <c r="A258" s="25">
        <v>256</v>
      </c>
      <c r="B258" s="25"/>
      <c r="C258" s="25"/>
      <c r="D258" s="25"/>
      <c r="E258" s="30" t="str">
        <f t="shared" si="6"/>
        <v>--</v>
      </c>
      <c r="F258" s="13">
        <f>IFERROR(VLOOKUP(E258,'ESTRUCTURA CODIGO'!$H$2:$J$1048576,2,FALSE)," ")</f>
        <v>0</v>
      </c>
      <c r="G258" s="25">
        <f>IFERROR(VLOOKUP(E258,'ESTRUCTURA CODIGO'!$H$2:$J$1048576,3,FALSE)," ")</f>
        <v>0</v>
      </c>
      <c r="H258" s="25">
        <f>IFERROR(VLOOKUP(E258,'ESTRUCTURA CODIGO'!$H$2:$L$612,4,FALSE)," ")</f>
        <v>0</v>
      </c>
    </row>
    <row r="259" spans="1:8" x14ac:dyDescent="0.3">
      <c r="A259" s="25">
        <v>257</v>
      </c>
      <c r="B259" s="25"/>
      <c r="C259" s="25"/>
      <c r="D259" s="25"/>
      <c r="E259" s="30" t="str">
        <f t="shared" si="6"/>
        <v>--</v>
      </c>
      <c r="F259" s="13">
        <f>IFERROR(VLOOKUP(E259,'ESTRUCTURA CODIGO'!$H$2:$J$1048576,2,FALSE)," ")</f>
        <v>0</v>
      </c>
      <c r="G259" s="25">
        <f>IFERROR(VLOOKUP(E259,'ESTRUCTURA CODIGO'!$H$2:$J$1048576,3,FALSE)," ")</f>
        <v>0</v>
      </c>
      <c r="H259" s="25">
        <f>IFERROR(VLOOKUP(E259,'ESTRUCTURA CODIGO'!$H$2:$L$612,4,FALSE)," ")</f>
        <v>0</v>
      </c>
    </row>
    <row r="260" spans="1:8" x14ac:dyDescent="0.3">
      <c r="A260" s="25">
        <v>258</v>
      </c>
      <c r="B260" s="25"/>
      <c r="C260" s="25"/>
      <c r="D260" s="25"/>
      <c r="E260" s="30" t="str">
        <f t="shared" si="6"/>
        <v>--</v>
      </c>
      <c r="F260" s="13">
        <f>IFERROR(VLOOKUP(E260,'ESTRUCTURA CODIGO'!$H$2:$J$1048576,2,FALSE)," ")</f>
        <v>0</v>
      </c>
      <c r="G260" s="25">
        <f>IFERROR(VLOOKUP(E260,'ESTRUCTURA CODIGO'!$H$2:$J$1048576,3,FALSE)," ")</f>
        <v>0</v>
      </c>
      <c r="H260" s="25">
        <f>IFERROR(VLOOKUP(E260,'ESTRUCTURA CODIGO'!$H$2:$L$612,4,FALSE)," ")</f>
        <v>0</v>
      </c>
    </row>
    <row r="261" spans="1:8" x14ac:dyDescent="0.3">
      <c r="A261" s="25">
        <v>259</v>
      </c>
      <c r="B261" s="25"/>
      <c r="C261" s="25"/>
      <c r="D261" s="25"/>
      <c r="E261" s="30" t="str">
        <f t="shared" si="6"/>
        <v>--</v>
      </c>
      <c r="F261" s="13">
        <f>IFERROR(VLOOKUP(E261,'ESTRUCTURA CODIGO'!$H$2:$J$1048576,2,FALSE)," ")</f>
        <v>0</v>
      </c>
      <c r="G261" s="25">
        <f>IFERROR(VLOOKUP(E261,'ESTRUCTURA CODIGO'!$H$2:$J$1048576,3,FALSE)," ")</f>
        <v>0</v>
      </c>
      <c r="H261" s="25">
        <f>IFERROR(VLOOKUP(E261,'ESTRUCTURA CODIGO'!$H$2:$L$612,4,FALSE)," ")</f>
        <v>0</v>
      </c>
    </row>
    <row r="262" spans="1:8" x14ac:dyDescent="0.3">
      <c r="A262" s="25">
        <v>260</v>
      </c>
      <c r="B262" s="25"/>
      <c r="C262" s="25"/>
      <c r="D262" s="25"/>
      <c r="E262" s="30" t="str">
        <f t="shared" si="6"/>
        <v>--</v>
      </c>
      <c r="F262" s="13">
        <f>IFERROR(VLOOKUP(E262,'ESTRUCTURA CODIGO'!$H$2:$J$1048576,2,FALSE)," ")</f>
        <v>0</v>
      </c>
      <c r="G262" s="25">
        <f>IFERROR(VLOOKUP(E262,'ESTRUCTURA CODIGO'!$H$2:$J$1048576,3,FALSE)," ")</f>
        <v>0</v>
      </c>
      <c r="H262" s="25">
        <f>IFERROR(VLOOKUP(E262,'ESTRUCTURA CODIGO'!$H$2:$L$612,4,FALSE)," ")</f>
        <v>0</v>
      </c>
    </row>
    <row r="263" spans="1:8" x14ac:dyDescent="0.3">
      <c r="A263" s="25">
        <v>261</v>
      </c>
      <c r="B263" s="25"/>
      <c r="C263" s="25"/>
      <c r="D263" s="25"/>
      <c r="E263" s="30" t="str">
        <f t="shared" si="6"/>
        <v>--</v>
      </c>
      <c r="F263" s="13">
        <f>IFERROR(VLOOKUP(E263,'ESTRUCTURA CODIGO'!$H$2:$J$1048576,2,FALSE)," ")</f>
        <v>0</v>
      </c>
      <c r="G263" s="25">
        <f>IFERROR(VLOOKUP(E263,'ESTRUCTURA CODIGO'!$H$2:$J$1048576,3,FALSE)," ")</f>
        <v>0</v>
      </c>
      <c r="H263" s="25">
        <f>IFERROR(VLOOKUP(E263,'ESTRUCTURA CODIGO'!$H$2:$L$612,4,FALSE)," ")</f>
        <v>0</v>
      </c>
    </row>
    <row r="264" spans="1:8" x14ac:dyDescent="0.3">
      <c r="A264" s="25">
        <v>262</v>
      </c>
      <c r="B264" s="25"/>
      <c r="C264" s="25"/>
      <c r="D264" s="25"/>
      <c r="E264" s="30" t="str">
        <f t="shared" si="6"/>
        <v>--</v>
      </c>
      <c r="F264" s="13">
        <f>IFERROR(VLOOKUP(E264,'ESTRUCTURA CODIGO'!$H$2:$J$1048576,2,FALSE)," ")</f>
        <v>0</v>
      </c>
      <c r="G264" s="25">
        <f>IFERROR(VLOOKUP(E264,'ESTRUCTURA CODIGO'!$H$2:$J$1048576,3,FALSE)," ")</f>
        <v>0</v>
      </c>
      <c r="H264" s="25">
        <f>IFERROR(VLOOKUP(E264,'ESTRUCTURA CODIGO'!$H$2:$L$612,4,FALSE)," ")</f>
        <v>0</v>
      </c>
    </row>
    <row r="265" spans="1:8" x14ac:dyDescent="0.3">
      <c r="A265" s="25">
        <v>263</v>
      </c>
      <c r="B265" s="25"/>
      <c r="C265" s="25"/>
      <c r="D265" s="25"/>
      <c r="E265" s="30" t="str">
        <f t="shared" si="6"/>
        <v>--</v>
      </c>
      <c r="F265" s="13">
        <f>IFERROR(VLOOKUP(E265,'ESTRUCTURA CODIGO'!$H$2:$J$1048576,2,FALSE)," ")</f>
        <v>0</v>
      </c>
      <c r="G265" s="25">
        <f>IFERROR(VLOOKUP(E265,'ESTRUCTURA CODIGO'!$H$2:$J$1048576,3,FALSE)," ")</f>
        <v>0</v>
      </c>
      <c r="H265" s="25">
        <f>IFERROR(VLOOKUP(E265,'ESTRUCTURA CODIGO'!$H$2:$L$612,4,FALSE)," ")</f>
        <v>0</v>
      </c>
    </row>
    <row r="266" spans="1:8" x14ac:dyDescent="0.3">
      <c r="A266" s="25">
        <v>264</v>
      </c>
      <c r="B266" s="25"/>
      <c r="C266" s="25"/>
      <c r="D266" s="25"/>
      <c r="E266" s="30" t="str">
        <f t="shared" si="6"/>
        <v>--</v>
      </c>
      <c r="F266" s="13">
        <f>IFERROR(VLOOKUP(E266,'ESTRUCTURA CODIGO'!$H$2:$J$1048576,2,FALSE)," ")</f>
        <v>0</v>
      </c>
      <c r="G266" s="25">
        <f>IFERROR(VLOOKUP(E266,'ESTRUCTURA CODIGO'!$H$2:$J$1048576,3,FALSE)," ")</f>
        <v>0</v>
      </c>
      <c r="H266" s="25">
        <f>IFERROR(VLOOKUP(E266,'ESTRUCTURA CODIGO'!$H$2:$L$612,4,FALSE)," ")</f>
        <v>0</v>
      </c>
    </row>
    <row r="267" spans="1:8" x14ac:dyDescent="0.3">
      <c r="A267" s="25">
        <v>265</v>
      </c>
      <c r="B267" s="25"/>
      <c r="C267" s="25"/>
      <c r="D267" s="25"/>
      <c r="E267" s="30" t="str">
        <f t="shared" si="6"/>
        <v>--</v>
      </c>
      <c r="F267" s="13">
        <f>IFERROR(VLOOKUP(E267,'ESTRUCTURA CODIGO'!$H$2:$J$1048576,2,FALSE)," ")</f>
        <v>0</v>
      </c>
      <c r="G267" s="25">
        <f>IFERROR(VLOOKUP(E267,'ESTRUCTURA CODIGO'!$H$2:$J$1048576,3,FALSE)," ")</f>
        <v>0</v>
      </c>
      <c r="H267" s="25">
        <f>IFERROR(VLOOKUP(E267,'ESTRUCTURA CODIGO'!$H$2:$L$612,4,FALSE)," ")</f>
        <v>0</v>
      </c>
    </row>
    <row r="268" spans="1:8" x14ac:dyDescent="0.3">
      <c r="A268" s="25">
        <v>266</v>
      </c>
      <c r="B268" s="25"/>
      <c r="C268" s="25"/>
      <c r="D268" s="25"/>
      <c r="E268" s="30" t="str">
        <f t="shared" si="6"/>
        <v>--</v>
      </c>
      <c r="F268" s="13">
        <f>IFERROR(VLOOKUP(E268,'ESTRUCTURA CODIGO'!$H$2:$J$1048576,2,FALSE)," ")</f>
        <v>0</v>
      </c>
      <c r="G268" s="25">
        <f>IFERROR(VLOOKUP(E268,'ESTRUCTURA CODIGO'!$H$2:$J$1048576,3,FALSE)," ")</f>
        <v>0</v>
      </c>
      <c r="H268" s="25">
        <f>IFERROR(VLOOKUP(E268,'ESTRUCTURA CODIGO'!$H$2:$L$612,4,FALSE)," ")</f>
        <v>0</v>
      </c>
    </row>
    <row r="269" spans="1:8" x14ac:dyDescent="0.3">
      <c r="A269" s="25">
        <v>267</v>
      </c>
      <c r="B269" s="25"/>
      <c r="C269" s="25"/>
      <c r="D269" s="25"/>
      <c r="E269" s="30" t="str">
        <f t="shared" si="6"/>
        <v>--</v>
      </c>
      <c r="F269" s="13">
        <f>IFERROR(VLOOKUP(E269,'ESTRUCTURA CODIGO'!$H$2:$J$1048576,2,FALSE)," ")</f>
        <v>0</v>
      </c>
      <c r="G269" s="25">
        <f>IFERROR(VLOOKUP(E269,'ESTRUCTURA CODIGO'!$H$2:$J$1048576,3,FALSE)," ")</f>
        <v>0</v>
      </c>
      <c r="H269" s="25">
        <f>IFERROR(VLOOKUP(E269,'ESTRUCTURA CODIGO'!$H$2:$L$612,4,FALSE)," ")</f>
        <v>0</v>
      </c>
    </row>
    <row r="270" spans="1:8" x14ac:dyDescent="0.3">
      <c r="A270" s="25">
        <v>268</v>
      </c>
      <c r="B270" s="25"/>
      <c r="C270" s="25"/>
      <c r="D270" s="25"/>
      <c r="E270" s="30" t="str">
        <f t="shared" si="6"/>
        <v>--</v>
      </c>
      <c r="F270" s="13">
        <f>IFERROR(VLOOKUP(E270,'ESTRUCTURA CODIGO'!$H$2:$J$1048576,2,FALSE)," ")</f>
        <v>0</v>
      </c>
      <c r="G270" s="25">
        <f>IFERROR(VLOOKUP(E270,'ESTRUCTURA CODIGO'!$H$2:$J$1048576,3,FALSE)," ")</f>
        <v>0</v>
      </c>
      <c r="H270" s="25">
        <f>IFERROR(VLOOKUP(E270,'ESTRUCTURA CODIGO'!$H$2:$L$612,4,FALSE)," ")</f>
        <v>0</v>
      </c>
    </row>
    <row r="271" spans="1:8" x14ac:dyDescent="0.3">
      <c r="A271" s="25">
        <v>269</v>
      </c>
      <c r="B271" s="25"/>
      <c r="C271" s="25"/>
      <c r="D271" s="25"/>
      <c r="E271" s="30" t="str">
        <f t="shared" si="6"/>
        <v>--</v>
      </c>
      <c r="F271" s="13">
        <f>IFERROR(VLOOKUP(E271,'ESTRUCTURA CODIGO'!$H$2:$J$1048576,2,FALSE)," ")</f>
        <v>0</v>
      </c>
      <c r="G271" s="25">
        <f>IFERROR(VLOOKUP(E271,'ESTRUCTURA CODIGO'!$H$2:$J$1048576,3,FALSE)," ")</f>
        <v>0</v>
      </c>
      <c r="H271" s="25">
        <f>IFERROR(VLOOKUP(E271,'ESTRUCTURA CODIGO'!$H$2:$L$612,4,FALSE)," ")</f>
        <v>0</v>
      </c>
    </row>
    <row r="272" spans="1:8" x14ac:dyDescent="0.3">
      <c r="A272" s="25">
        <v>270</v>
      </c>
      <c r="B272" s="25"/>
      <c r="C272" s="25"/>
      <c r="D272" s="25"/>
      <c r="E272" s="30" t="str">
        <f t="shared" si="6"/>
        <v>--</v>
      </c>
      <c r="F272" s="13">
        <f>IFERROR(VLOOKUP(E272,'ESTRUCTURA CODIGO'!$H$2:$J$1048576,2,FALSE)," ")</f>
        <v>0</v>
      </c>
      <c r="G272" s="25">
        <f>IFERROR(VLOOKUP(E272,'ESTRUCTURA CODIGO'!$H$2:$J$1048576,3,FALSE)," ")</f>
        <v>0</v>
      </c>
      <c r="H272" s="25">
        <f>IFERROR(VLOOKUP(E272,'ESTRUCTURA CODIGO'!$H$2:$L$612,4,FALSE)," ")</f>
        <v>0</v>
      </c>
    </row>
    <row r="273" spans="1:8" x14ac:dyDescent="0.3">
      <c r="A273" s="25">
        <v>271</v>
      </c>
      <c r="B273" s="25"/>
      <c r="C273" s="25"/>
      <c r="D273" s="25"/>
      <c r="E273" s="30" t="str">
        <f t="shared" si="6"/>
        <v>--</v>
      </c>
      <c r="F273" s="13">
        <f>IFERROR(VLOOKUP(E273,'ESTRUCTURA CODIGO'!$H$2:$J$1048576,2,FALSE)," ")</f>
        <v>0</v>
      </c>
      <c r="G273" s="25">
        <f>IFERROR(VLOOKUP(E273,'ESTRUCTURA CODIGO'!$H$2:$J$1048576,3,FALSE)," ")</f>
        <v>0</v>
      </c>
      <c r="H273" s="25">
        <f>IFERROR(VLOOKUP(E273,'ESTRUCTURA CODIGO'!$H$2:$L$612,4,FALSE)," ")</f>
        <v>0</v>
      </c>
    </row>
    <row r="274" spans="1:8" x14ac:dyDescent="0.3">
      <c r="A274" s="25">
        <v>272</v>
      </c>
      <c r="B274" s="25"/>
      <c r="C274" s="25"/>
      <c r="D274" s="25"/>
      <c r="E274" s="30" t="str">
        <f t="shared" si="6"/>
        <v>--</v>
      </c>
      <c r="F274" s="13">
        <f>IFERROR(VLOOKUP(E274,'ESTRUCTURA CODIGO'!$H$2:$J$1048576,2,FALSE)," ")</f>
        <v>0</v>
      </c>
      <c r="G274" s="25">
        <f>IFERROR(VLOOKUP(E274,'ESTRUCTURA CODIGO'!$H$2:$J$1048576,3,FALSE)," ")</f>
        <v>0</v>
      </c>
      <c r="H274" s="25">
        <f>IFERROR(VLOOKUP(E274,'ESTRUCTURA CODIGO'!$H$2:$L$612,4,FALSE)," ")</f>
        <v>0</v>
      </c>
    </row>
    <row r="275" spans="1:8" x14ac:dyDescent="0.3">
      <c r="A275" s="25">
        <v>273</v>
      </c>
      <c r="B275" s="25"/>
      <c r="C275" s="25"/>
      <c r="D275" s="25"/>
      <c r="E275" s="30" t="str">
        <f t="shared" si="6"/>
        <v>--</v>
      </c>
      <c r="F275" s="13">
        <f>IFERROR(VLOOKUP(E275,'ESTRUCTURA CODIGO'!$H$2:$J$1048576,2,FALSE)," ")</f>
        <v>0</v>
      </c>
      <c r="G275" s="25">
        <f>IFERROR(VLOOKUP(E275,'ESTRUCTURA CODIGO'!$H$2:$J$1048576,3,FALSE)," ")</f>
        <v>0</v>
      </c>
      <c r="H275" s="25">
        <f>IFERROR(VLOOKUP(E275,'ESTRUCTURA CODIGO'!$H$2:$L$612,4,FALSE)," ")</f>
        <v>0</v>
      </c>
    </row>
    <row r="276" spans="1:8" x14ac:dyDescent="0.3">
      <c r="A276" s="25">
        <v>274</v>
      </c>
      <c r="B276" s="25"/>
      <c r="C276" s="25"/>
      <c r="D276" s="25"/>
      <c r="E276" s="30" t="str">
        <f t="shared" si="6"/>
        <v>--</v>
      </c>
      <c r="F276" s="13">
        <f>IFERROR(VLOOKUP(E276,'ESTRUCTURA CODIGO'!$H$2:$J$1048576,2,FALSE)," ")</f>
        <v>0</v>
      </c>
      <c r="G276" s="25">
        <f>IFERROR(VLOOKUP(E276,'ESTRUCTURA CODIGO'!$H$2:$J$1048576,3,FALSE)," ")</f>
        <v>0</v>
      </c>
      <c r="H276" s="25">
        <f>IFERROR(VLOOKUP(E276,'ESTRUCTURA CODIGO'!$H$2:$L$612,4,FALSE)," ")</f>
        <v>0</v>
      </c>
    </row>
    <row r="277" spans="1:8" x14ac:dyDescent="0.3">
      <c r="A277" s="25">
        <v>275</v>
      </c>
      <c r="B277" s="25"/>
      <c r="C277" s="25"/>
      <c r="D277" s="25"/>
      <c r="E277" s="30" t="str">
        <f t="shared" si="6"/>
        <v>--</v>
      </c>
      <c r="F277" s="13">
        <f>IFERROR(VLOOKUP(E277,'ESTRUCTURA CODIGO'!$H$2:$J$1048576,2,FALSE)," ")</f>
        <v>0</v>
      </c>
      <c r="G277" s="25">
        <f>IFERROR(VLOOKUP(E277,'ESTRUCTURA CODIGO'!$H$2:$J$1048576,3,FALSE)," ")</f>
        <v>0</v>
      </c>
      <c r="H277" s="25">
        <f>IFERROR(VLOOKUP(E277,'ESTRUCTURA CODIGO'!$H$2:$L$612,4,FALSE)," ")</f>
        <v>0</v>
      </c>
    </row>
    <row r="278" spans="1:8" x14ac:dyDescent="0.3">
      <c r="A278" s="25">
        <v>276</v>
      </c>
      <c r="B278" s="25"/>
      <c r="C278" s="25"/>
      <c r="D278" s="25"/>
      <c r="E278" s="30" t="str">
        <f t="shared" si="6"/>
        <v>--</v>
      </c>
      <c r="F278" s="13">
        <f>IFERROR(VLOOKUP(E278,'ESTRUCTURA CODIGO'!$H$2:$J$1048576,2,FALSE)," ")</f>
        <v>0</v>
      </c>
      <c r="G278" s="25">
        <f>IFERROR(VLOOKUP(E278,'ESTRUCTURA CODIGO'!$H$2:$J$1048576,3,FALSE)," ")</f>
        <v>0</v>
      </c>
      <c r="H278" s="25">
        <f>IFERROR(VLOOKUP(E278,'ESTRUCTURA CODIGO'!$H$2:$L$612,4,FALSE)," ")</f>
        <v>0</v>
      </c>
    </row>
    <row r="279" spans="1:8" x14ac:dyDescent="0.3">
      <c r="A279" s="25">
        <v>277</v>
      </c>
      <c r="B279" s="25"/>
      <c r="C279" s="25"/>
      <c r="D279" s="25"/>
      <c r="E279" s="30" t="str">
        <f t="shared" si="6"/>
        <v>--</v>
      </c>
      <c r="F279" s="13">
        <f>IFERROR(VLOOKUP(E279,'ESTRUCTURA CODIGO'!$H$2:$J$1048576,2,FALSE)," ")</f>
        <v>0</v>
      </c>
      <c r="G279" s="25">
        <f>IFERROR(VLOOKUP(E279,'ESTRUCTURA CODIGO'!$H$2:$J$1048576,3,FALSE)," ")</f>
        <v>0</v>
      </c>
      <c r="H279" s="25">
        <f>IFERROR(VLOOKUP(E279,'ESTRUCTURA CODIGO'!$H$2:$L$612,4,FALSE)," ")</f>
        <v>0</v>
      </c>
    </row>
    <row r="280" spans="1:8" x14ac:dyDescent="0.3">
      <c r="A280" s="25">
        <v>278</v>
      </c>
      <c r="B280" s="25"/>
      <c r="C280" s="25"/>
      <c r="D280" s="25"/>
      <c r="E280" s="30" t="str">
        <f t="shared" si="6"/>
        <v>--</v>
      </c>
      <c r="F280" s="13">
        <f>IFERROR(VLOOKUP(E280,'ESTRUCTURA CODIGO'!$H$2:$J$1048576,2,FALSE)," ")</f>
        <v>0</v>
      </c>
      <c r="G280" s="25">
        <f>IFERROR(VLOOKUP(E280,'ESTRUCTURA CODIGO'!$H$2:$J$1048576,3,FALSE)," ")</f>
        <v>0</v>
      </c>
      <c r="H280" s="25">
        <f>IFERROR(VLOOKUP(E280,'ESTRUCTURA CODIGO'!$H$2:$L$612,4,FALSE)," ")</f>
        <v>0</v>
      </c>
    </row>
    <row r="281" spans="1:8" x14ac:dyDescent="0.3">
      <c r="A281" s="25">
        <v>279</v>
      </c>
      <c r="B281" s="25"/>
      <c r="C281" s="25"/>
      <c r="D281" s="25"/>
      <c r="E281" s="30" t="str">
        <f t="shared" si="6"/>
        <v>--</v>
      </c>
      <c r="F281" s="13">
        <f>IFERROR(VLOOKUP(E281,'ESTRUCTURA CODIGO'!$H$2:$J$1048576,2,FALSE)," ")</f>
        <v>0</v>
      </c>
      <c r="G281" s="25">
        <f>IFERROR(VLOOKUP(E281,'ESTRUCTURA CODIGO'!$H$2:$J$1048576,3,FALSE)," ")</f>
        <v>0</v>
      </c>
      <c r="H281" s="25">
        <f>IFERROR(VLOOKUP(E281,'ESTRUCTURA CODIGO'!$H$2:$L$612,4,FALSE)," ")</f>
        <v>0</v>
      </c>
    </row>
    <row r="282" spans="1:8" x14ac:dyDescent="0.3">
      <c r="A282" s="25">
        <v>280</v>
      </c>
      <c r="B282" s="25"/>
      <c r="C282" s="25"/>
      <c r="D282" s="25"/>
      <c r="E282" s="30" t="str">
        <f t="shared" si="6"/>
        <v>--</v>
      </c>
      <c r="F282" s="13">
        <f>IFERROR(VLOOKUP(E282,'ESTRUCTURA CODIGO'!$H$2:$J$1048576,2,FALSE)," ")</f>
        <v>0</v>
      </c>
      <c r="G282" s="25">
        <f>IFERROR(VLOOKUP(E282,'ESTRUCTURA CODIGO'!$H$2:$J$1048576,3,FALSE)," ")</f>
        <v>0</v>
      </c>
      <c r="H282" s="25">
        <f>IFERROR(VLOOKUP(E282,'ESTRUCTURA CODIGO'!$H$2:$L$612,4,FALSE)," ")</f>
        <v>0</v>
      </c>
    </row>
    <row r="283" spans="1:8" x14ac:dyDescent="0.3">
      <c r="A283" s="25">
        <v>281</v>
      </c>
      <c r="B283" s="25"/>
      <c r="C283" s="25"/>
      <c r="D283" s="25"/>
      <c r="E283" s="30" t="str">
        <f t="shared" si="6"/>
        <v>--</v>
      </c>
      <c r="F283" s="13">
        <f>IFERROR(VLOOKUP(E283,'ESTRUCTURA CODIGO'!$H$2:$J$1048576,2,FALSE)," ")</f>
        <v>0</v>
      </c>
      <c r="G283" s="25">
        <f>IFERROR(VLOOKUP(E283,'ESTRUCTURA CODIGO'!$H$2:$J$1048576,3,FALSE)," ")</f>
        <v>0</v>
      </c>
      <c r="H283" s="25">
        <f>IFERROR(VLOOKUP(E283,'ESTRUCTURA CODIGO'!$H$2:$L$612,4,FALSE)," ")</f>
        <v>0</v>
      </c>
    </row>
    <row r="284" spans="1:8" x14ac:dyDescent="0.3">
      <c r="A284" s="25">
        <v>282</v>
      </c>
      <c r="B284" s="25"/>
      <c r="C284" s="25"/>
      <c r="D284" s="25"/>
      <c r="E284" s="30" t="str">
        <f t="shared" si="6"/>
        <v>--</v>
      </c>
      <c r="F284" s="13">
        <f>IFERROR(VLOOKUP(E284,'ESTRUCTURA CODIGO'!$H$2:$J$1048576,2,FALSE)," ")</f>
        <v>0</v>
      </c>
      <c r="G284" s="25">
        <f>IFERROR(VLOOKUP(E284,'ESTRUCTURA CODIGO'!$H$2:$J$1048576,3,FALSE)," ")</f>
        <v>0</v>
      </c>
      <c r="H284" s="25">
        <f>IFERROR(VLOOKUP(E284,'ESTRUCTURA CODIGO'!$H$2:$L$612,4,FALSE)," ")</f>
        <v>0</v>
      </c>
    </row>
    <row r="285" spans="1:8" x14ac:dyDescent="0.3">
      <c r="A285" s="25">
        <v>283</v>
      </c>
      <c r="B285" s="25"/>
      <c r="C285" s="25"/>
      <c r="D285" s="25"/>
      <c r="E285" s="30" t="str">
        <f t="shared" si="6"/>
        <v>--</v>
      </c>
      <c r="F285" s="13">
        <f>IFERROR(VLOOKUP(E285,'ESTRUCTURA CODIGO'!$H$2:$J$1048576,2,FALSE)," ")</f>
        <v>0</v>
      </c>
      <c r="G285" s="25">
        <f>IFERROR(VLOOKUP(E285,'ESTRUCTURA CODIGO'!$H$2:$J$1048576,3,FALSE)," ")</f>
        <v>0</v>
      </c>
      <c r="H285" s="25">
        <f>IFERROR(VLOOKUP(E285,'ESTRUCTURA CODIGO'!$H$2:$L$612,4,FALSE)," ")</f>
        <v>0</v>
      </c>
    </row>
    <row r="286" spans="1:8" x14ac:dyDescent="0.3">
      <c r="A286" s="25">
        <v>284</v>
      </c>
      <c r="B286" s="25"/>
      <c r="C286" s="25"/>
      <c r="D286" s="25"/>
      <c r="E286" s="30" t="str">
        <f t="shared" si="6"/>
        <v>--</v>
      </c>
      <c r="F286" s="13">
        <f>IFERROR(VLOOKUP(E286,'ESTRUCTURA CODIGO'!$H$2:$J$1048576,2,FALSE)," ")</f>
        <v>0</v>
      </c>
      <c r="G286" s="25">
        <f>IFERROR(VLOOKUP(E286,'ESTRUCTURA CODIGO'!$H$2:$J$1048576,3,FALSE)," ")</f>
        <v>0</v>
      </c>
      <c r="H286" s="25">
        <f>IFERROR(VLOOKUP(E286,'ESTRUCTURA CODIGO'!$H$2:$L$612,4,FALSE)," ")</f>
        <v>0</v>
      </c>
    </row>
    <row r="287" spans="1:8" x14ac:dyDescent="0.3">
      <c r="A287" s="25">
        <v>285</v>
      </c>
      <c r="B287" s="25"/>
      <c r="C287" s="25"/>
      <c r="D287" s="25"/>
      <c r="E287" s="30" t="str">
        <f t="shared" si="6"/>
        <v>--</v>
      </c>
      <c r="F287" s="13">
        <f>IFERROR(VLOOKUP(E287,'ESTRUCTURA CODIGO'!$H$2:$J$1048576,2,FALSE)," ")</f>
        <v>0</v>
      </c>
      <c r="G287" s="25">
        <f>IFERROR(VLOOKUP(E287,'ESTRUCTURA CODIGO'!$H$2:$J$1048576,3,FALSE)," ")</f>
        <v>0</v>
      </c>
      <c r="H287" s="25">
        <f>IFERROR(VLOOKUP(E287,'ESTRUCTURA CODIGO'!$H$2:$L$612,4,FALSE)," ")</f>
        <v>0</v>
      </c>
    </row>
    <row r="288" spans="1:8" x14ac:dyDescent="0.3">
      <c r="A288" s="25">
        <v>286</v>
      </c>
      <c r="B288" s="25"/>
      <c r="C288" s="25"/>
      <c r="D288" s="25"/>
      <c r="E288" s="30" t="str">
        <f t="shared" si="6"/>
        <v>--</v>
      </c>
      <c r="F288" s="13">
        <f>IFERROR(VLOOKUP(E288,'ESTRUCTURA CODIGO'!$H$2:$J$1048576,2,FALSE)," ")</f>
        <v>0</v>
      </c>
      <c r="G288" s="25">
        <f>IFERROR(VLOOKUP(E288,'ESTRUCTURA CODIGO'!$H$2:$J$1048576,3,FALSE)," ")</f>
        <v>0</v>
      </c>
      <c r="H288" s="25">
        <f>IFERROR(VLOOKUP(E288,'ESTRUCTURA CODIGO'!$H$2:$L$612,4,FALSE)," ")</f>
        <v>0</v>
      </c>
    </row>
    <row r="289" spans="1:8" x14ac:dyDescent="0.3">
      <c r="A289" s="25">
        <v>287</v>
      </c>
      <c r="B289" s="25"/>
      <c r="C289" s="25"/>
      <c r="D289" s="25"/>
      <c r="E289" s="30" t="str">
        <f t="shared" si="6"/>
        <v>--</v>
      </c>
      <c r="F289" s="13">
        <f>IFERROR(VLOOKUP(E289,'ESTRUCTURA CODIGO'!$H$2:$J$1048576,2,FALSE)," ")</f>
        <v>0</v>
      </c>
      <c r="G289" s="25">
        <f>IFERROR(VLOOKUP(E289,'ESTRUCTURA CODIGO'!$H$2:$J$1048576,3,FALSE)," ")</f>
        <v>0</v>
      </c>
      <c r="H289" s="25">
        <f>IFERROR(VLOOKUP(E289,'ESTRUCTURA CODIGO'!$H$2:$L$612,4,FALSE)," ")</f>
        <v>0</v>
      </c>
    </row>
    <row r="290" spans="1:8" x14ac:dyDescent="0.3">
      <c r="A290" s="25">
        <v>288</v>
      </c>
      <c r="B290" s="25"/>
      <c r="C290" s="25"/>
      <c r="D290" s="25"/>
      <c r="E290" s="30" t="str">
        <f t="shared" si="6"/>
        <v>--</v>
      </c>
      <c r="F290" s="13">
        <f>IFERROR(VLOOKUP(E290,'ESTRUCTURA CODIGO'!$H$2:$J$1048576,2,FALSE)," ")</f>
        <v>0</v>
      </c>
      <c r="G290" s="25">
        <f>IFERROR(VLOOKUP(E290,'ESTRUCTURA CODIGO'!$H$2:$J$1048576,3,FALSE)," ")</f>
        <v>0</v>
      </c>
      <c r="H290" s="25">
        <f>IFERROR(VLOOKUP(E290,'ESTRUCTURA CODIGO'!$H$2:$L$612,4,FALSE)," ")</f>
        <v>0</v>
      </c>
    </row>
    <row r="291" spans="1:8" x14ac:dyDescent="0.3">
      <c r="A291" s="25">
        <v>289</v>
      </c>
      <c r="B291" s="25"/>
      <c r="C291" s="25"/>
      <c r="D291" s="25"/>
      <c r="E291" s="30" t="str">
        <f t="shared" si="6"/>
        <v>--</v>
      </c>
      <c r="F291" s="13">
        <f>IFERROR(VLOOKUP(E291,'ESTRUCTURA CODIGO'!$H$2:$J$1048576,2,FALSE)," ")</f>
        <v>0</v>
      </c>
      <c r="G291" s="25">
        <f>IFERROR(VLOOKUP(E291,'ESTRUCTURA CODIGO'!$H$2:$J$1048576,3,FALSE)," ")</f>
        <v>0</v>
      </c>
      <c r="H291" s="25">
        <f>IFERROR(VLOOKUP(E291,'ESTRUCTURA CODIGO'!$H$2:$L$612,4,FALSE)," ")</f>
        <v>0</v>
      </c>
    </row>
    <row r="292" spans="1:8" x14ac:dyDescent="0.3">
      <c r="A292" s="25">
        <v>290</v>
      </c>
      <c r="B292" s="25"/>
      <c r="C292" s="25"/>
      <c r="D292" s="25"/>
      <c r="E292" s="30" t="str">
        <f t="shared" si="6"/>
        <v>--</v>
      </c>
      <c r="F292" s="13">
        <f>IFERROR(VLOOKUP(E292,'ESTRUCTURA CODIGO'!$H$2:$J$1048576,2,FALSE)," ")</f>
        <v>0</v>
      </c>
      <c r="G292" s="25">
        <f>IFERROR(VLOOKUP(E292,'ESTRUCTURA CODIGO'!$H$2:$J$1048576,3,FALSE)," ")</f>
        <v>0</v>
      </c>
      <c r="H292" s="25">
        <f>IFERROR(VLOOKUP(E292,'ESTRUCTURA CODIGO'!$H$2:$L$612,4,FALSE)," ")</f>
        <v>0</v>
      </c>
    </row>
    <row r="293" spans="1:8" x14ac:dyDescent="0.3">
      <c r="A293" s="25">
        <v>291</v>
      </c>
      <c r="B293" s="25"/>
      <c r="C293" s="25"/>
      <c r="D293" s="25"/>
      <c r="E293" s="30" t="str">
        <f t="shared" si="6"/>
        <v>--</v>
      </c>
      <c r="F293" s="13">
        <f>IFERROR(VLOOKUP(E293,'ESTRUCTURA CODIGO'!$H$2:$J$1048576,2,FALSE)," ")</f>
        <v>0</v>
      </c>
      <c r="G293" s="25">
        <f>IFERROR(VLOOKUP(E293,'ESTRUCTURA CODIGO'!$H$2:$J$1048576,3,FALSE)," ")</f>
        <v>0</v>
      </c>
      <c r="H293" s="25">
        <f>IFERROR(VLOOKUP(E293,'ESTRUCTURA CODIGO'!$H$2:$L$612,4,FALSE)," ")</f>
        <v>0</v>
      </c>
    </row>
    <row r="294" spans="1:8" x14ac:dyDescent="0.3">
      <c r="A294" s="25">
        <v>292</v>
      </c>
      <c r="B294" s="25"/>
      <c r="C294" s="25"/>
      <c r="D294" s="25"/>
      <c r="E294" s="30" t="str">
        <f t="shared" si="6"/>
        <v>--</v>
      </c>
      <c r="F294" s="13">
        <f>IFERROR(VLOOKUP(E294,'ESTRUCTURA CODIGO'!$H$2:$J$1048576,2,FALSE)," ")</f>
        <v>0</v>
      </c>
      <c r="G294" s="25">
        <f>IFERROR(VLOOKUP(E294,'ESTRUCTURA CODIGO'!$H$2:$J$1048576,3,FALSE)," ")</f>
        <v>0</v>
      </c>
      <c r="H294" s="25">
        <f>IFERROR(VLOOKUP(E294,'ESTRUCTURA CODIGO'!$H$2:$L$612,4,FALSE)," ")</f>
        <v>0</v>
      </c>
    </row>
    <row r="295" spans="1:8" x14ac:dyDescent="0.3">
      <c r="A295" s="25">
        <v>293</v>
      </c>
      <c r="B295" s="25"/>
      <c r="C295" s="25"/>
      <c r="D295" s="25"/>
      <c r="E295" s="30" t="str">
        <f t="shared" si="6"/>
        <v>--</v>
      </c>
      <c r="F295" s="13">
        <f>IFERROR(VLOOKUP(E295,'ESTRUCTURA CODIGO'!$H$2:$J$1048576,2,FALSE)," ")</f>
        <v>0</v>
      </c>
      <c r="G295" s="25">
        <f>IFERROR(VLOOKUP(E295,'ESTRUCTURA CODIGO'!$H$2:$J$1048576,3,FALSE)," ")</f>
        <v>0</v>
      </c>
      <c r="H295" s="25">
        <f>IFERROR(VLOOKUP(E295,'ESTRUCTURA CODIGO'!$H$2:$L$612,4,FALSE)," ")</f>
        <v>0</v>
      </c>
    </row>
    <row r="296" spans="1:8" x14ac:dyDescent="0.3">
      <c r="A296" s="25">
        <v>294</v>
      </c>
      <c r="B296" s="25"/>
      <c r="C296" s="25"/>
      <c r="D296" s="25"/>
      <c r="E296" s="30" t="str">
        <f t="shared" si="6"/>
        <v>--</v>
      </c>
      <c r="F296" s="13">
        <f>IFERROR(VLOOKUP(E296,'ESTRUCTURA CODIGO'!$H$2:$J$1048576,2,FALSE)," ")</f>
        <v>0</v>
      </c>
      <c r="G296" s="25">
        <f>IFERROR(VLOOKUP(E296,'ESTRUCTURA CODIGO'!$H$2:$J$1048576,3,FALSE)," ")</f>
        <v>0</v>
      </c>
      <c r="H296" s="25">
        <f>IFERROR(VLOOKUP(E296,'ESTRUCTURA CODIGO'!$H$2:$L$612,4,FALSE)," ")</f>
        <v>0</v>
      </c>
    </row>
    <row r="297" spans="1:8" x14ac:dyDescent="0.3">
      <c r="A297" s="25">
        <v>295</v>
      </c>
      <c r="B297" s="25"/>
      <c r="C297" s="25"/>
      <c r="D297" s="25"/>
      <c r="E297" s="30" t="str">
        <f t="shared" si="6"/>
        <v>--</v>
      </c>
      <c r="F297" s="13">
        <f>IFERROR(VLOOKUP(E297,'ESTRUCTURA CODIGO'!$H$2:$J$1048576,2,FALSE)," ")</f>
        <v>0</v>
      </c>
      <c r="G297" s="25">
        <f>IFERROR(VLOOKUP(E297,'ESTRUCTURA CODIGO'!$H$2:$J$1048576,3,FALSE)," ")</f>
        <v>0</v>
      </c>
      <c r="H297" s="25">
        <f>IFERROR(VLOOKUP(E297,'ESTRUCTURA CODIGO'!$H$2:$L$612,4,FALSE)," ")</f>
        <v>0</v>
      </c>
    </row>
    <row r="298" spans="1:8" x14ac:dyDescent="0.3">
      <c r="A298" s="25">
        <v>296</v>
      </c>
      <c r="B298" s="25"/>
      <c r="C298" s="25"/>
      <c r="D298" s="25"/>
      <c r="E298" s="30" t="str">
        <f t="shared" si="6"/>
        <v>--</v>
      </c>
      <c r="F298" s="13">
        <f>IFERROR(VLOOKUP(E298,'ESTRUCTURA CODIGO'!$H$2:$J$1048576,2,FALSE)," ")</f>
        <v>0</v>
      </c>
      <c r="G298" s="25">
        <f>IFERROR(VLOOKUP(E298,'ESTRUCTURA CODIGO'!$H$2:$J$1048576,3,FALSE)," ")</f>
        <v>0</v>
      </c>
      <c r="H298" s="25">
        <f>IFERROR(VLOOKUP(E298,'ESTRUCTURA CODIGO'!$H$2:$L$612,4,FALSE)," ")</f>
        <v>0</v>
      </c>
    </row>
    <row r="299" spans="1:8" x14ac:dyDescent="0.3">
      <c r="A299" s="25">
        <v>297</v>
      </c>
      <c r="B299" s="25"/>
      <c r="C299" s="25"/>
      <c r="D299" s="25"/>
      <c r="E299" s="30" t="str">
        <f t="shared" si="6"/>
        <v>--</v>
      </c>
      <c r="F299" s="13">
        <f>IFERROR(VLOOKUP(E299,'ESTRUCTURA CODIGO'!$H$2:$J$1048576,2,FALSE)," ")</f>
        <v>0</v>
      </c>
      <c r="G299" s="25">
        <f>IFERROR(VLOOKUP(E299,'ESTRUCTURA CODIGO'!$H$2:$J$1048576,3,FALSE)," ")</f>
        <v>0</v>
      </c>
      <c r="H299" s="25">
        <f>IFERROR(VLOOKUP(E299,'ESTRUCTURA CODIGO'!$H$2:$L$612,4,FALSE)," ")</f>
        <v>0</v>
      </c>
    </row>
    <row r="300" spans="1:8" x14ac:dyDescent="0.3">
      <c r="A300" s="25">
        <v>298</v>
      </c>
      <c r="B300" s="25"/>
      <c r="C300" s="25"/>
      <c r="D300" s="25"/>
      <c r="E300" s="30" t="str">
        <f t="shared" si="6"/>
        <v>--</v>
      </c>
      <c r="F300" s="13">
        <f>IFERROR(VLOOKUP(E300,'ESTRUCTURA CODIGO'!$H$2:$J$1048576,2,FALSE)," ")</f>
        <v>0</v>
      </c>
      <c r="G300" s="25">
        <f>IFERROR(VLOOKUP(E300,'ESTRUCTURA CODIGO'!$H$2:$J$1048576,3,FALSE)," ")</f>
        <v>0</v>
      </c>
      <c r="H300" s="25">
        <f>IFERROR(VLOOKUP(E300,'ESTRUCTURA CODIGO'!$H$2:$L$612,4,FALSE)," ")</f>
        <v>0</v>
      </c>
    </row>
    <row r="301" spans="1:8" x14ac:dyDescent="0.3">
      <c r="A301" s="25">
        <v>299</v>
      </c>
      <c r="B301" s="25"/>
      <c r="C301" s="25"/>
      <c r="D301" s="25"/>
      <c r="E301" s="30" t="str">
        <f t="shared" si="6"/>
        <v>--</v>
      </c>
      <c r="F301" s="13">
        <f>IFERROR(VLOOKUP(E301,'ESTRUCTURA CODIGO'!$H$2:$J$1048576,2,FALSE)," ")</f>
        <v>0</v>
      </c>
      <c r="G301" s="25">
        <f>IFERROR(VLOOKUP(E301,'ESTRUCTURA CODIGO'!$H$2:$J$1048576,3,FALSE)," ")</f>
        <v>0</v>
      </c>
      <c r="H301" s="25">
        <f>IFERROR(VLOOKUP(E301,'ESTRUCTURA CODIGO'!$H$2:$L$612,4,FALSE)," ")</f>
        <v>0</v>
      </c>
    </row>
    <row r="302" spans="1:8" x14ac:dyDescent="0.3">
      <c r="A302" s="25">
        <v>300</v>
      </c>
      <c r="B302" s="25"/>
      <c r="C302" s="25"/>
      <c r="D302" s="25"/>
      <c r="E302" s="30" t="str">
        <f t="shared" si="6"/>
        <v>--</v>
      </c>
      <c r="F302" s="13">
        <f>IFERROR(VLOOKUP(E302,'ESTRUCTURA CODIGO'!$H$2:$J$1048576,2,FALSE)," ")</f>
        <v>0</v>
      </c>
      <c r="G302" s="25">
        <f>IFERROR(VLOOKUP(E302,'ESTRUCTURA CODIGO'!$H$2:$J$1048576,3,FALSE)," ")</f>
        <v>0</v>
      </c>
      <c r="H302" s="25">
        <f>IFERROR(VLOOKUP(E302,'ESTRUCTURA CODIGO'!$H$2:$L$612,4,FALSE)," ")</f>
        <v>0</v>
      </c>
    </row>
    <row r="303" spans="1:8" x14ac:dyDescent="0.3">
      <c r="A303" s="25">
        <v>301</v>
      </c>
      <c r="B303" s="25"/>
      <c r="C303" s="25"/>
      <c r="D303" s="25"/>
      <c r="E303" s="30" t="str">
        <f t="shared" si="6"/>
        <v>--</v>
      </c>
      <c r="F303" s="13">
        <f>IFERROR(VLOOKUP(E303,'ESTRUCTURA CODIGO'!$H$2:$J$1048576,2,FALSE)," ")</f>
        <v>0</v>
      </c>
      <c r="G303" s="25">
        <f>IFERROR(VLOOKUP(E303,'ESTRUCTURA CODIGO'!$H$2:$J$1048576,3,FALSE)," ")</f>
        <v>0</v>
      </c>
      <c r="H303" s="25">
        <f>IFERROR(VLOOKUP(E303,'ESTRUCTURA CODIGO'!$H$2:$L$612,4,FALSE)," ")</f>
        <v>0</v>
      </c>
    </row>
    <row r="304" spans="1:8" x14ac:dyDescent="0.3">
      <c r="A304" s="25">
        <v>302</v>
      </c>
      <c r="B304" s="25"/>
      <c r="C304" s="25"/>
      <c r="D304" s="25"/>
      <c r="E304" s="30" t="str">
        <f t="shared" si="6"/>
        <v>--</v>
      </c>
      <c r="F304" s="13">
        <f>IFERROR(VLOOKUP(E304,'ESTRUCTURA CODIGO'!$H$2:$J$1048576,2,FALSE)," ")</f>
        <v>0</v>
      </c>
      <c r="G304" s="25">
        <f>IFERROR(VLOOKUP(E304,'ESTRUCTURA CODIGO'!$H$2:$J$1048576,3,FALSE)," ")</f>
        <v>0</v>
      </c>
      <c r="H304" s="25">
        <f>IFERROR(VLOOKUP(E304,'ESTRUCTURA CODIGO'!$H$2:$L$612,4,FALSE)," ")</f>
        <v>0</v>
      </c>
    </row>
    <row r="305" spans="1:8" x14ac:dyDescent="0.3">
      <c r="A305" s="25">
        <v>303</v>
      </c>
      <c r="B305" s="25"/>
      <c r="C305" s="25"/>
      <c r="D305" s="25"/>
      <c r="E305" s="30" t="str">
        <f t="shared" si="6"/>
        <v>--</v>
      </c>
      <c r="F305" s="13">
        <f>IFERROR(VLOOKUP(E305,'ESTRUCTURA CODIGO'!$H$2:$J$1048576,2,FALSE)," ")</f>
        <v>0</v>
      </c>
      <c r="G305" s="25">
        <f>IFERROR(VLOOKUP(E305,'ESTRUCTURA CODIGO'!$H$2:$J$1048576,3,FALSE)," ")</f>
        <v>0</v>
      </c>
      <c r="H305" s="25">
        <f>IFERROR(VLOOKUP(E305,'ESTRUCTURA CODIGO'!$H$2:$L$612,4,FALSE)," ")</f>
        <v>0</v>
      </c>
    </row>
    <row r="306" spans="1:8" x14ac:dyDescent="0.3">
      <c r="A306" s="25">
        <v>304</v>
      </c>
      <c r="B306" s="25"/>
      <c r="C306" s="25"/>
      <c r="D306" s="25"/>
      <c r="E306" s="30" t="str">
        <f t="shared" si="6"/>
        <v>--</v>
      </c>
      <c r="F306" s="13">
        <f>IFERROR(VLOOKUP(E306,'ESTRUCTURA CODIGO'!$H$2:$J$1048576,2,FALSE)," ")</f>
        <v>0</v>
      </c>
      <c r="G306" s="25">
        <f>IFERROR(VLOOKUP(E306,'ESTRUCTURA CODIGO'!$H$2:$J$1048576,3,FALSE)," ")</f>
        <v>0</v>
      </c>
      <c r="H306" s="25">
        <f>IFERROR(VLOOKUP(E306,'ESTRUCTURA CODIGO'!$H$2:$L$612,4,FALSE)," ")</f>
        <v>0</v>
      </c>
    </row>
    <row r="307" spans="1:8" x14ac:dyDescent="0.3">
      <c r="A307" s="25">
        <v>305</v>
      </c>
      <c r="B307" s="25"/>
      <c r="C307" s="25"/>
      <c r="D307" s="25"/>
      <c r="E307" s="30" t="str">
        <f t="shared" si="6"/>
        <v>--</v>
      </c>
      <c r="F307" s="13">
        <f>IFERROR(VLOOKUP(E307,'ESTRUCTURA CODIGO'!$H$2:$J$1048576,2,FALSE)," ")</f>
        <v>0</v>
      </c>
      <c r="G307" s="25">
        <f>IFERROR(VLOOKUP(E307,'ESTRUCTURA CODIGO'!$H$2:$J$1048576,3,FALSE)," ")</f>
        <v>0</v>
      </c>
      <c r="H307" s="25">
        <f>IFERROR(VLOOKUP(E307,'ESTRUCTURA CODIGO'!$H$2:$L$612,4,FALSE)," ")</f>
        <v>0</v>
      </c>
    </row>
    <row r="308" spans="1:8" x14ac:dyDescent="0.3">
      <c r="A308" s="25">
        <v>306</v>
      </c>
      <c r="B308" s="25"/>
      <c r="C308" s="25"/>
      <c r="D308" s="25"/>
      <c r="E308" s="30" t="str">
        <f t="shared" ref="E308:E371" si="7">CONCATENATE(B308,"-",C308,"-",D308)</f>
        <v>--</v>
      </c>
      <c r="F308" s="13">
        <f>IFERROR(VLOOKUP(E308,'ESTRUCTURA CODIGO'!$H$2:$J$1048576,2,FALSE)," ")</f>
        <v>0</v>
      </c>
      <c r="G308" s="25">
        <f>IFERROR(VLOOKUP(E308,'ESTRUCTURA CODIGO'!$H$2:$J$1048576,3,FALSE)," ")</f>
        <v>0</v>
      </c>
      <c r="H308" s="25">
        <f>IFERROR(VLOOKUP(E308,'ESTRUCTURA CODIGO'!$H$2:$L$612,4,FALSE)," ")</f>
        <v>0</v>
      </c>
    </row>
    <row r="309" spans="1:8" x14ac:dyDescent="0.3">
      <c r="A309" s="25">
        <v>307</v>
      </c>
      <c r="B309" s="25"/>
      <c r="C309" s="25"/>
      <c r="D309" s="25"/>
      <c r="E309" s="30" t="str">
        <f t="shared" si="7"/>
        <v>--</v>
      </c>
      <c r="F309" s="13">
        <f>IFERROR(VLOOKUP(E309,'ESTRUCTURA CODIGO'!$H$2:$J$1048576,2,FALSE)," ")</f>
        <v>0</v>
      </c>
      <c r="G309" s="25">
        <f>IFERROR(VLOOKUP(E309,'ESTRUCTURA CODIGO'!$H$2:$J$1048576,3,FALSE)," ")</f>
        <v>0</v>
      </c>
      <c r="H309" s="25">
        <f>IFERROR(VLOOKUP(E309,'ESTRUCTURA CODIGO'!$H$2:$L$612,4,FALSE)," ")</f>
        <v>0</v>
      </c>
    </row>
    <row r="310" spans="1:8" x14ac:dyDescent="0.3">
      <c r="A310" s="25">
        <v>308</v>
      </c>
      <c r="B310" s="25"/>
      <c r="C310" s="25"/>
      <c r="D310" s="25"/>
      <c r="E310" s="30" t="str">
        <f t="shared" si="7"/>
        <v>--</v>
      </c>
      <c r="F310" s="13">
        <f>IFERROR(VLOOKUP(E310,'ESTRUCTURA CODIGO'!$H$2:$J$1048576,2,FALSE)," ")</f>
        <v>0</v>
      </c>
      <c r="G310" s="25">
        <f>IFERROR(VLOOKUP(E310,'ESTRUCTURA CODIGO'!$H$2:$J$1048576,3,FALSE)," ")</f>
        <v>0</v>
      </c>
      <c r="H310" s="25">
        <f>IFERROR(VLOOKUP(E310,'ESTRUCTURA CODIGO'!$H$2:$L$612,4,FALSE)," ")</f>
        <v>0</v>
      </c>
    </row>
    <row r="311" spans="1:8" x14ac:dyDescent="0.3">
      <c r="A311" s="25">
        <v>309</v>
      </c>
      <c r="B311" s="25"/>
      <c r="C311" s="25"/>
      <c r="D311" s="25"/>
      <c r="E311" s="30" t="str">
        <f t="shared" si="7"/>
        <v>--</v>
      </c>
      <c r="F311" s="13">
        <f>IFERROR(VLOOKUP(E311,'ESTRUCTURA CODIGO'!$H$2:$J$1048576,2,FALSE)," ")</f>
        <v>0</v>
      </c>
      <c r="G311" s="25">
        <f>IFERROR(VLOOKUP(E311,'ESTRUCTURA CODIGO'!$H$2:$J$1048576,3,FALSE)," ")</f>
        <v>0</v>
      </c>
      <c r="H311" s="25">
        <f>IFERROR(VLOOKUP(E311,'ESTRUCTURA CODIGO'!$H$2:$L$612,4,FALSE)," ")</f>
        <v>0</v>
      </c>
    </row>
    <row r="312" spans="1:8" x14ac:dyDescent="0.3">
      <c r="A312" s="25">
        <v>310</v>
      </c>
      <c r="B312" s="25"/>
      <c r="C312" s="25"/>
      <c r="D312" s="25"/>
      <c r="E312" s="30" t="str">
        <f t="shared" si="7"/>
        <v>--</v>
      </c>
      <c r="F312" s="13">
        <f>IFERROR(VLOOKUP(E312,'ESTRUCTURA CODIGO'!$H$2:$J$1048576,2,FALSE)," ")</f>
        <v>0</v>
      </c>
      <c r="G312" s="25">
        <f>IFERROR(VLOOKUP(E312,'ESTRUCTURA CODIGO'!$H$2:$J$1048576,3,FALSE)," ")</f>
        <v>0</v>
      </c>
      <c r="H312" s="25">
        <f>IFERROR(VLOOKUP(E312,'ESTRUCTURA CODIGO'!$H$2:$L$612,4,FALSE)," ")</f>
        <v>0</v>
      </c>
    </row>
    <row r="313" spans="1:8" x14ac:dyDescent="0.3">
      <c r="A313" s="25">
        <v>311</v>
      </c>
      <c r="B313" s="25"/>
      <c r="C313" s="25"/>
      <c r="D313" s="25"/>
      <c r="E313" s="30" t="str">
        <f t="shared" si="7"/>
        <v>--</v>
      </c>
      <c r="F313" s="13">
        <f>IFERROR(VLOOKUP(E313,'ESTRUCTURA CODIGO'!$H$2:$J$1048576,2,FALSE)," ")</f>
        <v>0</v>
      </c>
      <c r="G313" s="25">
        <f>IFERROR(VLOOKUP(E313,'ESTRUCTURA CODIGO'!$H$2:$J$1048576,3,FALSE)," ")</f>
        <v>0</v>
      </c>
      <c r="H313" s="25">
        <f>IFERROR(VLOOKUP(E313,'ESTRUCTURA CODIGO'!$H$2:$L$612,4,FALSE)," ")</f>
        <v>0</v>
      </c>
    </row>
    <row r="314" spans="1:8" x14ac:dyDescent="0.3">
      <c r="A314" s="25">
        <v>312</v>
      </c>
      <c r="B314" s="25"/>
      <c r="C314" s="25"/>
      <c r="D314" s="25"/>
      <c r="E314" s="30" t="str">
        <f t="shared" si="7"/>
        <v>--</v>
      </c>
      <c r="F314" s="13">
        <f>IFERROR(VLOOKUP(E314,'ESTRUCTURA CODIGO'!$H$2:$J$1048576,2,FALSE)," ")</f>
        <v>0</v>
      </c>
      <c r="G314" s="25">
        <f>IFERROR(VLOOKUP(E314,'ESTRUCTURA CODIGO'!$H$2:$J$1048576,3,FALSE)," ")</f>
        <v>0</v>
      </c>
      <c r="H314" s="25">
        <f>IFERROR(VLOOKUP(E314,'ESTRUCTURA CODIGO'!$H$2:$L$612,4,FALSE)," ")</f>
        <v>0</v>
      </c>
    </row>
    <row r="315" spans="1:8" x14ac:dyDescent="0.3">
      <c r="A315" s="25">
        <v>313</v>
      </c>
      <c r="B315" s="25"/>
      <c r="C315" s="25"/>
      <c r="D315" s="25"/>
      <c r="E315" s="30" t="str">
        <f t="shared" si="7"/>
        <v>--</v>
      </c>
      <c r="F315" s="13">
        <f>IFERROR(VLOOKUP(E315,'ESTRUCTURA CODIGO'!$H$2:$J$1048576,2,FALSE)," ")</f>
        <v>0</v>
      </c>
      <c r="G315" s="25">
        <f>IFERROR(VLOOKUP(E315,'ESTRUCTURA CODIGO'!$H$2:$J$1048576,3,FALSE)," ")</f>
        <v>0</v>
      </c>
      <c r="H315" s="25">
        <f>IFERROR(VLOOKUP(E315,'ESTRUCTURA CODIGO'!$H$2:$L$612,4,FALSE)," ")</f>
        <v>0</v>
      </c>
    </row>
    <row r="316" spans="1:8" x14ac:dyDescent="0.3">
      <c r="A316" s="25">
        <v>314</v>
      </c>
      <c r="B316" s="25"/>
      <c r="C316" s="25"/>
      <c r="D316" s="25"/>
      <c r="E316" s="30" t="str">
        <f t="shared" si="7"/>
        <v>--</v>
      </c>
      <c r="F316" s="13">
        <f>IFERROR(VLOOKUP(E316,'ESTRUCTURA CODIGO'!$H$2:$J$1048576,2,FALSE)," ")</f>
        <v>0</v>
      </c>
      <c r="G316" s="25">
        <f>IFERROR(VLOOKUP(E316,'ESTRUCTURA CODIGO'!$H$2:$J$1048576,3,FALSE)," ")</f>
        <v>0</v>
      </c>
      <c r="H316" s="25">
        <f>IFERROR(VLOOKUP(E316,'ESTRUCTURA CODIGO'!$H$2:$L$612,4,FALSE)," ")</f>
        <v>0</v>
      </c>
    </row>
    <row r="317" spans="1:8" x14ac:dyDescent="0.3">
      <c r="A317" s="25">
        <v>315</v>
      </c>
      <c r="B317" s="25"/>
      <c r="C317" s="25"/>
      <c r="D317" s="25"/>
      <c r="E317" s="30" t="str">
        <f t="shared" si="7"/>
        <v>--</v>
      </c>
      <c r="F317" s="13">
        <f>IFERROR(VLOOKUP(E317,'ESTRUCTURA CODIGO'!$H$2:$J$1048576,2,FALSE)," ")</f>
        <v>0</v>
      </c>
      <c r="G317" s="25">
        <f>IFERROR(VLOOKUP(E317,'ESTRUCTURA CODIGO'!$H$2:$J$1048576,3,FALSE)," ")</f>
        <v>0</v>
      </c>
      <c r="H317" s="25">
        <f>IFERROR(VLOOKUP(E317,'ESTRUCTURA CODIGO'!$H$2:$L$612,4,FALSE)," ")</f>
        <v>0</v>
      </c>
    </row>
    <row r="318" spans="1:8" x14ac:dyDescent="0.3">
      <c r="A318" s="25">
        <v>316</v>
      </c>
      <c r="B318" s="25"/>
      <c r="C318" s="25"/>
      <c r="D318" s="25"/>
      <c r="E318" s="30" t="str">
        <f t="shared" si="7"/>
        <v>--</v>
      </c>
      <c r="F318" s="13">
        <f>IFERROR(VLOOKUP(E318,'ESTRUCTURA CODIGO'!$H$2:$J$1048576,2,FALSE)," ")</f>
        <v>0</v>
      </c>
      <c r="G318" s="25">
        <f>IFERROR(VLOOKUP(E318,'ESTRUCTURA CODIGO'!$H$2:$J$1048576,3,FALSE)," ")</f>
        <v>0</v>
      </c>
      <c r="H318" s="25">
        <f>IFERROR(VLOOKUP(E318,'ESTRUCTURA CODIGO'!$H$2:$L$612,4,FALSE)," ")</f>
        <v>0</v>
      </c>
    </row>
    <row r="319" spans="1:8" x14ac:dyDescent="0.3">
      <c r="A319" s="25">
        <v>317</v>
      </c>
      <c r="B319" s="25"/>
      <c r="C319" s="25"/>
      <c r="D319" s="25"/>
      <c r="E319" s="30" t="str">
        <f t="shared" si="7"/>
        <v>--</v>
      </c>
      <c r="F319" s="13">
        <f>IFERROR(VLOOKUP(E319,'ESTRUCTURA CODIGO'!$H$2:$J$1048576,2,FALSE)," ")</f>
        <v>0</v>
      </c>
      <c r="G319" s="25">
        <f>IFERROR(VLOOKUP(E319,'ESTRUCTURA CODIGO'!$H$2:$J$1048576,3,FALSE)," ")</f>
        <v>0</v>
      </c>
      <c r="H319" s="25">
        <f>IFERROR(VLOOKUP(E319,'ESTRUCTURA CODIGO'!$H$2:$L$612,4,FALSE)," ")</f>
        <v>0</v>
      </c>
    </row>
    <row r="320" spans="1:8" x14ac:dyDescent="0.3">
      <c r="A320" s="25">
        <v>318</v>
      </c>
      <c r="B320" s="25"/>
      <c r="C320" s="25"/>
      <c r="D320" s="25"/>
      <c r="E320" s="30" t="str">
        <f t="shared" si="7"/>
        <v>--</v>
      </c>
      <c r="F320" s="13">
        <f>IFERROR(VLOOKUP(E320,'ESTRUCTURA CODIGO'!$H$2:$J$1048576,2,FALSE)," ")</f>
        <v>0</v>
      </c>
      <c r="G320" s="25">
        <f>IFERROR(VLOOKUP(E320,'ESTRUCTURA CODIGO'!$H$2:$J$1048576,3,FALSE)," ")</f>
        <v>0</v>
      </c>
      <c r="H320" s="25">
        <f>IFERROR(VLOOKUP(E320,'ESTRUCTURA CODIGO'!$H$2:$L$612,4,FALSE)," ")</f>
        <v>0</v>
      </c>
    </row>
    <row r="321" spans="1:8" x14ac:dyDescent="0.3">
      <c r="A321" s="25">
        <v>319</v>
      </c>
      <c r="B321" s="25"/>
      <c r="C321" s="25"/>
      <c r="D321" s="25"/>
      <c r="E321" s="30" t="str">
        <f t="shared" si="7"/>
        <v>--</v>
      </c>
      <c r="F321" s="13">
        <f>IFERROR(VLOOKUP(E321,'ESTRUCTURA CODIGO'!$H$2:$J$1048576,2,FALSE)," ")</f>
        <v>0</v>
      </c>
      <c r="G321" s="25">
        <f>IFERROR(VLOOKUP(E321,'ESTRUCTURA CODIGO'!$H$2:$J$1048576,3,FALSE)," ")</f>
        <v>0</v>
      </c>
      <c r="H321" s="25">
        <f>IFERROR(VLOOKUP(E321,'ESTRUCTURA CODIGO'!$H$2:$L$612,4,FALSE)," ")</f>
        <v>0</v>
      </c>
    </row>
    <row r="322" spans="1:8" x14ac:dyDescent="0.3">
      <c r="A322" s="25">
        <v>320</v>
      </c>
      <c r="B322" s="25"/>
      <c r="C322" s="25"/>
      <c r="D322" s="25"/>
      <c r="E322" s="30" t="str">
        <f t="shared" si="7"/>
        <v>--</v>
      </c>
      <c r="F322" s="13">
        <f>IFERROR(VLOOKUP(E322,'ESTRUCTURA CODIGO'!$H$2:$J$1048576,2,FALSE)," ")</f>
        <v>0</v>
      </c>
      <c r="G322" s="25">
        <f>IFERROR(VLOOKUP(E322,'ESTRUCTURA CODIGO'!$H$2:$J$1048576,3,FALSE)," ")</f>
        <v>0</v>
      </c>
      <c r="H322" s="25">
        <f>IFERROR(VLOOKUP(E322,'ESTRUCTURA CODIGO'!$H$2:$L$612,4,FALSE)," ")</f>
        <v>0</v>
      </c>
    </row>
    <row r="323" spans="1:8" x14ac:dyDescent="0.3">
      <c r="A323" s="25">
        <v>321</v>
      </c>
      <c r="B323" s="25"/>
      <c r="C323" s="25"/>
      <c r="D323" s="25"/>
      <c r="E323" s="30" t="str">
        <f t="shared" si="7"/>
        <v>--</v>
      </c>
      <c r="F323" s="13">
        <f>IFERROR(VLOOKUP(E323,'ESTRUCTURA CODIGO'!$H$2:$J$1048576,2,FALSE)," ")</f>
        <v>0</v>
      </c>
      <c r="G323" s="25">
        <f>IFERROR(VLOOKUP(E323,'ESTRUCTURA CODIGO'!$H$2:$J$1048576,3,FALSE)," ")</f>
        <v>0</v>
      </c>
      <c r="H323" s="25">
        <f>IFERROR(VLOOKUP(E323,'ESTRUCTURA CODIGO'!$H$2:$L$612,4,FALSE)," ")</f>
        <v>0</v>
      </c>
    </row>
    <row r="324" spans="1:8" x14ac:dyDescent="0.3">
      <c r="A324" s="25">
        <v>322</v>
      </c>
      <c r="B324" s="25"/>
      <c r="C324" s="25"/>
      <c r="D324" s="25"/>
      <c r="E324" s="30" t="str">
        <f t="shared" si="7"/>
        <v>--</v>
      </c>
      <c r="F324" s="13">
        <f>IFERROR(VLOOKUP(E324,'ESTRUCTURA CODIGO'!$H$2:$J$1048576,2,FALSE)," ")</f>
        <v>0</v>
      </c>
      <c r="G324" s="25">
        <f>IFERROR(VLOOKUP(E324,'ESTRUCTURA CODIGO'!$H$2:$J$1048576,3,FALSE)," ")</f>
        <v>0</v>
      </c>
      <c r="H324" s="25">
        <f>IFERROR(VLOOKUP(E324,'ESTRUCTURA CODIGO'!$H$2:$L$612,4,FALSE)," ")</f>
        <v>0</v>
      </c>
    </row>
    <row r="325" spans="1:8" x14ac:dyDescent="0.3">
      <c r="A325" s="25">
        <v>323</v>
      </c>
      <c r="B325" s="25"/>
      <c r="C325" s="25"/>
      <c r="D325" s="25"/>
      <c r="E325" s="30" t="str">
        <f t="shared" si="7"/>
        <v>--</v>
      </c>
      <c r="F325" s="13">
        <f>IFERROR(VLOOKUP(E325,'ESTRUCTURA CODIGO'!$H$2:$J$1048576,2,FALSE)," ")</f>
        <v>0</v>
      </c>
      <c r="G325" s="25">
        <f>IFERROR(VLOOKUP(E325,'ESTRUCTURA CODIGO'!$H$2:$J$1048576,3,FALSE)," ")</f>
        <v>0</v>
      </c>
      <c r="H325" s="25">
        <f>IFERROR(VLOOKUP(E325,'ESTRUCTURA CODIGO'!$H$2:$L$612,4,FALSE)," ")</f>
        <v>0</v>
      </c>
    </row>
    <row r="326" spans="1:8" x14ac:dyDescent="0.3">
      <c r="A326" s="25">
        <v>324</v>
      </c>
      <c r="B326" s="25"/>
      <c r="C326" s="25"/>
      <c r="D326" s="25"/>
      <c r="E326" s="30" t="str">
        <f t="shared" si="7"/>
        <v>--</v>
      </c>
      <c r="F326" s="13">
        <f>IFERROR(VLOOKUP(E326,'ESTRUCTURA CODIGO'!$H$2:$J$1048576,2,FALSE)," ")</f>
        <v>0</v>
      </c>
      <c r="G326" s="25">
        <f>IFERROR(VLOOKUP(E326,'ESTRUCTURA CODIGO'!$H$2:$J$1048576,3,FALSE)," ")</f>
        <v>0</v>
      </c>
      <c r="H326" s="25">
        <f>IFERROR(VLOOKUP(E326,'ESTRUCTURA CODIGO'!$H$2:$L$612,4,FALSE)," ")</f>
        <v>0</v>
      </c>
    </row>
    <row r="327" spans="1:8" x14ac:dyDescent="0.3">
      <c r="A327" s="25">
        <v>325</v>
      </c>
      <c r="B327" s="25"/>
      <c r="C327" s="25"/>
      <c r="D327" s="25"/>
      <c r="E327" s="30" t="str">
        <f t="shared" si="7"/>
        <v>--</v>
      </c>
      <c r="F327" s="13">
        <f>IFERROR(VLOOKUP(E327,'ESTRUCTURA CODIGO'!$H$2:$J$1048576,2,FALSE)," ")</f>
        <v>0</v>
      </c>
      <c r="G327" s="25">
        <f>IFERROR(VLOOKUP(E327,'ESTRUCTURA CODIGO'!$H$2:$J$1048576,3,FALSE)," ")</f>
        <v>0</v>
      </c>
      <c r="H327" s="25">
        <f>IFERROR(VLOOKUP(E327,'ESTRUCTURA CODIGO'!$H$2:$L$612,4,FALSE)," ")</f>
        <v>0</v>
      </c>
    </row>
    <row r="328" spans="1:8" x14ac:dyDescent="0.3">
      <c r="A328" s="25">
        <v>326</v>
      </c>
      <c r="B328" s="25"/>
      <c r="C328" s="25"/>
      <c r="D328" s="25"/>
      <c r="E328" s="30" t="str">
        <f t="shared" si="7"/>
        <v>--</v>
      </c>
      <c r="F328" s="13">
        <f>IFERROR(VLOOKUP(E328,'ESTRUCTURA CODIGO'!$H$2:$J$1048576,2,FALSE)," ")</f>
        <v>0</v>
      </c>
      <c r="G328" s="25">
        <f>IFERROR(VLOOKUP(E328,'ESTRUCTURA CODIGO'!$H$2:$J$1048576,3,FALSE)," ")</f>
        <v>0</v>
      </c>
      <c r="H328" s="25">
        <f>IFERROR(VLOOKUP(E328,'ESTRUCTURA CODIGO'!$H$2:$L$612,4,FALSE)," ")</f>
        <v>0</v>
      </c>
    </row>
    <row r="329" spans="1:8" x14ac:dyDescent="0.3">
      <c r="A329" s="25">
        <v>327</v>
      </c>
      <c r="B329" s="25"/>
      <c r="C329" s="25"/>
      <c r="D329" s="25"/>
      <c r="E329" s="30" t="str">
        <f t="shared" si="7"/>
        <v>--</v>
      </c>
      <c r="F329" s="13">
        <f>IFERROR(VLOOKUP(E329,'ESTRUCTURA CODIGO'!$H$2:$J$1048576,2,FALSE)," ")</f>
        <v>0</v>
      </c>
      <c r="G329" s="25">
        <f>IFERROR(VLOOKUP(E329,'ESTRUCTURA CODIGO'!$H$2:$J$1048576,3,FALSE)," ")</f>
        <v>0</v>
      </c>
      <c r="H329" s="25">
        <f>IFERROR(VLOOKUP(E329,'ESTRUCTURA CODIGO'!$H$2:$L$612,4,FALSE)," ")</f>
        <v>0</v>
      </c>
    </row>
    <row r="330" spans="1:8" x14ac:dyDescent="0.3">
      <c r="A330" s="25">
        <v>328</v>
      </c>
      <c r="B330" s="25"/>
      <c r="C330" s="25"/>
      <c r="D330" s="25"/>
      <c r="E330" s="30" t="str">
        <f t="shared" si="7"/>
        <v>--</v>
      </c>
      <c r="F330" s="13">
        <f>IFERROR(VLOOKUP(E330,'ESTRUCTURA CODIGO'!$H$2:$J$1048576,2,FALSE)," ")</f>
        <v>0</v>
      </c>
      <c r="G330" s="25">
        <f>IFERROR(VLOOKUP(E330,'ESTRUCTURA CODIGO'!$H$2:$J$1048576,3,FALSE)," ")</f>
        <v>0</v>
      </c>
      <c r="H330" s="25">
        <f>IFERROR(VLOOKUP(E330,'ESTRUCTURA CODIGO'!$H$2:$L$612,4,FALSE)," ")</f>
        <v>0</v>
      </c>
    </row>
    <row r="331" spans="1:8" x14ac:dyDescent="0.3">
      <c r="A331" s="25">
        <v>329</v>
      </c>
      <c r="B331" s="25"/>
      <c r="C331" s="25"/>
      <c r="D331" s="25"/>
      <c r="E331" s="30" t="str">
        <f t="shared" si="7"/>
        <v>--</v>
      </c>
      <c r="F331" s="13">
        <f>IFERROR(VLOOKUP(E331,'ESTRUCTURA CODIGO'!$H$2:$J$1048576,2,FALSE)," ")</f>
        <v>0</v>
      </c>
      <c r="G331" s="25">
        <f>IFERROR(VLOOKUP(E331,'ESTRUCTURA CODIGO'!$H$2:$J$1048576,3,FALSE)," ")</f>
        <v>0</v>
      </c>
      <c r="H331" s="25">
        <f>IFERROR(VLOOKUP(E331,'ESTRUCTURA CODIGO'!$H$2:$L$612,4,FALSE)," ")</f>
        <v>0</v>
      </c>
    </row>
    <row r="332" spans="1:8" x14ac:dyDescent="0.3">
      <c r="A332" s="25">
        <v>330</v>
      </c>
      <c r="B332" s="25"/>
      <c r="C332" s="25"/>
      <c r="D332" s="25"/>
      <c r="E332" s="30" t="str">
        <f t="shared" si="7"/>
        <v>--</v>
      </c>
      <c r="F332" s="13">
        <f>IFERROR(VLOOKUP(E332,'ESTRUCTURA CODIGO'!$H$2:$J$1048576,2,FALSE)," ")</f>
        <v>0</v>
      </c>
      <c r="G332" s="25">
        <f>IFERROR(VLOOKUP(E332,'ESTRUCTURA CODIGO'!$H$2:$J$1048576,3,FALSE)," ")</f>
        <v>0</v>
      </c>
      <c r="H332" s="25">
        <f>IFERROR(VLOOKUP(E332,'ESTRUCTURA CODIGO'!$H$2:$L$612,4,FALSE)," ")</f>
        <v>0</v>
      </c>
    </row>
    <row r="333" spans="1:8" x14ac:dyDescent="0.3">
      <c r="A333" s="25">
        <v>331</v>
      </c>
      <c r="B333" s="25"/>
      <c r="C333" s="25"/>
      <c r="D333" s="25"/>
      <c r="E333" s="30" t="str">
        <f t="shared" si="7"/>
        <v>--</v>
      </c>
      <c r="F333" s="13">
        <f>IFERROR(VLOOKUP(E333,'ESTRUCTURA CODIGO'!$H$2:$J$1048576,2,FALSE)," ")</f>
        <v>0</v>
      </c>
      <c r="G333" s="25">
        <f>IFERROR(VLOOKUP(E333,'ESTRUCTURA CODIGO'!$H$2:$J$1048576,3,FALSE)," ")</f>
        <v>0</v>
      </c>
      <c r="H333" s="25">
        <f>IFERROR(VLOOKUP(E333,'ESTRUCTURA CODIGO'!$H$2:$L$612,4,FALSE)," ")</f>
        <v>0</v>
      </c>
    </row>
    <row r="334" spans="1:8" x14ac:dyDescent="0.3">
      <c r="A334" s="25">
        <v>332</v>
      </c>
      <c r="B334" s="25"/>
      <c r="C334" s="25"/>
      <c r="D334" s="25"/>
      <c r="E334" s="30" t="str">
        <f t="shared" si="7"/>
        <v>--</v>
      </c>
      <c r="F334" s="13">
        <f>IFERROR(VLOOKUP(E334,'ESTRUCTURA CODIGO'!$H$2:$J$1048576,2,FALSE)," ")</f>
        <v>0</v>
      </c>
      <c r="G334" s="25">
        <f>IFERROR(VLOOKUP(E334,'ESTRUCTURA CODIGO'!$H$2:$J$1048576,3,FALSE)," ")</f>
        <v>0</v>
      </c>
      <c r="H334" s="25">
        <f>IFERROR(VLOOKUP(E334,'ESTRUCTURA CODIGO'!$H$2:$L$612,4,FALSE)," ")</f>
        <v>0</v>
      </c>
    </row>
    <row r="335" spans="1:8" x14ac:dyDescent="0.3">
      <c r="A335" s="25">
        <v>333</v>
      </c>
      <c r="B335" s="25"/>
      <c r="C335" s="25"/>
      <c r="D335" s="25"/>
      <c r="E335" s="30" t="str">
        <f t="shared" si="7"/>
        <v>--</v>
      </c>
      <c r="F335" s="13">
        <f>IFERROR(VLOOKUP(E335,'ESTRUCTURA CODIGO'!$H$2:$J$1048576,2,FALSE)," ")</f>
        <v>0</v>
      </c>
      <c r="G335" s="25">
        <f>IFERROR(VLOOKUP(E335,'ESTRUCTURA CODIGO'!$H$2:$J$1048576,3,FALSE)," ")</f>
        <v>0</v>
      </c>
      <c r="H335" s="25">
        <f>IFERROR(VLOOKUP(E335,'ESTRUCTURA CODIGO'!$H$2:$L$612,4,FALSE)," ")</f>
        <v>0</v>
      </c>
    </row>
    <row r="336" spans="1:8" x14ac:dyDescent="0.3">
      <c r="A336" s="25">
        <v>334</v>
      </c>
      <c r="B336" s="25"/>
      <c r="C336" s="25"/>
      <c r="D336" s="25"/>
      <c r="E336" s="30" t="str">
        <f t="shared" si="7"/>
        <v>--</v>
      </c>
      <c r="F336" s="13">
        <f>IFERROR(VLOOKUP(E336,'ESTRUCTURA CODIGO'!$H$2:$J$1048576,2,FALSE)," ")</f>
        <v>0</v>
      </c>
      <c r="G336" s="25">
        <f>IFERROR(VLOOKUP(E336,'ESTRUCTURA CODIGO'!$H$2:$J$1048576,3,FALSE)," ")</f>
        <v>0</v>
      </c>
      <c r="H336" s="25">
        <f>IFERROR(VLOOKUP(E336,'ESTRUCTURA CODIGO'!$H$2:$L$612,4,FALSE)," ")</f>
        <v>0</v>
      </c>
    </row>
    <row r="337" spans="1:8" x14ac:dyDescent="0.3">
      <c r="A337" s="25">
        <v>335</v>
      </c>
      <c r="B337" s="25"/>
      <c r="C337" s="25"/>
      <c r="D337" s="25"/>
      <c r="E337" s="30" t="str">
        <f t="shared" si="7"/>
        <v>--</v>
      </c>
      <c r="F337" s="13">
        <f>IFERROR(VLOOKUP(E337,'ESTRUCTURA CODIGO'!$H$2:$J$1048576,2,FALSE)," ")</f>
        <v>0</v>
      </c>
      <c r="G337" s="25">
        <f>IFERROR(VLOOKUP(E337,'ESTRUCTURA CODIGO'!$H$2:$J$1048576,3,FALSE)," ")</f>
        <v>0</v>
      </c>
      <c r="H337" s="25">
        <f>IFERROR(VLOOKUP(E337,'ESTRUCTURA CODIGO'!$H$2:$L$612,4,FALSE)," ")</f>
        <v>0</v>
      </c>
    </row>
    <row r="338" spans="1:8" x14ac:dyDescent="0.3">
      <c r="A338" s="25">
        <v>336</v>
      </c>
      <c r="B338" s="25"/>
      <c r="C338" s="25"/>
      <c r="D338" s="25"/>
      <c r="E338" s="30" t="str">
        <f t="shared" si="7"/>
        <v>--</v>
      </c>
      <c r="F338" s="13">
        <f>IFERROR(VLOOKUP(E338,'ESTRUCTURA CODIGO'!$H$2:$J$1048576,2,FALSE)," ")</f>
        <v>0</v>
      </c>
      <c r="G338" s="25">
        <f>IFERROR(VLOOKUP(E338,'ESTRUCTURA CODIGO'!$H$2:$J$1048576,3,FALSE)," ")</f>
        <v>0</v>
      </c>
      <c r="H338" s="25">
        <f>IFERROR(VLOOKUP(E338,'ESTRUCTURA CODIGO'!$H$2:$L$612,4,FALSE)," ")</f>
        <v>0</v>
      </c>
    </row>
    <row r="339" spans="1:8" x14ac:dyDescent="0.3">
      <c r="A339" s="25">
        <v>337</v>
      </c>
      <c r="B339" s="25"/>
      <c r="C339" s="25"/>
      <c r="D339" s="25"/>
      <c r="E339" s="30" t="str">
        <f t="shared" si="7"/>
        <v>--</v>
      </c>
      <c r="F339" s="13">
        <f>IFERROR(VLOOKUP(E339,'ESTRUCTURA CODIGO'!$H$2:$J$1048576,2,FALSE)," ")</f>
        <v>0</v>
      </c>
      <c r="G339" s="25">
        <f>IFERROR(VLOOKUP(E339,'ESTRUCTURA CODIGO'!$H$2:$J$1048576,3,FALSE)," ")</f>
        <v>0</v>
      </c>
      <c r="H339" s="25">
        <f>IFERROR(VLOOKUP(E339,'ESTRUCTURA CODIGO'!$H$2:$L$612,4,FALSE)," ")</f>
        <v>0</v>
      </c>
    </row>
    <row r="340" spans="1:8" x14ac:dyDescent="0.3">
      <c r="A340" s="25">
        <v>338</v>
      </c>
      <c r="B340" s="25"/>
      <c r="C340" s="25"/>
      <c r="D340" s="25"/>
      <c r="E340" s="30" t="str">
        <f t="shared" si="7"/>
        <v>--</v>
      </c>
      <c r="F340" s="13">
        <f>IFERROR(VLOOKUP(E340,'ESTRUCTURA CODIGO'!$H$2:$J$1048576,2,FALSE)," ")</f>
        <v>0</v>
      </c>
      <c r="G340" s="25">
        <f>IFERROR(VLOOKUP(E340,'ESTRUCTURA CODIGO'!$H$2:$J$1048576,3,FALSE)," ")</f>
        <v>0</v>
      </c>
      <c r="H340" s="25">
        <f>IFERROR(VLOOKUP(E340,'ESTRUCTURA CODIGO'!$H$2:$L$612,4,FALSE)," ")</f>
        <v>0</v>
      </c>
    </row>
    <row r="341" spans="1:8" x14ac:dyDescent="0.3">
      <c r="A341" s="25">
        <v>339</v>
      </c>
      <c r="B341" s="25"/>
      <c r="C341" s="25"/>
      <c r="D341" s="25"/>
      <c r="E341" s="30" t="str">
        <f t="shared" si="7"/>
        <v>--</v>
      </c>
      <c r="F341" s="13">
        <f>IFERROR(VLOOKUP(E341,'ESTRUCTURA CODIGO'!$H$2:$J$1048576,2,FALSE)," ")</f>
        <v>0</v>
      </c>
      <c r="G341" s="25">
        <f>IFERROR(VLOOKUP(E341,'ESTRUCTURA CODIGO'!$H$2:$J$1048576,3,FALSE)," ")</f>
        <v>0</v>
      </c>
      <c r="H341" s="25">
        <f>IFERROR(VLOOKUP(E341,'ESTRUCTURA CODIGO'!$H$2:$L$612,4,FALSE)," ")</f>
        <v>0</v>
      </c>
    </row>
    <row r="342" spans="1:8" x14ac:dyDescent="0.3">
      <c r="A342" s="25">
        <v>340</v>
      </c>
      <c r="B342" s="25"/>
      <c r="C342" s="25"/>
      <c r="D342" s="25"/>
      <c r="E342" s="30" t="str">
        <f t="shared" si="7"/>
        <v>--</v>
      </c>
      <c r="F342" s="13">
        <f>IFERROR(VLOOKUP(E342,'ESTRUCTURA CODIGO'!$H$2:$J$1048576,2,FALSE)," ")</f>
        <v>0</v>
      </c>
      <c r="G342" s="25">
        <f>IFERROR(VLOOKUP(E342,'ESTRUCTURA CODIGO'!$H$2:$J$1048576,3,FALSE)," ")</f>
        <v>0</v>
      </c>
      <c r="H342" s="25">
        <f>IFERROR(VLOOKUP(E342,'ESTRUCTURA CODIGO'!$H$2:$L$612,4,FALSE)," ")</f>
        <v>0</v>
      </c>
    </row>
    <row r="343" spans="1:8" x14ac:dyDescent="0.3">
      <c r="A343" s="25">
        <v>341</v>
      </c>
      <c r="B343" s="25"/>
      <c r="C343" s="25"/>
      <c r="D343" s="25"/>
      <c r="E343" s="30" t="str">
        <f t="shared" si="7"/>
        <v>--</v>
      </c>
      <c r="F343" s="13">
        <f>IFERROR(VLOOKUP(E343,'ESTRUCTURA CODIGO'!$H$2:$J$1048576,2,FALSE)," ")</f>
        <v>0</v>
      </c>
      <c r="G343" s="25">
        <f>IFERROR(VLOOKUP(E343,'ESTRUCTURA CODIGO'!$H$2:$J$1048576,3,FALSE)," ")</f>
        <v>0</v>
      </c>
      <c r="H343" s="25">
        <f>IFERROR(VLOOKUP(E343,'ESTRUCTURA CODIGO'!$H$2:$L$612,4,FALSE)," ")</f>
        <v>0</v>
      </c>
    </row>
    <row r="344" spans="1:8" x14ac:dyDescent="0.3">
      <c r="A344" s="25">
        <v>342</v>
      </c>
      <c r="B344" s="25"/>
      <c r="C344" s="25"/>
      <c r="D344" s="25"/>
      <c r="E344" s="30" t="str">
        <f t="shared" si="7"/>
        <v>--</v>
      </c>
      <c r="F344" s="13">
        <f>IFERROR(VLOOKUP(E344,'ESTRUCTURA CODIGO'!$H$2:$J$1048576,2,FALSE)," ")</f>
        <v>0</v>
      </c>
      <c r="G344" s="25">
        <f>IFERROR(VLOOKUP(E344,'ESTRUCTURA CODIGO'!$H$2:$J$1048576,3,FALSE)," ")</f>
        <v>0</v>
      </c>
      <c r="H344" s="25">
        <f>IFERROR(VLOOKUP(E344,'ESTRUCTURA CODIGO'!$H$2:$L$612,4,FALSE)," ")</f>
        <v>0</v>
      </c>
    </row>
    <row r="345" spans="1:8" x14ac:dyDescent="0.3">
      <c r="A345" s="25">
        <v>343</v>
      </c>
      <c r="B345" s="25"/>
      <c r="C345" s="25"/>
      <c r="D345" s="25"/>
      <c r="E345" s="30" t="str">
        <f t="shared" si="7"/>
        <v>--</v>
      </c>
      <c r="F345" s="13">
        <f>IFERROR(VLOOKUP(E345,'ESTRUCTURA CODIGO'!$H$2:$J$1048576,2,FALSE)," ")</f>
        <v>0</v>
      </c>
      <c r="G345" s="25">
        <f>IFERROR(VLOOKUP(E345,'ESTRUCTURA CODIGO'!$H$2:$J$1048576,3,FALSE)," ")</f>
        <v>0</v>
      </c>
      <c r="H345" s="25">
        <f>IFERROR(VLOOKUP(E345,'ESTRUCTURA CODIGO'!$H$2:$L$612,4,FALSE)," ")</f>
        <v>0</v>
      </c>
    </row>
    <row r="346" spans="1:8" x14ac:dyDescent="0.3">
      <c r="A346" s="25">
        <v>344</v>
      </c>
      <c r="B346" s="25"/>
      <c r="C346" s="25"/>
      <c r="D346" s="25"/>
      <c r="E346" s="30" t="str">
        <f t="shared" si="7"/>
        <v>--</v>
      </c>
      <c r="F346" s="13">
        <f>IFERROR(VLOOKUP(E346,'ESTRUCTURA CODIGO'!$H$2:$J$1048576,2,FALSE)," ")</f>
        <v>0</v>
      </c>
      <c r="G346" s="25">
        <f>IFERROR(VLOOKUP(E346,'ESTRUCTURA CODIGO'!$H$2:$J$1048576,3,FALSE)," ")</f>
        <v>0</v>
      </c>
      <c r="H346" s="25">
        <f>IFERROR(VLOOKUP(E346,'ESTRUCTURA CODIGO'!$H$2:$L$612,4,FALSE)," ")</f>
        <v>0</v>
      </c>
    </row>
    <row r="347" spans="1:8" x14ac:dyDescent="0.3">
      <c r="A347" s="25">
        <v>345</v>
      </c>
      <c r="B347" s="25"/>
      <c r="C347" s="25"/>
      <c r="D347" s="25"/>
      <c r="E347" s="30" t="str">
        <f t="shared" si="7"/>
        <v>--</v>
      </c>
      <c r="F347" s="13">
        <f>IFERROR(VLOOKUP(E347,'ESTRUCTURA CODIGO'!$H$2:$J$1048576,2,FALSE)," ")</f>
        <v>0</v>
      </c>
      <c r="G347" s="25">
        <f>IFERROR(VLOOKUP(E347,'ESTRUCTURA CODIGO'!$H$2:$J$1048576,3,FALSE)," ")</f>
        <v>0</v>
      </c>
      <c r="H347" s="25">
        <f>IFERROR(VLOOKUP(E347,'ESTRUCTURA CODIGO'!$H$2:$L$612,4,FALSE)," ")</f>
        <v>0</v>
      </c>
    </row>
    <row r="348" spans="1:8" x14ac:dyDescent="0.3">
      <c r="A348" s="25">
        <v>346</v>
      </c>
      <c r="B348" s="25"/>
      <c r="C348" s="25"/>
      <c r="D348" s="25"/>
      <c r="E348" s="30" t="str">
        <f t="shared" si="7"/>
        <v>--</v>
      </c>
      <c r="F348" s="13">
        <f>IFERROR(VLOOKUP(E348,'ESTRUCTURA CODIGO'!$H$2:$J$1048576,2,FALSE)," ")</f>
        <v>0</v>
      </c>
      <c r="G348" s="25">
        <f>IFERROR(VLOOKUP(E348,'ESTRUCTURA CODIGO'!$H$2:$J$1048576,3,FALSE)," ")</f>
        <v>0</v>
      </c>
      <c r="H348" s="25">
        <f>IFERROR(VLOOKUP(E348,'ESTRUCTURA CODIGO'!$H$2:$L$612,4,FALSE)," ")</f>
        <v>0</v>
      </c>
    </row>
    <row r="349" spans="1:8" x14ac:dyDescent="0.3">
      <c r="A349" s="25">
        <v>347</v>
      </c>
      <c r="B349" s="25"/>
      <c r="C349" s="25"/>
      <c r="D349" s="25"/>
      <c r="E349" s="30" t="str">
        <f t="shared" si="7"/>
        <v>--</v>
      </c>
      <c r="F349" s="13">
        <f>IFERROR(VLOOKUP(E349,'ESTRUCTURA CODIGO'!$H$2:$J$1048576,2,FALSE)," ")</f>
        <v>0</v>
      </c>
      <c r="G349" s="25">
        <f>IFERROR(VLOOKUP(E349,'ESTRUCTURA CODIGO'!$H$2:$J$1048576,3,FALSE)," ")</f>
        <v>0</v>
      </c>
      <c r="H349" s="25">
        <f>IFERROR(VLOOKUP(E349,'ESTRUCTURA CODIGO'!$H$2:$L$612,4,FALSE)," ")</f>
        <v>0</v>
      </c>
    </row>
    <row r="350" spans="1:8" x14ac:dyDescent="0.3">
      <c r="A350" s="25">
        <v>348</v>
      </c>
      <c r="B350" s="25"/>
      <c r="C350" s="25"/>
      <c r="D350" s="25"/>
      <c r="E350" s="30" t="str">
        <f t="shared" si="7"/>
        <v>--</v>
      </c>
      <c r="F350" s="13">
        <f>IFERROR(VLOOKUP(E350,'ESTRUCTURA CODIGO'!$H$2:$J$1048576,2,FALSE)," ")</f>
        <v>0</v>
      </c>
      <c r="G350" s="25">
        <f>IFERROR(VLOOKUP(E350,'ESTRUCTURA CODIGO'!$H$2:$J$1048576,3,FALSE)," ")</f>
        <v>0</v>
      </c>
      <c r="H350" s="25">
        <f>IFERROR(VLOOKUP(E350,'ESTRUCTURA CODIGO'!$H$2:$L$612,4,FALSE)," ")</f>
        <v>0</v>
      </c>
    </row>
    <row r="351" spans="1:8" x14ac:dyDescent="0.3">
      <c r="A351" s="25">
        <v>349</v>
      </c>
      <c r="B351" s="25"/>
      <c r="C351" s="25"/>
      <c r="D351" s="25"/>
      <c r="E351" s="30" t="str">
        <f t="shared" si="7"/>
        <v>--</v>
      </c>
      <c r="F351" s="13">
        <f>IFERROR(VLOOKUP(E351,'ESTRUCTURA CODIGO'!$H$2:$J$1048576,2,FALSE)," ")</f>
        <v>0</v>
      </c>
      <c r="G351" s="25">
        <f>IFERROR(VLOOKUP(E351,'ESTRUCTURA CODIGO'!$H$2:$J$1048576,3,FALSE)," ")</f>
        <v>0</v>
      </c>
      <c r="H351" s="25">
        <f>IFERROR(VLOOKUP(E351,'ESTRUCTURA CODIGO'!$H$2:$L$612,4,FALSE)," ")</f>
        <v>0</v>
      </c>
    </row>
    <row r="352" spans="1:8" x14ac:dyDescent="0.3">
      <c r="A352" s="25">
        <v>350</v>
      </c>
      <c r="B352" s="25"/>
      <c r="C352" s="25"/>
      <c r="D352" s="25"/>
      <c r="E352" s="30" t="str">
        <f t="shared" si="7"/>
        <v>--</v>
      </c>
      <c r="F352" s="13">
        <f>IFERROR(VLOOKUP(E352,'ESTRUCTURA CODIGO'!$H$2:$J$1048576,2,FALSE)," ")</f>
        <v>0</v>
      </c>
      <c r="G352" s="25">
        <f>IFERROR(VLOOKUP(E352,'ESTRUCTURA CODIGO'!$H$2:$J$1048576,3,FALSE)," ")</f>
        <v>0</v>
      </c>
      <c r="H352" s="25">
        <f>IFERROR(VLOOKUP(E352,'ESTRUCTURA CODIGO'!$H$2:$L$612,4,FALSE)," ")</f>
        <v>0</v>
      </c>
    </row>
    <row r="353" spans="1:8" x14ac:dyDescent="0.3">
      <c r="A353" s="25">
        <v>351</v>
      </c>
      <c r="B353" s="25"/>
      <c r="C353" s="25"/>
      <c r="D353" s="25"/>
      <c r="E353" s="30" t="str">
        <f t="shared" si="7"/>
        <v>--</v>
      </c>
      <c r="F353" s="13">
        <f>IFERROR(VLOOKUP(E353,'ESTRUCTURA CODIGO'!$H$2:$J$1048576,2,FALSE)," ")</f>
        <v>0</v>
      </c>
      <c r="G353" s="25">
        <f>IFERROR(VLOOKUP(E353,'ESTRUCTURA CODIGO'!$H$2:$J$1048576,3,FALSE)," ")</f>
        <v>0</v>
      </c>
      <c r="H353" s="25">
        <f>IFERROR(VLOOKUP(E353,'ESTRUCTURA CODIGO'!$H$2:$L$612,4,FALSE)," ")</f>
        <v>0</v>
      </c>
    </row>
    <row r="354" spans="1:8" x14ac:dyDescent="0.3">
      <c r="A354" s="25">
        <v>352</v>
      </c>
      <c r="B354" s="25"/>
      <c r="C354" s="25"/>
      <c r="D354" s="25"/>
      <c r="E354" s="30" t="str">
        <f t="shared" si="7"/>
        <v>--</v>
      </c>
      <c r="F354" s="13">
        <f>IFERROR(VLOOKUP(E354,'ESTRUCTURA CODIGO'!$H$2:$J$1048576,2,FALSE)," ")</f>
        <v>0</v>
      </c>
      <c r="G354" s="25">
        <f>IFERROR(VLOOKUP(E354,'ESTRUCTURA CODIGO'!$H$2:$J$1048576,3,FALSE)," ")</f>
        <v>0</v>
      </c>
      <c r="H354" s="25">
        <f>IFERROR(VLOOKUP(E354,'ESTRUCTURA CODIGO'!$H$2:$L$612,4,FALSE)," ")</f>
        <v>0</v>
      </c>
    </row>
    <row r="355" spans="1:8" x14ac:dyDescent="0.3">
      <c r="A355" s="25">
        <v>353</v>
      </c>
      <c r="B355" s="25"/>
      <c r="C355" s="25"/>
      <c r="D355" s="25"/>
      <c r="E355" s="30" t="str">
        <f t="shared" si="7"/>
        <v>--</v>
      </c>
      <c r="F355" s="13">
        <f>IFERROR(VLOOKUP(E355,'ESTRUCTURA CODIGO'!$H$2:$J$1048576,2,FALSE)," ")</f>
        <v>0</v>
      </c>
      <c r="G355" s="25">
        <f>IFERROR(VLOOKUP(E355,'ESTRUCTURA CODIGO'!$H$2:$J$1048576,3,FALSE)," ")</f>
        <v>0</v>
      </c>
      <c r="H355" s="25">
        <f>IFERROR(VLOOKUP(E355,'ESTRUCTURA CODIGO'!$H$2:$L$612,4,FALSE)," ")</f>
        <v>0</v>
      </c>
    </row>
    <row r="356" spans="1:8" x14ac:dyDescent="0.3">
      <c r="A356" s="25">
        <v>354</v>
      </c>
      <c r="B356" s="25"/>
      <c r="C356" s="25"/>
      <c r="D356" s="25"/>
      <c r="E356" s="30" t="str">
        <f t="shared" si="7"/>
        <v>--</v>
      </c>
      <c r="F356" s="13">
        <f>IFERROR(VLOOKUP(E356,'ESTRUCTURA CODIGO'!$H$2:$J$1048576,2,FALSE)," ")</f>
        <v>0</v>
      </c>
      <c r="G356" s="25">
        <f>IFERROR(VLOOKUP(E356,'ESTRUCTURA CODIGO'!$H$2:$J$1048576,3,FALSE)," ")</f>
        <v>0</v>
      </c>
      <c r="H356" s="25">
        <f>IFERROR(VLOOKUP(E356,'ESTRUCTURA CODIGO'!$H$2:$L$612,4,FALSE)," ")</f>
        <v>0</v>
      </c>
    </row>
    <row r="357" spans="1:8" x14ac:dyDescent="0.3">
      <c r="A357" s="25">
        <v>355</v>
      </c>
      <c r="B357" s="25"/>
      <c r="C357" s="25"/>
      <c r="D357" s="25"/>
      <c r="E357" s="30" t="str">
        <f t="shared" si="7"/>
        <v>--</v>
      </c>
      <c r="F357" s="13">
        <f>IFERROR(VLOOKUP(E357,'ESTRUCTURA CODIGO'!$H$2:$J$1048576,2,FALSE)," ")</f>
        <v>0</v>
      </c>
      <c r="G357" s="25">
        <f>IFERROR(VLOOKUP(E357,'ESTRUCTURA CODIGO'!$H$2:$J$1048576,3,FALSE)," ")</f>
        <v>0</v>
      </c>
      <c r="H357" s="25">
        <f>IFERROR(VLOOKUP(E357,'ESTRUCTURA CODIGO'!$H$2:$L$612,4,FALSE)," ")</f>
        <v>0</v>
      </c>
    </row>
    <row r="358" spans="1:8" x14ac:dyDescent="0.3">
      <c r="A358" s="25">
        <v>356</v>
      </c>
      <c r="B358" s="25"/>
      <c r="C358" s="25"/>
      <c r="D358" s="25"/>
      <c r="E358" s="30" t="str">
        <f t="shared" si="7"/>
        <v>--</v>
      </c>
      <c r="F358" s="13">
        <f>IFERROR(VLOOKUP(E358,'ESTRUCTURA CODIGO'!$H$2:$J$1048576,2,FALSE)," ")</f>
        <v>0</v>
      </c>
      <c r="G358" s="25">
        <f>IFERROR(VLOOKUP(E358,'ESTRUCTURA CODIGO'!$H$2:$J$1048576,3,FALSE)," ")</f>
        <v>0</v>
      </c>
      <c r="H358" s="25">
        <f>IFERROR(VLOOKUP(E358,'ESTRUCTURA CODIGO'!$H$2:$L$612,4,FALSE)," ")</f>
        <v>0</v>
      </c>
    </row>
    <row r="359" spans="1:8" x14ac:dyDescent="0.3">
      <c r="A359" s="25">
        <v>357</v>
      </c>
      <c r="B359" s="25"/>
      <c r="C359" s="25"/>
      <c r="D359" s="25"/>
      <c r="E359" s="30" t="str">
        <f t="shared" si="7"/>
        <v>--</v>
      </c>
      <c r="F359" s="13">
        <f>IFERROR(VLOOKUP(E359,'ESTRUCTURA CODIGO'!$H$2:$J$1048576,2,FALSE)," ")</f>
        <v>0</v>
      </c>
      <c r="G359" s="25">
        <f>IFERROR(VLOOKUP(E359,'ESTRUCTURA CODIGO'!$H$2:$J$1048576,3,FALSE)," ")</f>
        <v>0</v>
      </c>
      <c r="H359" s="25">
        <f>IFERROR(VLOOKUP(E359,'ESTRUCTURA CODIGO'!$H$2:$L$612,4,FALSE)," ")</f>
        <v>0</v>
      </c>
    </row>
    <row r="360" spans="1:8" x14ac:dyDescent="0.3">
      <c r="A360" s="25">
        <v>358</v>
      </c>
      <c r="B360" s="25"/>
      <c r="C360" s="25"/>
      <c r="D360" s="25"/>
      <c r="E360" s="30" t="str">
        <f t="shared" si="7"/>
        <v>--</v>
      </c>
      <c r="F360" s="13">
        <f>IFERROR(VLOOKUP(E360,'ESTRUCTURA CODIGO'!$H$2:$J$1048576,2,FALSE)," ")</f>
        <v>0</v>
      </c>
      <c r="G360" s="25">
        <f>IFERROR(VLOOKUP(E360,'ESTRUCTURA CODIGO'!$H$2:$J$1048576,3,FALSE)," ")</f>
        <v>0</v>
      </c>
      <c r="H360" s="25">
        <f>IFERROR(VLOOKUP(E360,'ESTRUCTURA CODIGO'!$H$2:$L$612,4,FALSE)," ")</f>
        <v>0</v>
      </c>
    </row>
    <row r="361" spans="1:8" x14ac:dyDescent="0.3">
      <c r="A361" s="25">
        <v>359</v>
      </c>
      <c r="B361" s="25"/>
      <c r="C361" s="25"/>
      <c r="D361" s="25"/>
      <c r="E361" s="30" t="str">
        <f t="shared" si="7"/>
        <v>--</v>
      </c>
      <c r="F361" s="13">
        <f>IFERROR(VLOOKUP(E361,'ESTRUCTURA CODIGO'!$H$2:$J$1048576,2,FALSE)," ")</f>
        <v>0</v>
      </c>
      <c r="G361" s="25">
        <f>IFERROR(VLOOKUP(E361,'ESTRUCTURA CODIGO'!$H$2:$J$1048576,3,FALSE)," ")</f>
        <v>0</v>
      </c>
      <c r="H361" s="25">
        <f>IFERROR(VLOOKUP(E361,'ESTRUCTURA CODIGO'!$H$2:$L$612,4,FALSE)," ")</f>
        <v>0</v>
      </c>
    </row>
    <row r="362" spans="1:8" x14ac:dyDescent="0.3">
      <c r="A362" s="25">
        <v>360</v>
      </c>
      <c r="B362" s="25"/>
      <c r="C362" s="25"/>
      <c r="D362" s="25"/>
      <c r="E362" s="30" t="str">
        <f t="shared" si="7"/>
        <v>--</v>
      </c>
      <c r="F362" s="13">
        <f>IFERROR(VLOOKUP(E362,'ESTRUCTURA CODIGO'!$H$2:$J$1048576,2,FALSE)," ")</f>
        <v>0</v>
      </c>
      <c r="G362" s="25">
        <f>IFERROR(VLOOKUP(E362,'ESTRUCTURA CODIGO'!$H$2:$J$1048576,3,FALSE)," ")</f>
        <v>0</v>
      </c>
      <c r="H362" s="25">
        <f>IFERROR(VLOOKUP(E362,'ESTRUCTURA CODIGO'!$H$2:$L$612,4,FALSE)," ")</f>
        <v>0</v>
      </c>
    </row>
    <row r="363" spans="1:8" x14ac:dyDescent="0.3">
      <c r="A363" s="25">
        <v>361</v>
      </c>
      <c r="B363" s="25"/>
      <c r="C363" s="25"/>
      <c r="D363" s="25"/>
      <c r="E363" s="30" t="str">
        <f t="shared" si="7"/>
        <v>--</v>
      </c>
      <c r="F363" s="13">
        <f>IFERROR(VLOOKUP(E363,'ESTRUCTURA CODIGO'!$H$2:$J$1048576,2,FALSE)," ")</f>
        <v>0</v>
      </c>
      <c r="G363" s="25">
        <f>IFERROR(VLOOKUP(E363,'ESTRUCTURA CODIGO'!$H$2:$J$1048576,3,FALSE)," ")</f>
        <v>0</v>
      </c>
      <c r="H363" s="25">
        <f>IFERROR(VLOOKUP(E363,'ESTRUCTURA CODIGO'!$H$2:$L$612,4,FALSE)," ")</f>
        <v>0</v>
      </c>
    </row>
    <row r="364" spans="1:8" x14ac:dyDescent="0.3">
      <c r="A364" s="25">
        <v>362</v>
      </c>
      <c r="B364" s="25"/>
      <c r="C364" s="25"/>
      <c r="D364" s="25"/>
      <c r="E364" s="30" t="str">
        <f t="shared" si="7"/>
        <v>--</v>
      </c>
      <c r="F364" s="13">
        <f>IFERROR(VLOOKUP(E364,'ESTRUCTURA CODIGO'!$H$2:$J$1048576,2,FALSE)," ")</f>
        <v>0</v>
      </c>
      <c r="G364" s="25">
        <f>IFERROR(VLOOKUP(E364,'ESTRUCTURA CODIGO'!$H$2:$J$1048576,3,FALSE)," ")</f>
        <v>0</v>
      </c>
      <c r="H364" s="25">
        <f>IFERROR(VLOOKUP(E364,'ESTRUCTURA CODIGO'!$H$2:$L$612,4,FALSE)," ")</f>
        <v>0</v>
      </c>
    </row>
    <row r="365" spans="1:8" x14ac:dyDescent="0.3">
      <c r="A365" s="25">
        <v>363</v>
      </c>
      <c r="B365" s="25"/>
      <c r="C365" s="25"/>
      <c r="D365" s="25"/>
      <c r="E365" s="30" t="str">
        <f t="shared" si="7"/>
        <v>--</v>
      </c>
      <c r="F365" s="13">
        <f>IFERROR(VLOOKUP(E365,'ESTRUCTURA CODIGO'!$H$2:$J$1048576,2,FALSE)," ")</f>
        <v>0</v>
      </c>
      <c r="G365" s="25">
        <f>IFERROR(VLOOKUP(E365,'ESTRUCTURA CODIGO'!$H$2:$J$1048576,3,FALSE)," ")</f>
        <v>0</v>
      </c>
      <c r="H365" s="25">
        <f>IFERROR(VLOOKUP(E365,'ESTRUCTURA CODIGO'!$H$2:$L$612,4,FALSE)," ")</f>
        <v>0</v>
      </c>
    </row>
    <row r="366" spans="1:8" x14ac:dyDescent="0.3">
      <c r="A366" s="25">
        <v>364</v>
      </c>
      <c r="B366" s="25"/>
      <c r="C366" s="25"/>
      <c r="D366" s="25"/>
      <c r="E366" s="30" t="str">
        <f t="shared" si="7"/>
        <v>--</v>
      </c>
      <c r="F366" s="13">
        <f>IFERROR(VLOOKUP(E366,'ESTRUCTURA CODIGO'!$H$2:$J$1048576,2,FALSE)," ")</f>
        <v>0</v>
      </c>
      <c r="G366" s="25">
        <f>IFERROR(VLOOKUP(E366,'ESTRUCTURA CODIGO'!$H$2:$J$1048576,3,FALSE)," ")</f>
        <v>0</v>
      </c>
      <c r="H366" s="25">
        <f>IFERROR(VLOOKUP(E366,'ESTRUCTURA CODIGO'!$H$2:$L$612,4,FALSE)," ")</f>
        <v>0</v>
      </c>
    </row>
    <row r="367" spans="1:8" x14ac:dyDescent="0.3">
      <c r="A367" s="25">
        <v>365</v>
      </c>
      <c r="B367" s="25"/>
      <c r="C367" s="25"/>
      <c r="D367" s="25"/>
      <c r="E367" s="30" t="str">
        <f t="shared" si="7"/>
        <v>--</v>
      </c>
      <c r="F367" s="13">
        <f>IFERROR(VLOOKUP(E367,'ESTRUCTURA CODIGO'!$H$2:$J$1048576,2,FALSE)," ")</f>
        <v>0</v>
      </c>
      <c r="G367" s="25">
        <f>IFERROR(VLOOKUP(E367,'ESTRUCTURA CODIGO'!$H$2:$J$1048576,3,FALSE)," ")</f>
        <v>0</v>
      </c>
      <c r="H367" s="25">
        <f>IFERROR(VLOOKUP(E367,'ESTRUCTURA CODIGO'!$H$2:$L$612,4,FALSE)," ")</f>
        <v>0</v>
      </c>
    </row>
    <row r="368" spans="1:8" x14ac:dyDescent="0.3">
      <c r="A368" s="25">
        <v>366</v>
      </c>
      <c r="B368" s="25"/>
      <c r="C368" s="25"/>
      <c r="D368" s="25"/>
      <c r="E368" s="30" t="str">
        <f t="shared" si="7"/>
        <v>--</v>
      </c>
      <c r="F368" s="13">
        <f>IFERROR(VLOOKUP(E368,'ESTRUCTURA CODIGO'!$H$2:$J$1048576,2,FALSE)," ")</f>
        <v>0</v>
      </c>
      <c r="G368" s="25">
        <f>IFERROR(VLOOKUP(E368,'ESTRUCTURA CODIGO'!$H$2:$J$1048576,3,FALSE)," ")</f>
        <v>0</v>
      </c>
      <c r="H368" s="25">
        <f>IFERROR(VLOOKUP(E368,'ESTRUCTURA CODIGO'!$H$2:$L$612,4,FALSE)," ")</f>
        <v>0</v>
      </c>
    </row>
    <row r="369" spans="1:8" x14ac:dyDescent="0.3">
      <c r="A369" s="25">
        <v>367</v>
      </c>
      <c r="B369" s="25"/>
      <c r="C369" s="25"/>
      <c r="D369" s="25"/>
      <c r="E369" s="30" t="str">
        <f t="shared" si="7"/>
        <v>--</v>
      </c>
      <c r="F369" s="13">
        <f>IFERROR(VLOOKUP(E369,'ESTRUCTURA CODIGO'!$H$2:$J$1048576,2,FALSE)," ")</f>
        <v>0</v>
      </c>
      <c r="G369" s="25">
        <f>IFERROR(VLOOKUP(E369,'ESTRUCTURA CODIGO'!$H$2:$J$1048576,3,FALSE)," ")</f>
        <v>0</v>
      </c>
      <c r="H369" s="25">
        <f>IFERROR(VLOOKUP(E369,'ESTRUCTURA CODIGO'!$H$2:$L$612,4,FALSE)," ")</f>
        <v>0</v>
      </c>
    </row>
    <row r="370" spans="1:8" x14ac:dyDescent="0.3">
      <c r="A370" s="25">
        <v>368</v>
      </c>
      <c r="B370" s="25"/>
      <c r="C370" s="25"/>
      <c r="D370" s="25"/>
      <c r="E370" s="30" t="str">
        <f t="shared" si="7"/>
        <v>--</v>
      </c>
      <c r="F370" s="13">
        <f>IFERROR(VLOOKUP(E370,'ESTRUCTURA CODIGO'!$H$2:$J$1048576,2,FALSE)," ")</f>
        <v>0</v>
      </c>
      <c r="G370" s="25">
        <f>IFERROR(VLOOKUP(E370,'ESTRUCTURA CODIGO'!$H$2:$J$1048576,3,FALSE)," ")</f>
        <v>0</v>
      </c>
      <c r="H370" s="25">
        <f>IFERROR(VLOOKUP(E370,'ESTRUCTURA CODIGO'!$H$2:$L$612,4,FALSE)," ")</f>
        <v>0</v>
      </c>
    </row>
    <row r="371" spans="1:8" x14ac:dyDescent="0.3">
      <c r="A371" s="25">
        <v>369</v>
      </c>
      <c r="B371" s="25"/>
      <c r="C371" s="25"/>
      <c r="D371" s="25"/>
      <c r="E371" s="30" t="str">
        <f t="shared" si="7"/>
        <v>--</v>
      </c>
      <c r="F371" s="13">
        <f>IFERROR(VLOOKUP(E371,'ESTRUCTURA CODIGO'!$H$2:$J$1048576,2,FALSE)," ")</f>
        <v>0</v>
      </c>
      <c r="G371" s="25">
        <f>IFERROR(VLOOKUP(E371,'ESTRUCTURA CODIGO'!$H$2:$J$1048576,3,FALSE)," ")</f>
        <v>0</v>
      </c>
      <c r="H371" s="25">
        <f>IFERROR(VLOOKUP(E371,'ESTRUCTURA CODIGO'!$H$2:$L$612,4,FALSE)," ")</f>
        <v>0</v>
      </c>
    </row>
    <row r="372" spans="1:8" x14ac:dyDescent="0.3">
      <c r="A372" s="25">
        <v>370</v>
      </c>
      <c r="B372" s="25"/>
      <c r="C372" s="25"/>
      <c r="D372" s="25"/>
      <c r="E372" s="30" t="str">
        <f t="shared" ref="E372:E435" si="8">CONCATENATE(B372,"-",C372,"-",D372)</f>
        <v>--</v>
      </c>
      <c r="F372" s="13">
        <f>IFERROR(VLOOKUP(E372,'ESTRUCTURA CODIGO'!$H$2:$J$1048576,2,FALSE)," ")</f>
        <v>0</v>
      </c>
      <c r="G372" s="25">
        <f>IFERROR(VLOOKUP(E372,'ESTRUCTURA CODIGO'!$H$2:$J$1048576,3,FALSE)," ")</f>
        <v>0</v>
      </c>
      <c r="H372" s="25">
        <f>IFERROR(VLOOKUP(E372,'ESTRUCTURA CODIGO'!$H$2:$L$612,4,FALSE)," ")</f>
        <v>0</v>
      </c>
    </row>
    <row r="373" spans="1:8" x14ac:dyDescent="0.3">
      <c r="A373" s="25">
        <v>371</v>
      </c>
      <c r="B373" s="25"/>
      <c r="C373" s="25"/>
      <c r="D373" s="25"/>
      <c r="E373" s="30" t="str">
        <f t="shared" si="8"/>
        <v>--</v>
      </c>
      <c r="F373" s="13">
        <f>IFERROR(VLOOKUP(E373,'ESTRUCTURA CODIGO'!$H$2:$J$1048576,2,FALSE)," ")</f>
        <v>0</v>
      </c>
      <c r="G373" s="25">
        <f>IFERROR(VLOOKUP(E373,'ESTRUCTURA CODIGO'!$H$2:$J$1048576,3,FALSE)," ")</f>
        <v>0</v>
      </c>
      <c r="H373" s="25">
        <f>IFERROR(VLOOKUP(E373,'ESTRUCTURA CODIGO'!$H$2:$L$612,4,FALSE)," ")</f>
        <v>0</v>
      </c>
    </row>
    <row r="374" spans="1:8" x14ac:dyDescent="0.3">
      <c r="A374" s="25">
        <v>372</v>
      </c>
      <c r="B374" s="25"/>
      <c r="C374" s="25"/>
      <c r="D374" s="25"/>
      <c r="E374" s="30" t="str">
        <f t="shared" si="8"/>
        <v>--</v>
      </c>
      <c r="F374" s="13">
        <f>IFERROR(VLOOKUP(E374,'ESTRUCTURA CODIGO'!$H$2:$J$1048576,2,FALSE)," ")</f>
        <v>0</v>
      </c>
      <c r="G374" s="25">
        <f>IFERROR(VLOOKUP(E374,'ESTRUCTURA CODIGO'!$H$2:$J$1048576,3,FALSE)," ")</f>
        <v>0</v>
      </c>
      <c r="H374" s="25">
        <f>IFERROR(VLOOKUP(E374,'ESTRUCTURA CODIGO'!$H$2:$L$612,4,FALSE)," ")</f>
        <v>0</v>
      </c>
    </row>
    <row r="375" spans="1:8" x14ac:dyDescent="0.3">
      <c r="A375" s="25">
        <v>373</v>
      </c>
      <c r="B375" s="25"/>
      <c r="C375" s="25"/>
      <c r="D375" s="25"/>
      <c r="E375" s="30" t="str">
        <f t="shared" si="8"/>
        <v>--</v>
      </c>
      <c r="F375" s="13">
        <f>IFERROR(VLOOKUP(E375,'ESTRUCTURA CODIGO'!$H$2:$J$1048576,2,FALSE)," ")</f>
        <v>0</v>
      </c>
      <c r="G375" s="25">
        <f>IFERROR(VLOOKUP(E375,'ESTRUCTURA CODIGO'!$H$2:$J$1048576,3,FALSE)," ")</f>
        <v>0</v>
      </c>
      <c r="H375" s="25">
        <f>IFERROR(VLOOKUP(E375,'ESTRUCTURA CODIGO'!$H$2:$L$612,4,FALSE)," ")</f>
        <v>0</v>
      </c>
    </row>
    <row r="376" spans="1:8" x14ac:dyDescent="0.3">
      <c r="A376" s="25">
        <v>374</v>
      </c>
      <c r="B376" s="25"/>
      <c r="C376" s="25"/>
      <c r="D376" s="25"/>
      <c r="E376" s="30" t="str">
        <f t="shared" si="8"/>
        <v>--</v>
      </c>
      <c r="F376" s="13">
        <f>IFERROR(VLOOKUP(E376,'ESTRUCTURA CODIGO'!$H$2:$J$1048576,2,FALSE)," ")</f>
        <v>0</v>
      </c>
      <c r="G376" s="25">
        <f>IFERROR(VLOOKUP(E376,'ESTRUCTURA CODIGO'!$H$2:$J$1048576,3,FALSE)," ")</f>
        <v>0</v>
      </c>
      <c r="H376" s="25">
        <f>IFERROR(VLOOKUP(E376,'ESTRUCTURA CODIGO'!$H$2:$L$612,4,FALSE)," ")</f>
        <v>0</v>
      </c>
    </row>
    <row r="377" spans="1:8" x14ac:dyDescent="0.3">
      <c r="A377" s="25">
        <v>375</v>
      </c>
      <c r="B377" s="25"/>
      <c r="C377" s="25"/>
      <c r="D377" s="25"/>
      <c r="E377" s="30" t="str">
        <f t="shared" si="8"/>
        <v>--</v>
      </c>
      <c r="F377" s="13">
        <f>IFERROR(VLOOKUP(E377,'ESTRUCTURA CODIGO'!$H$2:$J$1048576,2,FALSE)," ")</f>
        <v>0</v>
      </c>
      <c r="G377" s="25">
        <f>IFERROR(VLOOKUP(E377,'ESTRUCTURA CODIGO'!$H$2:$J$1048576,3,FALSE)," ")</f>
        <v>0</v>
      </c>
      <c r="H377" s="25">
        <f>IFERROR(VLOOKUP(E377,'ESTRUCTURA CODIGO'!$H$2:$L$612,4,FALSE)," ")</f>
        <v>0</v>
      </c>
    </row>
    <row r="378" spans="1:8" x14ac:dyDescent="0.3">
      <c r="A378" s="25">
        <v>376</v>
      </c>
      <c r="B378" s="25"/>
      <c r="C378" s="25"/>
      <c r="D378" s="25"/>
      <c r="E378" s="30" t="str">
        <f t="shared" si="8"/>
        <v>--</v>
      </c>
      <c r="F378" s="13">
        <f>IFERROR(VLOOKUP(E378,'ESTRUCTURA CODIGO'!$H$2:$J$1048576,2,FALSE)," ")</f>
        <v>0</v>
      </c>
      <c r="G378" s="25">
        <f>IFERROR(VLOOKUP(E378,'ESTRUCTURA CODIGO'!$H$2:$J$1048576,3,FALSE)," ")</f>
        <v>0</v>
      </c>
      <c r="H378" s="25">
        <f>IFERROR(VLOOKUP(E378,'ESTRUCTURA CODIGO'!$H$2:$L$612,4,FALSE)," ")</f>
        <v>0</v>
      </c>
    </row>
    <row r="379" spans="1:8" x14ac:dyDescent="0.3">
      <c r="A379" s="25">
        <v>377</v>
      </c>
      <c r="B379" s="25"/>
      <c r="C379" s="25"/>
      <c r="D379" s="25"/>
      <c r="E379" s="30" t="str">
        <f t="shared" si="8"/>
        <v>--</v>
      </c>
      <c r="F379" s="13">
        <f>IFERROR(VLOOKUP(E379,'ESTRUCTURA CODIGO'!$H$2:$J$1048576,2,FALSE)," ")</f>
        <v>0</v>
      </c>
      <c r="G379" s="25">
        <f>IFERROR(VLOOKUP(E379,'ESTRUCTURA CODIGO'!$H$2:$J$1048576,3,FALSE)," ")</f>
        <v>0</v>
      </c>
      <c r="H379" s="25">
        <f>IFERROR(VLOOKUP(E379,'ESTRUCTURA CODIGO'!$H$2:$L$612,4,FALSE)," ")</f>
        <v>0</v>
      </c>
    </row>
    <row r="380" spans="1:8" x14ac:dyDescent="0.3">
      <c r="A380" s="25">
        <v>378</v>
      </c>
      <c r="B380" s="25"/>
      <c r="C380" s="25"/>
      <c r="D380" s="25"/>
      <c r="E380" s="30" t="str">
        <f t="shared" si="8"/>
        <v>--</v>
      </c>
      <c r="F380" s="13">
        <f>IFERROR(VLOOKUP(E380,'ESTRUCTURA CODIGO'!$H$2:$J$1048576,2,FALSE)," ")</f>
        <v>0</v>
      </c>
      <c r="G380" s="25">
        <f>IFERROR(VLOOKUP(E380,'ESTRUCTURA CODIGO'!$H$2:$J$1048576,3,FALSE)," ")</f>
        <v>0</v>
      </c>
      <c r="H380" s="25">
        <f>IFERROR(VLOOKUP(E380,'ESTRUCTURA CODIGO'!$H$2:$L$612,4,FALSE)," ")</f>
        <v>0</v>
      </c>
    </row>
    <row r="381" spans="1:8" x14ac:dyDescent="0.3">
      <c r="A381" s="25">
        <v>379</v>
      </c>
      <c r="B381" s="25"/>
      <c r="C381" s="25"/>
      <c r="D381" s="25"/>
      <c r="E381" s="30" t="str">
        <f t="shared" si="8"/>
        <v>--</v>
      </c>
      <c r="F381" s="13">
        <f>IFERROR(VLOOKUP(E381,'ESTRUCTURA CODIGO'!$H$2:$J$1048576,2,FALSE)," ")</f>
        <v>0</v>
      </c>
      <c r="G381" s="25">
        <f>IFERROR(VLOOKUP(E381,'ESTRUCTURA CODIGO'!$H$2:$J$1048576,3,FALSE)," ")</f>
        <v>0</v>
      </c>
      <c r="H381" s="25">
        <f>IFERROR(VLOOKUP(E381,'ESTRUCTURA CODIGO'!$H$2:$L$612,4,FALSE)," ")</f>
        <v>0</v>
      </c>
    </row>
    <row r="382" spans="1:8" x14ac:dyDescent="0.3">
      <c r="A382" s="25">
        <v>380</v>
      </c>
      <c r="B382" s="25"/>
      <c r="C382" s="25"/>
      <c r="D382" s="25"/>
      <c r="E382" s="30" t="str">
        <f t="shared" si="8"/>
        <v>--</v>
      </c>
      <c r="F382" s="13">
        <f>IFERROR(VLOOKUP(E382,'ESTRUCTURA CODIGO'!$H$2:$J$1048576,2,FALSE)," ")</f>
        <v>0</v>
      </c>
      <c r="G382" s="25">
        <f>IFERROR(VLOOKUP(E382,'ESTRUCTURA CODIGO'!$H$2:$J$1048576,3,FALSE)," ")</f>
        <v>0</v>
      </c>
      <c r="H382" s="25">
        <f>IFERROR(VLOOKUP(E382,'ESTRUCTURA CODIGO'!$H$2:$L$612,4,FALSE)," ")</f>
        <v>0</v>
      </c>
    </row>
    <row r="383" spans="1:8" x14ac:dyDescent="0.3">
      <c r="A383" s="25">
        <v>381</v>
      </c>
      <c r="B383" s="25"/>
      <c r="C383" s="25"/>
      <c r="D383" s="25"/>
      <c r="E383" s="30" t="str">
        <f t="shared" si="8"/>
        <v>--</v>
      </c>
      <c r="F383" s="13">
        <f>IFERROR(VLOOKUP(E383,'ESTRUCTURA CODIGO'!$H$2:$J$1048576,2,FALSE)," ")</f>
        <v>0</v>
      </c>
      <c r="G383" s="25">
        <f>IFERROR(VLOOKUP(E383,'ESTRUCTURA CODIGO'!$H$2:$J$1048576,3,FALSE)," ")</f>
        <v>0</v>
      </c>
      <c r="H383" s="25">
        <f>IFERROR(VLOOKUP(E383,'ESTRUCTURA CODIGO'!$H$2:$L$612,4,FALSE)," ")</f>
        <v>0</v>
      </c>
    </row>
    <row r="384" spans="1:8" x14ac:dyDescent="0.3">
      <c r="A384" s="25">
        <v>382</v>
      </c>
      <c r="B384" s="25"/>
      <c r="C384" s="25"/>
      <c r="D384" s="25"/>
      <c r="E384" s="30" t="str">
        <f t="shared" si="8"/>
        <v>--</v>
      </c>
      <c r="F384" s="13">
        <f>IFERROR(VLOOKUP(E384,'ESTRUCTURA CODIGO'!$H$2:$J$1048576,2,FALSE)," ")</f>
        <v>0</v>
      </c>
      <c r="G384" s="25">
        <f>IFERROR(VLOOKUP(E384,'ESTRUCTURA CODIGO'!$H$2:$J$1048576,3,FALSE)," ")</f>
        <v>0</v>
      </c>
      <c r="H384" s="25">
        <f>IFERROR(VLOOKUP(E384,'ESTRUCTURA CODIGO'!$H$2:$L$612,4,FALSE)," ")</f>
        <v>0</v>
      </c>
    </row>
    <row r="385" spans="1:8" x14ac:dyDescent="0.3">
      <c r="A385" s="25">
        <v>383</v>
      </c>
      <c r="B385" s="25"/>
      <c r="C385" s="25"/>
      <c r="D385" s="25"/>
      <c r="E385" s="30" t="str">
        <f t="shared" si="8"/>
        <v>--</v>
      </c>
      <c r="F385" s="13">
        <f>IFERROR(VLOOKUP(E385,'ESTRUCTURA CODIGO'!$H$2:$J$1048576,2,FALSE)," ")</f>
        <v>0</v>
      </c>
      <c r="G385" s="25">
        <f>IFERROR(VLOOKUP(E385,'ESTRUCTURA CODIGO'!$H$2:$J$1048576,3,FALSE)," ")</f>
        <v>0</v>
      </c>
      <c r="H385" s="25">
        <f>IFERROR(VLOOKUP(E385,'ESTRUCTURA CODIGO'!$H$2:$L$612,4,FALSE)," ")</f>
        <v>0</v>
      </c>
    </row>
    <row r="386" spans="1:8" x14ac:dyDescent="0.3">
      <c r="A386" s="25">
        <v>384</v>
      </c>
      <c r="B386" s="25"/>
      <c r="C386" s="25"/>
      <c r="D386" s="25"/>
      <c r="E386" s="30" t="str">
        <f t="shared" si="8"/>
        <v>--</v>
      </c>
      <c r="F386" s="13">
        <f>IFERROR(VLOOKUP(E386,'ESTRUCTURA CODIGO'!$H$2:$J$1048576,2,FALSE)," ")</f>
        <v>0</v>
      </c>
      <c r="G386" s="25">
        <f>IFERROR(VLOOKUP(E386,'ESTRUCTURA CODIGO'!$H$2:$J$1048576,3,FALSE)," ")</f>
        <v>0</v>
      </c>
      <c r="H386" s="25">
        <f>IFERROR(VLOOKUP(E386,'ESTRUCTURA CODIGO'!$H$2:$L$612,4,FALSE)," ")</f>
        <v>0</v>
      </c>
    </row>
    <row r="387" spans="1:8" x14ac:dyDescent="0.3">
      <c r="A387" s="25">
        <v>385</v>
      </c>
      <c r="B387" s="25"/>
      <c r="C387" s="25"/>
      <c r="D387" s="25"/>
      <c r="E387" s="30" t="str">
        <f t="shared" si="8"/>
        <v>--</v>
      </c>
      <c r="F387" s="13">
        <f>IFERROR(VLOOKUP(E387,'ESTRUCTURA CODIGO'!$H$2:$J$1048576,2,FALSE)," ")</f>
        <v>0</v>
      </c>
      <c r="G387" s="25">
        <f>IFERROR(VLOOKUP(E387,'ESTRUCTURA CODIGO'!$H$2:$J$1048576,3,FALSE)," ")</f>
        <v>0</v>
      </c>
      <c r="H387" s="25">
        <f>IFERROR(VLOOKUP(E387,'ESTRUCTURA CODIGO'!$H$2:$L$612,4,FALSE)," ")</f>
        <v>0</v>
      </c>
    </row>
    <row r="388" spans="1:8" x14ac:dyDescent="0.3">
      <c r="A388" s="25">
        <v>386</v>
      </c>
      <c r="B388" s="25"/>
      <c r="C388" s="25"/>
      <c r="D388" s="25"/>
      <c r="E388" s="30" t="str">
        <f t="shared" si="8"/>
        <v>--</v>
      </c>
      <c r="F388" s="13">
        <f>IFERROR(VLOOKUP(E388,'ESTRUCTURA CODIGO'!$H$2:$J$1048576,2,FALSE)," ")</f>
        <v>0</v>
      </c>
      <c r="G388" s="25">
        <f>IFERROR(VLOOKUP(E388,'ESTRUCTURA CODIGO'!$H$2:$J$1048576,3,FALSE)," ")</f>
        <v>0</v>
      </c>
      <c r="H388" s="25">
        <f>IFERROR(VLOOKUP(E388,'ESTRUCTURA CODIGO'!$H$2:$L$612,4,FALSE)," ")</f>
        <v>0</v>
      </c>
    </row>
    <row r="389" spans="1:8" x14ac:dyDescent="0.3">
      <c r="A389" s="25">
        <v>387</v>
      </c>
      <c r="B389" s="25"/>
      <c r="C389" s="25"/>
      <c r="D389" s="25"/>
      <c r="E389" s="30" t="str">
        <f t="shared" si="8"/>
        <v>--</v>
      </c>
      <c r="F389" s="13">
        <f>IFERROR(VLOOKUP(E389,'ESTRUCTURA CODIGO'!$H$2:$J$1048576,2,FALSE)," ")</f>
        <v>0</v>
      </c>
      <c r="G389" s="25">
        <f>IFERROR(VLOOKUP(E389,'ESTRUCTURA CODIGO'!$H$2:$J$1048576,3,FALSE)," ")</f>
        <v>0</v>
      </c>
      <c r="H389" s="25">
        <f>IFERROR(VLOOKUP(E389,'ESTRUCTURA CODIGO'!$H$2:$L$612,4,FALSE)," ")</f>
        <v>0</v>
      </c>
    </row>
    <row r="390" spans="1:8" x14ac:dyDescent="0.3">
      <c r="A390" s="25">
        <v>388</v>
      </c>
      <c r="B390" s="25"/>
      <c r="C390" s="25"/>
      <c r="D390" s="25"/>
      <c r="E390" s="30" t="str">
        <f t="shared" si="8"/>
        <v>--</v>
      </c>
      <c r="F390" s="13">
        <f>IFERROR(VLOOKUP(E390,'ESTRUCTURA CODIGO'!$H$2:$J$1048576,2,FALSE)," ")</f>
        <v>0</v>
      </c>
      <c r="G390" s="25">
        <f>IFERROR(VLOOKUP(E390,'ESTRUCTURA CODIGO'!$H$2:$J$1048576,3,FALSE)," ")</f>
        <v>0</v>
      </c>
      <c r="H390" s="25">
        <f>IFERROR(VLOOKUP(E390,'ESTRUCTURA CODIGO'!$H$2:$L$612,4,FALSE)," ")</f>
        <v>0</v>
      </c>
    </row>
    <row r="391" spans="1:8" x14ac:dyDescent="0.3">
      <c r="A391" s="25">
        <v>389</v>
      </c>
      <c r="B391" s="25"/>
      <c r="C391" s="25"/>
      <c r="D391" s="25"/>
      <c r="E391" s="30" t="str">
        <f t="shared" si="8"/>
        <v>--</v>
      </c>
      <c r="F391" s="13">
        <f>IFERROR(VLOOKUP(E391,'ESTRUCTURA CODIGO'!$H$2:$J$1048576,2,FALSE)," ")</f>
        <v>0</v>
      </c>
      <c r="G391" s="25">
        <f>IFERROR(VLOOKUP(E391,'ESTRUCTURA CODIGO'!$H$2:$J$1048576,3,FALSE)," ")</f>
        <v>0</v>
      </c>
      <c r="H391" s="25">
        <f>IFERROR(VLOOKUP(E391,'ESTRUCTURA CODIGO'!$H$2:$L$612,4,FALSE)," ")</f>
        <v>0</v>
      </c>
    </row>
    <row r="392" spans="1:8" x14ac:dyDescent="0.3">
      <c r="A392" s="25">
        <v>390</v>
      </c>
      <c r="B392" s="25"/>
      <c r="C392" s="25"/>
      <c r="D392" s="25"/>
      <c r="E392" s="30" t="str">
        <f t="shared" si="8"/>
        <v>--</v>
      </c>
      <c r="F392" s="13">
        <f>IFERROR(VLOOKUP(E392,'ESTRUCTURA CODIGO'!$H$2:$J$1048576,2,FALSE)," ")</f>
        <v>0</v>
      </c>
      <c r="G392" s="25">
        <f>IFERROR(VLOOKUP(E392,'ESTRUCTURA CODIGO'!$H$2:$J$1048576,3,FALSE)," ")</f>
        <v>0</v>
      </c>
      <c r="H392" s="25">
        <f>IFERROR(VLOOKUP(E392,'ESTRUCTURA CODIGO'!$H$2:$L$612,4,FALSE)," ")</f>
        <v>0</v>
      </c>
    </row>
    <row r="393" spans="1:8" x14ac:dyDescent="0.3">
      <c r="A393" s="25">
        <v>391</v>
      </c>
      <c r="B393" s="25"/>
      <c r="C393" s="25"/>
      <c r="D393" s="25"/>
      <c r="E393" s="30" t="str">
        <f t="shared" si="8"/>
        <v>--</v>
      </c>
      <c r="F393" s="13">
        <f>IFERROR(VLOOKUP(E393,'ESTRUCTURA CODIGO'!$H$2:$J$1048576,2,FALSE)," ")</f>
        <v>0</v>
      </c>
      <c r="G393" s="25">
        <f>IFERROR(VLOOKUP(E393,'ESTRUCTURA CODIGO'!$H$2:$J$1048576,3,FALSE)," ")</f>
        <v>0</v>
      </c>
      <c r="H393" s="25">
        <f>IFERROR(VLOOKUP(E393,'ESTRUCTURA CODIGO'!$H$2:$L$612,4,FALSE)," ")</f>
        <v>0</v>
      </c>
    </row>
    <row r="394" spans="1:8" x14ac:dyDescent="0.3">
      <c r="A394" s="25">
        <v>392</v>
      </c>
      <c r="B394" s="25"/>
      <c r="C394" s="25"/>
      <c r="D394" s="25"/>
      <c r="E394" s="30" t="str">
        <f t="shared" si="8"/>
        <v>--</v>
      </c>
      <c r="F394" s="13">
        <f>IFERROR(VLOOKUP(E394,'ESTRUCTURA CODIGO'!$H$2:$J$1048576,2,FALSE)," ")</f>
        <v>0</v>
      </c>
      <c r="G394" s="25">
        <f>IFERROR(VLOOKUP(E394,'ESTRUCTURA CODIGO'!$H$2:$J$1048576,3,FALSE)," ")</f>
        <v>0</v>
      </c>
      <c r="H394" s="25">
        <f>IFERROR(VLOOKUP(E394,'ESTRUCTURA CODIGO'!$H$2:$L$612,4,FALSE)," ")</f>
        <v>0</v>
      </c>
    </row>
    <row r="395" spans="1:8" x14ac:dyDescent="0.3">
      <c r="A395" s="25">
        <v>393</v>
      </c>
      <c r="B395" s="25"/>
      <c r="C395" s="25"/>
      <c r="D395" s="25"/>
      <c r="E395" s="30" t="str">
        <f t="shared" si="8"/>
        <v>--</v>
      </c>
      <c r="F395" s="13">
        <f>IFERROR(VLOOKUP(E395,'ESTRUCTURA CODIGO'!$H$2:$J$1048576,2,FALSE)," ")</f>
        <v>0</v>
      </c>
      <c r="G395" s="25">
        <f>IFERROR(VLOOKUP(E395,'ESTRUCTURA CODIGO'!$H$2:$J$1048576,3,FALSE)," ")</f>
        <v>0</v>
      </c>
      <c r="H395" s="25">
        <f>IFERROR(VLOOKUP(E395,'ESTRUCTURA CODIGO'!$H$2:$L$612,4,FALSE)," ")</f>
        <v>0</v>
      </c>
    </row>
    <row r="396" spans="1:8" x14ac:dyDescent="0.3">
      <c r="A396" s="25">
        <v>394</v>
      </c>
      <c r="B396" s="25"/>
      <c r="C396" s="25"/>
      <c r="D396" s="25"/>
      <c r="E396" s="30" t="str">
        <f t="shared" si="8"/>
        <v>--</v>
      </c>
      <c r="F396" s="13">
        <f>IFERROR(VLOOKUP(E396,'ESTRUCTURA CODIGO'!$H$2:$J$1048576,2,FALSE)," ")</f>
        <v>0</v>
      </c>
      <c r="G396" s="25">
        <f>IFERROR(VLOOKUP(E396,'ESTRUCTURA CODIGO'!$H$2:$J$1048576,3,FALSE)," ")</f>
        <v>0</v>
      </c>
      <c r="H396" s="25">
        <f>IFERROR(VLOOKUP(E396,'ESTRUCTURA CODIGO'!$H$2:$L$612,4,FALSE)," ")</f>
        <v>0</v>
      </c>
    </row>
    <row r="397" spans="1:8" x14ac:dyDescent="0.3">
      <c r="A397" s="25">
        <v>395</v>
      </c>
      <c r="B397" s="25"/>
      <c r="C397" s="25"/>
      <c r="D397" s="25"/>
      <c r="E397" s="30" t="str">
        <f t="shared" si="8"/>
        <v>--</v>
      </c>
      <c r="F397" s="13">
        <f>IFERROR(VLOOKUP(E397,'ESTRUCTURA CODIGO'!$H$2:$J$1048576,2,FALSE)," ")</f>
        <v>0</v>
      </c>
      <c r="G397" s="25">
        <f>IFERROR(VLOOKUP(E397,'ESTRUCTURA CODIGO'!$H$2:$J$1048576,3,FALSE)," ")</f>
        <v>0</v>
      </c>
      <c r="H397" s="25">
        <f>IFERROR(VLOOKUP(E397,'ESTRUCTURA CODIGO'!$H$2:$L$612,4,FALSE)," ")</f>
        <v>0</v>
      </c>
    </row>
    <row r="398" spans="1:8" x14ac:dyDescent="0.3">
      <c r="A398" s="25">
        <v>396</v>
      </c>
      <c r="B398" s="25"/>
      <c r="C398" s="25"/>
      <c r="D398" s="25"/>
      <c r="E398" s="30" t="str">
        <f t="shared" si="8"/>
        <v>--</v>
      </c>
      <c r="F398" s="13">
        <f>IFERROR(VLOOKUP(E398,'ESTRUCTURA CODIGO'!$H$2:$J$1048576,2,FALSE)," ")</f>
        <v>0</v>
      </c>
      <c r="G398" s="25">
        <f>IFERROR(VLOOKUP(E398,'ESTRUCTURA CODIGO'!$H$2:$J$1048576,3,FALSE)," ")</f>
        <v>0</v>
      </c>
      <c r="H398" s="25">
        <f>IFERROR(VLOOKUP(E398,'ESTRUCTURA CODIGO'!$H$2:$L$612,4,FALSE)," ")</f>
        <v>0</v>
      </c>
    </row>
    <row r="399" spans="1:8" x14ac:dyDescent="0.3">
      <c r="A399" s="25">
        <v>397</v>
      </c>
      <c r="B399" s="25"/>
      <c r="C399" s="25"/>
      <c r="D399" s="25"/>
      <c r="E399" s="30" t="str">
        <f t="shared" si="8"/>
        <v>--</v>
      </c>
      <c r="F399" s="13">
        <f>IFERROR(VLOOKUP(E399,'ESTRUCTURA CODIGO'!$H$2:$J$1048576,2,FALSE)," ")</f>
        <v>0</v>
      </c>
      <c r="G399" s="25">
        <f>IFERROR(VLOOKUP(E399,'ESTRUCTURA CODIGO'!$H$2:$J$1048576,3,FALSE)," ")</f>
        <v>0</v>
      </c>
      <c r="H399" s="25">
        <f>IFERROR(VLOOKUP(E399,'ESTRUCTURA CODIGO'!$H$2:$L$612,4,FALSE)," ")</f>
        <v>0</v>
      </c>
    </row>
    <row r="400" spans="1:8" x14ac:dyDescent="0.3">
      <c r="A400" s="25">
        <v>398</v>
      </c>
      <c r="B400" s="25"/>
      <c r="C400" s="25"/>
      <c r="D400" s="25"/>
      <c r="E400" s="30" t="str">
        <f t="shared" si="8"/>
        <v>--</v>
      </c>
      <c r="F400" s="13">
        <f>IFERROR(VLOOKUP(E400,'ESTRUCTURA CODIGO'!$H$2:$J$1048576,2,FALSE)," ")</f>
        <v>0</v>
      </c>
      <c r="G400" s="25">
        <f>IFERROR(VLOOKUP(E400,'ESTRUCTURA CODIGO'!$H$2:$J$1048576,3,FALSE)," ")</f>
        <v>0</v>
      </c>
      <c r="H400" s="25">
        <f>IFERROR(VLOOKUP(E400,'ESTRUCTURA CODIGO'!$H$2:$L$612,4,FALSE)," ")</f>
        <v>0</v>
      </c>
    </row>
    <row r="401" spans="1:8" x14ac:dyDescent="0.3">
      <c r="A401" s="25">
        <v>399</v>
      </c>
      <c r="B401" s="25"/>
      <c r="C401" s="25"/>
      <c r="D401" s="25"/>
      <c r="E401" s="30" t="str">
        <f t="shared" si="8"/>
        <v>--</v>
      </c>
      <c r="F401" s="13">
        <f>IFERROR(VLOOKUP(E401,'ESTRUCTURA CODIGO'!$H$2:$J$1048576,2,FALSE)," ")</f>
        <v>0</v>
      </c>
      <c r="G401" s="25">
        <f>IFERROR(VLOOKUP(E401,'ESTRUCTURA CODIGO'!$H$2:$J$1048576,3,FALSE)," ")</f>
        <v>0</v>
      </c>
      <c r="H401" s="25">
        <f>IFERROR(VLOOKUP(E401,'ESTRUCTURA CODIGO'!$H$2:$L$612,4,FALSE)," ")</f>
        <v>0</v>
      </c>
    </row>
    <row r="402" spans="1:8" x14ac:dyDescent="0.3">
      <c r="A402" s="25">
        <v>400</v>
      </c>
      <c r="B402" s="25"/>
      <c r="C402" s="25"/>
      <c r="D402" s="25"/>
      <c r="E402" s="30" t="str">
        <f t="shared" si="8"/>
        <v>--</v>
      </c>
      <c r="F402" s="13">
        <f>IFERROR(VLOOKUP(E402,'ESTRUCTURA CODIGO'!$H$2:$J$1048576,2,FALSE)," ")</f>
        <v>0</v>
      </c>
      <c r="G402" s="25">
        <f>IFERROR(VLOOKUP(E402,'ESTRUCTURA CODIGO'!$H$2:$J$1048576,3,FALSE)," ")</f>
        <v>0</v>
      </c>
      <c r="H402" s="25">
        <f>IFERROR(VLOOKUP(E402,'ESTRUCTURA CODIGO'!$H$2:$L$612,4,FALSE)," ")</f>
        <v>0</v>
      </c>
    </row>
    <row r="403" spans="1:8" x14ac:dyDescent="0.3">
      <c r="A403" s="25">
        <v>401</v>
      </c>
      <c r="B403" s="25"/>
      <c r="C403" s="25"/>
      <c r="D403" s="25"/>
      <c r="E403" s="30" t="str">
        <f t="shared" si="8"/>
        <v>--</v>
      </c>
      <c r="F403" s="13">
        <f>IFERROR(VLOOKUP(E403,'ESTRUCTURA CODIGO'!$H$2:$J$1048576,2,FALSE)," ")</f>
        <v>0</v>
      </c>
      <c r="G403" s="25">
        <f>IFERROR(VLOOKUP(E403,'ESTRUCTURA CODIGO'!$H$2:$J$1048576,3,FALSE)," ")</f>
        <v>0</v>
      </c>
      <c r="H403" s="25">
        <f>IFERROR(VLOOKUP(E403,'ESTRUCTURA CODIGO'!$H$2:$L$612,4,FALSE)," ")</f>
        <v>0</v>
      </c>
    </row>
    <row r="404" spans="1:8" x14ac:dyDescent="0.3">
      <c r="A404" s="25">
        <v>402</v>
      </c>
      <c r="B404" s="25"/>
      <c r="C404" s="25"/>
      <c r="D404" s="25"/>
      <c r="E404" s="30" t="str">
        <f t="shared" si="8"/>
        <v>--</v>
      </c>
      <c r="F404" s="13">
        <f>IFERROR(VLOOKUP(E404,'ESTRUCTURA CODIGO'!$H$2:$J$1048576,2,FALSE)," ")</f>
        <v>0</v>
      </c>
      <c r="G404" s="25">
        <f>IFERROR(VLOOKUP(E404,'ESTRUCTURA CODIGO'!$H$2:$J$1048576,3,FALSE)," ")</f>
        <v>0</v>
      </c>
      <c r="H404" s="25">
        <f>IFERROR(VLOOKUP(E404,'ESTRUCTURA CODIGO'!$H$2:$L$612,4,FALSE)," ")</f>
        <v>0</v>
      </c>
    </row>
    <row r="405" spans="1:8" x14ac:dyDescent="0.3">
      <c r="A405" s="25">
        <v>403</v>
      </c>
      <c r="B405" s="25"/>
      <c r="C405" s="25"/>
      <c r="D405" s="25"/>
      <c r="E405" s="30" t="str">
        <f t="shared" si="8"/>
        <v>--</v>
      </c>
      <c r="F405" s="13">
        <f>IFERROR(VLOOKUP(E405,'ESTRUCTURA CODIGO'!$H$2:$J$1048576,2,FALSE)," ")</f>
        <v>0</v>
      </c>
      <c r="G405" s="25">
        <f>IFERROR(VLOOKUP(E405,'ESTRUCTURA CODIGO'!$H$2:$J$1048576,3,FALSE)," ")</f>
        <v>0</v>
      </c>
      <c r="H405" s="25">
        <f>IFERROR(VLOOKUP(E405,'ESTRUCTURA CODIGO'!$H$2:$L$612,4,FALSE)," ")</f>
        <v>0</v>
      </c>
    </row>
    <row r="406" spans="1:8" x14ac:dyDescent="0.3">
      <c r="A406" s="25">
        <v>404</v>
      </c>
      <c r="B406" s="25"/>
      <c r="C406" s="25"/>
      <c r="D406" s="25"/>
      <c r="E406" s="30" t="str">
        <f t="shared" si="8"/>
        <v>--</v>
      </c>
      <c r="F406" s="13">
        <f>IFERROR(VLOOKUP(E406,'ESTRUCTURA CODIGO'!$H$2:$J$1048576,2,FALSE)," ")</f>
        <v>0</v>
      </c>
      <c r="G406" s="25">
        <f>IFERROR(VLOOKUP(E406,'ESTRUCTURA CODIGO'!$H$2:$J$1048576,3,FALSE)," ")</f>
        <v>0</v>
      </c>
      <c r="H406" s="25">
        <f>IFERROR(VLOOKUP(E406,'ESTRUCTURA CODIGO'!$H$2:$L$612,4,FALSE)," ")</f>
        <v>0</v>
      </c>
    </row>
    <row r="407" spans="1:8" x14ac:dyDescent="0.3">
      <c r="A407" s="25">
        <v>405</v>
      </c>
      <c r="B407" s="25"/>
      <c r="C407" s="25"/>
      <c r="D407" s="25"/>
      <c r="E407" s="30" t="str">
        <f t="shared" si="8"/>
        <v>--</v>
      </c>
      <c r="F407" s="13">
        <f>IFERROR(VLOOKUP(E407,'ESTRUCTURA CODIGO'!$H$2:$J$1048576,2,FALSE)," ")</f>
        <v>0</v>
      </c>
      <c r="G407" s="25">
        <f>IFERROR(VLOOKUP(E407,'ESTRUCTURA CODIGO'!$H$2:$J$1048576,3,FALSE)," ")</f>
        <v>0</v>
      </c>
      <c r="H407" s="25">
        <f>IFERROR(VLOOKUP(E407,'ESTRUCTURA CODIGO'!$H$2:$L$612,4,FALSE)," ")</f>
        <v>0</v>
      </c>
    </row>
    <row r="408" spans="1:8" x14ac:dyDescent="0.3">
      <c r="A408" s="25">
        <v>406</v>
      </c>
      <c r="B408" s="25"/>
      <c r="C408" s="25"/>
      <c r="D408" s="25"/>
      <c r="E408" s="30" t="str">
        <f t="shared" si="8"/>
        <v>--</v>
      </c>
      <c r="F408" s="13">
        <f>IFERROR(VLOOKUP(E408,'ESTRUCTURA CODIGO'!$H$2:$J$1048576,2,FALSE)," ")</f>
        <v>0</v>
      </c>
      <c r="G408" s="25">
        <f>IFERROR(VLOOKUP(E408,'ESTRUCTURA CODIGO'!$H$2:$J$1048576,3,FALSE)," ")</f>
        <v>0</v>
      </c>
      <c r="H408" s="25">
        <f>IFERROR(VLOOKUP(E408,'ESTRUCTURA CODIGO'!$H$2:$L$612,4,FALSE)," ")</f>
        <v>0</v>
      </c>
    </row>
    <row r="409" spans="1:8" x14ac:dyDescent="0.3">
      <c r="A409" s="25">
        <v>407</v>
      </c>
      <c r="B409" s="25"/>
      <c r="C409" s="25"/>
      <c r="D409" s="25"/>
      <c r="E409" s="30" t="str">
        <f t="shared" si="8"/>
        <v>--</v>
      </c>
      <c r="F409" s="13">
        <f>IFERROR(VLOOKUP(E409,'ESTRUCTURA CODIGO'!$H$2:$J$1048576,2,FALSE)," ")</f>
        <v>0</v>
      </c>
      <c r="G409" s="25">
        <f>IFERROR(VLOOKUP(E409,'ESTRUCTURA CODIGO'!$H$2:$J$1048576,3,FALSE)," ")</f>
        <v>0</v>
      </c>
      <c r="H409" s="25">
        <f>IFERROR(VLOOKUP(E409,'ESTRUCTURA CODIGO'!$H$2:$L$612,4,FALSE)," ")</f>
        <v>0</v>
      </c>
    </row>
    <row r="410" spans="1:8" x14ac:dyDescent="0.3">
      <c r="A410" s="25">
        <v>408</v>
      </c>
      <c r="B410" s="25"/>
      <c r="C410" s="25"/>
      <c r="D410" s="25"/>
      <c r="E410" s="30" t="str">
        <f t="shared" si="8"/>
        <v>--</v>
      </c>
      <c r="F410" s="13">
        <f>IFERROR(VLOOKUP(E410,'ESTRUCTURA CODIGO'!$H$2:$J$1048576,2,FALSE)," ")</f>
        <v>0</v>
      </c>
      <c r="G410" s="25">
        <f>IFERROR(VLOOKUP(E410,'ESTRUCTURA CODIGO'!$H$2:$J$1048576,3,FALSE)," ")</f>
        <v>0</v>
      </c>
      <c r="H410" s="25">
        <f>IFERROR(VLOOKUP(E410,'ESTRUCTURA CODIGO'!$H$2:$L$612,4,FALSE)," ")</f>
        <v>0</v>
      </c>
    </row>
    <row r="411" spans="1:8" x14ac:dyDescent="0.3">
      <c r="A411" s="25">
        <v>409</v>
      </c>
      <c r="B411" s="25"/>
      <c r="C411" s="25"/>
      <c r="D411" s="25"/>
      <c r="E411" s="30" t="str">
        <f t="shared" si="8"/>
        <v>--</v>
      </c>
      <c r="F411" s="13">
        <f>IFERROR(VLOOKUP(E411,'ESTRUCTURA CODIGO'!$H$2:$J$1048576,2,FALSE)," ")</f>
        <v>0</v>
      </c>
      <c r="G411" s="25">
        <f>IFERROR(VLOOKUP(E411,'ESTRUCTURA CODIGO'!$H$2:$J$1048576,3,FALSE)," ")</f>
        <v>0</v>
      </c>
      <c r="H411" s="25">
        <f>IFERROR(VLOOKUP(E411,'ESTRUCTURA CODIGO'!$H$2:$L$612,4,FALSE)," ")</f>
        <v>0</v>
      </c>
    </row>
    <row r="412" spans="1:8" x14ac:dyDescent="0.3">
      <c r="A412" s="25">
        <v>410</v>
      </c>
      <c r="B412" s="25"/>
      <c r="C412" s="25"/>
      <c r="D412" s="25"/>
      <c r="E412" s="30" t="str">
        <f t="shared" si="8"/>
        <v>--</v>
      </c>
      <c r="F412" s="13">
        <f>IFERROR(VLOOKUP(E412,'ESTRUCTURA CODIGO'!$H$2:$J$1048576,2,FALSE)," ")</f>
        <v>0</v>
      </c>
      <c r="G412" s="25">
        <f>IFERROR(VLOOKUP(E412,'ESTRUCTURA CODIGO'!$H$2:$J$1048576,3,FALSE)," ")</f>
        <v>0</v>
      </c>
      <c r="H412" s="25">
        <f>IFERROR(VLOOKUP(E412,'ESTRUCTURA CODIGO'!$H$2:$L$612,4,FALSE)," ")</f>
        <v>0</v>
      </c>
    </row>
    <row r="413" spans="1:8" x14ac:dyDescent="0.3">
      <c r="A413" s="25">
        <v>411</v>
      </c>
      <c r="B413" s="25"/>
      <c r="C413" s="25"/>
      <c r="D413" s="25"/>
      <c r="E413" s="30" t="str">
        <f t="shared" si="8"/>
        <v>--</v>
      </c>
      <c r="F413" s="13">
        <f>IFERROR(VLOOKUP(E413,'ESTRUCTURA CODIGO'!$H$2:$J$1048576,2,FALSE)," ")</f>
        <v>0</v>
      </c>
      <c r="G413" s="25">
        <f>IFERROR(VLOOKUP(E413,'ESTRUCTURA CODIGO'!$H$2:$J$1048576,3,FALSE)," ")</f>
        <v>0</v>
      </c>
      <c r="H413" s="25">
        <f>IFERROR(VLOOKUP(E413,'ESTRUCTURA CODIGO'!$H$2:$L$612,4,FALSE)," ")</f>
        <v>0</v>
      </c>
    </row>
    <row r="414" spans="1:8" x14ac:dyDescent="0.3">
      <c r="A414" s="25">
        <v>412</v>
      </c>
      <c r="B414" s="25"/>
      <c r="C414" s="25"/>
      <c r="D414" s="25"/>
      <c r="E414" s="30" t="str">
        <f t="shared" si="8"/>
        <v>--</v>
      </c>
      <c r="F414" s="13">
        <f>IFERROR(VLOOKUP(E414,'ESTRUCTURA CODIGO'!$H$2:$J$1048576,2,FALSE)," ")</f>
        <v>0</v>
      </c>
      <c r="G414" s="25">
        <f>IFERROR(VLOOKUP(E414,'ESTRUCTURA CODIGO'!$H$2:$J$1048576,3,FALSE)," ")</f>
        <v>0</v>
      </c>
      <c r="H414" s="25">
        <f>IFERROR(VLOOKUP(E414,'ESTRUCTURA CODIGO'!$H$2:$L$612,4,FALSE)," ")</f>
        <v>0</v>
      </c>
    </row>
    <row r="415" spans="1:8" x14ac:dyDescent="0.3">
      <c r="A415" s="25">
        <v>413</v>
      </c>
      <c r="B415" s="25"/>
      <c r="C415" s="25"/>
      <c r="D415" s="25"/>
      <c r="E415" s="30" t="str">
        <f t="shared" si="8"/>
        <v>--</v>
      </c>
      <c r="F415" s="13">
        <f>IFERROR(VLOOKUP(E415,'ESTRUCTURA CODIGO'!$H$2:$J$1048576,2,FALSE)," ")</f>
        <v>0</v>
      </c>
      <c r="G415" s="25">
        <f>IFERROR(VLOOKUP(E415,'ESTRUCTURA CODIGO'!$H$2:$J$1048576,3,FALSE)," ")</f>
        <v>0</v>
      </c>
      <c r="H415" s="25">
        <f>IFERROR(VLOOKUP(E415,'ESTRUCTURA CODIGO'!$H$2:$L$612,4,FALSE)," ")</f>
        <v>0</v>
      </c>
    </row>
    <row r="416" spans="1:8" x14ac:dyDescent="0.3">
      <c r="A416" s="25">
        <v>414</v>
      </c>
      <c r="B416" s="25"/>
      <c r="C416" s="25"/>
      <c r="D416" s="25"/>
      <c r="E416" s="30" t="str">
        <f t="shared" si="8"/>
        <v>--</v>
      </c>
      <c r="F416" s="13">
        <f>IFERROR(VLOOKUP(E416,'ESTRUCTURA CODIGO'!$H$2:$J$1048576,2,FALSE)," ")</f>
        <v>0</v>
      </c>
      <c r="G416" s="25">
        <f>IFERROR(VLOOKUP(E416,'ESTRUCTURA CODIGO'!$H$2:$J$1048576,3,FALSE)," ")</f>
        <v>0</v>
      </c>
      <c r="H416" s="25">
        <f>IFERROR(VLOOKUP(E416,'ESTRUCTURA CODIGO'!$H$2:$L$612,4,FALSE)," ")</f>
        <v>0</v>
      </c>
    </row>
    <row r="417" spans="1:8" x14ac:dyDescent="0.3">
      <c r="A417" s="25">
        <v>415</v>
      </c>
      <c r="B417" s="25"/>
      <c r="C417" s="25"/>
      <c r="D417" s="25"/>
      <c r="E417" s="30" t="str">
        <f t="shared" si="8"/>
        <v>--</v>
      </c>
      <c r="F417" s="13">
        <f>IFERROR(VLOOKUP(E417,'ESTRUCTURA CODIGO'!$H$2:$J$1048576,2,FALSE)," ")</f>
        <v>0</v>
      </c>
      <c r="G417" s="25">
        <f>IFERROR(VLOOKUP(E417,'ESTRUCTURA CODIGO'!$H$2:$J$1048576,3,FALSE)," ")</f>
        <v>0</v>
      </c>
      <c r="H417" s="25">
        <f>IFERROR(VLOOKUP(E417,'ESTRUCTURA CODIGO'!$H$2:$L$612,4,FALSE)," ")</f>
        <v>0</v>
      </c>
    </row>
    <row r="418" spans="1:8" x14ac:dyDescent="0.3">
      <c r="A418" s="25">
        <v>416</v>
      </c>
      <c r="B418" s="25"/>
      <c r="C418" s="25"/>
      <c r="D418" s="25"/>
      <c r="E418" s="30" t="str">
        <f t="shared" si="8"/>
        <v>--</v>
      </c>
      <c r="F418" s="13">
        <f>IFERROR(VLOOKUP(E418,'ESTRUCTURA CODIGO'!$H$2:$J$1048576,2,FALSE)," ")</f>
        <v>0</v>
      </c>
      <c r="G418" s="25">
        <f>IFERROR(VLOOKUP(E418,'ESTRUCTURA CODIGO'!$H$2:$J$1048576,3,FALSE)," ")</f>
        <v>0</v>
      </c>
      <c r="H418" s="25">
        <f>IFERROR(VLOOKUP(E418,'ESTRUCTURA CODIGO'!$H$2:$L$612,4,FALSE)," ")</f>
        <v>0</v>
      </c>
    </row>
    <row r="419" spans="1:8" x14ac:dyDescent="0.3">
      <c r="A419" s="25">
        <v>417</v>
      </c>
      <c r="B419" s="25"/>
      <c r="C419" s="25"/>
      <c r="D419" s="25"/>
      <c r="E419" s="30" t="str">
        <f t="shared" si="8"/>
        <v>--</v>
      </c>
      <c r="F419" s="13">
        <f>IFERROR(VLOOKUP(E419,'ESTRUCTURA CODIGO'!$H$2:$J$1048576,2,FALSE)," ")</f>
        <v>0</v>
      </c>
      <c r="G419" s="25">
        <f>IFERROR(VLOOKUP(E419,'ESTRUCTURA CODIGO'!$H$2:$J$1048576,3,FALSE)," ")</f>
        <v>0</v>
      </c>
      <c r="H419" s="25">
        <f>IFERROR(VLOOKUP(E419,'ESTRUCTURA CODIGO'!$H$2:$L$612,4,FALSE)," ")</f>
        <v>0</v>
      </c>
    </row>
    <row r="420" spans="1:8" x14ac:dyDescent="0.3">
      <c r="A420" s="25">
        <v>418</v>
      </c>
      <c r="B420" s="25"/>
      <c r="C420" s="25"/>
      <c r="D420" s="25"/>
      <c r="E420" s="30" t="str">
        <f t="shared" si="8"/>
        <v>--</v>
      </c>
      <c r="F420" s="13">
        <f>IFERROR(VLOOKUP(E420,'ESTRUCTURA CODIGO'!$H$2:$J$1048576,2,FALSE)," ")</f>
        <v>0</v>
      </c>
      <c r="G420" s="25">
        <f>IFERROR(VLOOKUP(E420,'ESTRUCTURA CODIGO'!$H$2:$J$1048576,3,FALSE)," ")</f>
        <v>0</v>
      </c>
      <c r="H420" s="25">
        <f>IFERROR(VLOOKUP(E420,'ESTRUCTURA CODIGO'!$H$2:$L$612,4,FALSE)," ")</f>
        <v>0</v>
      </c>
    </row>
    <row r="421" spans="1:8" x14ac:dyDescent="0.3">
      <c r="A421" s="25">
        <v>419</v>
      </c>
      <c r="B421" s="25"/>
      <c r="C421" s="25"/>
      <c r="D421" s="25"/>
      <c r="E421" s="30" t="str">
        <f t="shared" si="8"/>
        <v>--</v>
      </c>
      <c r="F421" s="13">
        <f>IFERROR(VLOOKUP(E421,'ESTRUCTURA CODIGO'!$H$2:$J$1048576,2,FALSE)," ")</f>
        <v>0</v>
      </c>
      <c r="G421" s="25">
        <f>IFERROR(VLOOKUP(E421,'ESTRUCTURA CODIGO'!$H$2:$J$1048576,3,FALSE)," ")</f>
        <v>0</v>
      </c>
      <c r="H421" s="25">
        <f>IFERROR(VLOOKUP(E421,'ESTRUCTURA CODIGO'!$H$2:$L$612,4,FALSE)," ")</f>
        <v>0</v>
      </c>
    </row>
    <row r="422" spans="1:8" x14ac:dyDescent="0.3">
      <c r="A422" s="25">
        <v>420</v>
      </c>
      <c r="B422" s="25"/>
      <c r="C422" s="25"/>
      <c r="D422" s="25"/>
      <c r="E422" s="30" t="str">
        <f t="shared" si="8"/>
        <v>--</v>
      </c>
      <c r="F422" s="13">
        <f>IFERROR(VLOOKUP(E422,'ESTRUCTURA CODIGO'!$H$2:$J$1048576,2,FALSE)," ")</f>
        <v>0</v>
      </c>
      <c r="G422" s="25">
        <f>IFERROR(VLOOKUP(E422,'ESTRUCTURA CODIGO'!$H$2:$J$1048576,3,FALSE)," ")</f>
        <v>0</v>
      </c>
      <c r="H422" s="25">
        <f>IFERROR(VLOOKUP(E422,'ESTRUCTURA CODIGO'!$H$2:$L$612,4,FALSE)," ")</f>
        <v>0</v>
      </c>
    </row>
    <row r="423" spans="1:8" x14ac:dyDescent="0.3">
      <c r="A423" s="25">
        <v>421</v>
      </c>
      <c r="B423" s="25"/>
      <c r="C423" s="25"/>
      <c r="D423" s="25"/>
      <c r="E423" s="30" t="str">
        <f t="shared" si="8"/>
        <v>--</v>
      </c>
      <c r="F423" s="13">
        <f>IFERROR(VLOOKUP(E423,'ESTRUCTURA CODIGO'!$H$2:$J$1048576,2,FALSE)," ")</f>
        <v>0</v>
      </c>
      <c r="G423" s="25">
        <f>IFERROR(VLOOKUP(E423,'ESTRUCTURA CODIGO'!$H$2:$J$1048576,3,FALSE)," ")</f>
        <v>0</v>
      </c>
      <c r="H423" s="25">
        <f>IFERROR(VLOOKUP(E423,'ESTRUCTURA CODIGO'!$H$2:$L$612,4,FALSE)," ")</f>
        <v>0</v>
      </c>
    </row>
    <row r="424" spans="1:8" x14ac:dyDescent="0.3">
      <c r="A424" s="25">
        <v>422</v>
      </c>
      <c r="B424" s="25"/>
      <c r="C424" s="25"/>
      <c r="D424" s="25"/>
      <c r="E424" s="30" t="str">
        <f t="shared" si="8"/>
        <v>--</v>
      </c>
      <c r="F424" s="13">
        <f>IFERROR(VLOOKUP(E424,'ESTRUCTURA CODIGO'!$H$2:$J$1048576,2,FALSE)," ")</f>
        <v>0</v>
      </c>
      <c r="G424" s="25">
        <f>IFERROR(VLOOKUP(E424,'ESTRUCTURA CODIGO'!$H$2:$J$1048576,3,FALSE)," ")</f>
        <v>0</v>
      </c>
      <c r="H424" s="25">
        <f>IFERROR(VLOOKUP(E424,'ESTRUCTURA CODIGO'!$H$2:$L$612,4,FALSE)," ")</f>
        <v>0</v>
      </c>
    </row>
    <row r="425" spans="1:8" x14ac:dyDescent="0.3">
      <c r="A425" s="25">
        <v>423</v>
      </c>
      <c r="B425" s="25"/>
      <c r="C425" s="25"/>
      <c r="D425" s="25"/>
      <c r="E425" s="30" t="str">
        <f t="shared" si="8"/>
        <v>--</v>
      </c>
      <c r="F425" s="13">
        <f>IFERROR(VLOOKUP(E425,'ESTRUCTURA CODIGO'!$H$2:$J$1048576,2,FALSE)," ")</f>
        <v>0</v>
      </c>
      <c r="G425" s="25">
        <f>IFERROR(VLOOKUP(E425,'ESTRUCTURA CODIGO'!$H$2:$J$1048576,3,FALSE)," ")</f>
        <v>0</v>
      </c>
      <c r="H425" s="25">
        <f>IFERROR(VLOOKUP(E425,'ESTRUCTURA CODIGO'!$H$2:$L$612,4,FALSE)," ")</f>
        <v>0</v>
      </c>
    </row>
    <row r="426" spans="1:8" x14ac:dyDescent="0.3">
      <c r="A426" s="25">
        <v>424</v>
      </c>
      <c r="B426" s="25"/>
      <c r="C426" s="25"/>
      <c r="D426" s="25"/>
      <c r="E426" s="30" t="str">
        <f t="shared" si="8"/>
        <v>--</v>
      </c>
      <c r="F426" s="13">
        <f>IFERROR(VLOOKUP(E426,'ESTRUCTURA CODIGO'!$H$2:$J$1048576,2,FALSE)," ")</f>
        <v>0</v>
      </c>
      <c r="G426" s="25">
        <f>IFERROR(VLOOKUP(E426,'ESTRUCTURA CODIGO'!$H$2:$J$1048576,3,FALSE)," ")</f>
        <v>0</v>
      </c>
      <c r="H426" s="25">
        <f>IFERROR(VLOOKUP(E426,'ESTRUCTURA CODIGO'!$H$2:$L$612,4,FALSE)," ")</f>
        <v>0</v>
      </c>
    </row>
    <row r="427" spans="1:8" x14ac:dyDescent="0.3">
      <c r="A427" s="25">
        <v>425</v>
      </c>
      <c r="B427" s="25"/>
      <c r="C427" s="25"/>
      <c r="D427" s="25"/>
      <c r="E427" s="30" t="str">
        <f t="shared" si="8"/>
        <v>--</v>
      </c>
      <c r="F427" s="13">
        <f>IFERROR(VLOOKUP(E427,'ESTRUCTURA CODIGO'!$H$2:$J$1048576,2,FALSE)," ")</f>
        <v>0</v>
      </c>
      <c r="G427" s="25">
        <f>IFERROR(VLOOKUP(E427,'ESTRUCTURA CODIGO'!$H$2:$J$1048576,3,FALSE)," ")</f>
        <v>0</v>
      </c>
      <c r="H427" s="25">
        <f>IFERROR(VLOOKUP(E427,'ESTRUCTURA CODIGO'!$H$2:$L$612,4,FALSE)," ")</f>
        <v>0</v>
      </c>
    </row>
    <row r="428" spans="1:8" x14ac:dyDescent="0.3">
      <c r="A428" s="25">
        <v>426</v>
      </c>
      <c r="B428" s="25"/>
      <c r="C428" s="25"/>
      <c r="D428" s="25"/>
      <c r="E428" s="30" t="str">
        <f t="shared" si="8"/>
        <v>--</v>
      </c>
      <c r="F428" s="13">
        <f>IFERROR(VLOOKUP(E428,'ESTRUCTURA CODIGO'!$H$2:$J$1048576,2,FALSE)," ")</f>
        <v>0</v>
      </c>
      <c r="G428" s="25">
        <f>IFERROR(VLOOKUP(E428,'ESTRUCTURA CODIGO'!$H$2:$J$1048576,3,FALSE)," ")</f>
        <v>0</v>
      </c>
      <c r="H428" s="25">
        <f>IFERROR(VLOOKUP(E428,'ESTRUCTURA CODIGO'!$H$2:$L$612,4,FALSE)," ")</f>
        <v>0</v>
      </c>
    </row>
    <row r="429" spans="1:8" x14ac:dyDescent="0.3">
      <c r="A429" s="25">
        <v>427</v>
      </c>
      <c r="B429" s="25"/>
      <c r="C429" s="25"/>
      <c r="D429" s="25"/>
      <c r="E429" s="30" t="str">
        <f t="shared" si="8"/>
        <v>--</v>
      </c>
      <c r="F429" s="13">
        <f>IFERROR(VLOOKUP(E429,'ESTRUCTURA CODIGO'!$H$2:$J$1048576,2,FALSE)," ")</f>
        <v>0</v>
      </c>
      <c r="G429" s="25">
        <f>IFERROR(VLOOKUP(E429,'ESTRUCTURA CODIGO'!$H$2:$J$1048576,3,FALSE)," ")</f>
        <v>0</v>
      </c>
      <c r="H429" s="25">
        <f>IFERROR(VLOOKUP(E429,'ESTRUCTURA CODIGO'!$H$2:$L$612,4,FALSE)," ")</f>
        <v>0</v>
      </c>
    </row>
    <row r="430" spans="1:8" x14ac:dyDescent="0.3">
      <c r="A430" s="25">
        <v>428</v>
      </c>
      <c r="B430" s="25"/>
      <c r="C430" s="25"/>
      <c r="D430" s="25"/>
      <c r="E430" s="30" t="str">
        <f t="shared" si="8"/>
        <v>--</v>
      </c>
      <c r="F430" s="13">
        <f>IFERROR(VLOOKUP(E430,'ESTRUCTURA CODIGO'!$H$2:$J$1048576,2,FALSE)," ")</f>
        <v>0</v>
      </c>
      <c r="G430" s="25">
        <f>IFERROR(VLOOKUP(E430,'ESTRUCTURA CODIGO'!$H$2:$J$1048576,3,FALSE)," ")</f>
        <v>0</v>
      </c>
      <c r="H430" s="25">
        <f>IFERROR(VLOOKUP(E430,'ESTRUCTURA CODIGO'!$H$2:$L$612,4,FALSE)," ")</f>
        <v>0</v>
      </c>
    </row>
    <row r="431" spans="1:8" x14ac:dyDescent="0.3">
      <c r="A431" s="25">
        <v>429</v>
      </c>
      <c r="B431" s="25"/>
      <c r="C431" s="25"/>
      <c r="D431" s="25"/>
      <c r="E431" s="30" t="str">
        <f t="shared" si="8"/>
        <v>--</v>
      </c>
      <c r="F431" s="13">
        <f>IFERROR(VLOOKUP(E431,'ESTRUCTURA CODIGO'!$H$2:$J$1048576,2,FALSE)," ")</f>
        <v>0</v>
      </c>
      <c r="G431" s="25">
        <f>IFERROR(VLOOKUP(E431,'ESTRUCTURA CODIGO'!$H$2:$J$1048576,3,FALSE)," ")</f>
        <v>0</v>
      </c>
      <c r="H431" s="25">
        <f>IFERROR(VLOOKUP(E431,'ESTRUCTURA CODIGO'!$H$2:$L$612,4,FALSE)," ")</f>
        <v>0</v>
      </c>
    </row>
    <row r="432" spans="1:8" x14ac:dyDescent="0.3">
      <c r="A432" s="25">
        <v>430</v>
      </c>
      <c r="B432" s="25"/>
      <c r="C432" s="25"/>
      <c r="D432" s="25"/>
      <c r="E432" s="30" t="str">
        <f t="shared" si="8"/>
        <v>--</v>
      </c>
      <c r="F432" s="13">
        <f>IFERROR(VLOOKUP(E432,'ESTRUCTURA CODIGO'!$H$2:$J$1048576,2,FALSE)," ")</f>
        <v>0</v>
      </c>
      <c r="G432" s="25">
        <f>IFERROR(VLOOKUP(E432,'ESTRUCTURA CODIGO'!$H$2:$J$1048576,3,FALSE)," ")</f>
        <v>0</v>
      </c>
      <c r="H432" s="25">
        <f>IFERROR(VLOOKUP(E432,'ESTRUCTURA CODIGO'!$H$2:$L$612,4,FALSE)," ")</f>
        <v>0</v>
      </c>
    </row>
    <row r="433" spans="1:8" x14ac:dyDescent="0.3">
      <c r="A433" s="25">
        <v>431</v>
      </c>
      <c r="B433" s="25"/>
      <c r="C433" s="25"/>
      <c r="D433" s="25"/>
      <c r="E433" s="30" t="str">
        <f t="shared" si="8"/>
        <v>--</v>
      </c>
      <c r="F433" s="13">
        <f>IFERROR(VLOOKUP(E433,'ESTRUCTURA CODIGO'!$H$2:$J$1048576,2,FALSE)," ")</f>
        <v>0</v>
      </c>
      <c r="G433" s="25">
        <f>IFERROR(VLOOKUP(E433,'ESTRUCTURA CODIGO'!$H$2:$J$1048576,3,FALSE)," ")</f>
        <v>0</v>
      </c>
      <c r="H433" s="25">
        <f>IFERROR(VLOOKUP(E433,'ESTRUCTURA CODIGO'!$H$2:$L$612,4,FALSE)," ")</f>
        <v>0</v>
      </c>
    </row>
    <row r="434" spans="1:8" x14ac:dyDescent="0.3">
      <c r="A434" s="25">
        <v>432</v>
      </c>
      <c r="B434" s="25"/>
      <c r="C434" s="25"/>
      <c r="D434" s="25"/>
      <c r="E434" s="30" t="str">
        <f t="shared" si="8"/>
        <v>--</v>
      </c>
      <c r="F434" s="13">
        <f>IFERROR(VLOOKUP(E434,'ESTRUCTURA CODIGO'!$H$2:$J$1048576,2,FALSE)," ")</f>
        <v>0</v>
      </c>
      <c r="G434" s="25">
        <f>IFERROR(VLOOKUP(E434,'ESTRUCTURA CODIGO'!$H$2:$J$1048576,3,FALSE)," ")</f>
        <v>0</v>
      </c>
      <c r="H434" s="25">
        <f>IFERROR(VLOOKUP(E434,'ESTRUCTURA CODIGO'!$H$2:$L$612,4,FALSE)," ")</f>
        <v>0</v>
      </c>
    </row>
    <row r="435" spans="1:8" x14ac:dyDescent="0.3">
      <c r="A435" s="25">
        <v>433</v>
      </c>
      <c r="B435" s="25"/>
      <c r="C435" s="25"/>
      <c r="D435" s="25"/>
      <c r="E435" s="30" t="str">
        <f t="shared" si="8"/>
        <v>--</v>
      </c>
      <c r="F435" s="13">
        <f>IFERROR(VLOOKUP(E435,'ESTRUCTURA CODIGO'!$H$2:$J$1048576,2,FALSE)," ")</f>
        <v>0</v>
      </c>
      <c r="G435" s="25">
        <f>IFERROR(VLOOKUP(E435,'ESTRUCTURA CODIGO'!$H$2:$J$1048576,3,FALSE)," ")</f>
        <v>0</v>
      </c>
      <c r="H435" s="25">
        <f>IFERROR(VLOOKUP(E435,'ESTRUCTURA CODIGO'!$H$2:$L$612,4,FALSE)," ")</f>
        <v>0</v>
      </c>
    </row>
    <row r="436" spans="1:8" x14ac:dyDescent="0.3">
      <c r="A436" s="25">
        <v>434</v>
      </c>
      <c r="B436" s="25"/>
      <c r="C436" s="25"/>
      <c r="D436" s="25"/>
      <c r="E436" s="30" t="str">
        <f t="shared" ref="E436:E499" si="9">CONCATENATE(B436,"-",C436,"-",D436)</f>
        <v>--</v>
      </c>
      <c r="F436" s="13">
        <f>IFERROR(VLOOKUP(E436,'ESTRUCTURA CODIGO'!$H$2:$J$1048576,2,FALSE)," ")</f>
        <v>0</v>
      </c>
      <c r="G436" s="25">
        <f>IFERROR(VLOOKUP(E436,'ESTRUCTURA CODIGO'!$H$2:$J$1048576,3,FALSE)," ")</f>
        <v>0</v>
      </c>
      <c r="H436" s="25">
        <f>IFERROR(VLOOKUP(E436,'ESTRUCTURA CODIGO'!$H$2:$L$612,4,FALSE)," ")</f>
        <v>0</v>
      </c>
    </row>
    <row r="437" spans="1:8" x14ac:dyDescent="0.3">
      <c r="A437" s="25">
        <v>435</v>
      </c>
      <c r="B437" s="25"/>
      <c r="C437" s="25"/>
      <c r="D437" s="25"/>
      <c r="E437" s="30" t="str">
        <f t="shared" si="9"/>
        <v>--</v>
      </c>
      <c r="F437" s="13">
        <f>IFERROR(VLOOKUP(E437,'ESTRUCTURA CODIGO'!$H$2:$J$1048576,2,FALSE)," ")</f>
        <v>0</v>
      </c>
      <c r="G437" s="25">
        <f>IFERROR(VLOOKUP(E437,'ESTRUCTURA CODIGO'!$H$2:$J$1048576,3,FALSE)," ")</f>
        <v>0</v>
      </c>
      <c r="H437" s="25">
        <f>IFERROR(VLOOKUP(E437,'ESTRUCTURA CODIGO'!$H$2:$L$612,4,FALSE)," ")</f>
        <v>0</v>
      </c>
    </row>
    <row r="438" spans="1:8" x14ac:dyDescent="0.3">
      <c r="A438" s="25">
        <v>436</v>
      </c>
      <c r="B438" s="25"/>
      <c r="C438" s="25"/>
      <c r="D438" s="25"/>
      <c r="E438" s="30" t="str">
        <f t="shared" si="9"/>
        <v>--</v>
      </c>
      <c r="F438" s="13">
        <f>IFERROR(VLOOKUP(E438,'ESTRUCTURA CODIGO'!$H$2:$J$1048576,2,FALSE)," ")</f>
        <v>0</v>
      </c>
      <c r="G438" s="25">
        <f>IFERROR(VLOOKUP(E438,'ESTRUCTURA CODIGO'!$H$2:$J$1048576,3,FALSE)," ")</f>
        <v>0</v>
      </c>
      <c r="H438" s="25">
        <f>IFERROR(VLOOKUP(E438,'ESTRUCTURA CODIGO'!$H$2:$L$612,4,FALSE)," ")</f>
        <v>0</v>
      </c>
    </row>
    <row r="439" spans="1:8" x14ac:dyDescent="0.3">
      <c r="A439" s="25">
        <v>437</v>
      </c>
      <c r="B439" s="25"/>
      <c r="C439" s="25"/>
      <c r="D439" s="25"/>
      <c r="E439" s="30" t="str">
        <f t="shared" si="9"/>
        <v>--</v>
      </c>
      <c r="F439" s="13">
        <f>IFERROR(VLOOKUP(E439,'ESTRUCTURA CODIGO'!$H$2:$J$1048576,2,FALSE)," ")</f>
        <v>0</v>
      </c>
      <c r="G439" s="25">
        <f>IFERROR(VLOOKUP(E439,'ESTRUCTURA CODIGO'!$H$2:$J$1048576,3,FALSE)," ")</f>
        <v>0</v>
      </c>
      <c r="H439" s="25">
        <f>IFERROR(VLOOKUP(E439,'ESTRUCTURA CODIGO'!$H$2:$L$612,4,FALSE)," ")</f>
        <v>0</v>
      </c>
    </row>
    <row r="440" spans="1:8" x14ac:dyDescent="0.3">
      <c r="A440" s="25">
        <v>438</v>
      </c>
      <c r="B440" s="25"/>
      <c r="C440" s="25"/>
      <c r="D440" s="25"/>
      <c r="E440" s="30" t="str">
        <f t="shared" si="9"/>
        <v>--</v>
      </c>
      <c r="F440" s="13">
        <f>IFERROR(VLOOKUP(E440,'ESTRUCTURA CODIGO'!$H$2:$J$1048576,2,FALSE)," ")</f>
        <v>0</v>
      </c>
      <c r="G440" s="25">
        <f>IFERROR(VLOOKUP(E440,'ESTRUCTURA CODIGO'!$H$2:$J$1048576,3,FALSE)," ")</f>
        <v>0</v>
      </c>
      <c r="H440" s="25">
        <f>IFERROR(VLOOKUP(E440,'ESTRUCTURA CODIGO'!$H$2:$L$612,4,FALSE)," ")</f>
        <v>0</v>
      </c>
    </row>
    <row r="441" spans="1:8" x14ac:dyDescent="0.3">
      <c r="A441" s="25">
        <v>439</v>
      </c>
      <c r="B441" s="25"/>
      <c r="C441" s="25"/>
      <c r="D441" s="25"/>
      <c r="E441" s="30" t="str">
        <f t="shared" si="9"/>
        <v>--</v>
      </c>
      <c r="F441" s="13">
        <f>IFERROR(VLOOKUP(E441,'ESTRUCTURA CODIGO'!$H$2:$J$1048576,2,FALSE)," ")</f>
        <v>0</v>
      </c>
      <c r="G441" s="25">
        <f>IFERROR(VLOOKUP(E441,'ESTRUCTURA CODIGO'!$H$2:$J$1048576,3,FALSE)," ")</f>
        <v>0</v>
      </c>
      <c r="H441" s="25">
        <f>IFERROR(VLOOKUP(E441,'ESTRUCTURA CODIGO'!$H$2:$L$612,4,FALSE)," ")</f>
        <v>0</v>
      </c>
    </row>
    <row r="442" spans="1:8" x14ac:dyDescent="0.3">
      <c r="A442" s="25">
        <v>440</v>
      </c>
      <c r="B442" s="25"/>
      <c r="C442" s="25"/>
      <c r="D442" s="25"/>
      <c r="E442" s="30" t="str">
        <f t="shared" si="9"/>
        <v>--</v>
      </c>
      <c r="F442" s="13">
        <f>IFERROR(VLOOKUP(E442,'ESTRUCTURA CODIGO'!$H$2:$J$1048576,2,FALSE)," ")</f>
        <v>0</v>
      </c>
      <c r="G442" s="25">
        <f>IFERROR(VLOOKUP(E442,'ESTRUCTURA CODIGO'!$H$2:$J$1048576,3,FALSE)," ")</f>
        <v>0</v>
      </c>
      <c r="H442" s="25">
        <f>IFERROR(VLOOKUP(E442,'ESTRUCTURA CODIGO'!$H$2:$L$612,4,FALSE)," ")</f>
        <v>0</v>
      </c>
    </row>
    <row r="443" spans="1:8" x14ac:dyDescent="0.3">
      <c r="A443" s="25">
        <v>441</v>
      </c>
      <c r="B443" s="25"/>
      <c r="C443" s="25"/>
      <c r="D443" s="25"/>
      <c r="E443" s="30" t="str">
        <f t="shared" si="9"/>
        <v>--</v>
      </c>
      <c r="F443" s="13">
        <f>IFERROR(VLOOKUP(E443,'ESTRUCTURA CODIGO'!$H$2:$J$1048576,2,FALSE)," ")</f>
        <v>0</v>
      </c>
      <c r="G443" s="25">
        <f>IFERROR(VLOOKUP(E443,'ESTRUCTURA CODIGO'!$H$2:$J$1048576,3,FALSE)," ")</f>
        <v>0</v>
      </c>
      <c r="H443" s="25">
        <f>IFERROR(VLOOKUP(E443,'ESTRUCTURA CODIGO'!$H$2:$L$612,4,FALSE)," ")</f>
        <v>0</v>
      </c>
    </row>
    <row r="444" spans="1:8" x14ac:dyDescent="0.3">
      <c r="A444" s="25">
        <v>442</v>
      </c>
      <c r="B444" s="25"/>
      <c r="C444" s="25"/>
      <c r="D444" s="25"/>
      <c r="E444" s="30" t="str">
        <f t="shared" si="9"/>
        <v>--</v>
      </c>
      <c r="F444" s="13">
        <f>IFERROR(VLOOKUP(E444,'ESTRUCTURA CODIGO'!$H$2:$J$1048576,2,FALSE)," ")</f>
        <v>0</v>
      </c>
      <c r="G444" s="25">
        <f>IFERROR(VLOOKUP(E444,'ESTRUCTURA CODIGO'!$H$2:$J$1048576,3,FALSE)," ")</f>
        <v>0</v>
      </c>
      <c r="H444" s="25">
        <f>IFERROR(VLOOKUP(E444,'ESTRUCTURA CODIGO'!$H$2:$L$612,4,FALSE)," ")</f>
        <v>0</v>
      </c>
    </row>
    <row r="445" spans="1:8" x14ac:dyDescent="0.3">
      <c r="A445" s="25">
        <v>443</v>
      </c>
      <c r="B445" s="25"/>
      <c r="C445" s="25"/>
      <c r="D445" s="25"/>
      <c r="E445" s="30" t="str">
        <f t="shared" si="9"/>
        <v>--</v>
      </c>
      <c r="F445" s="13">
        <f>IFERROR(VLOOKUP(E445,'ESTRUCTURA CODIGO'!$H$2:$J$1048576,2,FALSE)," ")</f>
        <v>0</v>
      </c>
      <c r="G445" s="25">
        <f>IFERROR(VLOOKUP(E445,'ESTRUCTURA CODIGO'!$H$2:$J$1048576,3,FALSE)," ")</f>
        <v>0</v>
      </c>
      <c r="H445" s="25">
        <f>IFERROR(VLOOKUP(E445,'ESTRUCTURA CODIGO'!$H$2:$L$612,4,FALSE)," ")</f>
        <v>0</v>
      </c>
    </row>
    <row r="446" spans="1:8" x14ac:dyDescent="0.3">
      <c r="A446" s="25">
        <v>444</v>
      </c>
      <c r="B446" s="25"/>
      <c r="C446" s="25"/>
      <c r="D446" s="25"/>
      <c r="E446" s="30" t="str">
        <f t="shared" si="9"/>
        <v>--</v>
      </c>
      <c r="F446" s="13">
        <f>IFERROR(VLOOKUP(E446,'ESTRUCTURA CODIGO'!$H$2:$J$1048576,2,FALSE)," ")</f>
        <v>0</v>
      </c>
      <c r="G446" s="25">
        <f>IFERROR(VLOOKUP(E446,'ESTRUCTURA CODIGO'!$H$2:$J$1048576,3,FALSE)," ")</f>
        <v>0</v>
      </c>
      <c r="H446" s="25">
        <f>IFERROR(VLOOKUP(E446,'ESTRUCTURA CODIGO'!$H$2:$L$612,4,FALSE)," ")</f>
        <v>0</v>
      </c>
    </row>
    <row r="447" spans="1:8" x14ac:dyDescent="0.3">
      <c r="A447" s="25">
        <v>445</v>
      </c>
      <c r="B447" s="25"/>
      <c r="C447" s="25"/>
      <c r="D447" s="25"/>
      <c r="E447" s="30" t="str">
        <f t="shared" si="9"/>
        <v>--</v>
      </c>
      <c r="F447" s="13">
        <f>IFERROR(VLOOKUP(E447,'ESTRUCTURA CODIGO'!$H$2:$J$1048576,2,FALSE)," ")</f>
        <v>0</v>
      </c>
      <c r="G447" s="25">
        <f>IFERROR(VLOOKUP(E447,'ESTRUCTURA CODIGO'!$H$2:$J$1048576,3,FALSE)," ")</f>
        <v>0</v>
      </c>
      <c r="H447" s="25">
        <f>IFERROR(VLOOKUP(E447,'ESTRUCTURA CODIGO'!$H$2:$L$612,4,FALSE)," ")</f>
        <v>0</v>
      </c>
    </row>
    <row r="448" spans="1:8" x14ac:dyDescent="0.3">
      <c r="A448" s="25">
        <v>446</v>
      </c>
      <c r="B448" s="25"/>
      <c r="C448" s="25"/>
      <c r="D448" s="25"/>
      <c r="E448" s="30" t="str">
        <f t="shared" si="9"/>
        <v>--</v>
      </c>
      <c r="F448" s="13">
        <f>IFERROR(VLOOKUP(E448,'ESTRUCTURA CODIGO'!$H$2:$J$1048576,2,FALSE)," ")</f>
        <v>0</v>
      </c>
      <c r="G448" s="25">
        <f>IFERROR(VLOOKUP(E448,'ESTRUCTURA CODIGO'!$H$2:$J$1048576,3,FALSE)," ")</f>
        <v>0</v>
      </c>
      <c r="H448" s="25">
        <f>IFERROR(VLOOKUP(E448,'ESTRUCTURA CODIGO'!$H$2:$L$612,4,FALSE)," ")</f>
        <v>0</v>
      </c>
    </row>
    <row r="449" spans="1:8" x14ac:dyDescent="0.3">
      <c r="A449" s="25">
        <v>447</v>
      </c>
      <c r="B449" s="25"/>
      <c r="C449" s="25"/>
      <c r="D449" s="25"/>
      <c r="E449" s="30" t="str">
        <f t="shared" si="9"/>
        <v>--</v>
      </c>
      <c r="F449" s="13">
        <f>IFERROR(VLOOKUP(E449,'ESTRUCTURA CODIGO'!$H$2:$J$1048576,2,FALSE)," ")</f>
        <v>0</v>
      </c>
      <c r="G449" s="25">
        <f>IFERROR(VLOOKUP(E449,'ESTRUCTURA CODIGO'!$H$2:$J$1048576,3,FALSE)," ")</f>
        <v>0</v>
      </c>
      <c r="H449" s="25">
        <f>IFERROR(VLOOKUP(E449,'ESTRUCTURA CODIGO'!$H$2:$L$612,4,FALSE)," ")</f>
        <v>0</v>
      </c>
    </row>
    <row r="450" spans="1:8" x14ac:dyDescent="0.3">
      <c r="A450" s="25">
        <v>448</v>
      </c>
      <c r="B450" s="25"/>
      <c r="C450" s="25"/>
      <c r="D450" s="25"/>
      <c r="E450" s="30" t="str">
        <f t="shared" si="9"/>
        <v>--</v>
      </c>
      <c r="F450" s="13">
        <f>IFERROR(VLOOKUP(E450,'ESTRUCTURA CODIGO'!$H$2:$J$1048576,2,FALSE)," ")</f>
        <v>0</v>
      </c>
      <c r="G450" s="25">
        <f>IFERROR(VLOOKUP(E450,'ESTRUCTURA CODIGO'!$H$2:$J$1048576,3,FALSE)," ")</f>
        <v>0</v>
      </c>
      <c r="H450" s="25">
        <f>IFERROR(VLOOKUP(E450,'ESTRUCTURA CODIGO'!$H$2:$L$612,4,FALSE)," ")</f>
        <v>0</v>
      </c>
    </row>
    <row r="451" spans="1:8" x14ac:dyDescent="0.3">
      <c r="A451" s="25">
        <v>449</v>
      </c>
      <c r="B451" s="25"/>
      <c r="C451" s="25"/>
      <c r="D451" s="25"/>
      <c r="E451" s="30" t="str">
        <f t="shared" si="9"/>
        <v>--</v>
      </c>
      <c r="F451" s="13">
        <f>IFERROR(VLOOKUP(E451,'ESTRUCTURA CODIGO'!$H$2:$J$1048576,2,FALSE)," ")</f>
        <v>0</v>
      </c>
      <c r="G451" s="25">
        <f>IFERROR(VLOOKUP(E451,'ESTRUCTURA CODIGO'!$H$2:$J$1048576,3,FALSE)," ")</f>
        <v>0</v>
      </c>
      <c r="H451" s="25">
        <f>IFERROR(VLOOKUP(E451,'ESTRUCTURA CODIGO'!$H$2:$L$612,4,FALSE)," ")</f>
        <v>0</v>
      </c>
    </row>
    <row r="452" spans="1:8" x14ac:dyDescent="0.3">
      <c r="A452" s="25">
        <v>450</v>
      </c>
      <c r="B452" s="25"/>
      <c r="C452" s="25"/>
      <c r="D452" s="25"/>
      <c r="E452" s="30" t="str">
        <f t="shared" si="9"/>
        <v>--</v>
      </c>
      <c r="F452" s="13">
        <f>IFERROR(VLOOKUP(E452,'ESTRUCTURA CODIGO'!$H$2:$J$1048576,2,FALSE)," ")</f>
        <v>0</v>
      </c>
      <c r="G452" s="25">
        <f>IFERROR(VLOOKUP(E452,'ESTRUCTURA CODIGO'!$H$2:$J$1048576,3,FALSE)," ")</f>
        <v>0</v>
      </c>
      <c r="H452" s="25">
        <f>IFERROR(VLOOKUP(E452,'ESTRUCTURA CODIGO'!$H$2:$L$612,4,FALSE)," ")</f>
        <v>0</v>
      </c>
    </row>
    <row r="453" spans="1:8" x14ac:dyDescent="0.3">
      <c r="A453" s="25">
        <v>451</v>
      </c>
      <c r="B453" s="25"/>
      <c r="C453" s="25"/>
      <c r="D453" s="25"/>
      <c r="E453" s="30" t="str">
        <f t="shared" si="9"/>
        <v>--</v>
      </c>
      <c r="F453" s="13">
        <f>IFERROR(VLOOKUP(E453,'ESTRUCTURA CODIGO'!$H$2:$J$1048576,2,FALSE)," ")</f>
        <v>0</v>
      </c>
      <c r="G453" s="25">
        <f>IFERROR(VLOOKUP(E453,'ESTRUCTURA CODIGO'!$H$2:$J$1048576,3,FALSE)," ")</f>
        <v>0</v>
      </c>
      <c r="H453" s="25">
        <f>IFERROR(VLOOKUP(E453,'ESTRUCTURA CODIGO'!$H$2:$L$612,4,FALSE)," ")</f>
        <v>0</v>
      </c>
    </row>
    <row r="454" spans="1:8" x14ac:dyDescent="0.3">
      <c r="A454" s="25">
        <v>452</v>
      </c>
      <c r="B454" s="25"/>
      <c r="C454" s="25"/>
      <c r="D454" s="25"/>
      <c r="E454" s="30" t="str">
        <f t="shared" si="9"/>
        <v>--</v>
      </c>
      <c r="F454" s="13">
        <f>IFERROR(VLOOKUP(E454,'ESTRUCTURA CODIGO'!$H$2:$J$1048576,2,FALSE)," ")</f>
        <v>0</v>
      </c>
      <c r="G454" s="25">
        <f>IFERROR(VLOOKUP(E454,'ESTRUCTURA CODIGO'!$H$2:$J$1048576,3,FALSE)," ")</f>
        <v>0</v>
      </c>
      <c r="H454" s="25">
        <f>IFERROR(VLOOKUP(E454,'ESTRUCTURA CODIGO'!$H$2:$L$612,4,FALSE)," ")</f>
        <v>0</v>
      </c>
    </row>
    <row r="455" spans="1:8" x14ac:dyDescent="0.3">
      <c r="A455" s="25">
        <v>453</v>
      </c>
      <c r="B455" s="25"/>
      <c r="C455" s="25"/>
      <c r="D455" s="25"/>
      <c r="E455" s="30" t="str">
        <f t="shared" si="9"/>
        <v>--</v>
      </c>
      <c r="F455" s="13">
        <f>IFERROR(VLOOKUP(E455,'ESTRUCTURA CODIGO'!$H$2:$J$1048576,2,FALSE)," ")</f>
        <v>0</v>
      </c>
      <c r="G455" s="25">
        <f>IFERROR(VLOOKUP(E455,'ESTRUCTURA CODIGO'!$H$2:$J$1048576,3,FALSE)," ")</f>
        <v>0</v>
      </c>
      <c r="H455" s="25">
        <f>IFERROR(VLOOKUP(E455,'ESTRUCTURA CODIGO'!$H$2:$L$612,4,FALSE)," ")</f>
        <v>0</v>
      </c>
    </row>
    <row r="456" spans="1:8" x14ac:dyDescent="0.3">
      <c r="A456" s="25">
        <v>454</v>
      </c>
      <c r="B456" s="25"/>
      <c r="C456" s="25"/>
      <c r="D456" s="25"/>
      <c r="E456" s="30" t="str">
        <f t="shared" si="9"/>
        <v>--</v>
      </c>
      <c r="F456" s="13">
        <f>IFERROR(VLOOKUP(E456,'ESTRUCTURA CODIGO'!$H$2:$J$1048576,2,FALSE)," ")</f>
        <v>0</v>
      </c>
      <c r="G456" s="25">
        <f>IFERROR(VLOOKUP(E456,'ESTRUCTURA CODIGO'!$H$2:$J$1048576,3,FALSE)," ")</f>
        <v>0</v>
      </c>
      <c r="H456" s="25">
        <f>IFERROR(VLOOKUP(E456,'ESTRUCTURA CODIGO'!$H$2:$L$612,4,FALSE)," ")</f>
        <v>0</v>
      </c>
    </row>
    <row r="457" spans="1:8" x14ac:dyDescent="0.3">
      <c r="A457" s="25">
        <v>455</v>
      </c>
      <c r="B457" s="25"/>
      <c r="C457" s="25"/>
      <c r="D457" s="25"/>
      <c r="E457" s="30" t="str">
        <f t="shared" si="9"/>
        <v>--</v>
      </c>
      <c r="F457" s="13">
        <f>IFERROR(VLOOKUP(E457,'ESTRUCTURA CODIGO'!$H$2:$J$1048576,2,FALSE)," ")</f>
        <v>0</v>
      </c>
      <c r="G457" s="25">
        <f>IFERROR(VLOOKUP(E457,'ESTRUCTURA CODIGO'!$H$2:$J$1048576,3,FALSE)," ")</f>
        <v>0</v>
      </c>
      <c r="H457" s="25">
        <f>IFERROR(VLOOKUP(E457,'ESTRUCTURA CODIGO'!$H$2:$L$612,4,FALSE)," ")</f>
        <v>0</v>
      </c>
    </row>
    <row r="458" spans="1:8" x14ac:dyDescent="0.3">
      <c r="A458" s="25">
        <v>456</v>
      </c>
      <c r="B458" s="25"/>
      <c r="C458" s="25"/>
      <c r="D458" s="25"/>
      <c r="E458" s="30" t="str">
        <f t="shared" si="9"/>
        <v>--</v>
      </c>
      <c r="F458" s="13">
        <f>IFERROR(VLOOKUP(E458,'ESTRUCTURA CODIGO'!$H$2:$J$1048576,2,FALSE)," ")</f>
        <v>0</v>
      </c>
      <c r="G458" s="25">
        <f>IFERROR(VLOOKUP(E458,'ESTRUCTURA CODIGO'!$H$2:$J$1048576,3,FALSE)," ")</f>
        <v>0</v>
      </c>
      <c r="H458" s="25">
        <f>IFERROR(VLOOKUP(E458,'ESTRUCTURA CODIGO'!$H$2:$L$612,4,FALSE)," ")</f>
        <v>0</v>
      </c>
    </row>
    <row r="459" spans="1:8" x14ac:dyDescent="0.3">
      <c r="A459" s="25">
        <v>457</v>
      </c>
      <c r="B459" s="25"/>
      <c r="C459" s="25"/>
      <c r="D459" s="25"/>
      <c r="E459" s="30" t="str">
        <f t="shared" si="9"/>
        <v>--</v>
      </c>
      <c r="F459" s="13">
        <f>IFERROR(VLOOKUP(E459,'ESTRUCTURA CODIGO'!$H$2:$J$1048576,2,FALSE)," ")</f>
        <v>0</v>
      </c>
      <c r="G459" s="25">
        <f>IFERROR(VLOOKUP(E459,'ESTRUCTURA CODIGO'!$H$2:$J$1048576,3,FALSE)," ")</f>
        <v>0</v>
      </c>
      <c r="H459" s="25">
        <f>IFERROR(VLOOKUP(E459,'ESTRUCTURA CODIGO'!$H$2:$L$612,4,FALSE)," ")</f>
        <v>0</v>
      </c>
    </row>
    <row r="460" spans="1:8" x14ac:dyDescent="0.3">
      <c r="A460" s="25">
        <v>458</v>
      </c>
      <c r="B460" s="25"/>
      <c r="C460" s="25"/>
      <c r="D460" s="25"/>
      <c r="E460" s="30" t="str">
        <f t="shared" si="9"/>
        <v>--</v>
      </c>
      <c r="F460" s="13">
        <f>IFERROR(VLOOKUP(E460,'ESTRUCTURA CODIGO'!$H$2:$J$1048576,2,FALSE)," ")</f>
        <v>0</v>
      </c>
      <c r="G460" s="25">
        <f>IFERROR(VLOOKUP(E460,'ESTRUCTURA CODIGO'!$H$2:$J$1048576,3,FALSE)," ")</f>
        <v>0</v>
      </c>
      <c r="H460" s="25">
        <f>IFERROR(VLOOKUP(E460,'ESTRUCTURA CODIGO'!$H$2:$L$612,4,FALSE)," ")</f>
        <v>0</v>
      </c>
    </row>
    <row r="461" spans="1:8" x14ac:dyDescent="0.3">
      <c r="A461" s="25">
        <v>459</v>
      </c>
      <c r="B461" s="25"/>
      <c r="C461" s="25"/>
      <c r="D461" s="25"/>
      <c r="E461" s="30" t="str">
        <f t="shared" si="9"/>
        <v>--</v>
      </c>
      <c r="F461" s="13">
        <f>IFERROR(VLOOKUP(E461,'ESTRUCTURA CODIGO'!$H$2:$J$1048576,2,FALSE)," ")</f>
        <v>0</v>
      </c>
      <c r="G461" s="25">
        <f>IFERROR(VLOOKUP(E461,'ESTRUCTURA CODIGO'!$H$2:$J$1048576,3,FALSE)," ")</f>
        <v>0</v>
      </c>
      <c r="H461" s="25">
        <f>IFERROR(VLOOKUP(E461,'ESTRUCTURA CODIGO'!$H$2:$L$612,4,FALSE)," ")</f>
        <v>0</v>
      </c>
    </row>
    <row r="462" spans="1:8" x14ac:dyDescent="0.3">
      <c r="A462" s="25">
        <v>460</v>
      </c>
      <c r="B462" s="25"/>
      <c r="C462" s="25"/>
      <c r="D462" s="25"/>
      <c r="E462" s="30" t="str">
        <f t="shared" si="9"/>
        <v>--</v>
      </c>
      <c r="F462" s="13">
        <f>IFERROR(VLOOKUP(E462,'ESTRUCTURA CODIGO'!$H$2:$J$1048576,2,FALSE)," ")</f>
        <v>0</v>
      </c>
      <c r="G462" s="25">
        <f>IFERROR(VLOOKUP(E462,'ESTRUCTURA CODIGO'!$H$2:$J$1048576,3,FALSE)," ")</f>
        <v>0</v>
      </c>
      <c r="H462" s="25">
        <f>IFERROR(VLOOKUP(E462,'ESTRUCTURA CODIGO'!$H$2:$L$612,4,FALSE)," ")</f>
        <v>0</v>
      </c>
    </row>
    <row r="463" spans="1:8" x14ac:dyDescent="0.3">
      <c r="A463" s="25">
        <v>461</v>
      </c>
      <c r="B463" s="25"/>
      <c r="C463" s="25"/>
      <c r="D463" s="25"/>
      <c r="E463" s="30" t="str">
        <f t="shared" si="9"/>
        <v>--</v>
      </c>
      <c r="F463" s="13">
        <f>IFERROR(VLOOKUP(E463,'ESTRUCTURA CODIGO'!$H$2:$J$1048576,2,FALSE)," ")</f>
        <v>0</v>
      </c>
      <c r="G463" s="25">
        <f>IFERROR(VLOOKUP(E463,'ESTRUCTURA CODIGO'!$H$2:$J$1048576,3,FALSE)," ")</f>
        <v>0</v>
      </c>
      <c r="H463" s="25">
        <f>IFERROR(VLOOKUP(E463,'ESTRUCTURA CODIGO'!$H$2:$L$612,4,FALSE)," ")</f>
        <v>0</v>
      </c>
    </row>
    <row r="464" spans="1:8" x14ac:dyDescent="0.3">
      <c r="A464" s="25">
        <v>462</v>
      </c>
      <c r="B464" s="25"/>
      <c r="C464" s="25"/>
      <c r="D464" s="25"/>
      <c r="E464" s="30" t="str">
        <f t="shared" si="9"/>
        <v>--</v>
      </c>
      <c r="F464" s="13">
        <f>IFERROR(VLOOKUP(E464,'ESTRUCTURA CODIGO'!$H$2:$J$1048576,2,FALSE)," ")</f>
        <v>0</v>
      </c>
      <c r="G464" s="25">
        <f>IFERROR(VLOOKUP(E464,'ESTRUCTURA CODIGO'!$H$2:$J$1048576,3,FALSE)," ")</f>
        <v>0</v>
      </c>
      <c r="H464" s="25">
        <f>IFERROR(VLOOKUP(E464,'ESTRUCTURA CODIGO'!$H$2:$L$612,4,FALSE)," ")</f>
        <v>0</v>
      </c>
    </row>
    <row r="465" spans="1:8" x14ac:dyDescent="0.3">
      <c r="A465" s="25">
        <v>463</v>
      </c>
      <c r="B465" s="25"/>
      <c r="C465" s="25"/>
      <c r="D465" s="25"/>
      <c r="E465" s="30" t="str">
        <f t="shared" si="9"/>
        <v>--</v>
      </c>
      <c r="F465" s="13">
        <f>IFERROR(VLOOKUP(E465,'ESTRUCTURA CODIGO'!$H$2:$J$1048576,2,FALSE)," ")</f>
        <v>0</v>
      </c>
      <c r="G465" s="25">
        <f>IFERROR(VLOOKUP(E465,'ESTRUCTURA CODIGO'!$H$2:$J$1048576,3,FALSE)," ")</f>
        <v>0</v>
      </c>
      <c r="H465" s="25">
        <f>IFERROR(VLOOKUP(E465,'ESTRUCTURA CODIGO'!$H$2:$L$612,4,FALSE)," ")</f>
        <v>0</v>
      </c>
    </row>
    <row r="466" spans="1:8" x14ac:dyDescent="0.3">
      <c r="A466" s="25">
        <v>464</v>
      </c>
      <c r="B466" s="25"/>
      <c r="C466" s="25"/>
      <c r="D466" s="25"/>
      <c r="E466" s="30" t="str">
        <f t="shared" si="9"/>
        <v>--</v>
      </c>
      <c r="F466" s="13">
        <f>IFERROR(VLOOKUP(E466,'ESTRUCTURA CODIGO'!$H$2:$J$1048576,2,FALSE)," ")</f>
        <v>0</v>
      </c>
      <c r="G466" s="25">
        <f>IFERROR(VLOOKUP(E466,'ESTRUCTURA CODIGO'!$H$2:$J$1048576,3,FALSE)," ")</f>
        <v>0</v>
      </c>
      <c r="H466" s="25">
        <f>IFERROR(VLOOKUP(E466,'ESTRUCTURA CODIGO'!$H$2:$L$612,4,FALSE)," ")</f>
        <v>0</v>
      </c>
    </row>
    <row r="467" spans="1:8" x14ac:dyDescent="0.3">
      <c r="A467" s="25">
        <v>465</v>
      </c>
      <c r="B467" s="25"/>
      <c r="C467" s="25"/>
      <c r="D467" s="25"/>
      <c r="E467" s="30" t="str">
        <f t="shared" si="9"/>
        <v>--</v>
      </c>
      <c r="F467" s="13">
        <f>IFERROR(VLOOKUP(E467,'ESTRUCTURA CODIGO'!$H$2:$J$1048576,2,FALSE)," ")</f>
        <v>0</v>
      </c>
      <c r="G467" s="25">
        <f>IFERROR(VLOOKUP(E467,'ESTRUCTURA CODIGO'!$H$2:$J$1048576,3,FALSE)," ")</f>
        <v>0</v>
      </c>
      <c r="H467" s="25">
        <f>IFERROR(VLOOKUP(E467,'ESTRUCTURA CODIGO'!$H$2:$L$612,4,FALSE)," ")</f>
        <v>0</v>
      </c>
    </row>
    <row r="468" spans="1:8" x14ac:dyDescent="0.3">
      <c r="A468" s="25">
        <v>466</v>
      </c>
      <c r="B468" s="25"/>
      <c r="C468" s="25"/>
      <c r="D468" s="25"/>
      <c r="E468" s="30" t="str">
        <f t="shared" si="9"/>
        <v>--</v>
      </c>
      <c r="F468" s="13">
        <f>IFERROR(VLOOKUP(E468,'ESTRUCTURA CODIGO'!$H$2:$J$1048576,2,FALSE)," ")</f>
        <v>0</v>
      </c>
      <c r="G468" s="25">
        <f>IFERROR(VLOOKUP(E468,'ESTRUCTURA CODIGO'!$H$2:$J$1048576,3,FALSE)," ")</f>
        <v>0</v>
      </c>
      <c r="H468" s="25">
        <f>IFERROR(VLOOKUP(E468,'ESTRUCTURA CODIGO'!$H$2:$L$612,4,FALSE)," ")</f>
        <v>0</v>
      </c>
    </row>
    <row r="469" spans="1:8" x14ac:dyDescent="0.3">
      <c r="A469" s="25">
        <v>467</v>
      </c>
      <c r="B469" s="25"/>
      <c r="C469" s="25"/>
      <c r="D469" s="25"/>
      <c r="E469" s="30" t="str">
        <f t="shared" si="9"/>
        <v>--</v>
      </c>
      <c r="F469" s="13">
        <f>IFERROR(VLOOKUP(E469,'ESTRUCTURA CODIGO'!$H$2:$J$1048576,2,FALSE)," ")</f>
        <v>0</v>
      </c>
      <c r="G469" s="25">
        <f>IFERROR(VLOOKUP(E469,'ESTRUCTURA CODIGO'!$H$2:$J$1048576,3,FALSE)," ")</f>
        <v>0</v>
      </c>
      <c r="H469" s="25">
        <f>IFERROR(VLOOKUP(E469,'ESTRUCTURA CODIGO'!$H$2:$L$612,4,FALSE)," ")</f>
        <v>0</v>
      </c>
    </row>
    <row r="470" spans="1:8" x14ac:dyDescent="0.3">
      <c r="A470" s="25">
        <v>468</v>
      </c>
      <c r="B470" s="25"/>
      <c r="C470" s="25"/>
      <c r="D470" s="25"/>
      <c r="E470" s="30" t="str">
        <f t="shared" si="9"/>
        <v>--</v>
      </c>
      <c r="F470" s="13">
        <f>IFERROR(VLOOKUP(E470,'ESTRUCTURA CODIGO'!$H$2:$J$1048576,2,FALSE)," ")</f>
        <v>0</v>
      </c>
      <c r="G470" s="25">
        <f>IFERROR(VLOOKUP(E470,'ESTRUCTURA CODIGO'!$H$2:$J$1048576,3,FALSE)," ")</f>
        <v>0</v>
      </c>
      <c r="H470" s="25">
        <f>IFERROR(VLOOKUP(E470,'ESTRUCTURA CODIGO'!$H$2:$L$612,4,FALSE)," ")</f>
        <v>0</v>
      </c>
    </row>
    <row r="471" spans="1:8" x14ac:dyDescent="0.3">
      <c r="A471" s="25">
        <v>469</v>
      </c>
      <c r="B471" s="25"/>
      <c r="C471" s="25"/>
      <c r="D471" s="25"/>
      <c r="E471" s="30" t="str">
        <f t="shared" si="9"/>
        <v>--</v>
      </c>
      <c r="F471" s="13">
        <f>IFERROR(VLOOKUP(E471,'ESTRUCTURA CODIGO'!$H$2:$J$1048576,2,FALSE)," ")</f>
        <v>0</v>
      </c>
      <c r="G471" s="25">
        <f>IFERROR(VLOOKUP(E471,'ESTRUCTURA CODIGO'!$H$2:$J$1048576,3,FALSE)," ")</f>
        <v>0</v>
      </c>
      <c r="H471" s="25">
        <f>IFERROR(VLOOKUP(E471,'ESTRUCTURA CODIGO'!$H$2:$L$612,4,FALSE)," ")</f>
        <v>0</v>
      </c>
    </row>
    <row r="472" spans="1:8" x14ac:dyDescent="0.3">
      <c r="A472" s="25">
        <v>470</v>
      </c>
      <c r="B472" s="25"/>
      <c r="C472" s="25"/>
      <c r="D472" s="25"/>
      <c r="E472" s="30" t="str">
        <f t="shared" si="9"/>
        <v>--</v>
      </c>
      <c r="F472" s="13">
        <f>IFERROR(VLOOKUP(E472,'ESTRUCTURA CODIGO'!$H$2:$J$1048576,2,FALSE)," ")</f>
        <v>0</v>
      </c>
      <c r="G472" s="25">
        <f>IFERROR(VLOOKUP(E472,'ESTRUCTURA CODIGO'!$H$2:$J$1048576,3,FALSE)," ")</f>
        <v>0</v>
      </c>
      <c r="H472" s="25">
        <f>IFERROR(VLOOKUP(E472,'ESTRUCTURA CODIGO'!$H$2:$L$612,4,FALSE)," ")</f>
        <v>0</v>
      </c>
    </row>
    <row r="473" spans="1:8" x14ac:dyDescent="0.3">
      <c r="A473" s="25">
        <v>471</v>
      </c>
      <c r="B473" s="25"/>
      <c r="C473" s="25"/>
      <c r="D473" s="25"/>
      <c r="E473" s="30" t="str">
        <f t="shared" si="9"/>
        <v>--</v>
      </c>
      <c r="F473" s="13">
        <f>IFERROR(VLOOKUP(E473,'ESTRUCTURA CODIGO'!$H$2:$J$1048576,2,FALSE)," ")</f>
        <v>0</v>
      </c>
      <c r="G473" s="25">
        <f>IFERROR(VLOOKUP(E473,'ESTRUCTURA CODIGO'!$H$2:$J$1048576,3,FALSE)," ")</f>
        <v>0</v>
      </c>
      <c r="H473" s="25">
        <f>IFERROR(VLOOKUP(E473,'ESTRUCTURA CODIGO'!$H$2:$L$612,4,FALSE)," ")</f>
        <v>0</v>
      </c>
    </row>
    <row r="474" spans="1:8" x14ac:dyDescent="0.3">
      <c r="A474" s="25">
        <v>472</v>
      </c>
      <c r="B474" s="25"/>
      <c r="C474" s="25"/>
      <c r="D474" s="25"/>
      <c r="E474" s="30" t="str">
        <f t="shared" si="9"/>
        <v>--</v>
      </c>
      <c r="F474" s="13">
        <f>IFERROR(VLOOKUP(E474,'ESTRUCTURA CODIGO'!$H$2:$J$1048576,2,FALSE)," ")</f>
        <v>0</v>
      </c>
      <c r="G474" s="25">
        <f>IFERROR(VLOOKUP(E474,'ESTRUCTURA CODIGO'!$H$2:$J$1048576,3,FALSE)," ")</f>
        <v>0</v>
      </c>
      <c r="H474" s="25">
        <f>IFERROR(VLOOKUP(E474,'ESTRUCTURA CODIGO'!$H$2:$L$612,4,FALSE)," ")</f>
        <v>0</v>
      </c>
    </row>
    <row r="475" spans="1:8" x14ac:dyDescent="0.3">
      <c r="A475" s="25">
        <v>473</v>
      </c>
      <c r="B475" s="25"/>
      <c r="C475" s="25"/>
      <c r="D475" s="25"/>
      <c r="E475" s="30" t="str">
        <f t="shared" si="9"/>
        <v>--</v>
      </c>
      <c r="F475" s="13">
        <f>IFERROR(VLOOKUP(E475,'ESTRUCTURA CODIGO'!$H$2:$J$1048576,2,FALSE)," ")</f>
        <v>0</v>
      </c>
      <c r="G475" s="25">
        <f>IFERROR(VLOOKUP(E475,'ESTRUCTURA CODIGO'!$H$2:$J$1048576,3,FALSE)," ")</f>
        <v>0</v>
      </c>
      <c r="H475" s="25">
        <f>IFERROR(VLOOKUP(E475,'ESTRUCTURA CODIGO'!$H$2:$L$612,4,FALSE)," ")</f>
        <v>0</v>
      </c>
    </row>
    <row r="476" spans="1:8" x14ac:dyDescent="0.3">
      <c r="A476" s="25">
        <v>474</v>
      </c>
      <c r="B476" s="25"/>
      <c r="C476" s="25"/>
      <c r="D476" s="25"/>
      <c r="E476" s="30" t="str">
        <f t="shared" si="9"/>
        <v>--</v>
      </c>
      <c r="F476" s="13">
        <f>IFERROR(VLOOKUP(E476,'ESTRUCTURA CODIGO'!$H$2:$J$1048576,2,FALSE)," ")</f>
        <v>0</v>
      </c>
      <c r="G476" s="25">
        <f>IFERROR(VLOOKUP(E476,'ESTRUCTURA CODIGO'!$H$2:$J$1048576,3,FALSE)," ")</f>
        <v>0</v>
      </c>
      <c r="H476" s="25">
        <f>IFERROR(VLOOKUP(E476,'ESTRUCTURA CODIGO'!$H$2:$L$612,4,FALSE)," ")</f>
        <v>0</v>
      </c>
    </row>
    <row r="477" spans="1:8" x14ac:dyDescent="0.3">
      <c r="A477" s="25">
        <v>475</v>
      </c>
      <c r="B477" s="25"/>
      <c r="C477" s="25"/>
      <c r="D477" s="25"/>
      <c r="E477" s="30" t="str">
        <f t="shared" si="9"/>
        <v>--</v>
      </c>
      <c r="F477" s="13">
        <f>IFERROR(VLOOKUP(E477,'ESTRUCTURA CODIGO'!$H$2:$J$1048576,2,FALSE)," ")</f>
        <v>0</v>
      </c>
      <c r="G477" s="25">
        <f>IFERROR(VLOOKUP(E477,'ESTRUCTURA CODIGO'!$H$2:$J$1048576,3,FALSE)," ")</f>
        <v>0</v>
      </c>
      <c r="H477" s="25">
        <f>IFERROR(VLOOKUP(E477,'ESTRUCTURA CODIGO'!$H$2:$L$612,4,FALSE)," ")</f>
        <v>0</v>
      </c>
    </row>
    <row r="478" spans="1:8" x14ac:dyDescent="0.3">
      <c r="A478" s="25">
        <v>476</v>
      </c>
      <c r="B478" s="25"/>
      <c r="C478" s="25"/>
      <c r="D478" s="25"/>
      <c r="E478" s="30" t="str">
        <f t="shared" si="9"/>
        <v>--</v>
      </c>
      <c r="F478" s="13">
        <f>IFERROR(VLOOKUP(E478,'ESTRUCTURA CODIGO'!$H$2:$J$1048576,2,FALSE)," ")</f>
        <v>0</v>
      </c>
      <c r="G478" s="25">
        <f>IFERROR(VLOOKUP(E478,'ESTRUCTURA CODIGO'!$H$2:$J$1048576,3,FALSE)," ")</f>
        <v>0</v>
      </c>
      <c r="H478" s="25">
        <f>IFERROR(VLOOKUP(E478,'ESTRUCTURA CODIGO'!$H$2:$L$612,4,FALSE)," ")</f>
        <v>0</v>
      </c>
    </row>
    <row r="479" spans="1:8" x14ac:dyDescent="0.3">
      <c r="A479" s="25">
        <v>477</v>
      </c>
      <c r="B479" s="25"/>
      <c r="C479" s="25"/>
      <c r="D479" s="25"/>
      <c r="E479" s="30" t="str">
        <f t="shared" si="9"/>
        <v>--</v>
      </c>
      <c r="F479" s="13">
        <f>IFERROR(VLOOKUP(E479,'ESTRUCTURA CODIGO'!$H$2:$J$1048576,2,FALSE)," ")</f>
        <v>0</v>
      </c>
      <c r="G479" s="25">
        <f>IFERROR(VLOOKUP(E479,'ESTRUCTURA CODIGO'!$H$2:$J$1048576,3,FALSE)," ")</f>
        <v>0</v>
      </c>
      <c r="H479" s="25">
        <f>IFERROR(VLOOKUP(E479,'ESTRUCTURA CODIGO'!$H$2:$L$612,4,FALSE)," ")</f>
        <v>0</v>
      </c>
    </row>
    <row r="480" spans="1:8" x14ac:dyDescent="0.3">
      <c r="A480" s="25">
        <v>478</v>
      </c>
      <c r="B480" s="25"/>
      <c r="C480" s="25"/>
      <c r="D480" s="25"/>
      <c r="E480" s="30" t="str">
        <f t="shared" si="9"/>
        <v>--</v>
      </c>
      <c r="F480" s="13">
        <f>IFERROR(VLOOKUP(E480,'ESTRUCTURA CODIGO'!$H$2:$J$1048576,2,FALSE)," ")</f>
        <v>0</v>
      </c>
      <c r="G480" s="25">
        <f>IFERROR(VLOOKUP(E480,'ESTRUCTURA CODIGO'!$H$2:$J$1048576,3,FALSE)," ")</f>
        <v>0</v>
      </c>
      <c r="H480" s="25">
        <f>IFERROR(VLOOKUP(E480,'ESTRUCTURA CODIGO'!$H$2:$L$612,4,FALSE)," ")</f>
        <v>0</v>
      </c>
    </row>
    <row r="481" spans="1:8" x14ac:dyDescent="0.3">
      <c r="A481" s="25">
        <v>479</v>
      </c>
      <c r="B481" s="25"/>
      <c r="C481" s="25"/>
      <c r="D481" s="25"/>
      <c r="E481" s="30" t="str">
        <f t="shared" si="9"/>
        <v>--</v>
      </c>
      <c r="F481" s="13">
        <f>IFERROR(VLOOKUP(E481,'ESTRUCTURA CODIGO'!$H$2:$J$1048576,2,FALSE)," ")</f>
        <v>0</v>
      </c>
      <c r="G481" s="25">
        <f>IFERROR(VLOOKUP(E481,'ESTRUCTURA CODIGO'!$H$2:$J$1048576,3,FALSE)," ")</f>
        <v>0</v>
      </c>
      <c r="H481" s="25">
        <f>IFERROR(VLOOKUP(E481,'ESTRUCTURA CODIGO'!$H$2:$L$612,4,FALSE)," ")</f>
        <v>0</v>
      </c>
    </row>
    <row r="482" spans="1:8" x14ac:dyDescent="0.3">
      <c r="A482" s="25">
        <v>480</v>
      </c>
      <c r="B482" s="25"/>
      <c r="C482" s="25"/>
      <c r="D482" s="25"/>
      <c r="E482" s="30" t="str">
        <f t="shared" si="9"/>
        <v>--</v>
      </c>
      <c r="F482" s="13">
        <f>IFERROR(VLOOKUP(E482,'ESTRUCTURA CODIGO'!$H$2:$J$1048576,2,FALSE)," ")</f>
        <v>0</v>
      </c>
      <c r="G482" s="25">
        <f>IFERROR(VLOOKUP(E482,'ESTRUCTURA CODIGO'!$H$2:$J$1048576,3,FALSE)," ")</f>
        <v>0</v>
      </c>
      <c r="H482" s="25">
        <f>IFERROR(VLOOKUP(E482,'ESTRUCTURA CODIGO'!$H$2:$L$612,4,FALSE)," ")</f>
        <v>0</v>
      </c>
    </row>
    <row r="483" spans="1:8" x14ac:dyDescent="0.3">
      <c r="A483" s="25">
        <v>481</v>
      </c>
      <c r="B483" s="25"/>
      <c r="C483" s="25"/>
      <c r="D483" s="25"/>
      <c r="E483" s="30" t="str">
        <f t="shared" si="9"/>
        <v>--</v>
      </c>
      <c r="F483" s="13">
        <f>IFERROR(VLOOKUP(E483,'ESTRUCTURA CODIGO'!$H$2:$J$1048576,2,FALSE)," ")</f>
        <v>0</v>
      </c>
      <c r="G483" s="25">
        <f>IFERROR(VLOOKUP(E483,'ESTRUCTURA CODIGO'!$H$2:$J$1048576,3,FALSE)," ")</f>
        <v>0</v>
      </c>
      <c r="H483" s="25">
        <f>IFERROR(VLOOKUP(E483,'ESTRUCTURA CODIGO'!$H$2:$L$612,4,FALSE)," ")</f>
        <v>0</v>
      </c>
    </row>
    <row r="484" spans="1:8" x14ac:dyDescent="0.3">
      <c r="A484" s="25">
        <v>482</v>
      </c>
      <c r="B484" s="25"/>
      <c r="C484" s="25"/>
      <c r="D484" s="25"/>
      <c r="E484" s="30" t="str">
        <f t="shared" si="9"/>
        <v>--</v>
      </c>
      <c r="F484" s="13">
        <f>IFERROR(VLOOKUP(E484,'ESTRUCTURA CODIGO'!$H$2:$J$1048576,2,FALSE)," ")</f>
        <v>0</v>
      </c>
      <c r="G484" s="25">
        <f>IFERROR(VLOOKUP(E484,'ESTRUCTURA CODIGO'!$H$2:$J$1048576,3,FALSE)," ")</f>
        <v>0</v>
      </c>
      <c r="H484" s="25">
        <f>IFERROR(VLOOKUP(E484,'ESTRUCTURA CODIGO'!$H$2:$L$612,4,FALSE)," ")</f>
        <v>0</v>
      </c>
    </row>
    <row r="485" spans="1:8" x14ac:dyDescent="0.3">
      <c r="A485" s="25">
        <v>483</v>
      </c>
      <c r="B485" s="25"/>
      <c r="C485" s="25"/>
      <c r="D485" s="25"/>
      <c r="E485" s="30" t="str">
        <f t="shared" si="9"/>
        <v>--</v>
      </c>
      <c r="F485" s="13">
        <f>IFERROR(VLOOKUP(E485,'ESTRUCTURA CODIGO'!$H$2:$J$1048576,2,FALSE)," ")</f>
        <v>0</v>
      </c>
      <c r="G485" s="25">
        <f>IFERROR(VLOOKUP(E485,'ESTRUCTURA CODIGO'!$H$2:$J$1048576,3,FALSE)," ")</f>
        <v>0</v>
      </c>
      <c r="H485" s="25">
        <f>IFERROR(VLOOKUP(E485,'ESTRUCTURA CODIGO'!$H$2:$L$612,4,FALSE)," ")</f>
        <v>0</v>
      </c>
    </row>
    <row r="486" spans="1:8" x14ac:dyDescent="0.3">
      <c r="A486" s="25">
        <v>484</v>
      </c>
      <c r="B486" s="25"/>
      <c r="C486" s="25"/>
      <c r="D486" s="25"/>
      <c r="E486" s="30" t="str">
        <f t="shared" si="9"/>
        <v>--</v>
      </c>
      <c r="F486" s="13">
        <f>IFERROR(VLOOKUP(E486,'ESTRUCTURA CODIGO'!$H$2:$J$1048576,2,FALSE)," ")</f>
        <v>0</v>
      </c>
      <c r="G486" s="25">
        <f>IFERROR(VLOOKUP(E486,'ESTRUCTURA CODIGO'!$H$2:$J$1048576,3,FALSE)," ")</f>
        <v>0</v>
      </c>
      <c r="H486" s="25">
        <f>IFERROR(VLOOKUP(E486,'ESTRUCTURA CODIGO'!$H$2:$L$612,4,FALSE)," ")</f>
        <v>0</v>
      </c>
    </row>
    <row r="487" spans="1:8" x14ac:dyDescent="0.3">
      <c r="A487" s="25">
        <v>485</v>
      </c>
      <c r="B487" s="25"/>
      <c r="C487" s="25"/>
      <c r="D487" s="25"/>
      <c r="E487" s="30" t="str">
        <f t="shared" si="9"/>
        <v>--</v>
      </c>
      <c r="F487" s="13">
        <f>IFERROR(VLOOKUP(E487,'ESTRUCTURA CODIGO'!$H$2:$J$1048576,2,FALSE)," ")</f>
        <v>0</v>
      </c>
      <c r="G487" s="25">
        <f>IFERROR(VLOOKUP(E487,'ESTRUCTURA CODIGO'!$H$2:$J$1048576,3,FALSE)," ")</f>
        <v>0</v>
      </c>
      <c r="H487" s="25">
        <f>IFERROR(VLOOKUP(E487,'ESTRUCTURA CODIGO'!$H$2:$L$612,4,FALSE)," ")</f>
        <v>0</v>
      </c>
    </row>
    <row r="488" spans="1:8" x14ac:dyDescent="0.3">
      <c r="A488" s="25">
        <v>486</v>
      </c>
      <c r="B488" s="25"/>
      <c r="C488" s="25"/>
      <c r="D488" s="25"/>
      <c r="E488" s="30" t="str">
        <f t="shared" si="9"/>
        <v>--</v>
      </c>
      <c r="F488" s="13">
        <f>IFERROR(VLOOKUP(E488,'ESTRUCTURA CODIGO'!$H$2:$J$1048576,2,FALSE)," ")</f>
        <v>0</v>
      </c>
      <c r="G488" s="25">
        <f>IFERROR(VLOOKUP(E488,'ESTRUCTURA CODIGO'!$H$2:$J$1048576,3,FALSE)," ")</f>
        <v>0</v>
      </c>
      <c r="H488" s="25">
        <f>IFERROR(VLOOKUP(E488,'ESTRUCTURA CODIGO'!$H$2:$L$612,4,FALSE)," ")</f>
        <v>0</v>
      </c>
    </row>
    <row r="489" spans="1:8" x14ac:dyDescent="0.3">
      <c r="A489" s="25">
        <v>487</v>
      </c>
      <c r="B489" s="25"/>
      <c r="C489" s="25"/>
      <c r="D489" s="25"/>
      <c r="E489" s="30" t="str">
        <f t="shared" si="9"/>
        <v>--</v>
      </c>
      <c r="F489" s="13">
        <f>IFERROR(VLOOKUP(E489,'ESTRUCTURA CODIGO'!$H$2:$J$1048576,2,FALSE)," ")</f>
        <v>0</v>
      </c>
      <c r="G489" s="25">
        <f>IFERROR(VLOOKUP(E489,'ESTRUCTURA CODIGO'!$H$2:$J$1048576,3,FALSE)," ")</f>
        <v>0</v>
      </c>
      <c r="H489" s="25">
        <f>IFERROR(VLOOKUP(E489,'ESTRUCTURA CODIGO'!$H$2:$L$612,4,FALSE)," ")</f>
        <v>0</v>
      </c>
    </row>
    <row r="490" spans="1:8" x14ac:dyDescent="0.3">
      <c r="A490" s="25">
        <v>488</v>
      </c>
      <c r="B490" s="25"/>
      <c r="C490" s="25"/>
      <c r="D490" s="25"/>
      <c r="E490" s="30" t="str">
        <f t="shared" si="9"/>
        <v>--</v>
      </c>
      <c r="F490" s="13">
        <f>IFERROR(VLOOKUP(E490,'ESTRUCTURA CODIGO'!$H$2:$J$1048576,2,FALSE)," ")</f>
        <v>0</v>
      </c>
      <c r="G490" s="25">
        <f>IFERROR(VLOOKUP(E490,'ESTRUCTURA CODIGO'!$H$2:$J$1048576,3,FALSE)," ")</f>
        <v>0</v>
      </c>
      <c r="H490" s="25">
        <f>IFERROR(VLOOKUP(E490,'ESTRUCTURA CODIGO'!$H$2:$L$612,4,FALSE)," ")</f>
        <v>0</v>
      </c>
    </row>
    <row r="491" spans="1:8" x14ac:dyDescent="0.3">
      <c r="A491" s="25">
        <v>489</v>
      </c>
      <c r="B491" s="25"/>
      <c r="C491" s="25"/>
      <c r="D491" s="25"/>
      <c r="E491" s="30" t="str">
        <f t="shared" si="9"/>
        <v>--</v>
      </c>
      <c r="F491" s="13">
        <f>IFERROR(VLOOKUP(E491,'ESTRUCTURA CODIGO'!$H$2:$J$1048576,2,FALSE)," ")</f>
        <v>0</v>
      </c>
      <c r="G491" s="25">
        <f>IFERROR(VLOOKUP(E491,'ESTRUCTURA CODIGO'!$H$2:$J$1048576,3,FALSE)," ")</f>
        <v>0</v>
      </c>
      <c r="H491" s="25">
        <f>IFERROR(VLOOKUP(E491,'ESTRUCTURA CODIGO'!$H$2:$L$612,4,FALSE)," ")</f>
        <v>0</v>
      </c>
    </row>
    <row r="492" spans="1:8" x14ac:dyDescent="0.3">
      <c r="A492" s="25">
        <v>490</v>
      </c>
      <c r="B492" s="25"/>
      <c r="C492" s="25"/>
      <c r="D492" s="25"/>
      <c r="E492" s="30" t="str">
        <f t="shared" si="9"/>
        <v>--</v>
      </c>
      <c r="F492" s="13">
        <f>IFERROR(VLOOKUP(E492,'ESTRUCTURA CODIGO'!$H$2:$J$1048576,2,FALSE)," ")</f>
        <v>0</v>
      </c>
      <c r="G492" s="25">
        <f>IFERROR(VLOOKUP(E492,'ESTRUCTURA CODIGO'!$H$2:$J$1048576,3,FALSE)," ")</f>
        <v>0</v>
      </c>
      <c r="H492" s="25">
        <f>IFERROR(VLOOKUP(E492,'ESTRUCTURA CODIGO'!$H$2:$L$612,4,FALSE)," ")</f>
        <v>0</v>
      </c>
    </row>
    <row r="493" spans="1:8" x14ac:dyDescent="0.3">
      <c r="A493" s="25">
        <v>491</v>
      </c>
      <c r="B493" s="25"/>
      <c r="C493" s="25"/>
      <c r="D493" s="25"/>
      <c r="E493" s="30" t="str">
        <f t="shared" si="9"/>
        <v>--</v>
      </c>
      <c r="F493" s="13">
        <f>IFERROR(VLOOKUP(E493,'ESTRUCTURA CODIGO'!$H$2:$J$1048576,2,FALSE)," ")</f>
        <v>0</v>
      </c>
      <c r="G493" s="25">
        <f>IFERROR(VLOOKUP(E493,'ESTRUCTURA CODIGO'!$H$2:$J$1048576,3,FALSE)," ")</f>
        <v>0</v>
      </c>
      <c r="H493" s="25">
        <f>IFERROR(VLOOKUP(E493,'ESTRUCTURA CODIGO'!$H$2:$L$612,4,FALSE)," ")</f>
        <v>0</v>
      </c>
    </row>
    <row r="494" spans="1:8" x14ac:dyDescent="0.3">
      <c r="A494" s="25">
        <v>492</v>
      </c>
      <c r="B494" s="25"/>
      <c r="C494" s="25"/>
      <c r="D494" s="25"/>
      <c r="E494" s="30" t="str">
        <f t="shared" si="9"/>
        <v>--</v>
      </c>
      <c r="F494" s="13">
        <f>IFERROR(VLOOKUP(E494,'ESTRUCTURA CODIGO'!$H$2:$J$1048576,2,FALSE)," ")</f>
        <v>0</v>
      </c>
      <c r="G494" s="25">
        <f>IFERROR(VLOOKUP(E494,'ESTRUCTURA CODIGO'!$H$2:$J$1048576,3,FALSE)," ")</f>
        <v>0</v>
      </c>
      <c r="H494" s="25">
        <f>IFERROR(VLOOKUP(E494,'ESTRUCTURA CODIGO'!$H$2:$L$612,4,FALSE)," ")</f>
        <v>0</v>
      </c>
    </row>
    <row r="495" spans="1:8" x14ac:dyDescent="0.3">
      <c r="A495" s="25">
        <v>493</v>
      </c>
      <c r="B495" s="25"/>
      <c r="C495" s="25"/>
      <c r="D495" s="25"/>
      <c r="E495" s="30" t="str">
        <f t="shared" si="9"/>
        <v>--</v>
      </c>
      <c r="F495" s="13">
        <f>IFERROR(VLOOKUP(E495,'ESTRUCTURA CODIGO'!$H$2:$J$1048576,2,FALSE)," ")</f>
        <v>0</v>
      </c>
      <c r="G495" s="25">
        <f>IFERROR(VLOOKUP(E495,'ESTRUCTURA CODIGO'!$H$2:$J$1048576,3,FALSE)," ")</f>
        <v>0</v>
      </c>
      <c r="H495" s="25">
        <f>IFERROR(VLOOKUP(E495,'ESTRUCTURA CODIGO'!$H$2:$L$612,4,FALSE)," ")</f>
        <v>0</v>
      </c>
    </row>
    <row r="496" spans="1:8" x14ac:dyDescent="0.3">
      <c r="A496" s="25">
        <v>494</v>
      </c>
      <c r="B496" s="25"/>
      <c r="C496" s="25"/>
      <c r="D496" s="25"/>
      <c r="E496" s="30" t="str">
        <f t="shared" si="9"/>
        <v>--</v>
      </c>
      <c r="F496" s="13">
        <f>IFERROR(VLOOKUP(E496,'ESTRUCTURA CODIGO'!$H$2:$J$1048576,2,FALSE)," ")</f>
        <v>0</v>
      </c>
      <c r="G496" s="25">
        <f>IFERROR(VLOOKUP(E496,'ESTRUCTURA CODIGO'!$H$2:$J$1048576,3,FALSE)," ")</f>
        <v>0</v>
      </c>
      <c r="H496" s="25">
        <f>IFERROR(VLOOKUP(E496,'ESTRUCTURA CODIGO'!$H$2:$L$612,4,FALSE)," ")</f>
        <v>0</v>
      </c>
    </row>
    <row r="497" spans="1:8" x14ac:dyDescent="0.3">
      <c r="A497" s="25">
        <v>495</v>
      </c>
      <c r="B497" s="25"/>
      <c r="C497" s="25"/>
      <c r="D497" s="25"/>
      <c r="E497" s="30" t="str">
        <f t="shared" si="9"/>
        <v>--</v>
      </c>
      <c r="F497" s="13">
        <f>IFERROR(VLOOKUP(E497,'ESTRUCTURA CODIGO'!$H$2:$J$1048576,2,FALSE)," ")</f>
        <v>0</v>
      </c>
      <c r="G497" s="25">
        <f>IFERROR(VLOOKUP(E497,'ESTRUCTURA CODIGO'!$H$2:$J$1048576,3,FALSE)," ")</f>
        <v>0</v>
      </c>
      <c r="H497" s="25">
        <f>IFERROR(VLOOKUP(E497,'ESTRUCTURA CODIGO'!$H$2:$L$612,4,FALSE)," ")</f>
        <v>0</v>
      </c>
    </row>
    <row r="498" spans="1:8" x14ac:dyDescent="0.3">
      <c r="A498" s="25">
        <v>496</v>
      </c>
      <c r="B498" s="25"/>
      <c r="C498" s="25"/>
      <c r="D498" s="25"/>
      <c r="E498" s="30" t="str">
        <f t="shared" si="9"/>
        <v>--</v>
      </c>
      <c r="F498" s="13">
        <f>IFERROR(VLOOKUP(E498,'ESTRUCTURA CODIGO'!$H$2:$J$1048576,2,FALSE)," ")</f>
        <v>0</v>
      </c>
      <c r="G498" s="25">
        <f>IFERROR(VLOOKUP(E498,'ESTRUCTURA CODIGO'!$H$2:$J$1048576,3,FALSE)," ")</f>
        <v>0</v>
      </c>
      <c r="H498" s="25">
        <f>IFERROR(VLOOKUP(E498,'ESTRUCTURA CODIGO'!$H$2:$L$612,4,FALSE)," ")</f>
        <v>0</v>
      </c>
    </row>
    <row r="499" spans="1:8" x14ac:dyDescent="0.3">
      <c r="A499" s="25">
        <v>497</v>
      </c>
      <c r="B499" s="25"/>
      <c r="C499" s="25"/>
      <c r="D499" s="25"/>
      <c r="E499" s="30" t="str">
        <f t="shared" si="9"/>
        <v>--</v>
      </c>
      <c r="F499" s="13">
        <f>IFERROR(VLOOKUP(E499,'ESTRUCTURA CODIGO'!$H$2:$J$1048576,2,FALSE)," ")</f>
        <v>0</v>
      </c>
      <c r="G499" s="25">
        <f>IFERROR(VLOOKUP(E499,'ESTRUCTURA CODIGO'!$H$2:$J$1048576,3,FALSE)," ")</f>
        <v>0</v>
      </c>
      <c r="H499" s="25">
        <f>IFERROR(VLOOKUP(E499,'ESTRUCTURA CODIGO'!$H$2:$L$612,4,FALSE)," ")</f>
        <v>0</v>
      </c>
    </row>
    <row r="500" spans="1:8" x14ac:dyDescent="0.3">
      <c r="A500" s="25">
        <v>498</v>
      </c>
      <c r="B500" s="25"/>
      <c r="C500" s="25"/>
      <c r="D500" s="25"/>
      <c r="E500" s="30" t="str">
        <f t="shared" ref="E500:E563" si="10">CONCATENATE(B500,"-",C500,"-",D500)</f>
        <v>--</v>
      </c>
      <c r="F500" s="13">
        <f>IFERROR(VLOOKUP(E500,'ESTRUCTURA CODIGO'!$H$2:$J$1048576,2,FALSE)," ")</f>
        <v>0</v>
      </c>
      <c r="G500" s="25">
        <f>IFERROR(VLOOKUP(E500,'ESTRUCTURA CODIGO'!$H$2:$J$1048576,3,FALSE)," ")</f>
        <v>0</v>
      </c>
      <c r="H500" s="25">
        <f>IFERROR(VLOOKUP(E500,'ESTRUCTURA CODIGO'!$H$2:$L$612,4,FALSE)," ")</f>
        <v>0</v>
      </c>
    </row>
    <row r="501" spans="1:8" x14ac:dyDescent="0.3">
      <c r="A501" s="25">
        <v>499</v>
      </c>
      <c r="B501" s="25"/>
      <c r="C501" s="25"/>
      <c r="D501" s="25"/>
      <c r="E501" s="30" t="str">
        <f t="shared" si="10"/>
        <v>--</v>
      </c>
      <c r="F501" s="13">
        <f>IFERROR(VLOOKUP(E501,'ESTRUCTURA CODIGO'!$H$2:$J$1048576,2,FALSE)," ")</f>
        <v>0</v>
      </c>
      <c r="G501" s="25">
        <f>IFERROR(VLOOKUP(E501,'ESTRUCTURA CODIGO'!$H$2:$J$1048576,3,FALSE)," ")</f>
        <v>0</v>
      </c>
      <c r="H501" s="25">
        <f>IFERROR(VLOOKUP(E501,'ESTRUCTURA CODIGO'!$H$2:$L$612,4,FALSE)," ")</f>
        <v>0</v>
      </c>
    </row>
    <row r="502" spans="1:8" x14ac:dyDescent="0.3">
      <c r="A502" s="25">
        <v>500</v>
      </c>
      <c r="B502" s="25"/>
      <c r="C502" s="25"/>
      <c r="D502" s="25"/>
      <c r="E502" s="30" t="str">
        <f t="shared" si="10"/>
        <v>--</v>
      </c>
      <c r="F502" s="13">
        <f>IFERROR(VLOOKUP(E502,'ESTRUCTURA CODIGO'!$H$2:$J$1048576,2,FALSE)," ")</f>
        <v>0</v>
      </c>
      <c r="G502" s="25">
        <f>IFERROR(VLOOKUP(E502,'ESTRUCTURA CODIGO'!$H$2:$J$1048576,3,FALSE)," ")</f>
        <v>0</v>
      </c>
      <c r="H502" s="25">
        <f>IFERROR(VLOOKUP(E502,'ESTRUCTURA CODIGO'!$H$2:$L$612,4,FALSE)," ")</f>
        <v>0</v>
      </c>
    </row>
    <row r="503" spans="1:8" x14ac:dyDescent="0.3">
      <c r="A503" s="25">
        <v>501</v>
      </c>
      <c r="B503" s="25"/>
      <c r="C503" s="25"/>
      <c r="D503" s="25"/>
      <c r="E503" s="30" t="str">
        <f t="shared" si="10"/>
        <v>--</v>
      </c>
      <c r="F503" s="13">
        <f>IFERROR(VLOOKUP(E503,'ESTRUCTURA CODIGO'!$H$2:$J$1048576,2,FALSE)," ")</f>
        <v>0</v>
      </c>
      <c r="G503" s="25">
        <f>IFERROR(VLOOKUP(E503,'ESTRUCTURA CODIGO'!$H$2:$J$1048576,3,FALSE)," ")</f>
        <v>0</v>
      </c>
      <c r="H503" s="25">
        <f>IFERROR(VLOOKUP(E503,'ESTRUCTURA CODIGO'!$H$2:$L$612,4,FALSE)," ")</f>
        <v>0</v>
      </c>
    </row>
    <row r="504" spans="1:8" x14ac:dyDescent="0.3">
      <c r="A504" s="25">
        <v>502</v>
      </c>
      <c r="B504" s="25"/>
      <c r="C504" s="25"/>
      <c r="D504" s="25"/>
      <c r="E504" s="30" t="str">
        <f t="shared" si="10"/>
        <v>--</v>
      </c>
      <c r="F504" s="13">
        <f>IFERROR(VLOOKUP(E504,'ESTRUCTURA CODIGO'!$H$2:$J$1048576,2,FALSE)," ")</f>
        <v>0</v>
      </c>
      <c r="G504" s="25">
        <f>IFERROR(VLOOKUP(E504,'ESTRUCTURA CODIGO'!$H$2:$J$1048576,3,FALSE)," ")</f>
        <v>0</v>
      </c>
      <c r="H504" s="25">
        <f>IFERROR(VLOOKUP(E504,'ESTRUCTURA CODIGO'!$H$2:$L$612,4,FALSE)," ")</f>
        <v>0</v>
      </c>
    </row>
    <row r="505" spans="1:8" x14ac:dyDescent="0.3">
      <c r="A505" s="25">
        <v>503</v>
      </c>
      <c r="B505" s="25"/>
      <c r="C505" s="25"/>
      <c r="D505" s="25"/>
      <c r="E505" s="30" t="str">
        <f t="shared" si="10"/>
        <v>--</v>
      </c>
      <c r="F505" s="13">
        <f>IFERROR(VLOOKUP(E505,'ESTRUCTURA CODIGO'!$H$2:$J$1048576,2,FALSE)," ")</f>
        <v>0</v>
      </c>
      <c r="G505" s="25">
        <f>IFERROR(VLOOKUP(E505,'ESTRUCTURA CODIGO'!$H$2:$J$1048576,3,FALSE)," ")</f>
        <v>0</v>
      </c>
      <c r="H505" s="25">
        <f>IFERROR(VLOOKUP(E505,'ESTRUCTURA CODIGO'!$H$2:$L$612,4,FALSE)," ")</f>
        <v>0</v>
      </c>
    </row>
    <row r="506" spans="1:8" x14ac:dyDescent="0.3">
      <c r="A506" s="25">
        <v>504</v>
      </c>
      <c r="B506" s="25"/>
      <c r="C506" s="25"/>
      <c r="D506" s="25"/>
      <c r="E506" s="30" t="str">
        <f t="shared" si="10"/>
        <v>--</v>
      </c>
      <c r="F506" s="13">
        <f>IFERROR(VLOOKUP(E506,'ESTRUCTURA CODIGO'!$H$2:$J$1048576,2,FALSE)," ")</f>
        <v>0</v>
      </c>
      <c r="G506" s="25">
        <f>IFERROR(VLOOKUP(E506,'ESTRUCTURA CODIGO'!$H$2:$J$1048576,3,FALSE)," ")</f>
        <v>0</v>
      </c>
      <c r="H506" s="25">
        <f>IFERROR(VLOOKUP(E506,'ESTRUCTURA CODIGO'!$H$2:$L$612,4,FALSE)," ")</f>
        <v>0</v>
      </c>
    </row>
    <row r="507" spans="1:8" x14ac:dyDescent="0.3">
      <c r="A507" s="25">
        <v>505</v>
      </c>
      <c r="B507" s="25"/>
      <c r="C507" s="25"/>
      <c r="D507" s="25"/>
      <c r="E507" s="30" t="str">
        <f t="shared" si="10"/>
        <v>--</v>
      </c>
      <c r="F507" s="13">
        <f>IFERROR(VLOOKUP(E507,'ESTRUCTURA CODIGO'!$H$2:$J$1048576,2,FALSE)," ")</f>
        <v>0</v>
      </c>
      <c r="G507" s="25">
        <f>IFERROR(VLOOKUP(E507,'ESTRUCTURA CODIGO'!$H$2:$J$1048576,3,FALSE)," ")</f>
        <v>0</v>
      </c>
      <c r="H507" s="25">
        <f>IFERROR(VLOOKUP(E507,'ESTRUCTURA CODIGO'!$H$2:$L$612,4,FALSE)," ")</f>
        <v>0</v>
      </c>
    </row>
    <row r="508" spans="1:8" x14ac:dyDescent="0.3">
      <c r="A508" s="25">
        <v>506</v>
      </c>
      <c r="B508" s="25"/>
      <c r="C508" s="25"/>
      <c r="D508" s="25"/>
      <c r="E508" s="30" t="str">
        <f t="shared" si="10"/>
        <v>--</v>
      </c>
      <c r="F508" s="13">
        <f>IFERROR(VLOOKUP(E508,'ESTRUCTURA CODIGO'!$H$2:$J$1048576,2,FALSE)," ")</f>
        <v>0</v>
      </c>
      <c r="G508" s="25">
        <f>IFERROR(VLOOKUP(E508,'ESTRUCTURA CODIGO'!$H$2:$J$1048576,3,FALSE)," ")</f>
        <v>0</v>
      </c>
      <c r="H508" s="25">
        <f>IFERROR(VLOOKUP(E508,'ESTRUCTURA CODIGO'!$H$2:$L$612,4,FALSE)," ")</f>
        <v>0</v>
      </c>
    </row>
    <row r="509" spans="1:8" x14ac:dyDescent="0.3">
      <c r="A509" s="25">
        <v>507</v>
      </c>
      <c r="B509" s="25"/>
      <c r="C509" s="25"/>
      <c r="D509" s="25"/>
      <c r="E509" s="30" t="str">
        <f t="shared" si="10"/>
        <v>--</v>
      </c>
      <c r="F509" s="13">
        <f>IFERROR(VLOOKUP(E509,'ESTRUCTURA CODIGO'!$H$2:$J$1048576,2,FALSE)," ")</f>
        <v>0</v>
      </c>
      <c r="G509" s="25">
        <f>IFERROR(VLOOKUP(E509,'ESTRUCTURA CODIGO'!$H$2:$J$1048576,3,FALSE)," ")</f>
        <v>0</v>
      </c>
      <c r="H509" s="25">
        <f>IFERROR(VLOOKUP(E509,'ESTRUCTURA CODIGO'!$H$2:$L$612,4,FALSE)," ")</f>
        <v>0</v>
      </c>
    </row>
    <row r="510" spans="1:8" x14ac:dyDescent="0.3">
      <c r="A510" s="25">
        <v>508</v>
      </c>
      <c r="B510" s="25"/>
      <c r="C510" s="25"/>
      <c r="D510" s="25"/>
      <c r="E510" s="30" t="str">
        <f t="shared" si="10"/>
        <v>--</v>
      </c>
      <c r="F510" s="13">
        <f>IFERROR(VLOOKUP(E510,'ESTRUCTURA CODIGO'!$H$2:$J$1048576,2,FALSE)," ")</f>
        <v>0</v>
      </c>
      <c r="G510" s="25">
        <f>IFERROR(VLOOKUP(E510,'ESTRUCTURA CODIGO'!$H$2:$J$1048576,3,FALSE)," ")</f>
        <v>0</v>
      </c>
      <c r="H510" s="25">
        <f>IFERROR(VLOOKUP(E510,'ESTRUCTURA CODIGO'!$H$2:$L$612,4,FALSE)," ")</f>
        <v>0</v>
      </c>
    </row>
    <row r="511" spans="1:8" x14ac:dyDescent="0.3">
      <c r="A511" s="25">
        <v>509</v>
      </c>
      <c r="B511" s="25"/>
      <c r="C511" s="25"/>
      <c r="D511" s="25"/>
      <c r="E511" s="30" t="str">
        <f t="shared" si="10"/>
        <v>--</v>
      </c>
      <c r="F511" s="13">
        <f>IFERROR(VLOOKUP(E511,'ESTRUCTURA CODIGO'!$H$2:$J$1048576,2,FALSE)," ")</f>
        <v>0</v>
      </c>
      <c r="G511" s="25">
        <f>IFERROR(VLOOKUP(E511,'ESTRUCTURA CODIGO'!$H$2:$J$1048576,3,FALSE)," ")</f>
        <v>0</v>
      </c>
      <c r="H511" s="25">
        <f>IFERROR(VLOOKUP(E511,'ESTRUCTURA CODIGO'!$H$2:$L$612,4,FALSE)," ")</f>
        <v>0</v>
      </c>
    </row>
    <row r="512" spans="1:8" x14ac:dyDescent="0.3">
      <c r="A512" s="25">
        <v>510</v>
      </c>
      <c r="B512" s="25"/>
      <c r="C512" s="25"/>
      <c r="D512" s="25"/>
      <c r="E512" s="30" t="str">
        <f t="shared" si="10"/>
        <v>--</v>
      </c>
      <c r="F512" s="13">
        <f>IFERROR(VLOOKUP(E512,'ESTRUCTURA CODIGO'!$H$2:$J$1048576,2,FALSE)," ")</f>
        <v>0</v>
      </c>
      <c r="G512" s="25">
        <f>IFERROR(VLOOKUP(E512,'ESTRUCTURA CODIGO'!$H$2:$J$1048576,3,FALSE)," ")</f>
        <v>0</v>
      </c>
      <c r="H512" s="25">
        <f>IFERROR(VLOOKUP(E512,'ESTRUCTURA CODIGO'!$H$2:$L$612,4,FALSE)," ")</f>
        <v>0</v>
      </c>
    </row>
    <row r="513" spans="1:8" x14ac:dyDescent="0.3">
      <c r="A513" s="25">
        <v>511</v>
      </c>
      <c r="B513" s="25"/>
      <c r="C513" s="25"/>
      <c r="D513" s="25"/>
      <c r="E513" s="30" t="str">
        <f t="shared" si="10"/>
        <v>--</v>
      </c>
      <c r="F513" s="13">
        <f>IFERROR(VLOOKUP(E513,'ESTRUCTURA CODIGO'!$H$2:$J$1048576,2,FALSE)," ")</f>
        <v>0</v>
      </c>
      <c r="G513" s="25">
        <f>IFERROR(VLOOKUP(E513,'ESTRUCTURA CODIGO'!$H$2:$J$1048576,3,FALSE)," ")</f>
        <v>0</v>
      </c>
      <c r="H513" s="25">
        <f>IFERROR(VLOOKUP(E513,'ESTRUCTURA CODIGO'!$H$2:$L$612,4,FALSE)," ")</f>
        <v>0</v>
      </c>
    </row>
    <row r="514" spans="1:8" x14ac:dyDescent="0.3">
      <c r="A514" s="25">
        <v>512</v>
      </c>
      <c r="B514" s="25"/>
      <c r="C514" s="25"/>
      <c r="D514" s="25"/>
      <c r="E514" s="30" t="str">
        <f t="shared" si="10"/>
        <v>--</v>
      </c>
      <c r="F514" s="13">
        <f>IFERROR(VLOOKUP(E514,'ESTRUCTURA CODIGO'!$H$2:$J$1048576,2,FALSE)," ")</f>
        <v>0</v>
      </c>
      <c r="G514" s="25">
        <f>IFERROR(VLOOKUP(E514,'ESTRUCTURA CODIGO'!$H$2:$J$1048576,3,FALSE)," ")</f>
        <v>0</v>
      </c>
      <c r="H514" s="25">
        <f>IFERROR(VLOOKUP(E514,'ESTRUCTURA CODIGO'!$H$2:$L$612,4,FALSE)," ")</f>
        <v>0</v>
      </c>
    </row>
    <row r="515" spans="1:8" x14ac:dyDescent="0.3">
      <c r="A515" s="25">
        <v>513</v>
      </c>
      <c r="B515" s="25"/>
      <c r="C515" s="25"/>
      <c r="D515" s="25"/>
      <c r="E515" s="30" t="str">
        <f t="shared" si="10"/>
        <v>--</v>
      </c>
      <c r="F515" s="13">
        <f>IFERROR(VLOOKUP(E515,'ESTRUCTURA CODIGO'!$H$2:$J$1048576,2,FALSE)," ")</f>
        <v>0</v>
      </c>
      <c r="G515" s="25">
        <f>IFERROR(VLOOKUP(E515,'ESTRUCTURA CODIGO'!$H$2:$J$1048576,3,FALSE)," ")</f>
        <v>0</v>
      </c>
      <c r="H515" s="25">
        <f>IFERROR(VLOOKUP(E515,'ESTRUCTURA CODIGO'!$H$2:$L$612,4,FALSE)," ")</f>
        <v>0</v>
      </c>
    </row>
    <row r="516" spans="1:8" x14ac:dyDescent="0.3">
      <c r="A516" s="25">
        <v>514</v>
      </c>
      <c r="B516" s="25"/>
      <c r="C516" s="25"/>
      <c r="D516" s="25"/>
      <c r="E516" s="30" t="str">
        <f t="shared" si="10"/>
        <v>--</v>
      </c>
      <c r="F516" s="13">
        <f>IFERROR(VLOOKUP(E516,'ESTRUCTURA CODIGO'!$H$2:$J$1048576,2,FALSE)," ")</f>
        <v>0</v>
      </c>
      <c r="G516" s="25">
        <f>IFERROR(VLOOKUP(E516,'ESTRUCTURA CODIGO'!$H$2:$J$1048576,3,FALSE)," ")</f>
        <v>0</v>
      </c>
      <c r="H516" s="25">
        <f>IFERROR(VLOOKUP(E516,'ESTRUCTURA CODIGO'!$H$2:$L$612,4,FALSE)," ")</f>
        <v>0</v>
      </c>
    </row>
    <row r="517" spans="1:8" x14ac:dyDescent="0.3">
      <c r="A517" s="25">
        <v>515</v>
      </c>
      <c r="B517" s="25"/>
      <c r="C517" s="25"/>
      <c r="D517" s="25"/>
      <c r="E517" s="30" t="str">
        <f t="shared" si="10"/>
        <v>--</v>
      </c>
      <c r="F517" s="13">
        <f>IFERROR(VLOOKUP(E517,'ESTRUCTURA CODIGO'!$H$2:$J$1048576,2,FALSE)," ")</f>
        <v>0</v>
      </c>
      <c r="G517" s="25">
        <f>IFERROR(VLOOKUP(E517,'ESTRUCTURA CODIGO'!$H$2:$J$1048576,3,FALSE)," ")</f>
        <v>0</v>
      </c>
      <c r="H517" s="25">
        <f>IFERROR(VLOOKUP(E517,'ESTRUCTURA CODIGO'!$H$2:$L$612,4,FALSE)," ")</f>
        <v>0</v>
      </c>
    </row>
    <row r="518" spans="1:8" x14ac:dyDescent="0.3">
      <c r="A518" s="25">
        <v>516</v>
      </c>
      <c r="B518" s="25"/>
      <c r="C518" s="25"/>
      <c r="D518" s="25"/>
      <c r="E518" s="30" t="str">
        <f t="shared" si="10"/>
        <v>--</v>
      </c>
      <c r="F518" s="13">
        <f>IFERROR(VLOOKUP(E518,'ESTRUCTURA CODIGO'!$H$2:$J$1048576,2,FALSE)," ")</f>
        <v>0</v>
      </c>
      <c r="G518" s="25">
        <f>IFERROR(VLOOKUP(E518,'ESTRUCTURA CODIGO'!$H$2:$J$1048576,3,FALSE)," ")</f>
        <v>0</v>
      </c>
      <c r="H518" s="25">
        <f>IFERROR(VLOOKUP(E518,'ESTRUCTURA CODIGO'!$H$2:$L$612,4,FALSE)," ")</f>
        <v>0</v>
      </c>
    </row>
    <row r="519" spans="1:8" x14ac:dyDescent="0.3">
      <c r="A519" s="25">
        <v>517</v>
      </c>
      <c r="B519" s="25"/>
      <c r="C519" s="25"/>
      <c r="D519" s="25"/>
      <c r="E519" s="30" t="str">
        <f t="shared" si="10"/>
        <v>--</v>
      </c>
      <c r="F519" s="13">
        <f>IFERROR(VLOOKUP(E519,'ESTRUCTURA CODIGO'!$H$2:$J$1048576,2,FALSE)," ")</f>
        <v>0</v>
      </c>
      <c r="G519" s="25">
        <f>IFERROR(VLOOKUP(E519,'ESTRUCTURA CODIGO'!$H$2:$J$1048576,3,FALSE)," ")</f>
        <v>0</v>
      </c>
      <c r="H519" s="25">
        <f>IFERROR(VLOOKUP(E519,'ESTRUCTURA CODIGO'!$H$2:$L$612,4,FALSE)," ")</f>
        <v>0</v>
      </c>
    </row>
    <row r="520" spans="1:8" x14ac:dyDescent="0.3">
      <c r="A520" s="25">
        <v>518</v>
      </c>
      <c r="B520" s="25"/>
      <c r="C520" s="25"/>
      <c r="D520" s="25"/>
      <c r="E520" s="30" t="str">
        <f t="shared" si="10"/>
        <v>--</v>
      </c>
      <c r="F520" s="13">
        <f>IFERROR(VLOOKUP(E520,'ESTRUCTURA CODIGO'!$H$2:$J$1048576,2,FALSE)," ")</f>
        <v>0</v>
      </c>
      <c r="G520" s="25">
        <f>IFERROR(VLOOKUP(E520,'ESTRUCTURA CODIGO'!$H$2:$J$1048576,3,FALSE)," ")</f>
        <v>0</v>
      </c>
      <c r="H520" s="25">
        <f>IFERROR(VLOOKUP(E520,'ESTRUCTURA CODIGO'!$H$2:$L$612,4,FALSE)," ")</f>
        <v>0</v>
      </c>
    </row>
    <row r="521" spans="1:8" x14ac:dyDescent="0.3">
      <c r="A521" s="25">
        <v>519</v>
      </c>
      <c r="B521" s="25"/>
      <c r="C521" s="25"/>
      <c r="D521" s="25"/>
      <c r="E521" s="30" t="str">
        <f t="shared" si="10"/>
        <v>--</v>
      </c>
      <c r="F521" s="13">
        <f>IFERROR(VLOOKUP(E521,'ESTRUCTURA CODIGO'!$H$2:$J$1048576,2,FALSE)," ")</f>
        <v>0</v>
      </c>
      <c r="G521" s="25">
        <f>IFERROR(VLOOKUP(E521,'ESTRUCTURA CODIGO'!$H$2:$J$1048576,3,FALSE)," ")</f>
        <v>0</v>
      </c>
      <c r="H521" s="25">
        <f>IFERROR(VLOOKUP(E521,'ESTRUCTURA CODIGO'!$H$2:$L$612,4,FALSE)," ")</f>
        <v>0</v>
      </c>
    </row>
    <row r="522" spans="1:8" x14ac:dyDescent="0.3">
      <c r="A522" s="25">
        <v>520</v>
      </c>
      <c r="B522" s="25"/>
      <c r="C522" s="25"/>
      <c r="D522" s="25"/>
      <c r="E522" s="30" t="str">
        <f t="shared" si="10"/>
        <v>--</v>
      </c>
      <c r="F522" s="13">
        <f>IFERROR(VLOOKUP(E522,'ESTRUCTURA CODIGO'!$H$2:$J$1048576,2,FALSE)," ")</f>
        <v>0</v>
      </c>
      <c r="G522" s="25">
        <f>IFERROR(VLOOKUP(E522,'ESTRUCTURA CODIGO'!$H$2:$J$1048576,3,FALSE)," ")</f>
        <v>0</v>
      </c>
      <c r="H522" s="25">
        <f>IFERROR(VLOOKUP(E522,'ESTRUCTURA CODIGO'!$H$2:$L$612,4,FALSE)," ")</f>
        <v>0</v>
      </c>
    </row>
    <row r="523" spans="1:8" x14ac:dyDescent="0.3">
      <c r="A523" s="25">
        <v>521</v>
      </c>
      <c r="B523" s="25"/>
      <c r="C523" s="25"/>
      <c r="D523" s="25"/>
      <c r="E523" s="30" t="str">
        <f t="shared" si="10"/>
        <v>--</v>
      </c>
      <c r="F523" s="13">
        <f>IFERROR(VLOOKUP(E523,'ESTRUCTURA CODIGO'!$H$2:$J$1048576,2,FALSE)," ")</f>
        <v>0</v>
      </c>
      <c r="G523" s="25">
        <f>IFERROR(VLOOKUP(E523,'ESTRUCTURA CODIGO'!$H$2:$J$1048576,3,FALSE)," ")</f>
        <v>0</v>
      </c>
      <c r="H523" s="25">
        <f>IFERROR(VLOOKUP(E523,'ESTRUCTURA CODIGO'!$H$2:$L$612,4,FALSE)," ")</f>
        <v>0</v>
      </c>
    </row>
    <row r="524" spans="1:8" x14ac:dyDescent="0.3">
      <c r="A524" s="25">
        <v>522</v>
      </c>
      <c r="B524" s="25"/>
      <c r="C524" s="25"/>
      <c r="D524" s="25"/>
      <c r="E524" s="30" t="str">
        <f t="shared" si="10"/>
        <v>--</v>
      </c>
      <c r="F524" s="13">
        <f>IFERROR(VLOOKUP(E524,'ESTRUCTURA CODIGO'!$H$2:$J$1048576,2,FALSE)," ")</f>
        <v>0</v>
      </c>
      <c r="G524" s="25">
        <f>IFERROR(VLOOKUP(E524,'ESTRUCTURA CODIGO'!$H$2:$J$1048576,3,FALSE)," ")</f>
        <v>0</v>
      </c>
      <c r="H524" s="25">
        <f>IFERROR(VLOOKUP(E524,'ESTRUCTURA CODIGO'!$H$2:$L$612,4,FALSE)," ")</f>
        <v>0</v>
      </c>
    </row>
    <row r="525" spans="1:8" x14ac:dyDescent="0.3">
      <c r="A525" s="25">
        <v>523</v>
      </c>
      <c r="B525" s="25"/>
      <c r="C525" s="25"/>
      <c r="D525" s="25"/>
      <c r="E525" s="30" t="str">
        <f t="shared" si="10"/>
        <v>--</v>
      </c>
      <c r="F525" s="13">
        <f>IFERROR(VLOOKUP(E525,'ESTRUCTURA CODIGO'!$H$2:$J$1048576,2,FALSE)," ")</f>
        <v>0</v>
      </c>
      <c r="G525" s="25">
        <f>IFERROR(VLOOKUP(E525,'ESTRUCTURA CODIGO'!$H$2:$J$1048576,3,FALSE)," ")</f>
        <v>0</v>
      </c>
      <c r="H525" s="25">
        <f>IFERROR(VLOOKUP(E525,'ESTRUCTURA CODIGO'!$H$2:$L$612,4,FALSE)," ")</f>
        <v>0</v>
      </c>
    </row>
    <row r="526" spans="1:8" x14ac:dyDescent="0.3">
      <c r="A526" s="25">
        <v>524</v>
      </c>
      <c r="B526" s="25"/>
      <c r="C526" s="25"/>
      <c r="D526" s="25"/>
      <c r="E526" s="30" t="str">
        <f t="shared" si="10"/>
        <v>--</v>
      </c>
      <c r="F526" s="13">
        <f>IFERROR(VLOOKUP(E526,'ESTRUCTURA CODIGO'!$H$2:$J$1048576,2,FALSE)," ")</f>
        <v>0</v>
      </c>
      <c r="G526" s="25">
        <f>IFERROR(VLOOKUP(E526,'ESTRUCTURA CODIGO'!$H$2:$J$1048576,3,FALSE)," ")</f>
        <v>0</v>
      </c>
      <c r="H526" s="25">
        <f>IFERROR(VLOOKUP(E526,'ESTRUCTURA CODIGO'!$H$2:$L$612,4,FALSE)," ")</f>
        <v>0</v>
      </c>
    </row>
    <row r="527" spans="1:8" x14ac:dyDescent="0.3">
      <c r="A527" s="25">
        <v>525</v>
      </c>
      <c r="B527" s="25"/>
      <c r="C527" s="25"/>
      <c r="D527" s="25"/>
      <c r="E527" s="30" t="str">
        <f t="shared" si="10"/>
        <v>--</v>
      </c>
      <c r="F527" s="13">
        <f>IFERROR(VLOOKUP(E527,'ESTRUCTURA CODIGO'!$H$2:$J$1048576,2,FALSE)," ")</f>
        <v>0</v>
      </c>
      <c r="G527" s="25">
        <f>IFERROR(VLOOKUP(E527,'ESTRUCTURA CODIGO'!$H$2:$J$1048576,3,FALSE)," ")</f>
        <v>0</v>
      </c>
      <c r="H527" s="25">
        <f>IFERROR(VLOOKUP(E527,'ESTRUCTURA CODIGO'!$H$2:$L$612,4,FALSE)," ")</f>
        <v>0</v>
      </c>
    </row>
    <row r="528" spans="1:8" x14ac:dyDescent="0.3">
      <c r="A528" s="25">
        <v>526</v>
      </c>
      <c r="B528" s="25"/>
      <c r="C528" s="25"/>
      <c r="D528" s="25"/>
      <c r="E528" s="30" t="str">
        <f t="shared" si="10"/>
        <v>--</v>
      </c>
      <c r="F528" s="13">
        <f>IFERROR(VLOOKUP(E528,'ESTRUCTURA CODIGO'!$H$2:$J$1048576,2,FALSE)," ")</f>
        <v>0</v>
      </c>
      <c r="G528" s="25">
        <f>IFERROR(VLOOKUP(E528,'ESTRUCTURA CODIGO'!$H$2:$J$1048576,3,FALSE)," ")</f>
        <v>0</v>
      </c>
      <c r="H528" s="25">
        <f>IFERROR(VLOOKUP(E528,'ESTRUCTURA CODIGO'!$H$2:$L$612,4,FALSE)," ")</f>
        <v>0</v>
      </c>
    </row>
    <row r="529" spans="1:8" x14ac:dyDescent="0.3">
      <c r="A529" s="25">
        <v>527</v>
      </c>
      <c r="B529" s="25"/>
      <c r="C529" s="25"/>
      <c r="D529" s="25"/>
      <c r="E529" s="30" t="str">
        <f t="shared" si="10"/>
        <v>--</v>
      </c>
      <c r="F529" s="13">
        <f>IFERROR(VLOOKUP(E529,'ESTRUCTURA CODIGO'!$H$2:$J$1048576,2,FALSE)," ")</f>
        <v>0</v>
      </c>
      <c r="G529" s="25">
        <f>IFERROR(VLOOKUP(E529,'ESTRUCTURA CODIGO'!$H$2:$J$1048576,3,FALSE)," ")</f>
        <v>0</v>
      </c>
      <c r="H529" s="25">
        <f>IFERROR(VLOOKUP(E529,'ESTRUCTURA CODIGO'!$H$2:$L$612,4,FALSE)," ")</f>
        <v>0</v>
      </c>
    </row>
    <row r="530" spans="1:8" x14ac:dyDescent="0.3">
      <c r="A530" s="25">
        <v>528</v>
      </c>
      <c r="B530" s="25"/>
      <c r="C530" s="25"/>
      <c r="D530" s="25"/>
      <c r="E530" s="30" t="str">
        <f t="shared" si="10"/>
        <v>--</v>
      </c>
      <c r="F530" s="13">
        <f>IFERROR(VLOOKUP(E530,'ESTRUCTURA CODIGO'!$H$2:$J$1048576,2,FALSE)," ")</f>
        <v>0</v>
      </c>
      <c r="G530" s="25">
        <f>IFERROR(VLOOKUP(E530,'ESTRUCTURA CODIGO'!$H$2:$J$1048576,3,FALSE)," ")</f>
        <v>0</v>
      </c>
      <c r="H530" s="25">
        <f>IFERROR(VLOOKUP(E530,'ESTRUCTURA CODIGO'!$H$2:$L$612,4,FALSE)," ")</f>
        <v>0</v>
      </c>
    </row>
    <row r="531" spans="1:8" x14ac:dyDescent="0.3">
      <c r="A531" s="25">
        <v>529</v>
      </c>
      <c r="B531" s="25"/>
      <c r="C531" s="25"/>
      <c r="D531" s="25"/>
      <c r="E531" s="30" t="str">
        <f t="shared" si="10"/>
        <v>--</v>
      </c>
      <c r="F531" s="13">
        <f>IFERROR(VLOOKUP(E531,'ESTRUCTURA CODIGO'!$H$2:$J$1048576,2,FALSE)," ")</f>
        <v>0</v>
      </c>
      <c r="G531" s="25">
        <f>IFERROR(VLOOKUP(E531,'ESTRUCTURA CODIGO'!$H$2:$J$1048576,3,FALSE)," ")</f>
        <v>0</v>
      </c>
      <c r="H531" s="25">
        <f>IFERROR(VLOOKUP(E531,'ESTRUCTURA CODIGO'!$H$2:$L$612,4,FALSE)," ")</f>
        <v>0</v>
      </c>
    </row>
    <row r="532" spans="1:8" x14ac:dyDescent="0.3">
      <c r="A532" s="25">
        <v>530</v>
      </c>
      <c r="B532" s="25"/>
      <c r="C532" s="25"/>
      <c r="D532" s="25"/>
      <c r="E532" s="30" t="str">
        <f t="shared" si="10"/>
        <v>--</v>
      </c>
      <c r="F532" s="13">
        <f>IFERROR(VLOOKUP(E532,'ESTRUCTURA CODIGO'!$H$2:$J$1048576,2,FALSE)," ")</f>
        <v>0</v>
      </c>
      <c r="G532" s="25">
        <f>IFERROR(VLOOKUP(E532,'ESTRUCTURA CODIGO'!$H$2:$J$1048576,3,FALSE)," ")</f>
        <v>0</v>
      </c>
      <c r="H532" s="25">
        <f>IFERROR(VLOOKUP(E532,'ESTRUCTURA CODIGO'!$H$2:$L$612,4,FALSE)," ")</f>
        <v>0</v>
      </c>
    </row>
    <row r="533" spans="1:8" x14ac:dyDescent="0.3">
      <c r="A533" s="25">
        <v>531</v>
      </c>
      <c r="B533" s="25"/>
      <c r="C533" s="25"/>
      <c r="D533" s="25"/>
      <c r="E533" s="30" t="str">
        <f t="shared" si="10"/>
        <v>--</v>
      </c>
      <c r="F533" s="13">
        <f>IFERROR(VLOOKUP(E533,'ESTRUCTURA CODIGO'!$H$2:$J$1048576,2,FALSE)," ")</f>
        <v>0</v>
      </c>
      <c r="G533" s="25">
        <f>IFERROR(VLOOKUP(E533,'ESTRUCTURA CODIGO'!$H$2:$J$1048576,3,FALSE)," ")</f>
        <v>0</v>
      </c>
      <c r="H533" s="25">
        <f>IFERROR(VLOOKUP(E533,'ESTRUCTURA CODIGO'!$H$2:$L$612,4,FALSE)," ")</f>
        <v>0</v>
      </c>
    </row>
    <row r="534" spans="1:8" x14ac:dyDescent="0.3">
      <c r="A534" s="25">
        <v>532</v>
      </c>
      <c r="B534" s="25"/>
      <c r="C534" s="25"/>
      <c r="D534" s="25"/>
      <c r="E534" s="30" t="str">
        <f t="shared" si="10"/>
        <v>--</v>
      </c>
      <c r="F534" s="13">
        <f>IFERROR(VLOOKUP(E534,'ESTRUCTURA CODIGO'!$H$2:$J$1048576,2,FALSE)," ")</f>
        <v>0</v>
      </c>
      <c r="G534" s="25">
        <f>IFERROR(VLOOKUP(E534,'ESTRUCTURA CODIGO'!$H$2:$J$1048576,3,FALSE)," ")</f>
        <v>0</v>
      </c>
      <c r="H534" s="25">
        <f>IFERROR(VLOOKUP(E534,'ESTRUCTURA CODIGO'!$H$2:$L$612,4,FALSE)," ")</f>
        <v>0</v>
      </c>
    </row>
    <row r="535" spans="1:8" x14ac:dyDescent="0.3">
      <c r="A535" s="25">
        <v>533</v>
      </c>
      <c r="B535" s="25"/>
      <c r="C535" s="25"/>
      <c r="D535" s="25"/>
      <c r="E535" s="30" t="str">
        <f t="shared" si="10"/>
        <v>--</v>
      </c>
      <c r="F535" s="13">
        <f>IFERROR(VLOOKUP(E535,'ESTRUCTURA CODIGO'!$H$2:$J$1048576,2,FALSE)," ")</f>
        <v>0</v>
      </c>
      <c r="G535" s="25">
        <f>IFERROR(VLOOKUP(E535,'ESTRUCTURA CODIGO'!$H$2:$J$1048576,3,FALSE)," ")</f>
        <v>0</v>
      </c>
      <c r="H535" s="25">
        <f>IFERROR(VLOOKUP(E535,'ESTRUCTURA CODIGO'!$H$2:$L$612,4,FALSE)," ")</f>
        <v>0</v>
      </c>
    </row>
    <row r="536" spans="1:8" x14ac:dyDescent="0.3">
      <c r="A536" s="25">
        <v>534</v>
      </c>
      <c r="B536" s="25"/>
      <c r="C536" s="25"/>
      <c r="D536" s="25"/>
      <c r="E536" s="30" t="str">
        <f t="shared" si="10"/>
        <v>--</v>
      </c>
      <c r="F536" s="13">
        <f>IFERROR(VLOOKUP(E536,'ESTRUCTURA CODIGO'!$H$2:$J$1048576,2,FALSE)," ")</f>
        <v>0</v>
      </c>
      <c r="G536" s="25">
        <f>IFERROR(VLOOKUP(E536,'ESTRUCTURA CODIGO'!$H$2:$J$1048576,3,FALSE)," ")</f>
        <v>0</v>
      </c>
      <c r="H536" s="25">
        <f>IFERROR(VLOOKUP(E536,'ESTRUCTURA CODIGO'!$H$2:$L$612,4,FALSE)," ")</f>
        <v>0</v>
      </c>
    </row>
    <row r="537" spans="1:8" x14ac:dyDescent="0.3">
      <c r="A537" s="25">
        <v>535</v>
      </c>
      <c r="B537" s="25"/>
      <c r="C537" s="25"/>
      <c r="D537" s="25"/>
      <c r="E537" s="30" t="str">
        <f t="shared" si="10"/>
        <v>--</v>
      </c>
      <c r="F537" s="13">
        <f>IFERROR(VLOOKUP(E537,'ESTRUCTURA CODIGO'!$H$2:$J$1048576,2,FALSE)," ")</f>
        <v>0</v>
      </c>
      <c r="G537" s="25">
        <f>IFERROR(VLOOKUP(E537,'ESTRUCTURA CODIGO'!$H$2:$J$1048576,3,FALSE)," ")</f>
        <v>0</v>
      </c>
      <c r="H537" s="25">
        <f>IFERROR(VLOOKUP(E537,'ESTRUCTURA CODIGO'!$H$2:$L$612,4,FALSE)," ")</f>
        <v>0</v>
      </c>
    </row>
    <row r="538" spans="1:8" x14ac:dyDescent="0.3">
      <c r="A538" s="25">
        <v>536</v>
      </c>
      <c r="B538" s="25"/>
      <c r="C538" s="25"/>
      <c r="D538" s="25"/>
      <c r="E538" s="30" t="str">
        <f t="shared" si="10"/>
        <v>--</v>
      </c>
      <c r="F538" s="13">
        <f>IFERROR(VLOOKUP(E538,'ESTRUCTURA CODIGO'!$H$2:$J$1048576,2,FALSE)," ")</f>
        <v>0</v>
      </c>
      <c r="G538" s="25">
        <f>IFERROR(VLOOKUP(E538,'ESTRUCTURA CODIGO'!$H$2:$J$1048576,3,FALSE)," ")</f>
        <v>0</v>
      </c>
      <c r="H538" s="25">
        <f>IFERROR(VLOOKUP(E538,'ESTRUCTURA CODIGO'!$H$2:$L$612,4,FALSE)," ")</f>
        <v>0</v>
      </c>
    </row>
    <row r="539" spans="1:8" x14ac:dyDescent="0.3">
      <c r="A539" s="25">
        <v>537</v>
      </c>
      <c r="B539" s="25"/>
      <c r="C539" s="25"/>
      <c r="D539" s="25"/>
      <c r="E539" s="30" t="str">
        <f t="shared" si="10"/>
        <v>--</v>
      </c>
      <c r="F539" s="13">
        <f>IFERROR(VLOOKUP(E539,'ESTRUCTURA CODIGO'!$H$2:$J$1048576,2,FALSE)," ")</f>
        <v>0</v>
      </c>
      <c r="G539" s="25">
        <f>IFERROR(VLOOKUP(E539,'ESTRUCTURA CODIGO'!$H$2:$J$1048576,3,FALSE)," ")</f>
        <v>0</v>
      </c>
      <c r="H539" s="25">
        <f>IFERROR(VLOOKUP(E539,'ESTRUCTURA CODIGO'!$H$2:$L$612,4,FALSE)," ")</f>
        <v>0</v>
      </c>
    </row>
    <row r="540" spans="1:8" x14ac:dyDescent="0.3">
      <c r="A540" s="25">
        <v>538</v>
      </c>
      <c r="B540" s="25"/>
      <c r="C540" s="25"/>
      <c r="D540" s="25"/>
      <c r="E540" s="30" t="str">
        <f t="shared" si="10"/>
        <v>--</v>
      </c>
      <c r="F540" s="13">
        <f>IFERROR(VLOOKUP(E540,'ESTRUCTURA CODIGO'!$H$2:$J$1048576,2,FALSE)," ")</f>
        <v>0</v>
      </c>
      <c r="G540" s="25">
        <f>IFERROR(VLOOKUP(E540,'ESTRUCTURA CODIGO'!$H$2:$J$1048576,3,FALSE)," ")</f>
        <v>0</v>
      </c>
      <c r="H540" s="25">
        <f>IFERROR(VLOOKUP(E540,'ESTRUCTURA CODIGO'!$H$2:$L$612,4,FALSE)," ")</f>
        <v>0</v>
      </c>
    </row>
    <row r="541" spans="1:8" x14ac:dyDescent="0.3">
      <c r="A541" s="25">
        <v>539</v>
      </c>
      <c r="B541" s="25"/>
      <c r="C541" s="25"/>
      <c r="D541" s="25"/>
      <c r="E541" s="30" t="str">
        <f t="shared" si="10"/>
        <v>--</v>
      </c>
      <c r="F541" s="13">
        <f>IFERROR(VLOOKUP(E541,'ESTRUCTURA CODIGO'!$H$2:$J$1048576,2,FALSE)," ")</f>
        <v>0</v>
      </c>
      <c r="G541" s="25">
        <f>IFERROR(VLOOKUP(E541,'ESTRUCTURA CODIGO'!$H$2:$J$1048576,3,FALSE)," ")</f>
        <v>0</v>
      </c>
      <c r="H541" s="25">
        <f>IFERROR(VLOOKUP(E541,'ESTRUCTURA CODIGO'!$H$2:$L$612,4,FALSE)," ")</f>
        <v>0</v>
      </c>
    </row>
    <row r="542" spans="1:8" x14ac:dyDescent="0.3">
      <c r="A542" s="25">
        <v>540</v>
      </c>
      <c r="B542" s="25"/>
      <c r="C542" s="25"/>
      <c r="D542" s="25"/>
      <c r="E542" s="30" t="str">
        <f t="shared" si="10"/>
        <v>--</v>
      </c>
      <c r="F542" s="13">
        <f>IFERROR(VLOOKUP(E542,'ESTRUCTURA CODIGO'!$H$2:$J$1048576,2,FALSE)," ")</f>
        <v>0</v>
      </c>
      <c r="G542" s="25">
        <f>IFERROR(VLOOKUP(E542,'ESTRUCTURA CODIGO'!$H$2:$J$1048576,3,FALSE)," ")</f>
        <v>0</v>
      </c>
      <c r="H542" s="25">
        <f>IFERROR(VLOOKUP(E542,'ESTRUCTURA CODIGO'!$H$2:$L$612,4,FALSE)," ")</f>
        <v>0</v>
      </c>
    </row>
    <row r="543" spans="1:8" x14ac:dyDescent="0.3">
      <c r="A543" s="25">
        <v>541</v>
      </c>
      <c r="B543" s="25"/>
      <c r="C543" s="25"/>
      <c r="D543" s="25"/>
      <c r="E543" s="30" t="str">
        <f t="shared" si="10"/>
        <v>--</v>
      </c>
      <c r="F543" s="13">
        <f>IFERROR(VLOOKUP(E543,'ESTRUCTURA CODIGO'!$H$2:$J$1048576,2,FALSE)," ")</f>
        <v>0</v>
      </c>
      <c r="G543" s="25">
        <f>IFERROR(VLOOKUP(E543,'ESTRUCTURA CODIGO'!$H$2:$J$1048576,3,FALSE)," ")</f>
        <v>0</v>
      </c>
      <c r="H543" s="25">
        <f>IFERROR(VLOOKUP(E543,'ESTRUCTURA CODIGO'!$H$2:$L$612,4,FALSE)," ")</f>
        <v>0</v>
      </c>
    </row>
    <row r="544" spans="1:8" x14ac:dyDescent="0.3">
      <c r="A544" s="25">
        <v>542</v>
      </c>
      <c r="B544" s="25"/>
      <c r="C544" s="25"/>
      <c r="D544" s="25"/>
      <c r="E544" s="30" t="str">
        <f t="shared" si="10"/>
        <v>--</v>
      </c>
      <c r="F544" s="13">
        <f>IFERROR(VLOOKUP(E544,'ESTRUCTURA CODIGO'!$H$2:$J$1048576,2,FALSE)," ")</f>
        <v>0</v>
      </c>
      <c r="G544" s="25">
        <f>IFERROR(VLOOKUP(E544,'ESTRUCTURA CODIGO'!$H$2:$J$1048576,3,FALSE)," ")</f>
        <v>0</v>
      </c>
      <c r="H544" s="25">
        <f>IFERROR(VLOOKUP(E544,'ESTRUCTURA CODIGO'!$H$2:$L$612,4,FALSE)," ")</f>
        <v>0</v>
      </c>
    </row>
    <row r="545" spans="1:8" x14ac:dyDescent="0.3">
      <c r="A545" s="25">
        <v>543</v>
      </c>
      <c r="B545" s="25"/>
      <c r="C545" s="25"/>
      <c r="D545" s="25"/>
      <c r="E545" s="30" t="str">
        <f t="shared" si="10"/>
        <v>--</v>
      </c>
      <c r="F545" s="13">
        <f>IFERROR(VLOOKUP(E545,'ESTRUCTURA CODIGO'!$H$2:$J$1048576,2,FALSE)," ")</f>
        <v>0</v>
      </c>
      <c r="G545" s="25">
        <f>IFERROR(VLOOKUP(E545,'ESTRUCTURA CODIGO'!$H$2:$J$1048576,3,FALSE)," ")</f>
        <v>0</v>
      </c>
      <c r="H545" s="25">
        <f>IFERROR(VLOOKUP(E545,'ESTRUCTURA CODIGO'!$H$2:$L$612,4,FALSE)," ")</f>
        <v>0</v>
      </c>
    </row>
    <row r="546" spans="1:8" x14ac:dyDescent="0.3">
      <c r="A546" s="25">
        <v>544</v>
      </c>
      <c r="B546" s="25"/>
      <c r="C546" s="25"/>
      <c r="D546" s="25"/>
      <c r="E546" s="30" t="str">
        <f t="shared" si="10"/>
        <v>--</v>
      </c>
      <c r="F546" s="13">
        <f>IFERROR(VLOOKUP(E546,'ESTRUCTURA CODIGO'!$H$2:$J$1048576,2,FALSE)," ")</f>
        <v>0</v>
      </c>
      <c r="G546" s="25">
        <f>IFERROR(VLOOKUP(E546,'ESTRUCTURA CODIGO'!$H$2:$J$1048576,3,FALSE)," ")</f>
        <v>0</v>
      </c>
      <c r="H546" s="25">
        <f>IFERROR(VLOOKUP(E546,'ESTRUCTURA CODIGO'!$H$2:$L$612,4,FALSE)," ")</f>
        <v>0</v>
      </c>
    </row>
    <row r="547" spans="1:8" x14ac:dyDescent="0.3">
      <c r="A547" s="25">
        <v>545</v>
      </c>
      <c r="B547" s="25"/>
      <c r="C547" s="25"/>
      <c r="D547" s="25"/>
      <c r="E547" s="30" t="str">
        <f t="shared" si="10"/>
        <v>--</v>
      </c>
      <c r="F547" s="13">
        <f>IFERROR(VLOOKUP(E547,'ESTRUCTURA CODIGO'!$H$2:$J$1048576,2,FALSE)," ")</f>
        <v>0</v>
      </c>
      <c r="G547" s="25">
        <f>IFERROR(VLOOKUP(E547,'ESTRUCTURA CODIGO'!$H$2:$J$1048576,3,FALSE)," ")</f>
        <v>0</v>
      </c>
      <c r="H547" s="25">
        <f>IFERROR(VLOOKUP(E547,'ESTRUCTURA CODIGO'!$H$2:$L$612,4,FALSE)," ")</f>
        <v>0</v>
      </c>
    </row>
    <row r="548" spans="1:8" x14ac:dyDescent="0.3">
      <c r="A548" s="25">
        <v>546</v>
      </c>
      <c r="B548" s="25"/>
      <c r="C548" s="25"/>
      <c r="D548" s="25"/>
      <c r="E548" s="30" t="str">
        <f t="shared" si="10"/>
        <v>--</v>
      </c>
      <c r="F548" s="13">
        <f>IFERROR(VLOOKUP(E548,'ESTRUCTURA CODIGO'!$H$2:$J$1048576,2,FALSE)," ")</f>
        <v>0</v>
      </c>
      <c r="G548" s="25">
        <f>IFERROR(VLOOKUP(E548,'ESTRUCTURA CODIGO'!$H$2:$J$1048576,3,FALSE)," ")</f>
        <v>0</v>
      </c>
      <c r="H548" s="25">
        <f>IFERROR(VLOOKUP(E548,'ESTRUCTURA CODIGO'!$H$2:$L$612,4,FALSE)," ")</f>
        <v>0</v>
      </c>
    </row>
    <row r="549" spans="1:8" x14ac:dyDescent="0.3">
      <c r="A549" s="25">
        <v>547</v>
      </c>
      <c r="B549" s="25"/>
      <c r="C549" s="25"/>
      <c r="D549" s="25"/>
      <c r="E549" s="30" t="str">
        <f t="shared" si="10"/>
        <v>--</v>
      </c>
      <c r="F549" s="13">
        <f>IFERROR(VLOOKUP(E549,'ESTRUCTURA CODIGO'!$H$2:$J$1048576,2,FALSE)," ")</f>
        <v>0</v>
      </c>
      <c r="G549" s="25">
        <f>IFERROR(VLOOKUP(E549,'ESTRUCTURA CODIGO'!$H$2:$J$1048576,3,FALSE)," ")</f>
        <v>0</v>
      </c>
      <c r="H549" s="25">
        <f>IFERROR(VLOOKUP(E549,'ESTRUCTURA CODIGO'!$H$2:$L$612,4,FALSE)," ")</f>
        <v>0</v>
      </c>
    </row>
    <row r="550" spans="1:8" x14ac:dyDescent="0.3">
      <c r="A550" s="25">
        <v>548</v>
      </c>
      <c r="B550" s="25"/>
      <c r="C550" s="25"/>
      <c r="D550" s="25"/>
      <c r="E550" s="30" t="str">
        <f t="shared" si="10"/>
        <v>--</v>
      </c>
      <c r="F550" s="13">
        <f>IFERROR(VLOOKUP(E550,'ESTRUCTURA CODIGO'!$H$2:$J$1048576,2,FALSE)," ")</f>
        <v>0</v>
      </c>
      <c r="G550" s="25">
        <f>IFERROR(VLOOKUP(E550,'ESTRUCTURA CODIGO'!$H$2:$J$1048576,3,FALSE)," ")</f>
        <v>0</v>
      </c>
      <c r="H550" s="25">
        <f>IFERROR(VLOOKUP(E550,'ESTRUCTURA CODIGO'!$H$2:$L$612,4,FALSE)," ")</f>
        <v>0</v>
      </c>
    </row>
    <row r="551" spans="1:8" x14ac:dyDescent="0.3">
      <c r="A551" s="25">
        <v>549</v>
      </c>
      <c r="B551" s="25"/>
      <c r="C551" s="25"/>
      <c r="D551" s="25"/>
      <c r="E551" s="30" t="str">
        <f t="shared" si="10"/>
        <v>--</v>
      </c>
      <c r="F551" s="13">
        <f>IFERROR(VLOOKUP(E551,'ESTRUCTURA CODIGO'!$H$2:$J$1048576,2,FALSE)," ")</f>
        <v>0</v>
      </c>
      <c r="G551" s="25">
        <f>IFERROR(VLOOKUP(E551,'ESTRUCTURA CODIGO'!$H$2:$J$1048576,3,FALSE)," ")</f>
        <v>0</v>
      </c>
      <c r="H551" s="25">
        <f>IFERROR(VLOOKUP(E551,'ESTRUCTURA CODIGO'!$H$2:$L$612,4,FALSE)," ")</f>
        <v>0</v>
      </c>
    </row>
    <row r="552" spans="1:8" x14ac:dyDescent="0.3">
      <c r="A552" s="25">
        <v>550</v>
      </c>
      <c r="B552" s="25"/>
      <c r="C552" s="25"/>
      <c r="D552" s="25"/>
      <c r="E552" s="30" t="str">
        <f t="shared" si="10"/>
        <v>--</v>
      </c>
      <c r="F552" s="13">
        <f>IFERROR(VLOOKUP(E552,'ESTRUCTURA CODIGO'!$H$2:$J$1048576,2,FALSE)," ")</f>
        <v>0</v>
      </c>
      <c r="G552" s="25">
        <f>IFERROR(VLOOKUP(E552,'ESTRUCTURA CODIGO'!$H$2:$J$1048576,3,FALSE)," ")</f>
        <v>0</v>
      </c>
      <c r="H552" s="25">
        <f>IFERROR(VLOOKUP(E552,'ESTRUCTURA CODIGO'!$H$2:$L$612,4,FALSE)," ")</f>
        <v>0</v>
      </c>
    </row>
    <row r="553" spans="1:8" x14ac:dyDescent="0.3">
      <c r="A553" s="25">
        <v>551</v>
      </c>
      <c r="B553" s="25"/>
      <c r="C553" s="25"/>
      <c r="D553" s="25"/>
      <c r="E553" s="30" t="str">
        <f t="shared" si="10"/>
        <v>--</v>
      </c>
      <c r="F553" s="13">
        <f>IFERROR(VLOOKUP(E553,'ESTRUCTURA CODIGO'!$H$2:$J$1048576,2,FALSE)," ")</f>
        <v>0</v>
      </c>
      <c r="G553" s="25">
        <f>IFERROR(VLOOKUP(E553,'ESTRUCTURA CODIGO'!$H$2:$J$1048576,3,FALSE)," ")</f>
        <v>0</v>
      </c>
      <c r="H553" s="25">
        <f>IFERROR(VLOOKUP(E553,'ESTRUCTURA CODIGO'!$H$2:$L$612,4,FALSE)," ")</f>
        <v>0</v>
      </c>
    </row>
    <row r="554" spans="1:8" x14ac:dyDescent="0.3">
      <c r="A554" s="25">
        <v>552</v>
      </c>
      <c r="B554" s="25"/>
      <c r="C554" s="25"/>
      <c r="D554" s="25"/>
      <c r="E554" s="30" t="str">
        <f t="shared" si="10"/>
        <v>--</v>
      </c>
      <c r="F554" s="13">
        <f>IFERROR(VLOOKUP(E554,'ESTRUCTURA CODIGO'!$H$2:$J$1048576,2,FALSE)," ")</f>
        <v>0</v>
      </c>
      <c r="G554" s="25">
        <f>IFERROR(VLOOKUP(E554,'ESTRUCTURA CODIGO'!$H$2:$J$1048576,3,FALSE)," ")</f>
        <v>0</v>
      </c>
      <c r="H554" s="25">
        <f>IFERROR(VLOOKUP(E554,'ESTRUCTURA CODIGO'!$H$2:$L$612,4,FALSE)," ")</f>
        <v>0</v>
      </c>
    </row>
    <row r="555" spans="1:8" x14ac:dyDescent="0.3">
      <c r="A555" s="25">
        <v>553</v>
      </c>
      <c r="B555" s="25"/>
      <c r="C555" s="25"/>
      <c r="D555" s="25"/>
      <c r="E555" s="30" t="str">
        <f t="shared" si="10"/>
        <v>--</v>
      </c>
      <c r="F555" s="13">
        <f>IFERROR(VLOOKUP(E555,'ESTRUCTURA CODIGO'!$H$2:$J$1048576,2,FALSE)," ")</f>
        <v>0</v>
      </c>
      <c r="G555" s="25">
        <f>IFERROR(VLOOKUP(E555,'ESTRUCTURA CODIGO'!$H$2:$J$1048576,3,FALSE)," ")</f>
        <v>0</v>
      </c>
      <c r="H555" s="25">
        <f>IFERROR(VLOOKUP(E555,'ESTRUCTURA CODIGO'!$H$2:$L$612,4,FALSE)," ")</f>
        <v>0</v>
      </c>
    </row>
    <row r="556" spans="1:8" x14ac:dyDescent="0.3">
      <c r="A556" s="25">
        <v>554</v>
      </c>
      <c r="B556" s="25"/>
      <c r="C556" s="25"/>
      <c r="D556" s="25"/>
      <c r="E556" s="30" t="str">
        <f t="shared" si="10"/>
        <v>--</v>
      </c>
      <c r="F556" s="13">
        <f>IFERROR(VLOOKUP(E556,'ESTRUCTURA CODIGO'!$H$2:$J$1048576,2,FALSE)," ")</f>
        <v>0</v>
      </c>
      <c r="G556" s="25">
        <f>IFERROR(VLOOKUP(E556,'ESTRUCTURA CODIGO'!$H$2:$J$1048576,3,FALSE)," ")</f>
        <v>0</v>
      </c>
      <c r="H556" s="25">
        <f>IFERROR(VLOOKUP(E556,'ESTRUCTURA CODIGO'!$H$2:$L$612,4,FALSE)," ")</f>
        <v>0</v>
      </c>
    </row>
    <row r="557" spans="1:8" x14ac:dyDescent="0.3">
      <c r="A557" s="25">
        <v>555</v>
      </c>
      <c r="B557" s="25"/>
      <c r="C557" s="25"/>
      <c r="D557" s="25"/>
      <c r="E557" s="30" t="str">
        <f t="shared" si="10"/>
        <v>--</v>
      </c>
      <c r="F557" s="13">
        <f>IFERROR(VLOOKUP(E557,'ESTRUCTURA CODIGO'!$H$2:$J$1048576,2,FALSE)," ")</f>
        <v>0</v>
      </c>
      <c r="G557" s="25">
        <f>IFERROR(VLOOKUP(E557,'ESTRUCTURA CODIGO'!$H$2:$J$1048576,3,FALSE)," ")</f>
        <v>0</v>
      </c>
      <c r="H557" s="25">
        <f>IFERROR(VLOOKUP(E557,'ESTRUCTURA CODIGO'!$H$2:$L$612,4,FALSE)," ")</f>
        <v>0</v>
      </c>
    </row>
    <row r="558" spans="1:8" x14ac:dyDescent="0.3">
      <c r="A558" s="25">
        <v>556</v>
      </c>
      <c r="B558" s="25"/>
      <c r="C558" s="25"/>
      <c r="D558" s="25"/>
      <c r="E558" s="30" t="str">
        <f t="shared" si="10"/>
        <v>--</v>
      </c>
      <c r="F558" s="13">
        <f>IFERROR(VLOOKUP(E558,'ESTRUCTURA CODIGO'!$H$2:$J$1048576,2,FALSE)," ")</f>
        <v>0</v>
      </c>
      <c r="G558" s="25">
        <f>IFERROR(VLOOKUP(E558,'ESTRUCTURA CODIGO'!$H$2:$J$1048576,3,FALSE)," ")</f>
        <v>0</v>
      </c>
      <c r="H558" s="25">
        <f>IFERROR(VLOOKUP(E558,'ESTRUCTURA CODIGO'!$H$2:$L$612,4,FALSE)," ")</f>
        <v>0</v>
      </c>
    </row>
    <row r="559" spans="1:8" x14ac:dyDescent="0.3">
      <c r="A559" s="25">
        <v>557</v>
      </c>
      <c r="B559" s="25"/>
      <c r="C559" s="25"/>
      <c r="D559" s="25"/>
      <c r="E559" s="30" t="str">
        <f t="shared" si="10"/>
        <v>--</v>
      </c>
      <c r="F559" s="13">
        <f>IFERROR(VLOOKUP(E559,'ESTRUCTURA CODIGO'!$H$2:$J$1048576,2,FALSE)," ")</f>
        <v>0</v>
      </c>
      <c r="G559" s="25">
        <f>IFERROR(VLOOKUP(E559,'ESTRUCTURA CODIGO'!$H$2:$J$1048576,3,FALSE)," ")</f>
        <v>0</v>
      </c>
      <c r="H559" s="25">
        <f>IFERROR(VLOOKUP(E559,'ESTRUCTURA CODIGO'!$H$2:$L$612,4,FALSE)," ")</f>
        <v>0</v>
      </c>
    </row>
    <row r="560" spans="1:8" x14ac:dyDescent="0.3">
      <c r="A560" s="25">
        <v>558</v>
      </c>
      <c r="B560" s="25"/>
      <c r="C560" s="25"/>
      <c r="D560" s="25"/>
      <c r="E560" s="30" t="str">
        <f t="shared" si="10"/>
        <v>--</v>
      </c>
      <c r="F560" s="13">
        <f>IFERROR(VLOOKUP(E560,'ESTRUCTURA CODIGO'!$H$2:$J$1048576,2,FALSE)," ")</f>
        <v>0</v>
      </c>
      <c r="G560" s="25">
        <f>IFERROR(VLOOKUP(E560,'ESTRUCTURA CODIGO'!$H$2:$J$1048576,3,FALSE)," ")</f>
        <v>0</v>
      </c>
      <c r="H560" s="25">
        <f>IFERROR(VLOOKUP(E560,'ESTRUCTURA CODIGO'!$H$2:$L$612,4,FALSE)," ")</f>
        <v>0</v>
      </c>
    </row>
    <row r="561" spans="1:8" x14ac:dyDescent="0.3">
      <c r="A561" s="25">
        <v>559</v>
      </c>
      <c r="B561" s="25"/>
      <c r="C561" s="25"/>
      <c r="D561" s="25"/>
      <c r="E561" s="30" t="str">
        <f t="shared" si="10"/>
        <v>--</v>
      </c>
      <c r="F561" s="13">
        <f>IFERROR(VLOOKUP(E561,'ESTRUCTURA CODIGO'!$H$2:$J$1048576,2,FALSE)," ")</f>
        <v>0</v>
      </c>
      <c r="G561" s="25">
        <f>IFERROR(VLOOKUP(E561,'ESTRUCTURA CODIGO'!$H$2:$J$1048576,3,FALSE)," ")</f>
        <v>0</v>
      </c>
      <c r="H561" s="25">
        <f>IFERROR(VLOOKUP(E561,'ESTRUCTURA CODIGO'!$H$2:$L$612,4,FALSE)," ")</f>
        <v>0</v>
      </c>
    </row>
    <row r="562" spans="1:8" x14ac:dyDescent="0.3">
      <c r="A562" s="25">
        <v>560</v>
      </c>
      <c r="B562" s="25"/>
      <c r="C562" s="25"/>
      <c r="D562" s="25"/>
      <c r="E562" s="30" t="str">
        <f t="shared" si="10"/>
        <v>--</v>
      </c>
      <c r="F562" s="13">
        <f>IFERROR(VLOOKUP(E562,'ESTRUCTURA CODIGO'!$H$2:$J$1048576,2,FALSE)," ")</f>
        <v>0</v>
      </c>
      <c r="G562" s="25">
        <f>IFERROR(VLOOKUP(E562,'ESTRUCTURA CODIGO'!$H$2:$J$1048576,3,FALSE)," ")</f>
        <v>0</v>
      </c>
      <c r="H562" s="25">
        <f>IFERROR(VLOOKUP(E562,'ESTRUCTURA CODIGO'!$H$2:$L$612,4,FALSE)," ")</f>
        <v>0</v>
      </c>
    </row>
    <row r="563" spans="1:8" x14ac:dyDescent="0.3">
      <c r="A563" s="25">
        <v>561</v>
      </c>
      <c r="B563" s="25"/>
      <c r="C563" s="25"/>
      <c r="D563" s="25"/>
      <c r="E563" s="30" t="str">
        <f t="shared" si="10"/>
        <v>--</v>
      </c>
      <c r="F563" s="13">
        <f>IFERROR(VLOOKUP(E563,'ESTRUCTURA CODIGO'!$H$2:$J$1048576,2,FALSE)," ")</f>
        <v>0</v>
      </c>
      <c r="G563" s="25">
        <f>IFERROR(VLOOKUP(E563,'ESTRUCTURA CODIGO'!$H$2:$J$1048576,3,FALSE)," ")</f>
        <v>0</v>
      </c>
      <c r="H563" s="25">
        <f>IFERROR(VLOOKUP(E563,'ESTRUCTURA CODIGO'!$H$2:$L$612,4,FALSE)," ")</f>
        <v>0</v>
      </c>
    </row>
    <row r="564" spans="1:8" x14ac:dyDescent="0.3">
      <c r="A564" s="25">
        <v>562</v>
      </c>
      <c r="B564" s="25"/>
      <c r="C564" s="25"/>
      <c r="D564" s="25"/>
      <c r="E564" s="30" t="str">
        <f t="shared" ref="E564:E627" si="11">CONCATENATE(B564,"-",C564,"-",D564)</f>
        <v>--</v>
      </c>
      <c r="F564" s="13">
        <f>IFERROR(VLOOKUP(E564,'ESTRUCTURA CODIGO'!$H$2:$J$1048576,2,FALSE)," ")</f>
        <v>0</v>
      </c>
      <c r="G564" s="25">
        <f>IFERROR(VLOOKUP(E564,'ESTRUCTURA CODIGO'!$H$2:$J$1048576,3,FALSE)," ")</f>
        <v>0</v>
      </c>
      <c r="H564" s="25">
        <f>IFERROR(VLOOKUP(E564,'ESTRUCTURA CODIGO'!$H$2:$L$612,4,FALSE)," ")</f>
        <v>0</v>
      </c>
    </row>
    <row r="565" spans="1:8" x14ac:dyDescent="0.3">
      <c r="A565" s="25">
        <v>563</v>
      </c>
      <c r="B565" s="25"/>
      <c r="C565" s="25"/>
      <c r="D565" s="25"/>
      <c r="E565" s="30" t="str">
        <f t="shared" si="11"/>
        <v>--</v>
      </c>
      <c r="F565" s="13">
        <f>IFERROR(VLOOKUP(E565,'ESTRUCTURA CODIGO'!$H$2:$J$1048576,2,FALSE)," ")</f>
        <v>0</v>
      </c>
      <c r="G565" s="25">
        <f>IFERROR(VLOOKUP(E565,'ESTRUCTURA CODIGO'!$H$2:$J$1048576,3,FALSE)," ")</f>
        <v>0</v>
      </c>
      <c r="H565" s="25">
        <f>IFERROR(VLOOKUP(E565,'ESTRUCTURA CODIGO'!$H$2:$L$612,4,FALSE)," ")</f>
        <v>0</v>
      </c>
    </row>
    <row r="566" spans="1:8" x14ac:dyDescent="0.3">
      <c r="A566" s="25">
        <v>564</v>
      </c>
      <c r="B566" s="25"/>
      <c r="C566" s="25"/>
      <c r="D566" s="25"/>
      <c r="E566" s="30" t="str">
        <f t="shared" si="11"/>
        <v>--</v>
      </c>
      <c r="F566" s="13">
        <f>IFERROR(VLOOKUP(E566,'ESTRUCTURA CODIGO'!$H$2:$J$1048576,2,FALSE)," ")</f>
        <v>0</v>
      </c>
      <c r="G566" s="25">
        <f>IFERROR(VLOOKUP(E566,'ESTRUCTURA CODIGO'!$H$2:$J$1048576,3,FALSE)," ")</f>
        <v>0</v>
      </c>
      <c r="H566" s="25">
        <f>IFERROR(VLOOKUP(E566,'ESTRUCTURA CODIGO'!$H$2:$L$612,4,FALSE)," ")</f>
        <v>0</v>
      </c>
    </row>
    <row r="567" spans="1:8" x14ac:dyDescent="0.3">
      <c r="A567" s="25">
        <v>565</v>
      </c>
      <c r="B567" s="25"/>
      <c r="C567" s="25"/>
      <c r="D567" s="25"/>
      <c r="E567" s="30" t="str">
        <f t="shared" si="11"/>
        <v>--</v>
      </c>
      <c r="F567" s="13">
        <f>IFERROR(VLOOKUP(E567,'ESTRUCTURA CODIGO'!$H$2:$J$1048576,2,FALSE)," ")</f>
        <v>0</v>
      </c>
      <c r="G567" s="25">
        <f>IFERROR(VLOOKUP(E567,'ESTRUCTURA CODIGO'!$H$2:$J$1048576,3,FALSE)," ")</f>
        <v>0</v>
      </c>
      <c r="H567" s="25">
        <f>IFERROR(VLOOKUP(E567,'ESTRUCTURA CODIGO'!$H$2:$L$612,4,FALSE)," ")</f>
        <v>0</v>
      </c>
    </row>
    <row r="568" spans="1:8" x14ac:dyDescent="0.3">
      <c r="A568" s="25">
        <v>566</v>
      </c>
      <c r="B568" s="25"/>
      <c r="C568" s="25"/>
      <c r="D568" s="25"/>
      <c r="E568" s="30" t="str">
        <f t="shared" si="11"/>
        <v>--</v>
      </c>
      <c r="F568" s="13">
        <f>IFERROR(VLOOKUP(E568,'ESTRUCTURA CODIGO'!$H$2:$J$1048576,2,FALSE)," ")</f>
        <v>0</v>
      </c>
      <c r="G568" s="25">
        <f>IFERROR(VLOOKUP(E568,'ESTRUCTURA CODIGO'!$H$2:$J$1048576,3,FALSE)," ")</f>
        <v>0</v>
      </c>
      <c r="H568" s="25">
        <f>IFERROR(VLOOKUP(E568,'ESTRUCTURA CODIGO'!$H$2:$L$612,4,FALSE)," ")</f>
        <v>0</v>
      </c>
    </row>
    <row r="569" spans="1:8" x14ac:dyDescent="0.3">
      <c r="A569" s="25">
        <v>567</v>
      </c>
      <c r="B569" s="25"/>
      <c r="C569" s="25"/>
      <c r="D569" s="25"/>
      <c r="E569" s="30" t="str">
        <f t="shared" si="11"/>
        <v>--</v>
      </c>
      <c r="F569" s="13">
        <f>IFERROR(VLOOKUP(E569,'ESTRUCTURA CODIGO'!$H$2:$J$1048576,2,FALSE)," ")</f>
        <v>0</v>
      </c>
      <c r="G569" s="25">
        <f>IFERROR(VLOOKUP(E569,'ESTRUCTURA CODIGO'!$H$2:$J$1048576,3,FALSE)," ")</f>
        <v>0</v>
      </c>
      <c r="H569" s="25">
        <f>IFERROR(VLOOKUP(E569,'ESTRUCTURA CODIGO'!$H$2:$L$612,4,FALSE)," ")</f>
        <v>0</v>
      </c>
    </row>
    <row r="570" spans="1:8" x14ac:dyDescent="0.3">
      <c r="A570" s="25">
        <v>568</v>
      </c>
      <c r="B570" s="25"/>
      <c r="C570" s="25"/>
      <c r="D570" s="25"/>
      <c r="E570" s="30" t="str">
        <f t="shared" si="11"/>
        <v>--</v>
      </c>
      <c r="F570" s="13">
        <f>IFERROR(VLOOKUP(E570,'ESTRUCTURA CODIGO'!$H$2:$J$1048576,2,FALSE)," ")</f>
        <v>0</v>
      </c>
      <c r="G570" s="25">
        <f>IFERROR(VLOOKUP(E570,'ESTRUCTURA CODIGO'!$H$2:$J$1048576,3,FALSE)," ")</f>
        <v>0</v>
      </c>
      <c r="H570" s="25">
        <f>IFERROR(VLOOKUP(E570,'ESTRUCTURA CODIGO'!$H$2:$L$612,4,FALSE)," ")</f>
        <v>0</v>
      </c>
    </row>
    <row r="571" spans="1:8" x14ac:dyDescent="0.3">
      <c r="A571" s="25">
        <v>569</v>
      </c>
      <c r="B571" s="25"/>
      <c r="C571" s="25"/>
      <c r="D571" s="25"/>
      <c r="E571" s="30" t="str">
        <f t="shared" si="11"/>
        <v>--</v>
      </c>
      <c r="F571" s="13">
        <f>IFERROR(VLOOKUP(E571,'ESTRUCTURA CODIGO'!$H$2:$J$1048576,2,FALSE)," ")</f>
        <v>0</v>
      </c>
      <c r="G571" s="25">
        <f>IFERROR(VLOOKUP(E571,'ESTRUCTURA CODIGO'!$H$2:$J$1048576,3,FALSE)," ")</f>
        <v>0</v>
      </c>
      <c r="H571" s="25">
        <f>IFERROR(VLOOKUP(E571,'ESTRUCTURA CODIGO'!$H$2:$L$612,4,FALSE)," ")</f>
        <v>0</v>
      </c>
    </row>
    <row r="572" spans="1:8" x14ac:dyDescent="0.3">
      <c r="A572" s="25">
        <v>570</v>
      </c>
      <c r="B572" s="25"/>
      <c r="C572" s="25"/>
      <c r="D572" s="25"/>
      <c r="E572" s="30" t="str">
        <f t="shared" si="11"/>
        <v>--</v>
      </c>
      <c r="F572" s="13">
        <f>IFERROR(VLOOKUP(E572,'ESTRUCTURA CODIGO'!$H$2:$J$1048576,2,FALSE)," ")</f>
        <v>0</v>
      </c>
      <c r="G572" s="25">
        <f>IFERROR(VLOOKUP(E572,'ESTRUCTURA CODIGO'!$H$2:$J$1048576,3,FALSE)," ")</f>
        <v>0</v>
      </c>
      <c r="H572" s="25">
        <f>IFERROR(VLOOKUP(E572,'ESTRUCTURA CODIGO'!$H$2:$L$612,4,FALSE)," ")</f>
        <v>0</v>
      </c>
    </row>
    <row r="573" spans="1:8" x14ac:dyDescent="0.3">
      <c r="A573" s="25">
        <v>571</v>
      </c>
      <c r="B573" s="25"/>
      <c r="C573" s="25"/>
      <c r="D573" s="25"/>
      <c r="E573" s="30" t="str">
        <f t="shared" si="11"/>
        <v>--</v>
      </c>
      <c r="F573" s="13">
        <f>IFERROR(VLOOKUP(E573,'ESTRUCTURA CODIGO'!$H$2:$J$1048576,2,FALSE)," ")</f>
        <v>0</v>
      </c>
      <c r="G573" s="25">
        <f>IFERROR(VLOOKUP(E573,'ESTRUCTURA CODIGO'!$H$2:$J$1048576,3,FALSE)," ")</f>
        <v>0</v>
      </c>
      <c r="H573" s="25">
        <f>IFERROR(VLOOKUP(E573,'ESTRUCTURA CODIGO'!$H$2:$L$612,4,FALSE)," ")</f>
        <v>0</v>
      </c>
    </row>
    <row r="574" spans="1:8" x14ac:dyDescent="0.3">
      <c r="A574" s="25">
        <v>572</v>
      </c>
      <c r="B574" s="25"/>
      <c r="C574" s="25"/>
      <c r="D574" s="25"/>
      <c r="E574" s="30" t="str">
        <f t="shared" si="11"/>
        <v>--</v>
      </c>
      <c r="F574" s="13">
        <f>IFERROR(VLOOKUP(E574,'ESTRUCTURA CODIGO'!$H$2:$J$1048576,2,FALSE)," ")</f>
        <v>0</v>
      </c>
      <c r="G574" s="25">
        <f>IFERROR(VLOOKUP(E574,'ESTRUCTURA CODIGO'!$H$2:$J$1048576,3,FALSE)," ")</f>
        <v>0</v>
      </c>
      <c r="H574" s="25">
        <f>IFERROR(VLOOKUP(E574,'ESTRUCTURA CODIGO'!$H$2:$L$612,4,FALSE)," ")</f>
        <v>0</v>
      </c>
    </row>
    <row r="575" spans="1:8" x14ac:dyDescent="0.3">
      <c r="A575" s="25">
        <v>573</v>
      </c>
      <c r="B575" s="25"/>
      <c r="C575" s="25"/>
      <c r="D575" s="25"/>
      <c r="E575" s="30" t="str">
        <f t="shared" si="11"/>
        <v>--</v>
      </c>
      <c r="F575" s="13">
        <f>IFERROR(VLOOKUP(E575,'ESTRUCTURA CODIGO'!$H$2:$J$1048576,2,FALSE)," ")</f>
        <v>0</v>
      </c>
      <c r="G575" s="25">
        <f>IFERROR(VLOOKUP(E575,'ESTRUCTURA CODIGO'!$H$2:$J$1048576,3,FALSE)," ")</f>
        <v>0</v>
      </c>
      <c r="H575" s="25">
        <f>IFERROR(VLOOKUP(E575,'ESTRUCTURA CODIGO'!$H$2:$L$612,4,FALSE)," ")</f>
        <v>0</v>
      </c>
    </row>
    <row r="576" spans="1:8" x14ac:dyDescent="0.3">
      <c r="A576" s="25">
        <v>574</v>
      </c>
      <c r="B576" s="25"/>
      <c r="C576" s="25"/>
      <c r="D576" s="25"/>
      <c r="E576" s="30" t="str">
        <f t="shared" si="11"/>
        <v>--</v>
      </c>
      <c r="F576" s="13">
        <f>IFERROR(VLOOKUP(E576,'ESTRUCTURA CODIGO'!$H$2:$J$1048576,2,FALSE)," ")</f>
        <v>0</v>
      </c>
      <c r="G576" s="25">
        <f>IFERROR(VLOOKUP(E576,'ESTRUCTURA CODIGO'!$H$2:$J$1048576,3,FALSE)," ")</f>
        <v>0</v>
      </c>
      <c r="H576" s="25">
        <f>IFERROR(VLOOKUP(E576,'ESTRUCTURA CODIGO'!$H$2:$L$612,4,FALSE)," ")</f>
        <v>0</v>
      </c>
    </row>
    <row r="577" spans="1:8" x14ac:dyDescent="0.3">
      <c r="A577" s="25">
        <v>575</v>
      </c>
      <c r="B577" s="25"/>
      <c r="C577" s="25"/>
      <c r="D577" s="25"/>
      <c r="E577" s="30" t="str">
        <f t="shared" si="11"/>
        <v>--</v>
      </c>
      <c r="F577" s="13">
        <f>IFERROR(VLOOKUP(E577,'ESTRUCTURA CODIGO'!$H$2:$J$1048576,2,FALSE)," ")</f>
        <v>0</v>
      </c>
      <c r="G577" s="25">
        <f>IFERROR(VLOOKUP(E577,'ESTRUCTURA CODIGO'!$H$2:$J$1048576,3,FALSE)," ")</f>
        <v>0</v>
      </c>
      <c r="H577" s="25">
        <f>IFERROR(VLOOKUP(E577,'ESTRUCTURA CODIGO'!$H$2:$L$612,4,FALSE)," ")</f>
        <v>0</v>
      </c>
    </row>
    <row r="578" spans="1:8" x14ac:dyDescent="0.3">
      <c r="A578" s="25">
        <v>576</v>
      </c>
      <c r="B578" s="25"/>
      <c r="C578" s="25"/>
      <c r="D578" s="25"/>
      <c r="E578" s="30" t="str">
        <f t="shared" si="11"/>
        <v>--</v>
      </c>
      <c r="F578" s="13">
        <f>IFERROR(VLOOKUP(E578,'ESTRUCTURA CODIGO'!$H$2:$J$1048576,2,FALSE)," ")</f>
        <v>0</v>
      </c>
      <c r="G578" s="25">
        <f>IFERROR(VLOOKUP(E578,'ESTRUCTURA CODIGO'!$H$2:$J$1048576,3,FALSE)," ")</f>
        <v>0</v>
      </c>
      <c r="H578" s="25">
        <f>IFERROR(VLOOKUP(E578,'ESTRUCTURA CODIGO'!$H$2:$L$612,4,FALSE)," ")</f>
        <v>0</v>
      </c>
    </row>
    <row r="579" spans="1:8" x14ac:dyDescent="0.3">
      <c r="A579" s="25">
        <v>577</v>
      </c>
      <c r="B579" s="25"/>
      <c r="C579" s="25"/>
      <c r="D579" s="25"/>
      <c r="E579" s="30" t="str">
        <f t="shared" si="11"/>
        <v>--</v>
      </c>
      <c r="F579" s="13">
        <f>IFERROR(VLOOKUP(E579,'ESTRUCTURA CODIGO'!$H$2:$J$1048576,2,FALSE)," ")</f>
        <v>0</v>
      </c>
      <c r="G579" s="25">
        <f>IFERROR(VLOOKUP(E579,'ESTRUCTURA CODIGO'!$H$2:$J$1048576,3,FALSE)," ")</f>
        <v>0</v>
      </c>
      <c r="H579" s="25">
        <f>IFERROR(VLOOKUP(E579,'ESTRUCTURA CODIGO'!$H$2:$L$612,4,FALSE)," ")</f>
        <v>0</v>
      </c>
    </row>
    <row r="580" spans="1:8" x14ac:dyDescent="0.3">
      <c r="A580" s="25">
        <v>578</v>
      </c>
      <c r="B580" s="25"/>
      <c r="C580" s="25"/>
      <c r="D580" s="25"/>
      <c r="E580" s="30" t="str">
        <f t="shared" si="11"/>
        <v>--</v>
      </c>
      <c r="F580" s="13">
        <f>IFERROR(VLOOKUP(E580,'ESTRUCTURA CODIGO'!$H$2:$J$1048576,2,FALSE)," ")</f>
        <v>0</v>
      </c>
      <c r="G580" s="25">
        <f>IFERROR(VLOOKUP(E580,'ESTRUCTURA CODIGO'!$H$2:$J$1048576,3,FALSE)," ")</f>
        <v>0</v>
      </c>
      <c r="H580" s="25">
        <f>IFERROR(VLOOKUP(E580,'ESTRUCTURA CODIGO'!$H$2:$L$612,4,FALSE)," ")</f>
        <v>0</v>
      </c>
    </row>
    <row r="581" spans="1:8" x14ac:dyDescent="0.3">
      <c r="A581" s="25">
        <v>579</v>
      </c>
      <c r="B581" s="25"/>
      <c r="C581" s="25"/>
      <c r="D581" s="25"/>
      <c r="E581" s="30" t="str">
        <f t="shared" si="11"/>
        <v>--</v>
      </c>
      <c r="F581" s="13">
        <f>IFERROR(VLOOKUP(E581,'ESTRUCTURA CODIGO'!$H$2:$J$1048576,2,FALSE)," ")</f>
        <v>0</v>
      </c>
      <c r="G581" s="25">
        <f>IFERROR(VLOOKUP(E581,'ESTRUCTURA CODIGO'!$H$2:$J$1048576,3,FALSE)," ")</f>
        <v>0</v>
      </c>
      <c r="H581" s="25">
        <f>IFERROR(VLOOKUP(E581,'ESTRUCTURA CODIGO'!$H$2:$L$612,4,FALSE)," ")</f>
        <v>0</v>
      </c>
    </row>
    <row r="582" spans="1:8" x14ac:dyDescent="0.3">
      <c r="A582" s="25">
        <v>580</v>
      </c>
      <c r="B582" s="25"/>
      <c r="C582" s="25"/>
      <c r="D582" s="25"/>
      <c r="E582" s="30" t="str">
        <f t="shared" si="11"/>
        <v>--</v>
      </c>
      <c r="F582" s="13">
        <f>IFERROR(VLOOKUP(E582,'ESTRUCTURA CODIGO'!$H$2:$J$1048576,2,FALSE)," ")</f>
        <v>0</v>
      </c>
      <c r="G582" s="25">
        <f>IFERROR(VLOOKUP(E582,'ESTRUCTURA CODIGO'!$H$2:$J$1048576,3,FALSE)," ")</f>
        <v>0</v>
      </c>
      <c r="H582" s="25">
        <f>IFERROR(VLOOKUP(E582,'ESTRUCTURA CODIGO'!$H$2:$L$612,4,FALSE)," ")</f>
        <v>0</v>
      </c>
    </row>
    <row r="583" spans="1:8" x14ac:dyDescent="0.3">
      <c r="A583" s="25">
        <v>581</v>
      </c>
      <c r="B583" s="25"/>
      <c r="C583" s="25"/>
      <c r="D583" s="25"/>
      <c r="E583" s="30" t="str">
        <f t="shared" si="11"/>
        <v>--</v>
      </c>
      <c r="F583" s="13">
        <f>IFERROR(VLOOKUP(E583,'ESTRUCTURA CODIGO'!$H$2:$J$1048576,2,FALSE)," ")</f>
        <v>0</v>
      </c>
      <c r="G583" s="25">
        <f>IFERROR(VLOOKUP(E583,'ESTRUCTURA CODIGO'!$H$2:$J$1048576,3,FALSE)," ")</f>
        <v>0</v>
      </c>
      <c r="H583" s="25">
        <f>IFERROR(VLOOKUP(E583,'ESTRUCTURA CODIGO'!$H$2:$L$612,4,FALSE)," ")</f>
        <v>0</v>
      </c>
    </row>
    <row r="584" spans="1:8" x14ac:dyDescent="0.3">
      <c r="A584" s="25">
        <v>582</v>
      </c>
      <c r="B584" s="25"/>
      <c r="C584" s="25"/>
      <c r="D584" s="25"/>
      <c r="E584" s="30" t="str">
        <f t="shared" si="11"/>
        <v>--</v>
      </c>
      <c r="F584" s="13">
        <f>IFERROR(VLOOKUP(E584,'ESTRUCTURA CODIGO'!$H$2:$J$1048576,2,FALSE)," ")</f>
        <v>0</v>
      </c>
      <c r="G584" s="25">
        <f>IFERROR(VLOOKUP(E584,'ESTRUCTURA CODIGO'!$H$2:$J$1048576,3,FALSE)," ")</f>
        <v>0</v>
      </c>
      <c r="H584" s="25">
        <f>IFERROR(VLOOKUP(E584,'ESTRUCTURA CODIGO'!$H$2:$L$612,4,FALSE)," ")</f>
        <v>0</v>
      </c>
    </row>
    <row r="585" spans="1:8" x14ac:dyDescent="0.3">
      <c r="A585" s="25">
        <v>583</v>
      </c>
      <c r="B585" s="25"/>
      <c r="C585" s="25"/>
      <c r="D585" s="25"/>
      <c r="E585" s="30" t="str">
        <f t="shared" si="11"/>
        <v>--</v>
      </c>
      <c r="F585" s="13">
        <f>IFERROR(VLOOKUP(E585,'ESTRUCTURA CODIGO'!$H$2:$J$1048576,2,FALSE)," ")</f>
        <v>0</v>
      </c>
      <c r="G585" s="25">
        <f>IFERROR(VLOOKUP(E585,'ESTRUCTURA CODIGO'!$H$2:$J$1048576,3,FALSE)," ")</f>
        <v>0</v>
      </c>
      <c r="H585" s="25">
        <f>IFERROR(VLOOKUP(E585,'ESTRUCTURA CODIGO'!$H$2:$L$612,4,FALSE)," ")</f>
        <v>0</v>
      </c>
    </row>
    <row r="586" spans="1:8" x14ac:dyDescent="0.3">
      <c r="A586" s="25">
        <v>584</v>
      </c>
      <c r="B586" s="25"/>
      <c r="C586" s="25"/>
      <c r="D586" s="25"/>
      <c r="E586" s="30" t="str">
        <f t="shared" si="11"/>
        <v>--</v>
      </c>
      <c r="F586" s="13">
        <f>IFERROR(VLOOKUP(E586,'ESTRUCTURA CODIGO'!$H$2:$J$1048576,2,FALSE)," ")</f>
        <v>0</v>
      </c>
      <c r="G586" s="25">
        <f>IFERROR(VLOOKUP(E586,'ESTRUCTURA CODIGO'!$H$2:$J$1048576,3,FALSE)," ")</f>
        <v>0</v>
      </c>
      <c r="H586" s="25">
        <f>IFERROR(VLOOKUP(E586,'ESTRUCTURA CODIGO'!$H$2:$L$612,4,FALSE)," ")</f>
        <v>0</v>
      </c>
    </row>
    <row r="587" spans="1:8" x14ac:dyDescent="0.3">
      <c r="A587" s="25">
        <v>585</v>
      </c>
      <c r="B587" s="25"/>
      <c r="C587" s="25"/>
      <c r="D587" s="25"/>
      <c r="E587" s="30" t="str">
        <f t="shared" si="11"/>
        <v>--</v>
      </c>
      <c r="F587" s="13">
        <f>IFERROR(VLOOKUP(E587,'ESTRUCTURA CODIGO'!$H$2:$J$1048576,2,FALSE)," ")</f>
        <v>0</v>
      </c>
      <c r="G587" s="25">
        <f>IFERROR(VLOOKUP(E587,'ESTRUCTURA CODIGO'!$H$2:$J$1048576,3,FALSE)," ")</f>
        <v>0</v>
      </c>
      <c r="H587" s="25">
        <f>IFERROR(VLOOKUP(E587,'ESTRUCTURA CODIGO'!$H$2:$L$612,4,FALSE)," ")</f>
        <v>0</v>
      </c>
    </row>
    <row r="588" spans="1:8" x14ac:dyDescent="0.3">
      <c r="A588" s="25">
        <v>586</v>
      </c>
      <c r="B588" s="25"/>
      <c r="C588" s="25"/>
      <c r="D588" s="25"/>
      <c r="E588" s="30" t="str">
        <f t="shared" si="11"/>
        <v>--</v>
      </c>
      <c r="F588" s="13">
        <f>IFERROR(VLOOKUP(E588,'ESTRUCTURA CODIGO'!$H$2:$J$1048576,2,FALSE)," ")</f>
        <v>0</v>
      </c>
      <c r="G588" s="25">
        <f>IFERROR(VLOOKUP(E588,'ESTRUCTURA CODIGO'!$H$2:$J$1048576,3,FALSE)," ")</f>
        <v>0</v>
      </c>
      <c r="H588" s="25">
        <f>IFERROR(VLOOKUP(E588,'ESTRUCTURA CODIGO'!$H$2:$L$612,4,FALSE)," ")</f>
        <v>0</v>
      </c>
    </row>
    <row r="589" spans="1:8" x14ac:dyDescent="0.3">
      <c r="A589" s="25">
        <v>587</v>
      </c>
      <c r="B589" s="25"/>
      <c r="C589" s="25"/>
      <c r="D589" s="25"/>
      <c r="E589" s="30" t="str">
        <f t="shared" si="11"/>
        <v>--</v>
      </c>
      <c r="F589" s="13">
        <f>IFERROR(VLOOKUP(E589,'ESTRUCTURA CODIGO'!$H$2:$J$1048576,2,FALSE)," ")</f>
        <v>0</v>
      </c>
      <c r="G589" s="25">
        <f>IFERROR(VLOOKUP(E589,'ESTRUCTURA CODIGO'!$H$2:$J$1048576,3,FALSE)," ")</f>
        <v>0</v>
      </c>
      <c r="H589" s="25">
        <f>IFERROR(VLOOKUP(E589,'ESTRUCTURA CODIGO'!$H$2:$L$612,4,FALSE)," ")</f>
        <v>0</v>
      </c>
    </row>
    <row r="590" spans="1:8" x14ac:dyDescent="0.3">
      <c r="A590" s="25">
        <v>588</v>
      </c>
      <c r="B590" s="25"/>
      <c r="C590" s="25"/>
      <c r="D590" s="25"/>
      <c r="E590" s="30" t="str">
        <f t="shared" si="11"/>
        <v>--</v>
      </c>
      <c r="F590" s="13">
        <f>IFERROR(VLOOKUP(E590,'ESTRUCTURA CODIGO'!$H$2:$J$1048576,2,FALSE)," ")</f>
        <v>0</v>
      </c>
      <c r="G590" s="25">
        <f>IFERROR(VLOOKUP(E590,'ESTRUCTURA CODIGO'!$H$2:$J$1048576,3,FALSE)," ")</f>
        <v>0</v>
      </c>
      <c r="H590" s="25">
        <f>IFERROR(VLOOKUP(E590,'ESTRUCTURA CODIGO'!$H$2:$L$612,4,FALSE)," ")</f>
        <v>0</v>
      </c>
    </row>
    <row r="591" spans="1:8" x14ac:dyDescent="0.3">
      <c r="A591" s="25">
        <v>589</v>
      </c>
      <c r="B591" s="25"/>
      <c r="C591" s="25"/>
      <c r="D591" s="25"/>
      <c r="E591" s="30" t="str">
        <f t="shared" si="11"/>
        <v>--</v>
      </c>
      <c r="F591" s="13">
        <f>IFERROR(VLOOKUP(E591,'ESTRUCTURA CODIGO'!$H$2:$J$1048576,2,FALSE)," ")</f>
        <v>0</v>
      </c>
      <c r="G591" s="25">
        <f>IFERROR(VLOOKUP(E591,'ESTRUCTURA CODIGO'!$H$2:$J$1048576,3,FALSE)," ")</f>
        <v>0</v>
      </c>
      <c r="H591" s="25">
        <f>IFERROR(VLOOKUP(E591,'ESTRUCTURA CODIGO'!$H$2:$L$612,4,FALSE)," ")</f>
        <v>0</v>
      </c>
    </row>
    <row r="592" spans="1:8" x14ac:dyDescent="0.3">
      <c r="A592" s="25">
        <v>590</v>
      </c>
      <c r="B592" s="25"/>
      <c r="C592" s="25"/>
      <c r="D592" s="25"/>
      <c r="E592" s="30" t="str">
        <f t="shared" si="11"/>
        <v>--</v>
      </c>
      <c r="F592" s="13">
        <f>IFERROR(VLOOKUP(E592,'ESTRUCTURA CODIGO'!$H$2:$J$1048576,2,FALSE)," ")</f>
        <v>0</v>
      </c>
      <c r="G592" s="25">
        <f>IFERROR(VLOOKUP(E592,'ESTRUCTURA CODIGO'!$H$2:$J$1048576,3,FALSE)," ")</f>
        <v>0</v>
      </c>
      <c r="H592" s="25">
        <f>IFERROR(VLOOKUP(E592,'ESTRUCTURA CODIGO'!$H$2:$L$612,4,FALSE)," ")</f>
        <v>0</v>
      </c>
    </row>
    <row r="593" spans="1:8" x14ac:dyDescent="0.3">
      <c r="A593" s="25">
        <v>591</v>
      </c>
      <c r="B593" s="25"/>
      <c r="C593" s="25"/>
      <c r="D593" s="25"/>
      <c r="E593" s="30" t="str">
        <f t="shared" si="11"/>
        <v>--</v>
      </c>
      <c r="F593" s="13">
        <f>IFERROR(VLOOKUP(E593,'ESTRUCTURA CODIGO'!$H$2:$J$1048576,2,FALSE)," ")</f>
        <v>0</v>
      </c>
      <c r="G593" s="25">
        <f>IFERROR(VLOOKUP(E593,'ESTRUCTURA CODIGO'!$H$2:$J$1048576,3,FALSE)," ")</f>
        <v>0</v>
      </c>
      <c r="H593" s="25">
        <f>IFERROR(VLOOKUP(E593,'ESTRUCTURA CODIGO'!$H$2:$L$612,4,FALSE)," ")</f>
        <v>0</v>
      </c>
    </row>
    <row r="594" spans="1:8" x14ac:dyDescent="0.3">
      <c r="A594" s="25">
        <v>592</v>
      </c>
      <c r="B594" s="25"/>
      <c r="C594" s="25"/>
      <c r="D594" s="25"/>
      <c r="E594" s="30" t="str">
        <f t="shared" si="11"/>
        <v>--</v>
      </c>
      <c r="F594" s="13">
        <f>IFERROR(VLOOKUP(E594,'ESTRUCTURA CODIGO'!$H$2:$J$1048576,2,FALSE)," ")</f>
        <v>0</v>
      </c>
      <c r="G594" s="25">
        <f>IFERROR(VLOOKUP(E594,'ESTRUCTURA CODIGO'!$H$2:$J$1048576,3,FALSE)," ")</f>
        <v>0</v>
      </c>
      <c r="H594" s="25">
        <f>IFERROR(VLOOKUP(E594,'ESTRUCTURA CODIGO'!$H$2:$L$612,4,FALSE)," ")</f>
        <v>0</v>
      </c>
    </row>
    <row r="595" spans="1:8" x14ac:dyDescent="0.3">
      <c r="A595" s="25">
        <v>593</v>
      </c>
      <c r="B595" s="25"/>
      <c r="C595" s="25"/>
      <c r="D595" s="25"/>
      <c r="E595" s="30" t="str">
        <f t="shared" si="11"/>
        <v>--</v>
      </c>
      <c r="F595" s="13">
        <f>IFERROR(VLOOKUP(E595,'ESTRUCTURA CODIGO'!$H$2:$J$1048576,2,FALSE)," ")</f>
        <v>0</v>
      </c>
      <c r="G595" s="25">
        <f>IFERROR(VLOOKUP(E595,'ESTRUCTURA CODIGO'!$H$2:$J$1048576,3,FALSE)," ")</f>
        <v>0</v>
      </c>
      <c r="H595" s="25">
        <f>IFERROR(VLOOKUP(E595,'ESTRUCTURA CODIGO'!$H$2:$L$612,4,FALSE)," ")</f>
        <v>0</v>
      </c>
    </row>
    <row r="596" spans="1:8" x14ac:dyDescent="0.3">
      <c r="A596" s="25">
        <v>594</v>
      </c>
      <c r="B596" s="25"/>
      <c r="C596" s="25"/>
      <c r="D596" s="25"/>
      <c r="E596" s="30" t="str">
        <f t="shared" si="11"/>
        <v>--</v>
      </c>
      <c r="F596" s="13">
        <f>IFERROR(VLOOKUP(E596,'ESTRUCTURA CODIGO'!$H$2:$J$1048576,2,FALSE)," ")</f>
        <v>0</v>
      </c>
      <c r="G596" s="25">
        <f>IFERROR(VLOOKUP(E596,'ESTRUCTURA CODIGO'!$H$2:$J$1048576,3,FALSE)," ")</f>
        <v>0</v>
      </c>
      <c r="H596" s="25">
        <f>IFERROR(VLOOKUP(E596,'ESTRUCTURA CODIGO'!$H$2:$L$612,4,FALSE)," ")</f>
        <v>0</v>
      </c>
    </row>
    <row r="597" spans="1:8" x14ac:dyDescent="0.3">
      <c r="A597" s="25">
        <v>595</v>
      </c>
      <c r="B597" s="25"/>
      <c r="C597" s="25"/>
      <c r="D597" s="25"/>
      <c r="E597" s="30" t="str">
        <f t="shared" si="11"/>
        <v>--</v>
      </c>
      <c r="F597" s="13">
        <f>IFERROR(VLOOKUP(E597,'ESTRUCTURA CODIGO'!$H$2:$J$1048576,2,FALSE)," ")</f>
        <v>0</v>
      </c>
      <c r="G597" s="25">
        <f>IFERROR(VLOOKUP(E597,'ESTRUCTURA CODIGO'!$H$2:$J$1048576,3,FALSE)," ")</f>
        <v>0</v>
      </c>
      <c r="H597" s="25">
        <f>IFERROR(VLOOKUP(E597,'ESTRUCTURA CODIGO'!$H$2:$L$612,4,FALSE)," ")</f>
        <v>0</v>
      </c>
    </row>
    <row r="598" spans="1:8" x14ac:dyDescent="0.3">
      <c r="A598" s="25">
        <v>596</v>
      </c>
      <c r="B598" s="25"/>
      <c r="C598" s="25"/>
      <c r="D598" s="25"/>
      <c r="E598" s="30" t="str">
        <f t="shared" si="11"/>
        <v>--</v>
      </c>
      <c r="F598" s="13">
        <f>IFERROR(VLOOKUP(E598,'ESTRUCTURA CODIGO'!$H$2:$J$1048576,2,FALSE)," ")</f>
        <v>0</v>
      </c>
      <c r="G598" s="25">
        <f>IFERROR(VLOOKUP(E598,'ESTRUCTURA CODIGO'!$H$2:$J$1048576,3,FALSE)," ")</f>
        <v>0</v>
      </c>
      <c r="H598" s="25">
        <f>IFERROR(VLOOKUP(E598,'ESTRUCTURA CODIGO'!$H$2:$L$612,4,FALSE)," ")</f>
        <v>0</v>
      </c>
    </row>
    <row r="599" spans="1:8" x14ac:dyDescent="0.3">
      <c r="A599" s="25">
        <v>597</v>
      </c>
      <c r="B599" s="25"/>
      <c r="C599" s="25"/>
      <c r="D599" s="25"/>
      <c r="E599" s="30" t="str">
        <f t="shared" si="11"/>
        <v>--</v>
      </c>
      <c r="F599" s="13">
        <f>IFERROR(VLOOKUP(E599,'ESTRUCTURA CODIGO'!$H$2:$J$1048576,2,FALSE)," ")</f>
        <v>0</v>
      </c>
      <c r="G599" s="25">
        <f>IFERROR(VLOOKUP(E599,'ESTRUCTURA CODIGO'!$H$2:$J$1048576,3,FALSE)," ")</f>
        <v>0</v>
      </c>
      <c r="H599" s="25">
        <f>IFERROR(VLOOKUP(E599,'ESTRUCTURA CODIGO'!$H$2:$L$612,4,FALSE)," ")</f>
        <v>0</v>
      </c>
    </row>
    <row r="600" spans="1:8" x14ac:dyDescent="0.3">
      <c r="A600" s="25">
        <v>598</v>
      </c>
      <c r="B600" s="25"/>
      <c r="C600" s="25"/>
      <c r="D600" s="25"/>
      <c r="E600" s="30" t="str">
        <f t="shared" si="11"/>
        <v>--</v>
      </c>
      <c r="F600" s="13">
        <f>IFERROR(VLOOKUP(E600,'ESTRUCTURA CODIGO'!$H$2:$J$1048576,2,FALSE)," ")</f>
        <v>0</v>
      </c>
      <c r="G600" s="25">
        <f>IFERROR(VLOOKUP(E600,'ESTRUCTURA CODIGO'!$H$2:$J$1048576,3,FALSE)," ")</f>
        <v>0</v>
      </c>
      <c r="H600" s="25">
        <f>IFERROR(VLOOKUP(E600,'ESTRUCTURA CODIGO'!$H$2:$L$612,4,FALSE)," ")</f>
        <v>0</v>
      </c>
    </row>
    <row r="601" spans="1:8" x14ac:dyDescent="0.3">
      <c r="A601" s="25">
        <v>599</v>
      </c>
      <c r="B601" s="25"/>
      <c r="C601" s="25"/>
      <c r="D601" s="25"/>
      <c r="E601" s="30" t="str">
        <f t="shared" si="11"/>
        <v>--</v>
      </c>
      <c r="F601" s="13">
        <f>IFERROR(VLOOKUP(E601,'ESTRUCTURA CODIGO'!$H$2:$J$1048576,2,FALSE)," ")</f>
        <v>0</v>
      </c>
      <c r="G601" s="25">
        <f>IFERROR(VLOOKUP(E601,'ESTRUCTURA CODIGO'!$H$2:$J$1048576,3,FALSE)," ")</f>
        <v>0</v>
      </c>
      <c r="H601" s="25">
        <f>IFERROR(VLOOKUP(E601,'ESTRUCTURA CODIGO'!$H$2:$L$612,4,FALSE)," ")</f>
        <v>0</v>
      </c>
    </row>
    <row r="602" spans="1:8" x14ac:dyDescent="0.3">
      <c r="A602" s="25">
        <v>600</v>
      </c>
      <c r="B602" s="25"/>
      <c r="C602" s="25"/>
      <c r="D602" s="25"/>
      <c r="E602" s="30" t="str">
        <f t="shared" si="11"/>
        <v>--</v>
      </c>
      <c r="F602" s="13">
        <f>IFERROR(VLOOKUP(E602,'ESTRUCTURA CODIGO'!$H$2:$J$1048576,2,FALSE)," ")</f>
        <v>0</v>
      </c>
      <c r="G602" s="25">
        <f>IFERROR(VLOOKUP(E602,'ESTRUCTURA CODIGO'!$H$2:$J$1048576,3,FALSE)," ")</f>
        <v>0</v>
      </c>
      <c r="H602" s="25">
        <f>IFERROR(VLOOKUP(E602,'ESTRUCTURA CODIGO'!$H$2:$L$612,4,FALSE)," ")</f>
        <v>0</v>
      </c>
    </row>
    <row r="603" spans="1:8" x14ac:dyDescent="0.3">
      <c r="A603" s="25">
        <v>601</v>
      </c>
      <c r="B603" s="25"/>
      <c r="C603" s="25"/>
      <c r="D603" s="25"/>
      <c r="E603" s="30" t="str">
        <f t="shared" si="11"/>
        <v>--</v>
      </c>
      <c r="F603" s="13">
        <f>IFERROR(VLOOKUP(E603,'ESTRUCTURA CODIGO'!$H$2:$J$1048576,2,FALSE)," ")</f>
        <v>0</v>
      </c>
      <c r="G603" s="25">
        <f>IFERROR(VLOOKUP(E603,'ESTRUCTURA CODIGO'!$H$2:$J$1048576,3,FALSE)," ")</f>
        <v>0</v>
      </c>
      <c r="H603" s="25">
        <f>IFERROR(VLOOKUP(E603,'ESTRUCTURA CODIGO'!$H$2:$L$612,4,FALSE)," ")</f>
        <v>0</v>
      </c>
    </row>
    <row r="604" spans="1:8" x14ac:dyDescent="0.3">
      <c r="A604" s="25">
        <v>602</v>
      </c>
      <c r="B604" s="25"/>
      <c r="C604" s="25"/>
      <c r="D604" s="25"/>
      <c r="E604" s="30" t="str">
        <f t="shared" si="11"/>
        <v>--</v>
      </c>
      <c r="F604" s="13">
        <f>IFERROR(VLOOKUP(E604,'ESTRUCTURA CODIGO'!$H$2:$J$1048576,2,FALSE)," ")</f>
        <v>0</v>
      </c>
      <c r="G604" s="25">
        <f>IFERROR(VLOOKUP(E604,'ESTRUCTURA CODIGO'!$H$2:$J$1048576,3,FALSE)," ")</f>
        <v>0</v>
      </c>
      <c r="H604" s="25">
        <f>IFERROR(VLOOKUP(E604,'ESTRUCTURA CODIGO'!$H$2:$L$612,4,FALSE)," ")</f>
        <v>0</v>
      </c>
    </row>
    <row r="605" spans="1:8" x14ac:dyDescent="0.3">
      <c r="A605" s="25">
        <v>603</v>
      </c>
      <c r="B605" s="25"/>
      <c r="C605" s="25"/>
      <c r="D605" s="25"/>
      <c r="E605" s="30" t="str">
        <f t="shared" si="11"/>
        <v>--</v>
      </c>
      <c r="F605" s="13">
        <f>IFERROR(VLOOKUP(E605,'ESTRUCTURA CODIGO'!$H$2:$J$1048576,2,FALSE)," ")</f>
        <v>0</v>
      </c>
      <c r="G605" s="25">
        <f>IFERROR(VLOOKUP(E605,'ESTRUCTURA CODIGO'!$H$2:$J$1048576,3,FALSE)," ")</f>
        <v>0</v>
      </c>
      <c r="H605" s="25">
        <f>IFERROR(VLOOKUP(E605,'ESTRUCTURA CODIGO'!$H$2:$L$612,4,FALSE)," ")</f>
        <v>0</v>
      </c>
    </row>
    <row r="606" spans="1:8" x14ac:dyDescent="0.3">
      <c r="A606" s="25">
        <v>604</v>
      </c>
      <c r="B606" s="25"/>
      <c r="C606" s="25"/>
      <c r="D606" s="25"/>
      <c r="E606" s="30" t="str">
        <f t="shared" si="11"/>
        <v>--</v>
      </c>
      <c r="F606" s="13">
        <f>IFERROR(VLOOKUP(E606,'ESTRUCTURA CODIGO'!$H$2:$J$1048576,2,FALSE)," ")</f>
        <v>0</v>
      </c>
      <c r="G606" s="25">
        <f>IFERROR(VLOOKUP(E606,'ESTRUCTURA CODIGO'!$H$2:$J$1048576,3,FALSE)," ")</f>
        <v>0</v>
      </c>
      <c r="H606" s="25">
        <f>IFERROR(VLOOKUP(E606,'ESTRUCTURA CODIGO'!$H$2:$L$612,4,FALSE)," ")</f>
        <v>0</v>
      </c>
    </row>
    <row r="607" spans="1:8" x14ac:dyDescent="0.3">
      <c r="A607" s="25">
        <v>605</v>
      </c>
      <c r="B607" s="25"/>
      <c r="C607" s="25"/>
      <c r="D607" s="25"/>
      <c r="E607" s="30" t="str">
        <f t="shared" si="11"/>
        <v>--</v>
      </c>
      <c r="F607" s="13">
        <f>IFERROR(VLOOKUP(E607,'ESTRUCTURA CODIGO'!$H$2:$J$1048576,2,FALSE)," ")</f>
        <v>0</v>
      </c>
      <c r="G607" s="25">
        <f>IFERROR(VLOOKUP(E607,'ESTRUCTURA CODIGO'!$H$2:$J$1048576,3,FALSE)," ")</f>
        <v>0</v>
      </c>
      <c r="H607" s="25">
        <f>IFERROR(VLOOKUP(E607,'ESTRUCTURA CODIGO'!$H$2:$L$612,4,FALSE)," ")</f>
        <v>0</v>
      </c>
    </row>
    <row r="608" spans="1:8" x14ac:dyDescent="0.3">
      <c r="A608" s="25">
        <v>606</v>
      </c>
      <c r="B608" s="25"/>
      <c r="C608" s="25"/>
      <c r="D608" s="25"/>
      <c r="E608" s="30" t="str">
        <f t="shared" si="11"/>
        <v>--</v>
      </c>
      <c r="F608" s="13">
        <f>IFERROR(VLOOKUP(E608,'ESTRUCTURA CODIGO'!$H$2:$J$1048576,2,FALSE)," ")</f>
        <v>0</v>
      </c>
      <c r="G608" s="25">
        <f>IFERROR(VLOOKUP(E608,'ESTRUCTURA CODIGO'!$H$2:$J$1048576,3,FALSE)," ")</f>
        <v>0</v>
      </c>
      <c r="H608" s="25">
        <f>IFERROR(VLOOKUP(E608,'ESTRUCTURA CODIGO'!$H$2:$L$612,4,FALSE)," ")</f>
        <v>0</v>
      </c>
    </row>
    <row r="609" spans="1:8" x14ac:dyDescent="0.3">
      <c r="A609" s="25">
        <v>607</v>
      </c>
      <c r="B609" s="25"/>
      <c r="C609" s="25"/>
      <c r="D609" s="25"/>
      <c r="E609" s="30" t="str">
        <f t="shared" si="11"/>
        <v>--</v>
      </c>
      <c r="F609" s="13">
        <f>IFERROR(VLOOKUP(E609,'ESTRUCTURA CODIGO'!$H$2:$J$1048576,2,FALSE)," ")</f>
        <v>0</v>
      </c>
      <c r="G609" s="25">
        <f>IFERROR(VLOOKUP(E609,'ESTRUCTURA CODIGO'!$H$2:$J$1048576,3,FALSE)," ")</f>
        <v>0</v>
      </c>
      <c r="H609" s="25">
        <f>IFERROR(VLOOKUP(E609,'ESTRUCTURA CODIGO'!$H$2:$L$612,4,FALSE)," ")</f>
        <v>0</v>
      </c>
    </row>
    <row r="610" spans="1:8" x14ac:dyDescent="0.3">
      <c r="A610" s="25">
        <v>608</v>
      </c>
      <c r="B610" s="25"/>
      <c r="C610" s="25"/>
      <c r="D610" s="25"/>
      <c r="E610" s="30" t="str">
        <f t="shared" si="11"/>
        <v>--</v>
      </c>
      <c r="F610" s="13">
        <f>IFERROR(VLOOKUP(E610,'ESTRUCTURA CODIGO'!$H$2:$J$1048576,2,FALSE)," ")</f>
        <v>0</v>
      </c>
      <c r="G610" s="25">
        <f>IFERROR(VLOOKUP(E610,'ESTRUCTURA CODIGO'!$H$2:$J$1048576,3,FALSE)," ")</f>
        <v>0</v>
      </c>
      <c r="H610" s="25">
        <f>IFERROR(VLOOKUP(E610,'ESTRUCTURA CODIGO'!$H$2:$L$612,4,FALSE)," ")</f>
        <v>0</v>
      </c>
    </row>
    <row r="611" spans="1:8" x14ac:dyDescent="0.3">
      <c r="A611" s="25">
        <v>609</v>
      </c>
      <c r="B611" s="25"/>
      <c r="C611" s="25"/>
      <c r="D611" s="25"/>
      <c r="E611" s="30" t="str">
        <f t="shared" si="11"/>
        <v>--</v>
      </c>
      <c r="F611" s="13">
        <f>IFERROR(VLOOKUP(E611,'ESTRUCTURA CODIGO'!$H$2:$J$1048576,2,FALSE)," ")</f>
        <v>0</v>
      </c>
      <c r="G611" s="25">
        <f>IFERROR(VLOOKUP(E611,'ESTRUCTURA CODIGO'!$H$2:$J$1048576,3,FALSE)," ")</f>
        <v>0</v>
      </c>
      <c r="H611" s="25">
        <f>IFERROR(VLOOKUP(E611,'ESTRUCTURA CODIGO'!$H$2:$L$612,4,FALSE)," ")</f>
        <v>0</v>
      </c>
    </row>
    <row r="612" spans="1:8" x14ac:dyDescent="0.3">
      <c r="A612" s="25">
        <v>610</v>
      </c>
      <c r="B612" s="25"/>
      <c r="C612" s="25"/>
      <c r="D612" s="25"/>
      <c r="E612" s="30" t="str">
        <f t="shared" si="11"/>
        <v>--</v>
      </c>
      <c r="F612" s="13">
        <f>IFERROR(VLOOKUP(E612,'ESTRUCTURA CODIGO'!$H$2:$J$1048576,2,FALSE)," ")</f>
        <v>0</v>
      </c>
      <c r="G612" s="25">
        <f>IFERROR(VLOOKUP(E612,'ESTRUCTURA CODIGO'!$H$2:$J$1048576,3,FALSE)," ")</f>
        <v>0</v>
      </c>
      <c r="H612" s="25">
        <f>IFERROR(VLOOKUP(E612,'ESTRUCTURA CODIGO'!$H$2:$L$612,4,FALSE)," ")</f>
        <v>0</v>
      </c>
    </row>
    <row r="613" spans="1:8" x14ac:dyDescent="0.3">
      <c r="A613" s="25">
        <v>611</v>
      </c>
      <c r="B613" s="25"/>
      <c r="C613" s="25"/>
      <c r="D613" s="25"/>
      <c r="E613" s="30" t="str">
        <f t="shared" si="11"/>
        <v>--</v>
      </c>
      <c r="F613" s="13">
        <f>IFERROR(VLOOKUP(E613,'ESTRUCTURA CODIGO'!$H$2:$J$1048576,2,FALSE)," ")</f>
        <v>0</v>
      </c>
      <c r="G613" s="25">
        <f>IFERROR(VLOOKUP(E613,'ESTRUCTURA CODIGO'!$H$2:$J$1048576,3,FALSE)," ")</f>
        <v>0</v>
      </c>
      <c r="H613" s="25">
        <f>IFERROR(VLOOKUP(E613,'ESTRUCTURA CODIGO'!$H$2:$L$612,4,FALSE)," ")</f>
        <v>0</v>
      </c>
    </row>
    <row r="614" spans="1:8" x14ac:dyDescent="0.3">
      <c r="A614" s="25">
        <v>612</v>
      </c>
      <c r="B614" s="25"/>
      <c r="C614" s="25"/>
      <c r="D614" s="25"/>
      <c r="E614" s="30" t="str">
        <f t="shared" si="11"/>
        <v>--</v>
      </c>
      <c r="F614" s="13">
        <f>IFERROR(VLOOKUP(E614,'ESTRUCTURA CODIGO'!$H$2:$J$1048576,2,FALSE)," ")</f>
        <v>0</v>
      </c>
      <c r="G614" s="25">
        <f>IFERROR(VLOOKUP(E614,'ESTRUCTURA CODIGO'!$H$2:$J$1048576,3,FALSE)," ")</f>
        <v>0</v>
      </c>
      <c r="H614" s="25">
        <f>IFERROR(VLOOKUP(E614,'ESTRUCTURA CODIGO'!$H$2:$L$612,4,FALSE)," ")</f>
        <v>0</v>
      </c>
    </row>
    <row r="615" spans="1:8" x14ac:dyDescent="0.3">
      <c r="A615" s="25">
        <v>613</v>
      </c>
      <c r="B615" s="25"/>
      <c r="C615" s="25"/>
      <c r="D615" s="25"/>
      <c r="E615" s="30" t="str">
        <f t="shared" si="11"/>
        <v>--</v>
      </c>
      <c r="F615" s="13">
        <f>IFERROR(VLOOKUP(E615,'ESTRUCTURA CODIGO'!$H$2:$J$1048576,2,FALSE)," ")</f>
        <v>0</v>
      </c>
      <c r="G615" s="25">
        <f>IFERROR(VLOOKUP(E615,'ESTRUCTURA CODIGO'!$H$2:$J$1048576,3,FALSE)," ")</f>
        <v>0</v>
      </c>
      <c r="H615" s="25">
        <f>IFERROR(VLOOKUP(E615,'ESTRUCTURA CODIGO'!$H$2:$L$612,4,FALSE)," ")</f>
        <v>0</v>
      </c>
    </row>
    <row r="616" spans="1:8" x14ac:dyDescent="0.3">
      <c r="A616" s="25">
        <v>614</v>
      </c>
      <c r="B616" s="25"/>
      <c r="C616" s="25"/>
      <c r="D616" s="25"/>
      <c r="E616" s="30" t="str">
        <f t="shared" si="11"/>
        <v>--</v>
      </c>
      <c r="F616" s="13">
        <f>IFERROR(VLOOKUP(E616,'ESTRUCTURA CODIGO'!$H$2:$J$1048576,2,FALSE)," ")</f>
        <v>0</v>
      </c>
      <c r="G616" s="25">
        <f>IFERROR(VLOOKUP(E616,'ESTRUCTURA CODIGO'!$H$2:$J$1048576,3,FALSE)," ")</f>
        <v>0</v>
      </c>
      <c r="H616" s="25">
        <f>IFERROR(VLOOKUP(E616,'ESTRUCTURA CODIGO'!$H$2:$L$612,4,FALSE)," ")</f>
        <v>0</v>
      </c>
    </row>
    <row r="617" spans="1:8" x14ac:dyDescent="0.3">
      <c r="A617" s="25">
        <v>615</v>
      </c>
      <c r="B617" s="25"/>
      <c r="C617" s="25"/>
      <c r="D617" s="25"/>
      <c r="E617" s="30" t="str">
        <f t="shared" si="11"/>
        <v>--</v>
      </c>
      <c r="F617" s="13">
        <f>IFERROR(VLOOKUP(E617,'ESTRUCTURA CODIGO'!$H$2:$J$1048576,2,FALSE)," ")</f>
        <v>0</v>
      </c>
      <c r="G617" s="25">
        <f>IFERROR(VLOOKUP(E617,'ESTRUCTURA CODIGO'!$H$2:$J$1048576,3,FALSE)," ")</f>
        <v>0</v>
      </c>
      <c r="H617" s="25">
        <f>IFERROR(VLOOKUP(E617,'ESTRUCTURA CODIGO'!$H$2:$L$612,4,FALSE)," ")</f>
        <v>0</v>
      </c>
    </row>
    <row r="618" spans="1:8" x14ac:dyDescent="0.3">
      <c r="A618" s="25">
        <v>616</v>
      </c>
      <c r="B618" s="25"/>
      <c r="C618" s="25"/>
      <c r="D618" s="25"/>
      <c r="E618" s="30" t="str">
        <f t="shared" si="11"/>
        <v>--</v>
      </c>
      <c r="F618" s="13">
        <f>IFERROR(VLOOKUP(E618,'ESTRUCTURA CODIGO'!$H$2:$J$1048576,2,FALSE)," ")</f>
        <v>0</v>
      </c>
      <c r="G618" s="25">
        <f>IFERROR(VLOOKUP(E618,'ESTRUCTURA CODIGO'!$H$2:$J$1048576,3,FALSE)," ")</f>
        <v>0</v>
      </c>
      <c r="H618" s="25">
        <f>IFERROR(VLOOKUP(E618,'ESTRUCTURA CODIGO'!$H$2:$L$612,4,FALSE)," ")</f>
        <v>0</v>
      </c>
    </row>
    <row r="619" spans="1:8" x14ac:dyDescent="0.3">
      <c r="A619" s="25">
        <v>617</v>
      </c>
      <c r="B619" s="25"/>
      <c r="C619" s="25"/>
      <c r="D619" s="25"/>
      <c r="E619" s="30" t="str">
        <f t="shared" si="11"/>
        <v>--</v>
      </c>
      <c r="F619" s="13">
        <f>IFERROR(VLOOKUP(E619,'ESTRUCTURA CODIGO'!$H$2:$J$1048576,2,FALSE)," ")</f>
        <v>0</v>
      </c>
      <c r="G619" s="25">
        <f>IFERROR(VLOOKUP(E619,'ESTRUCTURA CODIGO'!$H$2:$J$1048576,3,FALSE)," ")</f>
        <v>0</v>
      </c>
      <c r="H619" s="25">
        <f>IFERROR(VLOOKUP(E619,'ESTRUCTURA CODIGO'!$H$2:$L$612,4,FALSE)," ")</f>
        <v>0</v>
      </c>
    </row>
    <row r="620" spans="1:8" x14ac:dyDescent="0.3">
      <c r="A620" s="25">
        <v>618</v>
      </c>
      <c r="B620" s="25"/>
      <c r="C620" s="25"/>
      <c r="D620" s="25"/>
      <c r="E620" s="30" t="str">
        <f t="shared" si="11"/>
        <v>--</v>
      </c>
      <c r="F620" s="13">
        <f>IFERROR(VLOOKUP(E620,'ESTRUCTURA CODIGO'!$H$2:$J$1048576,2,FALSE)," ")</f>
        <v>0</v>
      </c>
      <c r="G620" s="25">
        <f>IFERROR(VLOOKUP(E620,'ESTRUCTURA CODIGO'!$H$2:$J$1048576,3,FALSE)," ")</f>
        <v>0</v>
      </c>
      <c r="H620" s="25">
        <f>IFERROR(VLOOKUP(E620,'ESTRUCTURA CODIGO'!$H$2:$L$612,4,FALSE)," ")</f>
        <v>0</v>
      </c>
    </row>
    <row r="621" spans="1:8" x14ac:dyDescent="0.3">
      <c r="A621" s="25">
        <v>619</v>
      </c>
      <c r="B621" s="25"/>
      <c r="C621" s="25"/>
      <c r="D621" s="25"/>
      <c r="E621" s="30" t="str">
        <f t="shared" si="11"/>
        <v>--</v>
      </c>
      <c r="F621" s="13">
        <f>IFERROR(VLOOKUP(E621,'ESTRUCTURA CODIGO'!$H$2:$J$1048576,2,FALSE)," ")</f>
        <v>0</v>
      </c>
      <c r="G621" s="25">
        <f>IFERROR(VLOOKUP(E621,'ESTRUCTURA CODIGO'!$H$2:$J$1048576,3,FALSE)," ")</f>
        <v>0</v>
      </c>
      <c r="H621" s="25">
        <f>IFERROR(VLOOKUP(E621,'ESTRUCTURA CODIGO'!$H$2:$L$612,4,FALSE)," ")</f>
        <v>0</v>
      </c>
    </row>
    <row r="622" spans="1:8" x14ac:dyDescent="0.3">
      <c r="A622" s="25">
        <v>620</v>
      </c>
      <c r="B622" s="25"/>
      <c r="C622" s="25"/>
      <c r="D622" s="25"/>
      <c r="E622" s="30" t="str">
        <f t="shared" si="11"/>
        <v>--</v>
      </c>
      <c r="F622" s="13">
        <f>IFERROR(VLOOKUP(E622,'ESTRUCTURA CODIGO'!$H$2:$J$1048576,2,FALSE)," ")</f>
        <v>0</v>
      </c>
      <c r="G622" s="25">
        <f>IFERROR(VLOOKUP(E622,'ESTRUCTURA CODIGO'!$H$2:$J$1048576,3,FALSE)," ")</f>
        <v>0</v>
      </c>
      <c r="H622" s="25">
        <f>IFERROR(VLOOKUP(E622,'ESTRUCTURA CODIGO'!$H$2:$L$612,4,FALSE)," ")</f>
        <v>0</v>
      </c>
    </row>
    <row r="623" spans="1:8" x14ac:dyDescent="0.3">
      <c r="A623" s="25">
        <v>621</v>
      </c>
      <c r="B623" s="25"/>
      <c r="C623" s="25"/>
      <c r="D623" s="25"/>
      <c r="E623" s="30" t="str">
        <f t="shared" si="11"/>
        <v>--</v>
      </c>
      <c r="F623" s="13">
        <f>IFERROR(VLOOKUP(E623,'ESTRUCTURA CODIGO'!$H$2:$J$1048576,2,FALSE)," ")</f>
        <v>0</v>
      </c>
      <c r="G623" s="25">
        <f>IFERROR(VLOOKUP(E623,'ESTRUCTURA CODIGO'!$H$2:$J$1048576,3,FALSE)," ")</f>
        <v>0</v>
      </c>
      <c r="H623" s="25">
        <f>IFERROR(VLOOKUP(E623,'ESTRUCTURA CODIGO'!$H$2:$L$612,4,FALSE)," ")</f>
        <v>0</v>
      </c>
    </row>
    <row r="624" spans="1:8" x14ac:dyDescent="0.3">
      <c r="A624" s="25">
        <v>622</v>
      </c>
      <c r="B624" s="25"/>
      <c r="C624" s="25"/>
      <c r="D624" s="25"/>
      <c r="E624" s="30" t="str">
        <f t="shared" si="11"/>
        <v>--</v>
      </c>
      <c r="F624" s="13">
        <f>IFERROR(VLOOKUP(E624,'ESTRUCTURA CODIGO'!$H$2:$J$1048576,2,FALSE)," ")</f>
        <v>0</v>
      </c>
      <c r="G624" s="25">
        <f>IFERROR(VLOOKUP(E624,'ESTRUCTURA CODIGO'!$H$2:$J$1048576,3,FALSE)," ")</f>
        <v>0</v>
      </c>
      <c r="H624" s="25">
        <f>IFERROR(VLOOKUP(E624,'ESTRUCTURA CODIGO'!$H$2:$L$612,4,FALSE)," ")</f>
        <v>0</v>
      </c>
    </row>
    <row r="625" spans="1:8" x14ac:dyDescent="0.3">
      <c r="A625" s="25">
        <v>623</v>
      </c>
      <c r="B625" s="25"/>
      <c r="C625" s="25"/>
      <c r="D625" s="25"/>
      <c r="E625" s="30" t="str">
        <f t="shared" si="11"/>
        <v>--</v>
      </c>
      <c r="F625" s="13">
        <f>IFERROR(VLOOKUP(E625,'ESTRUCTURA CODIGO'!$H$2:$J$1048576,2,FALSE)," ")</f>
        <v>0</v>
      </c>
      <c r="G625" s="25">
        <f>IFERROR(VLOOKUP(E625,'ESTRUCTURA CODIGO'!$H$2:$J$1048576,3,FALSE)," ")</f>
        <v>0</v>
      </c>
      <c r="H625" s="25">
        <f>IFERROR(VLOOKUP(E625,'ESTRUCTURA CODIGO'!$H$2:$L$612,4,FALSE)," ")</f>
        <v>0</v>
      </c>
    </row>
    <row r="626" spans="1:8" x14ac:dyDescent="0.3">
      <c r="A626" s="25">
        <v>624</v>
      </c>
      <c r="B626" s="25"/>
      <c r="C626" s="25"/>
      <c r="D626" s="25"/>
      <c r="E626" s="30" t="str">
        <f t="shared" si="11"/>
        <v>--</v>
      </c>
      <c r="F626" s="13">
        <f>IFERROR(VLOOKUP(E626,'ESTRUCTURA CODIGO'!$H$2:$J$1048576,2,FALSE)," ")</f>
        <v>0</v>
      </c>
      <c r="G626" s="25">
        <f>IFERROR(VLOOKUP(E626,'ESTRUCTURA CODIGO'!$H$2:$J$1048576,3,FALSE)," ")</f>
        <v>0</v>
      </c>
      <c r="H626" s="25">
        <f>IFERROR(VLOOKUP(E626,'ESTRUCTURA CODIGO'!$H$2:$L$612,4,FALSE)," ")</f>
        <v>0</v>
      </c>
    </row>
    <row r="627" spans="1:8" x14ac:dyDescent="0.3">
      <c r="A627" s="25">
        <v>625</v>
      </c>
      <c r="B627" s="25"/>
      <c r="C627" s="25"/>
      <c r="D627" s="25"/>
      <c r="E627" s="30" t="str">
        <f t="shared" si="11"/>
        <v>--</v>
      </c>
      <c r="F627" s="13">
        <f>IFERROR(VLOOKUP(E627,'ESTRUCTURA CODIGO'!$H$2:$J$1048576,2,FALSE)," ")</f>
        <v>0</v>
      </c>
      <c r="G627" s="25">
        <f>IFERROR(VLOOKUP(E627,'ESTRUCTURA CODIGO'!$H$2:$J$1048576,3,FALSE)," ")</f>
        <v>0</v>
      </c>
      <c r="H627" s="25">
        <f>IFERROR(VLOOKUP(E627,'ESTRUCTURA CODIGO'!$H$2:$L$612,4,FALSE)," ")</f>
        <v>0</v>
      </c>
    </row>
    <row r="628" spans="1:8" x14ac:dyDescent="0.3">
      <c r="A628" s="25">
        <v>626</v>
      </c>
      <c r="B628" s="25"/>
      <c r="C628" s="25"/>
      <c r="D628" s="25"/>
      <c r="E628" s="30" t="str">
        <f t="shared" ref="E628:E691" si="12">CONCATENATE(B628,"-",C628,"-",D628)</f>
        <v>--</v>
      </c>
      <c r="F628" s="13">
        <f>IFERROR(VLOOKUP(E628,'ESTRUCTURA CODIGO'!$H$2:$J$1048576,2,FALSE)," ")</f>
        <v>0</v>
      </c>
      <c r="G628" s="25">
        <f>IFERROR(VLOOKUP(E628,'ESTRUCTURA CODIGO'!$H$2:$J$1048576,3,FALSE)," ")</f>
        <v>0</v>
      </c>
      <c r="H628" s="25">
        <f>IFERROR(VLOOKUP(E628,'ESTRUCTURA CODIGO'!$H$2:$L$612,4,FALSE)," ")</f>
        <v>0</v>
      </c>
    </row>
    <row r="629" spans="1:8" x14ac:dyDescent="0.3">
      <c r="A629" s="25">
        <v>627</v>
      </c>
      <c r="B629" s="25"/>
      <c r="C629" s="25"/>
      <c r="D629" s="25"/>
      <c r="E629" s="30" t="str">
        <f t="shared" si="12"/>
        <v>--</v>
      </c>
      <c r="F629" s="13">
        <f>IFERROR(VLOOKUP(E629,'ESTRUCTURA CODIGO'!$H$2:$J$1048576,2,FALSE)," ")</f>
        <v>0</v>
      </c>
      <c r="G629" s="25">
        <f>IFERROR(VLOOKUP(E629,'ESTRUCTURA CODIGO'!$H$2:$J$1048576,3,FALSE)," ")</f>
        <v>0</v>
      </c>
      <c r="H629" s="25">
        <f>IFERROR(VLOOKUP(E629,'ESTRUCTURA CODIGO'!$H$2:$L$612,4,FALSE)," ")</f>
        <v>0</v>
      </c>
    </row>
    <row r="630" spans="1:8" x14ac:dyDescent="0.3">
      <c r="A630" s="25">
        <v>628</v>
      </c>
      <c r="B630" s="25"/>
      <c r="C630" s="25"/>
      <c r="D630" s="25"/>
      <c r="E630" s="30" t="str">
        <f t="shared" si="12"/>
        <v>--</v>
      </c>
      <c r="F630" s="13">
        <f>IFERROR(VLOOKUP(E630,'ESTRUCTURA CODIGO'!$H$2:$J$1048576,2,FALSE)," ")</f>
        <v>0</v>
      </c>
      <c r="G630" s="25">
        <f>IFERROR(VLOOKUP(E630,'ESTRUCTURA CODIGO'!$H$2:$J$1048576,3,FALSE)," ")</f>
        <v>0</v>
      </c>
      <c r="H630" s="25">
        <f>IFERROR(VLOOKUP(E630,'ESTRUCTURA CODIGO'!$H$2:$L$612,4,FALSE)," ")</f>
        <v>0</v>
      </c>
    </row>
    <row r="631" spans="1:8" x14ac:dyDescent="0.3">
      <c r="A631" s="25">
        <v>629</v>
      </c>
      <c r="B631" s="25"/>
      <c r="C631" s="25"/>
      <c r="D631" s="25"/>
      <c r="E631" s="30" t="str">
        <f t="shared" si="12"/>
        <v>--</v>
      </c>
      <c r="F631" s="13">
        <f>IFERROR(VLOOKUP(E631,'ESTRUCTURA CODIGO'!$H$2:$J$1048576,2,FALSE)," ")</f>
        <v>0</v>
      </c>
      <c r="G631" s="25">
        <f>IFERROR(VLOOKUP(E631,'ESTRUCTURA CODIGO'!$H$2:$J$1048576,3,FALSE)," ")</f>
        <v>0</v>
      </c>
      <c r="H631" s="25">
        <f>IFERROR(VLOOKUP(E631,'ESTRUCTURA CODIGO'!$H$2:$L$612,4,FALSE)," ")</f>
        <v>0</v>
      </c>
    </row>
    <row r="632" spans="1:8" x14ac:dyDescent="0.3">
      <c r="A632" s="25">
        <v>630</v>
      </c>
      <c r="B632" s="25"/>
      <c r="C632" s="25"/>
      <c r="D632" s="25"/>
      <c r="E632" s="30" t="str">
        <f t="shared" si="12"/>
        <v>--</v>
      </c>
      <c r="F632" s="13">
        <f>IFERROR(VLOOKUP(E632,'ESTRUCTURA CODIGO'!$H$2:$J$1048576,2,FALSE)," ")</f>
        <v>0</v>
      </c>
      <c r="G632" s="25">
        <f>IFERROR(VLOOKUP(E632,'ESTRUCTURA CODIGO'!$H$2:$J$1048576,3,FALSE)," ")</f>
        <v>0</v>
      </c>
      <c r="H632" s="25">
        <f>IFERROR(VLOOKUP(E632,'ESTRUCTURA CODIGO'!$H$2:$L$612,4,FALSE)," ")</f>
        <v>0</v>
      </c>
    </row>
    <row r="633" spans="1:8" x14ac:dyDescent="0.3">
      <c r="A633" s="25">
        <v>631</v>
      </c>
      <c r="B633" s="25"/>
      <c r="C633" s="25"/>
      <c r="D633" s="25"/>
      <c r="E633" s="30" t="str">
        <f t="shared" si="12"/>
        <v>--</v>
      </c>
      <c r="F633" s="13">
        <f>IFERROR(VLOOKUP(E633,'ESTRUCTURA CODIGO'!$H$2:$J$1048576,2,FALSE)," ")</f>
        <v>0</v>
      </c>
      <c r="G633" s="25">
        <f>IFERROR(VLOOKUP(E633,'ESTRUCTURA CODIGO'!$H$2:$J$1048576,3,FALSE)," ")</f>
        <v>0</v>
      </c>
      <c r="H633" s="25">
        <f>IFERROR(VLOOKUP(E633,'ESTRUCTURA CODIGO'!$H$2:$L$612,4,FALSE)," ")</f>
        <v>0</v>
      </c>
    </row>
    <row r="634" spans="1:8" x14ac:dyDescent="0.3">
      <c r="A634" s="25">
        <v>632</v>
      </c>
      <c r="B634" s="25"/>
      <c r="C634" s="25"/>
      <c r="D634" s="25"/>
      <c r="E634" s="30" t="str">
        <f t="shared" si="12"/>
        <v>--</v>
      </c>
      <c r="F634" s="13">
        <f>IFERROR(VLOOKUP(E634,'ESTRUCTURA CODIGO'!$H$2:$J$1048576,2,FALSE)," ")</f>
        <v>0</v>
      </c>
      <c r="G634" s="25">
        <f>IFERROR(VLOOKUP(E634,'ESTRUCTURA CODIGO'!$H$2:$J$1048576,3,FALSE)," ")</f>
        <v>0</v>
      </c>
      <c r="H634" s="25">
        <f>IFERROR(VLOOKUP(E634,'ESTRUCTURA CODIGO'!$H$2:$L$612,4,FALSE)," ")</f>
        <v>0</v>
      </c>
    </row>
    <row r="635" spans="1:8" x14ac:dyDescent="0.3">
      <c r="A635" s="25">
        <v>633</v>
      </c>
      <c r="B635" s="25"/>
      <c r="C635" s="25"/>
      <c r="D635" s="25"/>
      <c r="E635" s="30" t="str">
        <f t="shared" si="12"/>
        <v>--</v>
      </c>
      <c r="F635" s="13">
        <f>IFERROR(VLOOKUP(E635,'ESTRUCTURA CODIGO'!$H$2:$J$1048576,2,FALSE)," ")</f>
        <v>0</v>
      </c>
      <c r="G635" s="25">
        <f>IFERROR(VLOOKUP(E635,'ESTRUCTURA CODIGO'!$H$2:$J$1048576,3,FALSE)," ")</f>
        <v>0</v>
      </c>
      <c r="H635" s="25">
        <f>IFERROR(VLOOKUP(E635,'ESTRUCTURA CODIGO'!$H$2:$L$612,4,FALSE)," ")</f>
        <v>0</v>
      </c>
    </row>
    <row r="636" spans="1:8" x14ac:dyDescent="0.3">
      <c r="A636" s="25">
        <v>634</v>
      </c>
      <c r="B636" s="25"/>
      <c r="C636" s="25"/>
      <c r="D636" s="25"/>
      <c r="E636" s="30" t="str">
        <f t="shared" si="12"/>
        <v>--</v>
      </c>
      <c r="F636" s="13">
        <f>IFERROR(VLOOKUP(E636,'ESTRUCTURA CODIGO'!$H$2:$J$1048576,2,FALSE)," ")</f>
        <v>0</v>
      </c>
      <c r="G636" s="25">
        <f>IFERROR(VLOOKUP(E636,'ESTRUCTURA CODIGO'!$H$2:$J$1048576,3,FALSE)," ")</f>
        <v>0</v>
      </c>
      <c r="H636" s="25">
        <f>IFERROR(VLOOKUP(E636,'ESTRUCTURA CODIGO'!$H$2:$L$612,4,FALSE)," ")</f>
        <v>0</v>
      </c>
    </row>
    <row r="637" spans="1:8" x14ac:dyDescent="0.3">
      <c r="A637" s="25">
        <v>635</v>
      </c>
      <c r="B637" s="25"/>
      <c r="C637" s="25"/>
      <c r="D637" s="25"/>
      <c r="E637" s="30" t="str">
        <f t="shared" si="12"/>
        <v>--</v>
      </c>
      <c r="F637" s="13">
        <f>IFERROR(VLOOKUP(E637,'ESTRUCTURA CODIGO'!$H$2:$J$1048576,2,FALSE)," ")</f>
        <v>0</v>
      </c>
      <c r="G637" s="25">
        <f>IFERROR(VLOOKUP(E637,'ESTRUCTURA CODIGO'!$H$2:$J$1048576,3,FALSE)," ")</f>
        <v>0</v>
      </c>
      <c r="H637" s="25">
        <f>IFERROR(VLOOKUP(E637,'ESTRUCTURA CODIGO'!$H$2:$L$612,4,FALSE)," ")</f>
        <v>0</v>
      </c>
    </row>
    <row r="638" spans="1:8" x14ac:dyDescent="0.3">
      <c r="A638" s="25">
        <v>636</v>
      </c>
      <c r="B638" s="25"/>
      <c r="C638" s="25"/>
      <c r="D638" s="25"/>
      <c r="E638" s="30" t="str">
        <f t="shared" si="12"/>
        <v>--</v>
      </c>
      <c r="F638" s="13">
        <f>IFERROR(VLOOKUP(E638,'ESTRUCTURA CODIGO'!$H$2:$J$1048576,2,FALSE)," ")</f>
        <v>0</v>
      </c>
      <c r="G638" s="25">
        <f>IFERROR(VLOOKUP(E638,'ESTRUCTURA CODIGO'!$H$2:$J$1048576,3,FALSE)," ")</f>
        <v>0</v>
      </c>
      <c r="H638" s="25">
        <f>IFERROR(VLOOKUP(E638,'ESTRUCTURA CODIGO'!$H$2:$L$612,4,FALSE)," ")</f>
        <v>0</v>
      </c>
    </row>
    <row r="639" spans="1:8" x14ac:dyDescent="0.3">
      <c r="A639" s="25">
        <v>637</v>
      </c>
      <c r="B639" s="25"/>
      <c r="C639" s="25"/>
      <c r="D639" s="25"/>
      <c r="E639" s="30" t="str">
        <f t="shared" si="12"/>
        <v>--</v>
      </c>
      <c r="F639" s="13">
        <f>IFERROR(VLOOKUP(E639,'ESTRUCTURA CODIGO'!$H$2:$J$1048576,2,FALSE)," ")</f>
        <v>0</v>
      </c>
      <c r="G639" s="25">
        <f>IFERROR(VLOOKUP(E639,'ESTRUCTURA CODIGO'!$H$2:$J$1048576,3,FALSE)," ")</f>
        <v>0</v>
      </c>
      <c r="H639" s="25">
        <f>IFERROR(VLOOKUP(E639,'ESTRUCTURA CODIGO'!$H$2:$L$612,4,FALSE)," ")</f>
        <v>0</v>
      </c>
    </row>
    <row r="640" spans="1:8" x14ac:dyDescent="0.3">
      <c r="A640" s="25">
        <v>638</v>
      </c>
      <c r="B640" s="25"/>
      <c r="C640" s="25"/>
      <c r="D640" s="25"/>
      <c r="E640" s="30" t="str">
        <f t="shared" si="12"/>
        <v>--</v>
      </c>
      <c r="F640" s="13">
        <f>IFERROR(VLOOKUP(E640,'ESTRUCTURA CODIGO'!$H$2:$J$1048576,2,FALSE)," ")</f>
        <v>0</v>
      </c>
      <c r="G640" s="25">
        <f>IFERROR(VLOOKUP(E640,'ESTRUCTURA CODIGO'!$H$2:$J$1048576,3,FALSE)," ")</f>
        <v>0</v>
      </c>
      <c r="H640" s="25">
        <f>IFERROR(VLOOKUP(E640,'ESTRUCTURA CODIGO'!$H$2:$L$612,4,FALSE)," ")</f>
        <v>0</v>
      </c>
    </row>
    <row r="641" spans="1:8" x14ac:dyDescent="0.3">
      <c r="A641" s="25">
        <v>639</v>
      </c>
      <c r="B641" s="25"/>
      <c r="C641" s="25"/>
      <c r="D641" s="25"/>
      <c r="E641" s="30" t="str">
        <f t="shared" si="12"/>
        <v>--</v>
      </c>
      <c r="F641" s="13">
        <f>IFERROR(VLOOKUP(E641,'ESTRUCTURA CODIGO'!$H$2:$J$1048576,2,FALSE)," ")</f>
        <v>0</v>
      </c>
      <c r="G641" s="25">
        <f>IFERROR(VLOOKUP(E641,'ESTRUCTURA CODIGO'!$H$2:$J$1048576,3,FALSE)," ")</f>
        <v>0</v>
      </c>
      <c r="H641" s="25">
        <f>IFERROR(VLOOKUP(E641,'ESTRUCTURA CODIGO'!$H$2:$L$612,4,FALSE)," ")</f>
        <v>0</v>
      </c>
    </row>
    <row r="642" spans="1:8" x14ac:dyDescent="0.3">
      <c r="A642" s="25">
        <v>640</v>
      </c>
      <c r="B642" s="25"/>
      <c r="C642" s="25"/>
      <c r="D642" s="25"/>
      <c r="E642" s="30" t="str">
        <f t="shared" si="12"/>
        <v>--</v>
      </c>
      <c r="F642" s="13">
        <f>IFERROR(VLOOKUP(E642,'ESTRUCTURA CODIGO'!$H$2:$J$1048576,2,FALSE)," ")</f>
        <v>0</v>
      </c>
      <c r="G642" s="25">
        <f>IFERROR(VLOOKUP(E642,'ESTRUCTURA CODIGO'!$H$2:$J$1048576,3,FALSE)," ")</f>
        <v>0</v>
      </c>
      <c r="H642" s="25">
        <f>IFERROR(VLOOKUP(E642,'ESTRUCTURA CODIGO'!$H$2:$L$612,4,FALSE)," ")</f>
        <v>0</v>
      </c>
    </row>
    <row r="643" spans="1:8" x14ac:dyDescent="0.3">
      <c r="A643" s="25">
        <v>641</v>
      </c>
      <c r="B643" s="25"/>
      <c r="C643" s="25"/>
      <c r="D643" s="25"/>
      <c r="E643" s="30" t="str">
        <f t="shared" si="12"/>
        <v>--</v>
      </c>
      <c r="F643" s="13">
        <f>IFERROR(VLOOKUP(E643,'ESTRUCTURA CODIGO'!$H$2:$J$1048576,2,FALSE)," ")</f>
        <v>0</v>
      </c>
      <c r="G643" s="25">
        <f>IFERROR(VLOOKUP(E643,'ESTRUCTURA CODIGO'!$H$2:$J$1048576,3,FALSE)," ")</f>
        <v>0</v>
      </c>
      <c r="H643" s="25">
        <f>IFERROR(VLOOKUP(E643,'ESTRUCTURA CODIGO'!$H$2:$L$612,4,FALSE)," ")</f>
        <v>0</v>
      </c>
    </row>
    <row r="644" spans="1:8" x14ac:dyDescent="0.3">
      <c r="A644" s="25">
        <v>642</v>
      </c>
      <c r="B644" s="25"/>
      <c r="C644" s="25"/>
      <c r="D644" s="25"/>
      <c r="E644" s="30" t="str">
        <f t="shared" si="12"/>
        <v>--</v>
      </c>
      <c r="F644" s="13">
        <f>IFERROR(VLOOKUP(E644,'ESTRUCTURA CODIGO'!$H$2:$J$1048576,2,FALSE)," ")</f>
        <v>0</v>
      </c>
      <c r="G644" s="25">
        <f>IFERROR(VLOOKUP(E644,'ESTRUCTURA CODIGO'!$H$2:$J$1048576,3,FALSE)," ")</f>
        <v>0</v>
      </c>
      <c r="H644" s="25">
        <f>IFERROR(VLOOKUP(E644,'ESTRUCTURA CODIGO'!$H$2:$L$612,4,FALSE)," ")</f>
        <v>0</v>
      </c>
    </row>
    <row r="645" spans="1:8" x14ac:dyDescent="0.3">
      <c r="A645" s="25">
        <v>643</v>
      </c>
      <c r="B645" s="25"/>
      <c r="C645" s="25"/>
      <c r="D645" s="25"/>
      <c r="E645" s="30" t="str">
        <f t="shared" si="12"/>
        <v>--</v>
      </c>
      <c r="F645" s="13">
        <f>IFERROR(VLOOKUP(E645,'ESTRUCTURA CODIGO'!$H$2:$J$1048576,2,FALSE)," ")</f>
        <v>0</v>
      </c>
      <c r="G645" s="25">
        <f>IFERROR(VLOOKUP(E645,'ESTRUCTURA CODIGO'!$H$2:$J$1048576,3,FALSE)," ")</f>
        <v>0</v>
      </c>
      <c r="H645" s="25">
        <f>IFERROR(VLOOKUP(E645,'ESTRUCTURA CODIGO'!$H$2:$L$612,4,FALSE)," ")</f>
        <v>0</v>
      </c>
    </row>
    <row r="646" spans="1:8" x14ac:dyDescent="0.3">
      <c r="A646" s="25">
        <v>644</v>
      </c>
      <c r="B646" s="25"/>
      <c r="C646" s="25"/>
      <c r="D646" s="25"/>
      <c r="E646" s="30" t="str">
        <f t="shared" si="12"/>
        <v>--</v>
      </c>
      <c r="F646" s="13">
        <f>IFERROR(VLOOKUP(E646,'ESTRUCTURA CODIGO'!$H$2:$J$1048576,2,FALSE)," ")</f>
        <v>0</v>
      </c>
      <c r="G646" s="25">
        <f>IFERROR(VLOOKUP(E646,'ESTRUCTURA CODIGO'!$H$2:$J$1048576,3,FALSE)," ")</f>
        <v>0</v>
      </c>
      <c r="H646" s="25">
        <f>IFERROR(VLOOKUP(E646,'ESTRUCTURA CODIGO'!$H$2:$L$612,4,FALSE)," ")</f>
        <v>0</v>
      </c>
    </row>
    <row r="647" spans="1:8" x14ac:dyDescent="0.3">
      <c r="A647" s="25">
        <v>645</v>
      </c>
      <c r="B647" s="25"/>
      <c r="C647" s="25"/>
      <c r="D647" s="25"/>
      <c r="E647" s="30" t="str">
        <f t="shared" si="12"/>
        <v>--</v>
      </c>
      <c r="F647" s="13">
        <f>IFERROR(VLOOKUP(E647,'ESTRUCTURA CODIGO'!$H$2:$J$1048576,2,FALSE)," ")</f>
        <v>0</v>
      </c>
      <c r="G647" s="25">
        <f>IFERROR(VLOOKUP(E647,'ESTRUCTURA CODIGO'!$H$2:$J$1048576,3,FALSE)," ")</f>
        <v>0</v>
      </c>
      <c r="H647" s="25">
        <f>IFERROR(VLOOKUP(E647,'ESTRUCTURA CODIGO'!$H$2:$L$612,4,FALSE)," ")</f>
        <v>0</v>
      </c>
    </row>
    <row r="648" spans="1:8" x14ac:dyDescent="0.3">
      <c r="A648" s="25">
        <v>646</v>
      </c>
      <c r="B648" s="25"/>
      <c r="C648" s="25"/>
      <c r="D648" s="25"/>
      <c r="E648" s="30" t="str">
        <f t="shared" si="12"/>
        <v>--</v>
      </c>
      <c r="F648" s="13">
        <f>IFERROR(VLOOKUP(E648,'ESTRUCTURA CODIGO'!$H$2:$J$1048576,2,FALSE)," ")</f>
        <v>0</v>
      </c>
      <c r="G648" s="25">
        <f>IFERROR(VLOOKUP(E648,'ESTRUCTURA CODIGO'!$H$2:$J$1048576,3,FALSE)," ")</f>
        <v>0</v>
      </c>
      <c r="H648" s="25">
        <f>IFERROR(VLOOKUP(E648,'ESTRUCTURA CODIGO'!$H$2:$L$612,4,FALSE)," ")</f>
        <v>0</v>
      </c>
    </row>
    <row r="649" spans="1:8" x14ac:dyDescent="0.3">
      <c r="A649" s="25">
        <v>647</v>
      </c>
      <c r="B649" s="25"/>
      <c r="C649" s="25"/>
      <c r="D649" s="25"/>
      <c r="E649" s="30" t="str">
        <f t="shared" si="12"/>
        <v>--</v>
      </c>
      <c r="F649" s="13">
        <f>IFERROR(VLOOKUP(E649,'ESTRUCTURA CODIGO'!$H$2:$J$1048576,2,FALSE)," ")</f>
        <v>0</v>
      </c>
      <c r="G649" s="25">
        <f>IFERROR(VLOOKUP(E649,'ESTRUCTURA CODIGO'!$H$2:$J$1048576,3,FALSE)," ")</f>
        <v>0</v>
      </c>
      <c r="H649" s="25">
        <f>IFERROR(VLOOKUP(E649,'ESTRUCTURA CODIGO'!$H$2:$L$612,4,FALSE)," ")</f>
        <v>0</v>
      </c>
    </row>
    <row r="650" spans="1:8" x14ac:dyDescent="0.3">
      <c r="A650" s="25">
        <v>648</v>
      </c>
      <c r="B650" s="25"/>
      <c r="C650" s="25"/>
      <c r="D650" s="25"/>
      <c r="E650" s="30" t="str">
        <f t="shared" si="12"/>
        <v>--</v>
      </c>
      <c r="F650" s="13">
        <f>IFERROR(VLOOKUP(E650,'ESTRUCTURA CODIGO'!$H$2:$J$1048576,2,FALSE)," ")</f>
        <v>0</v>
      </c>
      <c r="G650" s="25">
        <f>IFERROR(VLOOKUP(E650,'ESTRUCTURA CODIGO'!$H$2:$J$1048576,3,FALSE)," ")</f>
        <v>0</v>
      </c>
      <c r="H650" s="25">
        <f>IFERROR(VLOOKUP(E650,'ESTRUCTURA CODIGO'!$H$2:$L$612,4,FALSE)," ")</f>
        <v>0</v>
      </c>
    </row>
    <row r="651" spans="1:8" x14ac:dyDescent="0.3">
      <c r="A651" s="25">
        <v>649</v>
      </c>
      <c r="B651" s="25"/>
      <c r="C651" s="25"/>
      <c r="D651" s="25"/>
      <c r="E651" s="30" t="str">
        <f t="shared" si="12"/>
        <v>--</v>
      </c>
      <c r="F651" s="13">
        <f>IFERROR(VLOOKUP(E651,'ESTRUCTURA CODIGO'!$H$2:$J$1048576,2,FALSE)," ")</f>
        <v>0</v>
      </c>
      <c r="G651" s="25">
        <f>IFERROR(VLOOKUP(E651,'ESTRUCTURA CODIGO'!$H$2:$J$1048576,3,FALSE)," ")</f>
        <v>0</v>
      </c>
      <c r="H651" s="25">
        <f>IFERROR(VLOOKUP(E651,'ESTRUCTURA CODIGO'!$H$2:$L$612,4,FALSE)," ")</f>
        <v>0</v>
      </c>
    </row>
    <row r="652" spans="1:8" x14ac:dyDescent="0.3">
      <c r="A652" s="25">
        <v>650</v>
      </c>
      <c r="B652" s="25"/>
      <c r="C652" s="25"/>
      <c r="D652" s="25"/>
      <c r="E652" s="30" t="str">
        <f t="shared" si="12"/>
        <v>--</v>
      </c>
      <c r="F652" s="13">
        <f>IFERROR(VLOOKUP(E652,'ESTRUCTURA CODIGO'!$H$2:$J$1048576,2,FALSE)," ")</f>
        <v>0</v>
      </c>
      <c r="G652" s="25">
        <f>IFERROR(VLOOKUP(E652,'ESTRUCTURA CODIGO'!$H$2:$J$1048576,3,FALSE)," ")</f>
        <v>0</v>
      </c>
      <c r="H652" s="25">
        <f>IFERROR(VLOOKUP(E652,'ESTRUCTURA CODIGO'!$H$2:$L$612,4,FALSE)," ")</f>
        <v>0</v>
      </c>
    </row>
    <row r="653" spans="1:8" x14ac:dyDescent="0.3">
      <c r="A653" s="25">
        <v>651</v>
      </c>
      <c r="B653" s="25"/>
      <c r="C653" s="25"/>
      <c r="D653" s="25"/>
      <c r="E653" s="30" t="str">
        <f t="shared" si="12"/>
        <v>--</v>
      </c>
      <c r="F653" s="13">
        <f>IFERROR(VLOOKUP(E653,'ESTRUCTURA CODIGO'!$H$2:$J$1048576,2,FALSE)," ")</f>
        <v>0</v>
      </c>
      <c r="G653" s="25">
        <f>IFERROR(VLOOKUP(E653,'ESTRUCTURA CODIGO'!$H$2:$J$1048576,3,FALSE)," ")</f>
        <v>0</v>
      </c>
      <c r="H653" s="25">
        <f>IFERROR(VLOOKUP(E653,'ESTRUCTURA CODIGO'!$H$2:$L$612,4,FALSE)," ")</f>
        <v>0</v>
      </c>
    </row>
    <row r="654" spans="1:8" x14ac:dyDescent="0.3">
      <c r="A654" s="25">
        <v>652</v>
      </c>
      <c r="B654" s="25"/>
      <c r="C654" s="25"/>
      <c r="D654" s="25"/>
      <c r="E654" s="30" t="str">
        <f t="shared" si="12"/>
        <v>--</v>
      </c>
      <c r="F654" s="13">
        <f>IFERROR(VLOOKUP(E654,'ESTRUCTURA CODIGO'!$H$2:$J$1048576,2,FALSE)," ")</f>
        <v>0</v>
      </c>
      <c r="G654" s="25">
        <f>IFERROR(VLOOKUP(E654,'ESTRUCTURA CODIGO'!$H$2:$J$1048576,3,FALSE)," ")</f>
        <v>0</v>
      </c>
      <c r="H654" s="25">
        <f>IFERROR(VLOOKUP(E654,'ESTRUCTURA CODIGO'!$H$2:$L$612,4,FALSE)," ")</f>
        <v>0</v>
      </c>
    </row>
    <row r="655" spans="1:8" x14ac:dyDescent="0.3">
      <c r="A655" s="25">
        <v>653</v>
      </c>
      <c r="B655" s="25"/>
      <c r="C655" s="25"/>
      <c r="D655" s="25"/>
      <c r="E655" s="30" t="str">
        <f t="shared" si="12"/>
        <v>--</v>
      </c>
      <c r="F655" s="13">
        <f>IFERROR(VLOOKUP(E655,'ESTRUCTURA CODIGO'!$H$2:$J$1048576,2,FALSE)," ")</f>
        <v>0</v>
      </c>
      <c r="G655" s="25">
        <f>IFERROR(VLOOKUP(E655,'ESTRUCTURA CODIGO'!$H$2:$J$1048576,3,FALSE)," ")</f>
        <v>0</v>
      </c>
      <c r="H655" s="25">
        <f>IFERROR(VLOOKUP(E655,'ESTRUCTURA CODIGO'!$H$2:$L$612,4,FALSE)," ")</f>
        <v>0</v>
      </c>
    </row>
    <row r="656" spans="1:8" x14ac:dyDescent="0.3">
      <c r="A656" s="25">
        <v>654</v>
      </c>
      <c r="B656" s="25"/>
      <c r="C656" s="25"/>
      <c r="D656" s="25"/>
      <c r="E656" s="30" t="str">
        <f t="shared" si="12"/>
        <v>--</v>
      </c>
      <c r="F656" s="13">
        <f>IFERROR(VLOOKUP(E656,'ESTRUCTURA CODIGO'!$H$2:$J$1048576,2,FALSE)," ")</f>
        <v>0</v>
      </c>
      <c r="G656" s="25">
        <f>IFERROR(VLOOKUP(E656,'ESTRUCTURA CODIGO'!$H$2:$J$1048576,3,FALSE)," ")</f>
        <v>0</v>
      </c>
      <c r="H656" s="25">
        <f>IFERROR(VLOOKUP(E656,'ESTRUCTURA CODIGO'!$H$2:$L$612,4,FALSE)," ")</f>
        <v>0</v>
      </c>
    </row>
    <row r="657" spans="1:8" x14ac:dyDescent="0.3">
      <c r="A657" s="25">
        <v>655</v>
      </c>
      <c r="B657" s="25"/>
      <c r="C657" s="25"/>
      <c r="D657" s="25"/>
      <c r="E657" s="30" t="str">
        <f t="shared" si="12"/>
        <v>--</v>
      </c>
      <c r="F657" s="13">
        <f>IFERROR(VLOOKUP(E657,'ESTRUCTURA CODIGO'!$H$2:$J$1048576,2,FALSE)," ")</f>
        <v>0</v>
      </c>
      <c r="G657" s="25">
        <f>IFERROR(VLOOKUP(E657,'ESTRUCTURA CODIGO'!$H$2:$J$1048576,3,FALSE)," ")</f>
        <v>0</v>
      </c>
      <c r="H657" s="25">
        <f>IFERROR(VLOOKUP(E657,'ESTRUCTURA CODIGO'!$H$2:$L$612,4,FALSE)," ")</f>
        <v>0</v>
      </c>
    </row>
    <row r="658" spans="1:8" x14ac:dyDescent="0.3">
      <c r="A658" s="25">
        <v>656</v>
      </c>
      <c r="B658" s="25"/>
      <c r="C658" s="25"/>
      <c r="D658" s="25"/>
      <c r="E658" s="30" t="str">
        <f t="shared" si="12"/>
        <v>--</v>
      </c>
      <c r="F658" s="13">
        <f>IFERROR(VLOOKUP(E658,'ESTRUCTURA CODIGO'!$H$2:$J$1048576,2,FALSE)," ")</f>
        <v>0</v>
      </c>
      <c r="G658" s="25">
        <f>IFERROR(VLOOKUP(E658,'ESTRUCTURA CODIGO'!$H$2:$J$1048576,3,FALSE)," ")</f>
        <v>0</v>
      </c>
      <c r="H658" s="25">
        <f>IFERROR(VLOOKUP(E658,'ESTRUCTURA CODIGO'!$H$2:$L$612,4,FALSE)," ")</f>
        <v>0</v>
      </c>
    </row>
    <row r="659" spans="1:8" x14ac:dyDescent="0.3">
      <c r="A659" s="25">
        <v>657</v>
      </c>
      <c r="B659" s="25"/>
      <c r="C659" s="25"/>
      <c r="D659" s="25"/>
      <c r="E659" s="30" t="str">
        <f t="shared" si="12"/>
        <v>--</v>
      </c>
      <c r="F659" s="13">
        <f>IFERROR(VLOOKUP(E659,'ESTRUCTURA CODIGO'!$H$2:$J$1048576,2,FALSE)," ")</f>
        <v>0</v>
      </c>
      <c r="G659" s="25">
        <f>IFERROR(VLOOKUP(E659,'ESTRUCTURA CODIGO'!$H$2:$J$1048576,3,FALSE)," ")</f>
        <v>0</v>
      </c>
      <c r="H659" s="25">
        <f>IFERROR(VLOOKUP(E659,'ESTRUCTURA CODIGO'!$H$2:$L$612,4,FALSE)," ")</f>
        <v>0</v>
      </c>
    </row>
    <row r="660" spans="1:8" x14ac:dyDescent="0.3">
      <c r="A660" s="25">
        <v>658</v>
      </c>
      <c r="B660" s="25"/>
      <c r="C660" s="25"/>
      <c r="D660" s="25"/>
      <c r="E660" s="30" t="str">
        <f t="shared" si="12"/>
        <v>--</v>
      </c>
      <c r="F660" s="13">
        <f>IFERROR(VLOOKUP(E660,'ESTRUCTURA CODIGO'!$H$2:$J$1048576,2,FALSE)," ")</f>
        <v>0</v>
      </c>
      <c r="G660" s="25">
        <f>IFERROR(VLOOKUP(E660,'ESTRUCTURA CODIGO'!$H$2:$J$1048576,3,FALSE)," ")</f>
        <v>0</v>
      </c>
      <c r="H660" s="25">
        <f>IFERROR(VLOOKUP(E660,'ESTRUCTURA CODIGO'!$H$2:$L$612,4,FALSE)," ")</f>
        <v>0</v>
      </c>
    </row>
    <row r="661" spans="1:8" x14ac:dyDescent="0.3">
      <c r="A661" s="25">
        <v>659</v>
      </c>
      <c r="B661" s="25"/>
      <c r="C661" s="25"/>
      <c r="D661" s="25"/>
      <c r="E661" s="30" t="str">
        <f t="shared" si="12"/>
        <v>--</v>
      </c>
      <c r="F661" s="13">
        <f>IFERROR(VLOOKUP(E661,'ESTRUCTURA CODIGO'!$H$2:$J$1048576,2,FALSE)," ")</f>
        <v>0</v>
      </c>
      <c r="G661" s="25">
        <f>IFERROR(VLOOKUP(E661,'ESTRUCTURA CODIGO'!$H$2:$J$1048576,3,FALSE)," ")</f>
        <v>0</v>
      </c>
      <c r="H661" s="25">
        <f>IFERROR(VLOOKUP(E661,'ESTRUCTURA CODIGO'!$H$2:$L$612,4,FALSE)," ")</f>
        <v>0</v>
      </c>
    </row>
    <row r="662" spans="1:8" x14ac:dyDescent="0.3">
      <c r="A662" s="25">
        <v>660</v>
      </c>
      <c r="B662" s="25"/>
      <c r="C662" s="25"/>
      <c r="D662" s="25"/>
      <c r="E662" s="30" t="str">
        <f t="shared" si="12"/>
        <v>--</v>
      </c>
      <c r="F662" s="13">
        <f>IFERROR(VLOOKUP(E662,'ESTRUCTURA CODIGO'!$H$2:$J$1048576,2,FALSE)," ")</f>
        <v>0</v>
      </c>
      <c r="G662" s="25">
        <f>IFERROR(VLOOKUP(E662,'ESTRUCTURA CODIGO'!$H$2:$J$1048576,3,FALSE)," ")</f>
        <v>0</v>
      </c>
      <c r="H662" s="25">
        <f>IFERROR(VLOOKUP(E662,'ESTRUCTURA CODIGO'!$H$2:$L$612,4,FALSE)," ")</f>
        <v>0</v>
      </c>
    </row>
    <row r="663" spans="1:8" x14ac:dyDescent="0.3">
      <c r="A663" s="25">
        <v>661</v>
      </c>
      <c r="B663" s="25"/>
      <c r="C663" s="25"/>
      <c r="D663" s="25"/>
      <c r="E663" s="30" t="str">
        <f t="shared" si="12"/>
        <v>--</v>
      </c>
      <c r="F663" s="13">
        <f>IFERROR(VLOOKUP(E663,'ESTRUCTURA CODIGO'!$H$2:$J$1048576,2,FALSE)," ")</f>
        <v>0</v>
      </c>
      <c r="G663" s="25">
        <f>IFERROR(VLOOKUP(E663,'ESTRUCTURA CODIGO'!$H$2:$J$1048576,3,FALSE)," ")</f>
        <v>0</v>
      </c>
      <c r="H663" s="25">
        <f>IFERROR(VLOOKUP(E663,'ESTRUCTURA CODIGO'!$H$2:$L$612,4,FALSE)," ")</f>
        <v>0</v>
      </c>
    </row>
    <row r="664" spans="1:8" x14ac:dyDescent="0.3">
      <c r="A664" s="25">
        <v>662</v>
      </c>
      <c r="B664" s="25"/>
      <c r="C664" s="25"/>
      <c r="D664" s="25"/>
      <c r="E664" s="30" t="str">
        <f t="shared" si="12"/>
        <v>--</v>
      </c>
      <c r="F664" s="13">
        <f>IFERROR(VLOOKUP(E664,'ESTRUCTURA CODIGO'!$H$2:$J$1048576,2,FALSE)," ")</f>
        <v>0</v>
      </c>
      <c r="G664" s="25">
        <f>IFERROR(VLOOKUP(E664,'ESTRUCTURA CODIGO'!$H$2:$J$1048576,3,FALSE)," ")</f>
        <v>0</v>
      </c>
      <c r="H664" s="25">
        <f>IFERROR(VLOOKUP(E664,'ESTRUCTURA CODIGO'!$H$2:$L$612,4,FALSE)," ")</f>
        <v>0</v>
      </c>
    </row>
    <row r="665" spans="1:8" x14ac:dyDescent="0.3">
      <c r="A665" s="25">
        <v>663</v>
      </c>
      <c r="B665" s="25"/>
      <c r="C665" s="25"/>
      <c r="D665" s="25"/>
      <c r="E665" s="30" t="str">
        <f t="shared" si="12"/>
        <v>--</v>
      </c>
      <c r="F665" s="13">
        <f>IFERROR(VLOOKUP(E665,'ESTRUCTURA CODIGO'!$H$2:$J$1048576,2,FALSE)," ")</f>
        <v>0</v>
      </c>
      <c r="G665" s="25">
        <f>IFERROR(VLOOKUP(E665,'ESTRUCTURA CODIGO'!$H$2:$J$1048576,3,FALSE)," ")</f>
        <v>0</v>
      </c>
      <c r="H665" s="25">
        <f>IFERROR(VLOOKUP(E665,'ESTRUCTURA CODIGO'!$H$2:$L$612,4,FALSE)," ")</f>
        <v>0</v>
      </c>
    </row>
    <row r="666" spans="1:8" x14ac:dyDescent="0.3">
      <c r="A666" s="25">
        <v>664</v>
      </c>
      <c r="B666" s="25"/>
      <c r="C666" s="25"/>
      <c r="D666" s="25"/>
      <c r="E666" s="30" t="str">
        <f t="shared" si="12"/>
        <v>--</v>
      </c>
      <c r="F666" s="13">
        <f>IFERROR(VLOOKUP(E666,'ESTRUCTURA CODIGO'!$H$2:$J$1048576,2,FALSE)," ")</f>
        <v>0</v>
      </c>
      <c r="G666" s="25">
        <f>IFERROR(VLOOKUP(E666,'ESTRUCTURA CODIGO'!$H$2:$J$1048576,3,FALSE)," ")</f>
        <v>0</v>
      </c>
      <c r="H666" s="25">
        <f>IFERROR(VLOOKUP(E666,'ESTRUCTURA CODIGO'!$H$2:$L$612,4,FALSE)," ")</f>
        <v>0</v>
      </c>
    </row>
    <row r="667" spans="1:8" x14ac:dyDescent="0.3">
      <c r="A667" s="25">
        <v>665</v>
      </c>
      <c r="B667" s="25"/>
      <c r="C667" s="25"/>
      <c r="D667" s="25"/>
      <c r="E667" s="30" t="str">
        <f t="shared" si="12"/>
        <v>--</v>
      </c>
      <c r="F667" s="13">
        <f>IFERROR(VLOOKUP(E667,'ESTRUCTURA CODIGO'!$H$2:$J$1048576,2,FALSE)," ")</f>
        <v>0</v>
      </c>
      <c r="G667" s="25">
        <f>IFERROR(VLOOKUP(E667,'ESTRUCTURA CODIGO'!$H$2:$J$1048576,3,FALSE)," ")</f>
        <v>0</v>
      </c>
      <c r="H667" s="25">
        <f>IFERROR(VLOOKUP(E667,'ESTRUCTURA CODIGO'!$H$2:$L$612,4,FALSE)," ")</f>
        <v>0</v>
      </c>
    </row>
    <row r="668" spans="1:8" x14ac:dyDescent="0.3">
      <c r="A668" s="25">
        <v>666</v>
      </c>
      <c r="B668" s="25"/>
      <c r="C668" s="25"/>
      <c r="D668" s="25"/>
      <c r="E668" s="30" t="str">
        <f t="shared" si="12"/>
        <v>--</v>
      </c>
      <c r="F668" s="13">
        <f>IFERROR(VLOOKUP(E668,'ESTRUCTURA CODIGO'!$H$2:$J$1048576,2,FALSE)," ")</f>
        <v>0</v>
      </c>
      <c r="G668" s="25">
        <f>IFERROR(VLOOKUP(E668,'ESTRUCTURA CODIGO'!$H$2:$J$1048576,3,FALSE)," ")</f>
        <v>0</v>
      </c>
      <c r="H668" s="25">
        <f>IFERROR(VLOOKUP(E668,'ESTRUCTURA CODIGO'!$H$2:$L$612,4,FALSE)," ")</f>
        <v>0</v>
      </c>
    </row>
    <row r="669" spans="1:8" x14ac:dyDescent="0.3">
      <c r="A669" s="25">
        <v>667</v>
      </c>
      <c r="B669" s="25"/>
      <c r="C669" s="25"/>
      <c r="D669" s="25"/>
      <c r="E669" s="30" t="str">
        <f t="shared" si="12"/>
        <v>--</v>
      </c>
      <c r="F669" s="13">
        <f>IFERROR(VLOOKUP(E669,'ESTRUCTURA CODIGO'!$H$2:$J$1048576,2,FALSE)," ")</f>
        <v>0</v>
      </c>
      <c r="G669" s="25">
        <f>IFERROR(VLOOKUP(E669,'ESTRUCTURA CODIGO'!$H$2:$J$1048576,3,FALSE)," ")</f>
        <v>0</v>
      </c>
      <c r="H669" s="25">
        <f>IFERROR(VLOOKUP(E669,'ESTRUCTURA CODIGO'!$H$2:$L$612,4,FALSE)," ")</f>
        <v>0</v>
      </c>
    </row>
    <row r="670" spans="1:8" x14ac:dyDescent="0.3">
      <c r="A670" s="25">
        <v>668</v>
      </c>
      <c r="B670" s="25"/>
      <c r="C670" s="25"/>
      <c r="D670" s="25"/>
      <c r="E670" s="30" t="str">
        <f t="shared" si="12"/>
        <v>--</v>
      </c>
      <c r="F670" s="13">
        <f>IFERROR(VLOOKUP(E670,'ESTRUCTURA CODIGO'!$H$2:$J$1048576,2,FALSE)," ")</f>
        <v>0</v>
      </c>
      <c r="G670" s="25">
        <f>IFERROR(VLOOKUP(E670,'ESTRUCTURA CODIGO'!$H$2:$J$1048576,3,FALSE)," ")</f>
        <v>0</v>
      </c>
      <c r="H670" s="25">
        <f>IFERROR(VLOOKUP(E670,'ESTRUCTURA CODIGO'!$H$2:$L$612,4,FALSE)," ")</f>
        <v>0</v>
      </c>
    </row>
    <row r="671" spans="1:8" x14ac:dyDescent="0.3">
      <c r="A671" s="25">
        <v>669</v>
      </c>
      <c r="B671" s="25"/>
      <c r="C671" s="25"/>
      <c r="D671" s="25"/>
      <c r="E671" s="30" t="str">
        <f t="shared" si="12"/>
        <v>--</v>
      </c>
      <c r="F671" s="13">
        <f>IFERROR(VLOOKUP(E671,'ESTRUCTURA CODIGO'!$H$2:$J$1048576,2,FALSE)," ")</f>
        <v>0</v>
      </c>
      <c r="G671" s="25">
        <f>IFERROR(VLOOKUP(E671,'ESTRUCTURA CODIGO'!$H$2:$J$1048576,3,FALSE)," ")</f>
        <v>0</v>
      </c>
      <c r="H671" s="25">
        <f>IFERROR(VLOOKUP(E671,'ESTRUCTURA CODIGO'!$H$2:$L$612,4,FALSE)," ")</f>
        <v>0</v>
      </c>
    </row>
    <row r="672" spans="1:8" x14ac:dyDescent="0.3">
      <c r="A672" s="25">
        <v>670</v>
      </c>
      <c r="B672" s="25"/>
      <c r="C672" s="25"/>
      <c r="D672" s="25"/>
      <c r="E672" s="30" t="str">
        <f t="shared" si="12"/>
        <v>--</v>
      </c>
      <c r="F672" s="13">
        <f>IFERROR(VLOOKUP(E672,'ESTRUCTURA CODIGO'!$H$2:$J$1048576,2,FALSE)," ")</f>
        <v>0</v>
      </c>
      <c r="G672" s="25">
        <f>IFERROR(VLOOKUP(E672,'ESTRUCTURA CODIGO'!$H$2:$J$1048576,3,FALSE)," ")</f>
        <v>0</v>
      </c>
      <c r="H672" s="25">
        <f>IFERROR(VLOOKUP(E672,'ESTRUCTURA CODIGO'!$H$2:$L$612,4,FALSE)," ")</f>
        <v>0</v>
      </c>
    </row>
    <row r="673" spans="1:8" x14ac:dyDescent="0.3">
      <c r="A673" s="25">
        <v>671</v>
      </c>
      <c r="B673" s="25"/>
      <c r="C673" s="25"/>
      <c r="D673" s="25"/>
      <c r="E673" s="30" t="str">
        <f t="shared" si="12"/>
        <v>--</v>
      </c>
      <c r="F673" s="13">
        <f>IFERROR(VLOOKUP(E673,'ESTRUCTURA CODIGO'!$H$2:$J$1048576,2,FALSE)," ")</f>
        <v>0</v>
      </c>
      <c r="G673" s="25">
        <f>IFERROR(VLOOKUP(E673,'ESTRUCTURA CODIGO'!$H$2:$J$1048576,3,FALSE)," ")</f>
        <v>0</v>
      </c>
      <c r="H673" s="25">
        <f>IFERROR(VLOOKUP(E673,'ESTRUCTURA CODIGO'!$H$2:$L$612,4,FALSE)," ")</f>
        <v>0</v>
      </c>
    </row>
    <row r="674" spans="1:8" x14ac:dyDescent="0.3">
      <c r="A674" s="25">
        <v>672</v>
      </c>
      <c r="B674" s="25"/>
      <c r="C674" s="25"/>
      <c r="D674" s="25"/>
      <c r="E674" s="30" t="str">
        <f t="shared" si="12"/>
        <v>--</v>
      </c>
      <c r="F674" s="13">
        <f>IFERROR(VLOOKUP(E674,'ESTRUCTURA CODIGO'!$H$2:$J$1048576,2,FALSE)," ")</f>
        <v>0</v>
      </c>
      <c r="G674" s="25">
        <f>IFERROR(VLOOKUP(E674,'ESTRUCTURA CODIGO'!$H$2:$J$1048576,3,FALSE)," ")</f>
        <v>0</v>
      </c>
      <c r="H674" s="25">
        <f>IFERROR(VLOOKUP(E674,'ESTRUCTURA CODIGO'!$H$2:$L$612,4,FALSE)," ")</f>
        <v>0</v>
      </c>
    </row>
    <row r="675" spans="1:8" x14ac:dyDescent="0.3">
      <c r="A675" s="25">
        <v>673</v>
      </c>
      <c r="B675" s="25"/>
      <c r="C675" s="25"/>
      <c r="D675" s="25"/>
      <c r="E675" s="30" t="str">
        <f t="shared" si="12"/>
        <v>--</v>
      </c>
      <c r="F675" s="13">
        <f>IFERROR(VLOOKUP(E675,'ESTRUCTURA CODIGO'!$H$2:$J$1048576,2,FALSE)," ")</f>
        <v>0</v>
      </c>
      <c r="G675" s="25">
        <f>IFERROR(VLOOKUP(E675,'ESTRUCTURA CODIGO'!$H$2:$J$1048576,3,FALSE)," ")</f>
        <v>0</v>
      </c>
      <c r="H675" s="25">
        <f>IFERROR(VLOOKUP(E675,'ESTRUCTURA CODIGO'!$H$2:$L$612,4,FALSE)," ")</f>
        <v>0</v>
      </c>
    </row>
    <row r="676" spans="1:8" x14ac:dyDescent="0.3">
      <c r="A676" s="25">
        <v>674</v>
      </c>
      <c r="B676" s="25"/>
      <c r="C676" s="25"/>
      <c r="D676" s="25"/>
      <c r="E676" s="30" t="str">
        <f t="shared" si="12"/>
        <v>--</v>
      </c>
      <c r="F676" s="13">
        <f>IFERROR(VLOOKUP(E676,'ESTRUCTURA CODIGO'!$H$2:$J$1048576,2,FALSE)," ")</f>
        <v>0</v>
      </c>
      <c r="G676" s="25">
        <f>IFERROR(VLOOKUP(E676,'ESTRUCTURA CODIGO'!$H$2:$J$1048576,3,FALSE)," ")</f>
        <v>0</v>
      </c>
      <c r="H676" s="25">
        <f>IFERROR(VLOOKUP(E676,'ESTRUCTURA CODIGO'!$H$2:$L$612,4,FALSE)," ")</f>
        <v>0</v>
      </c>
    </row>
    <row r="677" spans="1:8" x14ac:dyDescent="0.3">
      <c r="A677" s="25">
        <v>675</v>
      </c>
      <c r="B677" s="25"/>
      <c r="C677" s="25"/>
      <c r="D677" s="25"/>
      <c r="E677" s="30" t="str">
        <f t="shared" si="12"/>
        <v>--</v>
      </c>
      <c r="F677" s="13">
        <f>IFERROR(VLOOKUP(E677,'ESTRUCTURA CODIGO'!$H$2:$J$1048576,2,FALSE)," ")</f>
        <v>0</v>
      </c>
      <c r="G677" s="25">
        <f>IFERROR(VLOOKUP(E677,'ESTRUCTURA CODIGO'!$H$2:$J$1048576,3,FALSE)," ")</f>
        <v>0</v>
      </c>
      <c r="H677" s="25">
        <f>IFERROR(VLOOKUP(E677,'ESTRUCTURA CODIGO'!$H$2:$L$612,4,FALSE)," ")</f>
        <v>0</v>
      </c>
    </row>
    <row r="678" spans="1:8" x14ac:dyDescent="0.3">
      <c r="A678" s="25">
        <v>676</v>
      </c>
      <c r="B678" s="25"/>
      <c r="C678" s="25"/>
      <c r="D678" s="25"/>
      <c r="E678" s="30" t="str">
        <f t="shared" si="12"/>
        <v>--</v>
      </c>
      <c r="F678" s="13">
        <f>IFERROR(VLOOKUP(E678,'ESTRUCTURA CODIGO'!$H$2:$J$1048576,2,FALSE)," ")</f>
        <v>0</v>
      </c>
      <c r="G678" s="25">
        <f>IFERROR(VLOOKUP(E678,'ESTRUCTURA CODIGO'!$H$2:$J$1048576,3,FALSE)," ")</f>
        <v>0</v>
      </c>
      <c r="H678" s="25">
        <f>IFERROR(VLOOKUP(E678,'ESTRUCTURA CODIGO'!$H$2:$L$612,4,FALSE)," ")</f>
        <v>0</v>
      </c>
    </row>
    <row r="679" spans="1:8" x14ac:dyDescent="0.3">
      <c r="A679" s="25">
        <v>677</v>
      </c>
      <c r="B679" s="25"/>
      <c r="C679" s="25"/>
      <c r="D679" s="25"/>
      <c r="E679" s="30" t="str">
        <f t="shared" si="12"/>
        <v>--</v>
      </c>
      <c r="F679" s="13">
        <f>IFERROR(VLOOKUP(E679,'ESTRUCTURA CODIGO'!$H$2:$J$1048576,2,FALSE)," ")</f>
        <v>0</v>
      </c>
      <c r="G679" s="25">
        <f>IFERROR(VLOOKUP(E679,'ESTRUCTURA CODIGO'!$H$2:$J$1048576,3,FALSE)," ")</f>
        <v>0</v>
      </c>
      <c r="H679" s="25">
        <f>IFERROR(VLOOKUP(E679,'ESTRUCTURA CODIGO'!$H$2:$L$612,4,FALSE)," ")</f>
        <v>0</v>
      </c>
    </row>
    <row r="680" spans="1:8" x14ac:dyDescent="0.3">
      <c r="A680" s="25">
        <v>678</v>
      </c>
      <c r="B680" s="25"/>
      <c r="C680" s="25"/>
      <c r="D680" s="25"/>
      <c r="E680" s="30" t="str">
        <f t="shared" si="12"/>
        <v>--</v>
      </c>
      <c r="F680" s="13">
        <f>IFERROR(VLOOKUP(E680,'ESTRUCTURA CODIGO'!$H$2:$J$1048576,2,FALSE)," ")</f>
        <v>0</v>
      </c>
      <c r="G680" s="25">
        <f>IFERROR(VLOOKUP(E680,'ESTRUCTURA CODIGO'!$H$2:$J$1048576,3,FALSE)," ")</f>
        <v>0</v>
      </c>
      <c r="H680" s="25">
        <f>IFERROR(VLOOKUP(E680,'ESTRUCTURA CODIGO'!$H$2:$L$612,4,FALSE)," ")</f>
        <v>0</v>
      </c>
    </row>
    <row r="681" spans="1:8" x14ac:dyDescent="0.3">
      <c r="A681" s="25">
        <v>679</v>
      </c>
      <c r="B681" s="25"/>
      <c r="C681" s="25"/>
      <c r="D681" s="25"/>
      <c r="E681" s="30" t="str">
        <f t="shared" si="12"/>
        <v>--</v>
      </c>
      <c r="F681" s="13">
        <f>IFERROR(VLOOKUP(E681,'ESTRUCTURA CODIGO'!$H$2:$J$1048576,2,FALSE)," ")</f>
        <v>0</v>
      </c>
      <c r="G681" s="25">
        <f>IFERROR(VLOOKUP(E681,'ESTRUCTURA CODIGO'!$H$2:$J$1048576,3,FALSE)," ")</f>
        <v>0</v>
      </c>
      <c r="H681" s="25">
        <f>IFERROR(VLOOKUP(E681,'ESTRUCTURA CODIGO'!$H$2:$L$612,4,FALSE)," ")</f>
        <v>0</v>
      </c>
    </row>
    <row r="682" spans="1:8" x14ac:dyDescent="0.3">
      <c r="A682" s="25">
        <v>680</v>
      </c>
      <c r="B682" s="25"/>
      <c r="C682" s="25"/>
      <c r="D682" s="25"/>
      <c r="E682" s="30" t="str">
        <f t="shared" si="12"/>
        <v>--</v>
      </c>
      <c r="F682" s="13">
        <f>IFERROR(VLOOKUP(E682,'ESTRUCTURA CODIGO'!$H$2:$J$1048576,2,FALSE)," ")</f>
        <v>0</v>
      </c>
      <c r="G682" s="25">
        <f>IFERROR(VLOOKUP(E682,'ESTRUCTURA CODIGO'!$H$2:$J$1048576,3,FALSE)," ")</f>
        <v>0</v>
      </c>
      <c r="H682" s="25">
        <f>IFERROR(VLOOKUP(E682,'ESTRUCTURA CODIGO'!$H$2:$L$612,4,FALSE)," ")</f>
        <v>0</v>
      </c>
    </row>
    <row r="683" spans="1:8" x14ac:dyDescent="0.3">
      <c r="A683" s="25">
        <v>681</v>
      </c>
      <c r="B683" s="25"/>
      <c r="C683" s="25"/>
      <c r="D683" s="25"/>
      <c r="E683" s="30" t="str">
        <f t="shared" si="12"/>
        <v>--</v>
      </c>
      <c r="F683" s="13">
        <f>IFERROR(VLOOKUP(E683,'ESTRUCTURA CODIGO'!$H$2:$J$1048576,2,FALSE)," ")</f>
        <v>0</v>
      </c>
      <c r="G683" s="25">
        <f>IFERROR(VLOOKUP(E683,'ESTRUCTURA CODIGO'!$H$2:$J$1048576,3,FALSE)," ")</f>
        <v>0</v>
      </c>
      <c r="H683" s="25">
        <f>IFERROR(VLOOKUP(E683,'ESTRUCTURA CODIGO'!$H$2:$L$612,4,FALSE)," ")</f>
        <v>0</v>
      </c>
    </row>
    <row r="684" spans="1:8" x14ac:dyDescent="0.3">
      <c r="A684" s="25">
        <v>682</v>
      </c>
      <c r="B684" s="25"/>
      <c r="C684" s="25"/>
      <c r="D684" s="25"/>
      <c r="E684" s="30" t="str">
        <f t="shared" si="12"/>
        <v>--</v>
      </c>
      <c r="F684" s="13">
        <f>IFERROR(VLOOKUP(E684,'ESTRUCTURA CODIGO'!$H$2:$J$1048576,2,FALSE)," ")</f>
        <v>0</v>
      </c>
      <c r="G684" s="25">
        <f>IFERROR(VLOOKUP(E684,'ESTRUCTURA CODIGO'!$H$2:$J$1048576,3,FALSE)," ")</f>
        <v>0</v>
      </c>
      <c r="H684" s="25">
        <f>IFERROR(VLOOKUP(E684,'ESTRUCTURA CODIGO'!$H$2:$L$612,4,FALSE)," ")</f>
        <v>0</v>
      </c>
    </row>
    <row r="685" spans="1:8" x14ac:dyDescent="0.3">
      <c r="A685" s="25">
        <v>683</v>
      </c>
      <c r="B685" s="25"/>
      <c r="C685" s="25"/>
      <c r="D685" s="25"/>
      <c r="E685" s="30" t="str">
        <f t="shared" si="12"/>
        <v>--</v>
      </c>
      <c r="F685" s="13">
        <f>IFERROR(VLOOKUP(E685,'ESTRUCTURA CODIGO'!$H$2:$J$1048576,2,FALSE)," ")</f>
        <v>0</v>
      </c>
      <c r="G685" s="25">
        <f>IFERROR(VLOOKUP(E685,'ESTRUCTURA CODIGO'!$H$2:$J$1048576,3,FALSE)," ")</f>
        <v>0</v>
      </c>
      <c r="H685" s="25">
        <f>IFERROR(VLOOKUP(E685,'ESTRUCTURA CODIGO'!$H$2:$L$612,4,FALSE)," ")</f>
        <v>0</v>
      </c>
    </row>
    <row r="686" spans="1:8" x14ac:dyDescent="0.3">
      <c r="A686" s="25">
        <v>684</v>
      </c>
      <c r="B686" s="25"/>
      <c r="C686" s="25"/>
      <c r="D686" s="25"/>
      <c r="E686" s="30" t="str">
        <f t="shared" si="12"/>
        <v>--</v>
      </c>
      <c r="F686" s="13">
        <f>IFERROR(VLOOKUP(E686,'ESTRUCTURA CODIGO'!$H$2:$J$1048576,2,FALSE)," ")</f>
        <v>0</v>
      </c>
      <c r="G686" s="25">
        <f>IFERROR(VLOOKUP(E686,'ESTRUCTURA CODIGO'!$H$2:$J$1048576,3,FALSE)," ")</f>
        <v>0</v>
      </c>
      <c r="H686" s="25">
        <f>IFERROR(VLOOKUP(E686,'ESTRUCTURA CODIGO'!$H$2:$L$612,4,FALSE)," ")</f>
        <v>0</v>
      </c>
    </row>
    <row r="687" spans="1:8" x14ac:dyDescent="0.3">
      <c r="A687" s="25">
        <v>685</v>
      </c>
      <c r="B687" s="25"/>
      <c r="C687" s="25"/>
      <c r="D687" s="25"/>
      <c r="E687" s="30" t="str">
        <f t="shared" si="12"/>
        <v>--</v>
      </c>
      <c r="F687" s="13">
        <f>IFERROR(VLOOKUP(E687,'ESTRUCTURA CODIGO'!$H$2:$J$1048576,2,FALSE)," ")</f>
        <v>0</v>
      </c>
      <c r="G687" s="25">
        <f>IFERROR(VLOOKUP(E687,'ESTRUCTURA CODIGO'!$H$2:$J$1048576,3,FALSE)," ")</f>
        <v>0</v>
      </c>
      <c r="H687" s="25">
        <f>IFERROR(VLOOKUP(E687,'ESTRUCTURA CODIGO'!$H$2:$L$612,4,FALSE)," ")</f>
        <v>0</v>
      </c>
    </row>
    <row r="688" spans="1:8" x14ac:dyDescent="0.3">
      <c r="A688" s="25">
        <v>686</v>
      </c>
      <c r="B688" s="25"/>
      <c r="C688" s="25"/>
      <c r="D688" s="25"/>
      <c r="E688" s="30" t="str">
        <f t="shared" si="12"/>
        <v>--</v>
      </c>
      <c r="F688" s="13">
        <f>IFERROR(VLOOKUP(E688,'ESTRUCTURA CODIGO'!$H$2:$J$1048576,2,FALSE)," ")</f>
        <v>0</v>
      </c>
      <c r="G688" s="25">
        <f>IFERROR(VLOOKUP(E688,'ESTRUCTURA CODIGO'!$H$2:$J$1048576,3,FALSE)," ")</f>
        <v>0</v>
      </c>
      <c r="H688" s="25">
        <f>IFERROR(VLOOKUP(E688,'ESTRUCTURA CODIGO'!$H$2:$L$612,4,FALSE)," ")</f>
        <v>0</v>
      </c>
    </row>
    <row r="689" spans="1:8" x14ac:dyDescent="0.3">
      <c r="A689" s="25">
        <v>687</v>
      </c>
      <c r="B689" s="25"/>
      <c r="C689" s="25"/>
      <c r="D689" s="25"/>
      <c r="E689" s="30" t="str">
        <f t="shared" si="12"/>
        <v>--</v>
      </c>
      <c r="F689" s="13">
        <f>IFERROR(VLOOKUP(E689,'ESTRUCTURA CODIGO'!$H$2:$J$1048576,2,FALSE)," ")</f>
        <v>0</v>
      </c>
      <c r="G689" s="25">
        <f>IFERROR(VLOOKUP(E689,'ESTRUCTURA CODIGO'!$H$2:$J$1048576,3,FALSE)," ")</f>
        <v>0</v>
      </c>
      <c r="H689" s="25">
        <f>IFERROR(VLOOKUP(E689,'ESTRUCTURA CODIGO'!$H$2:$L$612,4,FALSE)," ")</f>
        <v>0</v>
      </c>
    </row>
    <row r="690" spans="1:8" x14ac:dyDescent="0.3">
      <c r="A690" s="25">
        <v>688</v>
      </c>
      <c r="B690" s="25"/>
      <c r="C690" s="25"/>
      <c r="D690" s="25"/>
      <c r="E690" s="30" t="str">
        <f t="shared" si="12"/>
        <v>--</v>
      </c>
      <c r="F690" s="13">
        <f>IFERROR(VLOOKUP(E690,'ESTRUCTURA CODIGO'!$H$2:$J$1048576,2,FALSE)," ")</f>
        <v>0</v>
      </c>
      <c r="G690" s="25">
        <f>IFERROR(VLOOKUP(E690,'ESTRUCTURA CODIGO'!$H$2:$J$1048576,3,FALSE)," ")</f>
        <v>0</v>
      </c>
      <c r="H690" s="25">
        <f>IFERROR(VLOOKUP(E690,'ESTRUCTURA CODIGO'!$H$2:$L$612,4,FALSE)," ")</f>
        <v>0</v>
      </c>
    </row>
    <row r="691" spans="1:8" x14ac:dyDescent="0.3">
      <c r="A691" s="25">
        <v>689</v>
      </c>
      <c r="B691" s="25"/>
      <c r="C691" s="25"/>
      <c r="D691" s="25"/>
      <c r="E691" s="30" t="str">
        <f t="shared" si="12"/>
        <v>--</v>
      </c>
      <c r="F691" s="13">
        <f>IFERROR(VLOOKUP(E691,'ESTRUCTURA CODIGO'!$H$2:$J$1048576,2,FALSE)," ")</f>
        <v>0</v>
      </c>
      <c r="G691" s="25">
        <f>IFERROR(VLOOKUP(E691,'ESTRUCTURA CODIGO'!$H$2:$J$1048576,3,FALSE)," ")</f>
        <v>0</v>
      </c>
      <c r="H691" s="25">
        <f>IFERROR(VLOOKUP(E691,'ESTRUCTURA CODIGO'!$H$2:$L$612,4,FALSE)," ")</f>
        <v>0</v>
      </c>
    </row>
    <row r="692" spans="1:8" x14ac:dyDescent="0.3">
      <c r="A692" s="25">
        <v>690</v>
      </c>
      <c r="B692" s="25"/>
      <c r="C692" s="25"/>
      <c r="D692" s="25"/>
      <c r="E692" s="30" t="str">
        <f t="shared" ref="E692:E755" si="13">CONCATENATE(B692,"-",C692,"-",D692)</f>
        <v>--</v>
      </c>
      <c r="F692" s="13">
        <f>IFERROR(VLOOKUP(E692,'ESTRUCTURA CODIGO'!$H$2:$J$1048576,2,FALSE)," ")</f>
        <v>0</v>
      </c>
      <c r="G692" s="25">
        <f>IFERROR(VLOOKUP(E692,'ESTRUCTURA CODIGO'!$H$2:$J$1048576,3,FALSE)," ")</f>
        <v>0</v>
      </c>
      <c r="H692" s="25">
        <f>IFERROR(VLOOKUP(E692,'ESTRUCTURA CODIGO'!$H$2:$L$612,4,FALSE)," ")</f>
        <v>0</v>
      </c>
    </row>
    <row r="693" spans="1:8" x14ac:dyDescent="0.3">
      <c r="A693" s="25">
        <v>691</v>
      </c>
      <c r="B693" s="25"/>
      <c r="C693" s="25"/>
      <c r="D693" s="25"/>
      <c r="E693" s="30" t="str">
        <f t="shared" si="13"/>
        <v>--</v>
      </c>
      <c r="F693" s="13">
        <f>IFERROR(VLOOKUP(E693,'ESTRUCTURA CODIGO'!$H$2:$J$1048576,2,FALSE)," ")</f>
        <v>0</v>
      </c>
      <c r="G693" s="25">
        <f>IFERROR(VLOOKUP(E693,'ESTRUCTURA CODIGO'!$H$2:$J$1048576,3,FALSE)," ")</f>
        <v>0</v>
      </c>
      <c r="H693" s="25">
        <f>IFERROR(VLOOKUP(E693,'ESTRUCTURA CODIGO'!$H$2:$L$612,4,FALSE)," ")</f>
        <v>0</v>
      </c>
    </row>
    <row r="694" spans="1:8" x14ac:dyDescent="0.3">
      <c r="A694" s="25">
        <v>692</v>
      </c>
      <c r="B694" s="25"/>
      <c r="C694" s="25"/>
      <c r="D694" s="25"/>
      <c r="E694" s="30" t="str">
        <f t="shared" si="13"/>
        <v>--</v>
      </c>
      <c r="F694" s="13">
        <f>IFERROR(VLOOKUP(E694,'ESTRUCTURA CODIGO'!$H$2:$J$1048576,2,FALSE)," ")</f>
        <v>0</v>
      </c>
      <c r="G694" s="25">
        <f>IFERROR(VLOOKUP(E694,'ESTRUCTURA CODIGO'!$H$2:$J$1048576,3,FALSE)," ")</f>
        <v>0</v>
      </c>
      <c r="H694" s="25">
        <f>IFERROR(VLOOKUP(E694,'ESTRUCTURA CODIGO'!$H$2:$L$612,4,FALSE)," ")</f>
        <v>0</v>
      </c>
    </row>
    <row r="695" spans="1:8" x14ac:dyDescent="0.3">
      <c r="A695" s="25">
        <v>693</v>
      </c>
      <c r="B695" s="25"/>
      <c r="C695" s="25"/>
      <c r="D695" s="25"/>
      <c r="E695" s="30" t="str">
        <f t="shared" si="13"/>
        <v>--</v>
      </c>
      <c r="F695" s="13">
        <f>IFERROR(VLOOKUP(E695,'ESTRUCTURA CODIGO'!$H$2:$J$1048576,2,FALSE)," ")</f>
        <v>0</v>
      </c>
      <c r="G695" s="25">
        <f>IFERROR(VLOOKUP(E695,'ESTRUCTURA CODIGO'!$H$2:$J$1048576,3,FALSE)," ")</f>
        <v>0</v>
      </c>
      <c r="H695" s="25">
        <f>IFERROR(VLOOKUP(E695,'ESTRUCTURA CODIGO'!$H$2:$L$612,4,FALSE)," ")</f>
        <v>0</v>
      </c>
    </row>
    <row r="696" spans="1:8" x14ac:dyDescent="0.3">
      <c r="A696" s="25">
        <v>694</v>
      </c>
      <c r="B696" s="25"/>
      <c r="C696" s="25"/>
      <c r="D696" s="25"/>
      <c r="E696" s="30" t="str">
        <f t="shared" si="13"/>
        <v>--</v>
      </c>
      <c r="F696" s="13">
        <f>IFERROR(VLOOKUP(E696,'ESTRUCTURA CODIGO'!$H$2:$J$1048576,2,FALSE)," ")</f>
        <v>0</v>
      </c>
      <c r="G696" s="25">
        <f>IFERROR(VLOOKUP(E696,'ESTRUCTURA CODIGO'!$H$2:$J$1048576,3,FALSE)," ")</f>
        <v>0</v>
      </c>
      <c r="H696" s="25">
        <f>IFERROR(VLOOKUP(E696,'ESTRUCTURA CODIGO'!$H$2:$L$612,4,FALSE)," ")</f>
        <v>0</v>
      </c>
    </row>
    <row r="697" spans="1:8" x14ac:dyDescent="0.3">
      <c r="A697" s="25">
        <v>695</v>
      </c>
      <c r="B697" s="25"/>
      <c r="C697" s="25"/>
      <c r="D697" s="25"/>
      <c r="E697" s="30" t="str">
        <f t="shared" si="13"/>
        <v>--</v>
      </c>
      <c r="F697" s="13">
        <f>IFERROR(VLOOKUP(E697,'ESTRUCTURA CODIGO'!$H$2:$J$1048576,2,FALSE)," ")</f>
        <v>0</v>
      </c>
      <c r="G697" s="25">
        <f>IFERROR(VLOOKUP(E697,'ESTRUCTURA CODIGO'!$H$2:$J$1048576,3,FALSE)," ")</f>
        <v>0</v>
      </c>
      <c r="H697" s="25">
        <f>IFERROR(VLOOKUP(E697,'ESTRUCTURA CODIGO'!$H$2:$L$612,4,FALSE)," ")</f>
        <v>0</v>
      </c>
    </row>
    <row r="698" spans="1:8" x14ac:dyDescent="0.3">
      <c r="A698" s="25">
        <v>696</v>
      </c>
      <c r="B698" s="25"/>
      <c r="C698" s="25"/>
      <c r="D698" s="25"/>
      <c r="E698" s="30" t="str">
        <f t="shared" si="13"/>
        <v>--</v>
      </c>
      <c r="F698" s="13">
        <f>IFERROR(VLOOKUP(E698,'ESTRUCTURA CODIGO'!$H$2:$J$1048576,2,FALSE)," ")</f>
        <v>0</v>
      </c>
      <c r="G698" s="25">
        <f>IFERROR(VLOOKUP(E698,'ESTRUCTURA CODIGO'!$H$2:$J$1048576,3,FALSE)," ")</f>
        <v>0</v>
      </c>
      <c r="H698" s="25">
        <f>IFERROR(VLOOKUP(E698,'ESTRUCTURA CODIGO'!$H$2:$L$612,4,FALSE)," ")</f>
        <v>0</v>
      </c>
    </row>
    <row r="699" spans="1:8" x14ac:dyDescent="0.3">
      <c r="A699" s="25">
        <v>697</v>
      </c>
      <c r="B699" s="25"/>
      <c r="C699" s="25"/>
      <c r="D699" s="25"/>
      <c r="E699" s="30" t="str">
        <f t="shared" si="13"/>
        <v>--</v>
      </c>
      <c r="F699" s="13">
        <f>IFERROR(VLOOKUP(E699,'ESTRUCTURA CODIGO'!$H$2:$J$1048576,2,FALSE)," ")</f>
        <v>0</v>
      </c>
      <c r="G699" s="25">
        <f>IFERROR(VLOOKUP(E699,'ESTRUCTURA CODIGO'!$H$2:$J$1048576,3,FALSE)," ")</f>
        <v>0</v>
      </c>
      <c r="H699" s="25">
        <f>IFERROR(VLOOKUP(E699,'ESTRUCTURA CODIGO'!$H$2:$L$612,4,FALSE)," ")</f>
        <v>0</v>
      </c>
    </row>
    <row r="700" spans="1:8" x14ac:dyDescent="0.3">
      <c r="A700" s="25">
        <v>698</v>
      </c>
      <c r="B700" s="25"/>
      <c r="C700" s="25"/>
      <c r="D700" s="25"/>
      <c r="E700" s="30" t="str">
        <f t="shared" si="13"/>
        <v>--</v>
      </c>
      <c r="F700" s="13">
        <f>IFERROR(VLOOKUP(E700,'ESTRUCTURA CODIGO'!$H$2:$J$1048576,2,FALSE)," ")</f>
        <v>0</v>
      </c>
      <c r="G700" s="25">
        <f>IFERROR(VLOOKUP(E700,'ESTRUCTURA CODIGO'!$H$2:$J$1048576,3,FALSE)," ")</f>
        <v>0</v>
      </c>
      <c r="H700" s="25">
        <f>IFERROR(VLOOKUP(E700,'ESTRUCTURA CODIGO'!$H$2:$L$612,4,FALSE)," ")</f>
        <v>0</v>
      </c>
    </row>
    <row r="701" spans="1:8" x14ac:dyDescent="0.3">
      <c r="A701" s="25">
        <v>699</v>
      </c>
      <c r="B701" s="25"/>
      <c r="C701" s="25"/>
      <c r="D701" s="25"/>
      <c r="E701" s="30" t="str">
        <f t="shared" si="13"/>
        <v>--</v>
      </c>
      <c r="F701" s="13">
        <f>IFERROR(VLOOKUP(E701,'ESTRUCTURA CODIGO'!$H$2:$J$1048576,2,FALSE)," ")</f>
        <v>0</v>
      </c>
      <c r="G701" s="25">
        <f>IFERROR(VLOOKUP(E701,'ESTRUCTURA CODIGO'!$H$2:$J$1048576,3,FALSE)," ")</f>
        <v>0</v>
      </c>
      <c r="H701" s="25">
        <f>IFERROR(VLOOKUP(E701,'ESTRUCTURA CODIGO'!$H$2:$L$612,4,FALSE)," ")</f>
        <v>0</v>
      </c>
    </row>
    <row r="702" spans="1:8" x14ac:dyDescent="0.3">
      <c r="A702" s="25">
        <v>700</v>
      </c>
      <c r="B702" s="25"/>
      <c r="C702" s="25"/>
      <c r="D702" s="25"/>
      <c r="E702" s="30" t="str">
        <f t="shared" si="13"/>
        <v>--</v>
      </c>
      <c r="F702" s="13">
        <f>IFERROR(VLOOKUP(E702,'ESTRUCTURA CODIGO'!$H$2:$J$1048576,2,FALSE)," ")</f>
        <v>0</v>
      </c>
      <c r="G702" s="25">
        <f>IFERROR(VLOOKUP(E702,'ESTRUCTURA CODIGO'!$H$2:$J$1048576,3,FALSE)," ")</f>
        <v>0</v>
      </c>
      <c r="H702" s="25">
        <f>IFERROR(VLOOKUP(E702,'ESTRUCTURA CODIGO'!$H$2:$L$612,4,FALSE)," ")</f>
        <v>0</v>
      </c>
    </row>
    <row r="703" spans="1:8" x14ac:dyDescent="0.3">
      <c r="A703" s="25">
        <v>701</v>
      </c>
      <c r="B703" s="25"/>
      <c r="C703" s="25"/>
      <c r="D703" s="25"/>
      <c r="E703" s="30" t="str">
        <f t="shared" si="13"/>
        <v>--</v>
      </c>
      <c r="F703" s="13">
        <f>IFERROR(VLOOKUP(E703,'ESTRUCTURA CODIGO'!$H$2:$J$1048576,2,FALSE)," ")</f>
        <v>0</v>
      </c>
      <c r="G703" s="25">
        <f>IFERROR(VLOOKUP(E703,'ESTRUCTURA CODIGO'!$H$2:$J$1048576,3,FALSE)," ")</f>
        <v>0</v>
      </c>
      <c r="H703" s="25">
        <f>IFERROR(VLOOKUP(E703,'ESTRUCTURA CODIGO'!$H$2:$L$612,4,FALSE)," ")</f>
        <v>0</v>
      </c>
    </row>
    <row r="704" spans="1:8" x14ac:dyDescent="0.3">
      <c r="A704" s="25">
        <v>702</v>
      </c>
      <c r="B704" s="25"/>
      <c r="C704" s="25"/>
      <c r="D704" s="25"/>
      <c r="E704" s="30" t="str">
        <f t="shared" si="13"/>
        <v>--</v>
      </c>
      <c r="F704" s="13">
        <f>IFERROR(VLOOKUP(E704,'ESTRUCTURA CODIGO'!$H$2:$J$1048576,2,FALSE)," ")</f>
        <v>0</v>
      </c>
      <c r="G704" s="25">
        <f>IFERROR(VLOOKUP(E704,'ESTRUCTURA CODIGO'!$H$2:$J$1048576,3,FALSE)," ")</f>
        <v>0</v>
      </c>
      <c r="H704" s="25">
        <f>IFERROR(VLOOKUP(E704,'ESTRUCTURA CODIGO'!$H$2:$L$612,4,FALSE)," ")</f>
        <v>0</v>
      </c>
    </row>
    <row r="705" spans="1:8" x14ac:dyDescent="0.3">
      <c r="A705" s="25">
        <v>703</v>
      </c>
      <c r="B705" s="25"/>
      <c r="C705" s="25"/>
      <c r="D705" s="25"/>
      <c r="E705" s="30" t="str">
        <f t="shared" si="13"/>
        <v>--</v>
      </c>
      <c r="F705" s="13">
        <f>IFERROR(VLOOKUP(E705,'ESTRUCTURA CODIGO'!$H$2:$J$1048576,2,FALSE)," ")</f>
        <v>0</v>
      </c>
      <c r="G705" s="25">
        <f>IFERROR(VLOOKUP(E705,'ESTRUCTURA CODIGO'!$H$2:$J$1048576,3,FALSE)," ")</f>
        <v>0</v>
      </c>
      <c r="H705" s="25">
        <f>IFERROR(VLOOKUP(E705,'ESTRUCTURA CODIGO'!$H$2:$L$612,4,FALSE)," ")</f>
        <v>0</v>
      </c>
    </row>
    <row r="706" spans="1:8" x14ac:dyDescent="0.3">
      <c r="A706" s="25">
        <v>704</v>
      </c>
      <c r="B706" s="25"/>
      <c r="C706" s="25"/>
      <c r="D706" s="25"/>
      <c r="E706" s="30" t="str">
        <f t="shared" si="13"/>
        <v>--</v>
      </c>
      <c r="F706" s="13">
        <f>IFERROR(VLOOKUP(E706,'ESTRUCTURA CODIGO'!$H$2:$J$1048576,2,FALSE)," ")</f>
        <v>0</v>
      </c>
      <c r="G706" s="25">
        <f>IFERROR(VLOOKUP(E706,'ESTRUCTURA CODIGO'!$H$2:$J$1048576,3,FALSE)," ")</f>
        <v>0</v>
      </c>
      <c r="H706" s="25">
        <f>IFERROR(VLOOKUP(E706,'ESTRUCTURA CODIGO'!$H$2:$L$612,4,FALSE)," ")</f>
        <v>0</v>
      </c>
    </row>
    <row r="707" spans="1:8" x14ac:dyDescent="0.3">
      <c r="A707" s="25">
        <v>705</v>
      </c>
      <c r="B707" s="25"/>
      <c r="C707" s="25"/>
      <c r="D707" s="25"/>
      <c r="E707" s="30" t="str">
        <f t="shared" si="13"/>
        <v>--</v>
      </c>
      <c r="F707" s="13">
        <f>IFERROR(VLOOKUP(E707,'ESTRUCTURA CODIGO'!$H$2:$J$1048576,2,FALSE)," ")</f>
        <v>0</v>
      </c>
      <c r="G707" s="25">
        <f>IFERROR(VLOOKUP(E707,'ESTRUCTURA CODIGO'!$H$2:$J$1048576,3,FALSE)," ")</f>
        <v>0</v>
      </c>
      <c r="H707" s="25">
        <f>IFERROR(VLOOKUP(E707,'ESTRUCTURA CODIGO'!$H$2:$L$612,4,FALSE)," ")</f>
        <v>0</v>
      </c>
    </row>
    <row r="708" spans="1:8" x14ac:dyDescent="0.3">
      <c r="A708" s="25">
        <v>706</v>
      </c>
      <c r="B708" s="25"/>
      <c r="C708" s="25"/>
      <c r="D708" s="25"/>
      <c r="E708" s="30" t="str">
        <f t="shared" si="13"/>
        <v>--</v>
      </c>
      <c r="F708" s="13">
        <f>IFERROR(VLOOKUP(E708,'ESTRUCTURA CODIGO'!$H$2:$J$1048576,2,FALSE)," ")</f>
        <v>0</v>
      </c>
      <c r="G708" s="25">
        <f>IFERROR(VLOOKUP(E708,'ESTRUCTURA CODIGO'!$H$2:$J$1048576,3,FALSE)," ")</f>
        <v>0</v>
      </c>
      <c r="H708" s="25">
        <f>IFERROR(VLOOKUP(E708,'ESTRUCTURA CODIGO'!$H$2:$L$612,4,FALSE)," ")</f>
        <v>0</v>
      </c>
    </row>
    <row r="709" spans="1:8" x14ac:dyDescent="0.3">
      <c r="A709" s="25">
        <v>707</v>
      </c>
      <c r="B709" s="25"/>
      <c r="C709" s="25"/>
      <c r="D709" s="25"/>
      <c r="E709" s="30" t="str">
        <f t="shared" si="13"/>
        <v>--</v>
      </c>
      <c r="F709" s="13">
        <f>IFERROR(VLOOKUP(E709,'ESTRUCTURA CODIGO'!$H$2:$J$1048576,2,FALSE)," ")</f>
        <v>0</v>
      </c>
      <c r="G709" s="25">
        <f>IFERROR(VLOOKUP(E709,'ESTRUCTURA CODIGO'!$H$2:$J$1048576,3,FALSE)," ")</f>
        <v>0</v>
      </c>
      <c r="H709" s="25">
        <f>IFERROR(VLOOKUP(E709,'ESTRUCTURA CODIGO'!$H$2:$L$612,4,FALSE)," ")</f>
        <v>0</v>
      </c>
    </row>
    <row r="710" spans="1:8" x14ac:dyDescent="0.3">
      <c r="A710" s="25">
        <v>708</v>
      </c>
      <c r="B710" s="25"/>
      <c r="C710" s="25"/>
      <c r="D710" s="25"/>
      <c r="E710" s="30" t="str">
        <f t="shared" si="13"/>
        <v>--</v>
      </c>
      <c r="F710" s="13">
        <f>IFERROR(VLOOKUP(E710,'ESTRUCTURA CODIGO'!$H$2:$J$1048576,2,FALSE)," ")</f>
        <v>0</v>
      </c>
      <c r="G710" s="25">
        <f>IFERROR(VLOOKUP(E710,'ESTRUCTURA CODIGO'!$H$2:$J$1048576,3,FALSE)," ")</f>
        <v>0</v>
      </c>
      <c r="H710" s="25">
        <f>IFERROR(VLOOKUP(E710,'ESTRUCTURA CODIGO'!$H$2:$L$612,4,FALSE)," ")</f>
        <v>0</v>
      </c>
    </row>
    <row r="711" spans="1:8" x14ac:dyDescent="0.3">
      <c r="A711" s="25">
        <v>709</v>
      </c>
      <c r="B711" s="25"/>
      <c r="C711" s="25"/>
      <c r="D711" s="25"/>
      <c r="E711" s="30" t="str">
        <f t="shared" si="13"/>
        <v>--</v>
      </c>
      <c r="F711" s="13">
        <f>IFERROR(VLOOKUP(E711,'ESTRUCTURA CODIGO'!$H$2:$J$1048576,2,FALSE)," ")</f>
        <v>0</v>
      </c>
      <c r="G711" s="25">
        <f>IFERROR(VLOOKUP(E711,'ESTRUCTURA CODIGO'!$H$2:$J$1048576,3,FALSE)," ")</f>
        <v>0</v>
      </c>
      <c r="H711" s="25">
        <f>IFERROR(VLOOKUP(E711,'ESTRUCTURA CODIGO'!$H$2:$L$612,4,FALSE)," ")</f>
        <v>0</v>
      </c>
    </row>
    <row r="712" spans="1:8" x14ac:dyDescent="0.3">
      <c r="A712" s="25">
        <v>710</v>
      </c>
      <c r="B712" s="25"/>
      <c r="C712" s="25"/>
      <c r="D712" s="25"/>
      <c r="E712" s="30" t="str">
        <f t="shared" si="13"/>
        <v>--</v>
      </c>
      <c r="F712" s="13">
        <f>IFERROR(VLOOKUP(E712,'ESTRUCTURA CODIGO'!$H$2:$J$1048576,2,FALSE)," ")</f>
        <v>0</v>
      </c>
      <c r="G712" s="25">
        <f>IFERROR(VLOOKUP(E712,'ESTRUCTURA CODIGO'!$H$2:$J$1048576,3,FALSE)," ")</f>
        <v>0</v>
      </c>
      <c r="H712" s="25">
        <f>IFERROR(VLOOKUP(E712,'ESTRUCTURA CODIGO'!$H$2:$L$612,4,FALSE)," ")</f>
        <v>0</v>
      </c>
    </row>
    <row r="713" spans="1:8" x14ac:dyDescent="0.3">
      <c r="A713" s="25">
        <v>711</v>
      </c>
      <c r="B713" s="25"/>
      <c r="C713" s="25"/>
      <c r="D713" s="25"/>
      <c r="E713" s="30" t="str">
        <f t="shared" si="13"/>
        <v>--</v>
      </c>
      <c r="F713" s="13">
        <f>IFERROR(VLOOKUP(E713,'ESTRUCTURA CODIGO'!$H$2:$J$1048576,2,FALSE)," ")</f>
        <v>0</v>
      </c>
      <c r="G713" s="25">
        <f>IFERROR(VLOOKUP(E713,'ESTRUCTURA CODIGO'!$H$2:$J$1048576,3,FALSE)," ")</f>
        <v>0</v>
      </c>
      <c r="H713" s="25">
        <f>IFERROR(VLOOKUP(E713,'ESTRUCTURA CODIGO'!$H$2:$L$612,4,FALSE)," ")</f>
        <v>0</v>
      </c>
    </row>
    <row r="714" spans="1:8" x14ac:dyDescent="0.3">
      <c r="A714" s="25">
        <v>712</v>
      </c>
      <c r="B714" s="25"/>
      <c r="C714" s="25"/>
      <c r="D714" s="25"/>
      <c r="E714" s="30" t="str">
        <f t="shared" si="13"/>
        <v>--</v>
      </c>
      <c r="F714" s="13">
        <f>IFERROR(VLOOKUP(E714,'ESTRUCTURA CODIGO'!$H$2:$J$1048576,2,FALSE)," ")</f>
        <v>0</v>
      </c>
      <c r="G714" s="25">
        <f>IFERROR(VLOOKUP(E714,'ESTRUCTURA CODIGO'!$H$2:$J$1048576,3,FALSE)," ")</f>
        <v>0</v>
      </c>
      <c r="H714" s="25">
        <f>IFERROR(VLOOKUP(E714,'ESTRUCTURA CODIGO'!$H$2:$L$612,4,FALSE)," ")</f>
        <v>0</v>
      </c>
    </row>
    <row r="715" spans="1:8" x14ac:dyDescent="0.3">
      <c r="A715" s="25">
        <v>713</v>
      </c>
      <c r="B715" s="25"/>
      <c r="C715" s="25"/>
      <c r="D715" s="25"/>
      <c r="E715" s="30" t="str">
        <f t="shared" si="13"/>
        <v>--</v>
      </c>
      <c r="F715" s="13">
        <f>IFERROR(VLOOKUP(E715,'ESTRUCTURA CODIGO'!$H$2:$J$1048576,2,FALSE)," ")</f>
        <v>0</v>
      </c>
      <c r="G715" s="25">
        <f>IFERROR(VLOOKUP(E715,'ESTRUCTURA CODIGO'!$H$2:$J$1048576,3,FALSE)," ")</f>
        <v>0</v>
      </c>
      <c r="H715" s="25">
        <f>IFERROR(VLOOKUP(E715,'ESTRUCTURA CODIGO'!$H$2:$L$612,4,FALSE)," ")</f>
        <v>0</v>
      </c>
    </row>
    <row r="716" spans="1:8" x14ac:dyDescent="0.3">
      <c r="A716" s="25">
        <v>714</v>
      </c>
      <c r="B716" s="25"/>
      <c r="C716" s="25"/>
      <c r="D716" s="25"/>
      <c r="E716" s="30" t="str">
        <f t="shared" si="13"/>
        <v>--</v>
      </c>
      <c r="F716" s="13">
        <f>IFERROR(VLOOKUP(E716,'ESTRUCTURA CODIGO'!$H$2:$J$1048576,2,FALSE)," ")</f>
        <v>0</v>
      </c>
      <c r="G716" s="25">
        <f>IFERROR(VLOOKUP(E716,'ESTRUCTURA CODIGO'!$H$2:$J$1048576,3,FALSE)," ")</f>
        <v>0</v>
      </c>
      <c r="H716" s="25">
        <f>IFERROR(VLOOKUP(E716,'ESTRUCTURA CODIGO'!$H$2:$L$612,4,FALSE)," ")</f>
        <v>0</v>
      </c>
    </row>
    <row r="717" spans="1:8" x14ac:dyDescent="0.3">
      <c r="A717" s="25">
        <v>715</v>
      </c>
      <c r="B717" s="25"/>
      <c r="C717" s="25"/>
      <c r="D717" s="25"/>
      <c r="E717" s="30" t="str">
        <f t="shared" si="13"/>
        <v>--</v>
      </c>
      <c r="F717" s="13">
        <f>IFERROR(VLOOKUP(E717,'ESTRUCTURA CODIGO'!$H$2:$J$1048576,2,FALSE)," ")</f>
        <v>0</v>
      </c>
      <c r="G717" s="25">
        <f>IFERROR(VLOOKUP(E717,'ESTRUCTURA CODIGO'!$H$2:$J$1048576,3,FALSE)," ")</f>
        <v>0</v>
      </c>
      <c r="H717" s="25">
        <f>IFERROR(VLOOKUP(E717,'ESTRUCTURA CODIGO'!$H$2:$L$612,4,FALSE)," ")</f>
        <v>0</v>
      </c>
    </row>
    <row r="718" spans="1:8" x14ac:dyDescent="0.3">
      <c r="A718" s="25">
        <v>716</v>
      </c>
      <c r="B718" s="25"/>
      <c r="C718" s="25"/>
      <c r="D718" s="25"/>
      <c r="E718" s="30" t="str">
        <f t="shared" si="13"/>
        <v>--</v>
      </c>
      <c r="F718" s="13">
        <f>IFERROR(VLOOKUP(E718,'ESTRUCTURA CODIGO'!$H$2:$J$1048576,2,FALSE)," ")</f>
        <v>0</v>
      </c>
      <c r="G718" s="25">
        <f>IFERROR(VLOOKUP(E718,'ESTRUCTURA CODIGO'!$H$2:$J$1048576,3,FALSE)," ")</f>
        <v>0</v>
      </c>
      <c r="H718" s="25">
        <f>IFERROR(VLOOKUP(E718,'ESTRUCTURA CODIGO'!$H$2:$L$612,4,FALSE)," ")</f>
        <v>0</v>
      </c>
    </row>
    <row r="719" spans="1:8" x14ac:dyDescent="0.3">
      <c r="A719" s="25">
        <v>717</v>
      </c>
      <c r="B719" s="25"/>
      <c r="C719" s="25"/>
      <c r="D719" s="25"/>
      <c r="E719" s="30" t="str">
        <f t="shared" si="13"/>
        <v>--</v>
      </c>
      <c r="F719" s="13">
        <f>IFERROR(VLOOKUP(E719,'ESTRUCTURA CODIGO'!$H$2:$J$1048576,2,FALSE)," ")</f>
        <v>0</v>
      </c>
      <c r="G719" s="25">
        <f>IFERROR(VLOOKUP(E719,'ESTRUCTURA CODIGO'!$H$2:$J$1048576,3,FALSE)," ")</f>
        <v>0</v>
      </c>
      <c r="H719" s="25">
        <f>IFERROR(VLOOKUP(E719,'ESTRUCTURA CODIGO'!$H$2:$L$612,4,FALSE)," ")</f>
        <v>0</v>
      </c>
    </row>
    <row r="720" spans="1:8" x14ac:dyDescent="0.3">
      <c r="A720" s="25">
        <v>718</v>
      </c>
      <c r="B720" s="25"/>
      <c r="C720" s="25"/>
      <c r="D720" s="25"/>
      <c r="E720" s="30" t="str">
        <f t="shared" si="13"/>
        <v>--</v>
      </c>
      <c r="F720" s="13">
        <f>IFERROR(VLOOKUP(E720,'ESTRUCTURA CODIGO'!$H$2:$J$1048576,2,FALSE)," ")</f>
        <v>0</v>
      </c>
      <c r="G720" s="25">
        <f>IFERROR(VLOOKUP(E720,'ESTRUCTURA CODIGO'!$H$2:$J$1048576,3,FALSE)," ")</f>
        <v>0</v>
      </c>
      <c r="H720" s="25">
        <f>IFERROR(VLOOKUP(E720,'ESTRUCTURA CODIGO'!$H$2:$L$612,4,FALSE)," ")</f>
        <v>0</v>
      </c>
    </row>
    <row r="721" spans="1:8" x14ac:dyDescent="0.3">
      <c r="A721" s="25">
        <v>719</v>
      </c>
      <c r="B721" s="25"/>
      <c r="C721" s="25"/>
      <c r="D721" s="25"/>
      <c r="E721" s="30" t="str">
        <f t="shared" si="13"/>
        <v>--</v>
      </c>
      <c r="F721" s="13">
        <f>IFERROR(VLOOKUP(E721,'ESTRUCTURA CODIGO'!$H$2:$J$1048576,2,FALSE)," ")</f>
        <v>0</v>
      </c>
      <c r="G721" s="25">
        <f>IFERROR(VLOOKUP(E721,'ESTRUCTURA CODIGO'!$H$2:$J$1048576,3,FALSE)," ")</f>
        <v>0</v>
      </c>
      <c r="H721" s="25">
        <f>IFERROR(VLOOKUP(E721,'ESTRUCTURA CODIGO'!$H$2:$L$612,4,FALSE)," ")</f>
        <v>0</v>
      </c>
    </row>
    <row r="722" spans="1:8" x14ac:dyDescent="0.3">
      <c r="A722" s="25">
        <v>720</v>
      </c>
      <c r="B722" s="25"/>
      <c r="C722" s="25"/>
      <c r="D722" s="25"/>
      <c r="E722" s="30" t="str">
        <f t="shared" si="13"/>
        <v>--</v>
      </c>
      <c r="F722" s="13">
        <f>IFERROR(VLOOKUP(E722,'ESTRUCTURA CODIGO'!$H$2:$J$1048576,2,FALSE)," ")</f>
        <v>0</v>
      </c>
      <c r="G722" s="25">
        <f>IFERROR(VLOOKUP(E722,'ESTRUCTURA CODIGO'!$H$2:$J$1048576,3,FALSE)," ")</f>
        <v>0</v>
      </c>
      <c r="H722" s="25">
        <f>IFERROR(VLOOKUP(E722,'ESTRUCTURA CODIGO'!$H$2:$L$612,4,FALSE)," ")</f>
        <v>0</v>
      </c>
    </row>
    <row r="723" spans="1:8" x14ac:dyDescent="0.3">
      <c r="A723" s="25">
        <v>721</v>
      </c>
      <c r="B723" s="25"/>
      <c r="C723" s="25"/>
      <c r="D723" s="25"/>
      <c r="E723" s="30" t="str">
        <f t="shared" si="13"/>
        <v>--</v>
      </c>
      <c r="F723" s="13">
        <f>IFERROR(VLOOKUP(E723,'ESTRUCTURA CODIGO'!$H$2:$J$1048576,2,FALSE)," ")</f>
        <v>0</v>
      </c>
      <c r="G723" s="25">
        <f>IFERROR(VLOOKUP(E723,'ESTRUCTURA CODIGO'!$H$2:$J$1048576,3,FALSE)," ")</f>
        <v>0</v>
      </c>
      <c r="H723" s="25">
        <f>IFERROR(VLOOKUP(E723,'ESTRUCTURA CODIGO'!$H$2:$L$612,4,FALSE)," ")</f>
        <v>0</v>
      </c>
    </row>
    <row r="724" spans="1:8" x14ac:dyDescent="0.3">
      <c r="A724" s="25">
        <v>722</v>
      </c>
      <c r="B724" s="25"/>
      <c r="C724" s="25"/>
      <c r="D724" s="25"/>
      <c r="E724" s="30" t="str">
        <f t="shared" si="13"/>
        <v>--</v>
      </c>
      <c r="F724" s="13">
        <f>IFERROR(VLOOKUP(E724,'ESTRUCTURA CODIGO'!$H$2:$J$1048576,2,FALSE)," ")</f>
        <v>0</v>
      </c>
      <c r="G724" s="25">
        <f>IFERROR(VLOOKUP(E724,'ESTRUCTURA CODIGO'!$H$2:$J$1048576,3,FALSE)," ")</f>
        <v>0</v>
      </c>
      <c r="H724" s="25">
        <f>IFERROR(VLOOKUP(E724,'ESTRUCTURA CODIGO'!$H$2:$L$612,4,FALSE)," ")</f>
        <v>0</v>
      </c>
    </row>
    <row r="725" spans="1:8" x14ac:dyDescent="0.3">
      <c r="A725" s="25">
        <v>723</v>
      </c>
      <c r="B725" s="25"/>
      <c r="C725" s="25"/>
      <c r="D725" s="25"/>
      <c r="E725" s="30" t="str">
        <f t="shared" si="13"/>
        <v>--</v>
      </c>
      <c r="F725" s="13">
        <f>IFERROR(VLOOKUP(E725,'ESTRUCTURA CODIGO'!$H$2:$J$1048576,2,FALSE)," ")</f>
        <v>0</v>
      </c>
      <c r="G725" s="25">
        <f>IFERROR(VLOOKUP(E725,'ESTRUCTURA CODIGO'!$H$2:$J$1048576,3,FALSE)," ")</f>
        <v>0</v>
      </c>
      <c r="H725" s="25">
        <f>IFERROR(VLOOKUP(E725,'ESTRUCTURA CODIGO'!$H$2:$L$612,4,FALSE)," ")</f>
        <v>0</v>
      </c>
    </row>
    <row r="726" spans="1:8" x14ac:dyDescent="0.3">
      <c r="A726" s="25">
        <v>724</v>
      </c>
      <c r="B726" s="25"/>
      <c r="C726" s="25"/>
      <c r="D726" s="25"/>
      <c r="E726" s="30" t="str">
        <f t="shared" si="13"/>
        <v>--</v>
      </c>
      <c r="F726" s="13">
        <f>IFERROR(VLOOKUP(E726,'ESTRUCTURA CODIGO'!$H$2:$J$1048576,2,FALSE)," ")</f>
        <v>0</v>
      </c>
      <c r="G726" s="25">
        <f>IFERROR(VLOOKUP(E726,'ESTRUCTURA CODIGO'!$H$2:$J$1048576,3,FALSE)," ")</f>
        <v>0</v>
      </c>
      <c r="H726" s="25">
        <f>IFERROR(VLOOKUP(E726,'ESTRUCTURA CODIGO'!$H$2:$L$612,4,FALSE)," ")</f>
        <v>0</v>
      </c>
    </row>
    <row r="727" spans="1:8" x14ac:dyDescent="0.3">
      <c r="A727" s="25">
        <v>725</v>
      </c>
      <c r="B727" s="25"/>
      <c r="C727" s="25"/>
      <c r="D727" s="25"/>
      <c r="E727" s="30" t="str">
        <f t="shared" si="13"/>
        <v>--</v>
      </c>
      <c r="F727" s="13">
        <f>IFERROR(VLOOKUP(E727,'ESTRUCTURA CODIGO'!$H$2:$J$1048576,2,FALSE)," ")</f>
        <v>0</v>
      </c>
      <c r="G727" s="25">
        <f>IFERROR(VLOOKUP(E727,'ESTRUCTURA CODIGO'!$H$2:$J$1048576,3,FALSE)," ")</f>
        <v>0</v>
      </c>
      <c r="H727" s="25">
        <f>IFERROR(VLOOKUP(E727,'ESTRUCTURA CODIGO'!$H$2:$L$612,4,FALSE)," ")</f>
        <v>0</v>
      </c>
    </row>
    <row r="728" spans="1:8" x14ac:dyDescent="0.3">
      <c r="A728" s="25">
        <v>726</v>
      </c>
      <c r="B728" s="25"/>
      <c r="C728" s="25"/>
      <c r="D728" s="25"/>
      <c r="E728" s="30" t="str">
        <f t="shared" si="13"/>
        <v>--</v>
      </c>
      <c r="F728" s="13">
        <f>IFERROR(VLOOKUP(E728,'ESTRUCTURA CODIGO'!$H$2:$J$1048576,2,FALSE)," ")</f>
        <v>0</v>
      </c>
      <c r="G728" s="25">
        <f>IFERROR(VLOOKUP(E728,'ESTRUCTURA CODIGO'!$H$2:$J$1048576,3,FALSE)," ")</f>
        <v>0</v>
      </c>
      <c r="H728" s="25">
        <f>IFERROR(VLOOKUP(E728,'ESTRUCTURA CODIGO'!$H$2:$L$612,4,FALSE)," ")</f>
        <v>0</v>
      </c>
    </row>
    <row r="729" spans="1:8" x14ac:dyDescent="0.3">
      <c r="A729" s="25">
        <v>727</v>
      </c>
      <c r="B729" s="25"/>
      <c r="C729" s="25"/>
      <c r="D729" s="25"/>
      <c r="E729" s="30" t="str">
        <f t="shared" si="13"/>
        <v>--</v>
      </c>
      <c r="F729" s="13">
        <f>IFERROR(VLOOKUP(E729,'ESTRUCTURA CODIGO'!$H$2:$J$1048576,2,FALSE)," ")</f>
        <v>0</v>
      </c>
      <c r="G729" s="25">
        <f>IFERROR(VLOOKUP(E729,'ESTRUCTURA CODIGO'!$H$2:$J$1048576,3,FALSE)," ")</f>
        <v>0</v>
      </c>
      <c r="H729" s="25">
        <f>IFERROR(VLOOKUP(E729,'ESTRUCTURA CODIGO'!$H$2:$L$612,4,FALSE)," ")</f>
        <v>0</v>
      </c>
    </row>
    <row r="730" spans="1:8" x14ac:dyDescent="0.3">
      <c r="A730" s="25">
        <v>728</v>
      </c>
      <c r="B730" s="25"/>
      <c r="C730" s="25"/>
      <c r="D730" s="25"/>
      <c r="E730" s="30" t="str">
        <f t="shared" si="13"/>
        <v>--</v>
      </c>
      <c r="F730" s="13">
        <f>IFERROR(VLOOKUP(E730,'ESTRUCTURA CODIGO'!$H$2:$J$1048576,2,FALSE)," ")</f>
        <v>0</v>
      </c>
      <c r="G730" s="25">
        <f>IFERROR(VLOOKUP(E730,'ESTRUCTURA CODIGO'!$H$2:$J$1048576,3,FALSE)," ")</f>
        <v>0</v>
      </c>
      <c r="H730" s="25">
        <f>IFERROR(VLOOKUP(E730,'ESTRUCTURA CODIGO'!$H$2:$L$612,4,FALSE)," ")</f>
        <v>0</v>
      </c>
    </row>
    <row r="731" spans="1:8" x14ac:dyDescent="0.3">
      <c r="A731" s="25">
        <v>729</v>
      </c>
      <c r="B731" s="25"/>
      <c r="C731" s="25"/>
      <c r="D731" s="25"/>
      <c r="E731" s="30" t="str">
        <f t="shared" si="13"/>
        <v>--</v>
      </c>
      <c r="F731" s="13">
        <f>IFERROR(VLOOKUP(E731,'ESTRUCTURA CODIGO'!$H$2:$J$1048576,2,FALSE)," ")</f>
        <v>0</v>
      </c>
      <c r="G731" s="25">
        <f>IFERROR(VLOOKUP(E731,'ESTRUCTURA CODIGO'!$H$2:$J$1048576,3,FALSE)," ")</f>
        <v>0</v>
      </c>
      <c r="H731" s="25">
        <f>IFERROR(VLOOKUP(E731,'ESTRUCTURA CODIGO'!$H$2:$L$612,4,FALSE)," ")</f>
        <v>0</v>
      </c>
    </row>
    <row r="732" spans="1:8" x14ac:dyDescent="0.3">
      <c r="A732" s="25">
        <v>730</v>
      </c>
      <c r="B732" s="25"/>
      <c r="C732" s="25"/>
      <c r="D732" s="25"/>
      <c r="E732" s="30" t="str">
        <f t="shared" si="13"/>
        <v>--</v>
      </c>
      <c r="F732" s="13">
        <f>IFERROR(VLOOKUP(E732,'ESTRUCTURA CODIGO'!$H$2:$J$1048576,2,FALSE)," ")</f>
        <v>0</v>
      </c>
      <c r="G732" s="25">
        <f>IFERROR(VLOOKUP(E732,'ESTRUCTURA CODIGO'!$H$2:$J$1048576,3,FALSE)," ")</f>
        <v>0</v>
      </c>
      <c r="H732" s="25">
        <f>IFERROR(VLOOKUP(E732,'ESTRUCTURA CODIGO'!$H$2:$L$612,4,FALSE)," ")</f>
        <v>0</v>
      </c>
    </row>
    <row r="733" spans="1:8" x14ac:dyDescent="0.3">
      <c r="A733" s="25">
        <v>731</v>
      </c>
      <c r="B733" s="25"/>
      <c r="C733" s="25"/>
      <c r="D733" s="25"/>
      <c r="E733" s="30" t="str">
        <f t="shared" si="13"/>
        <v>--</v>
      </c>
      <c r="F733" s="13">
        <f>IFERROR(VLOOKUP(E733,'ESTRUCTURA CODIGO'!$H$2:$J$1048576,2,FALSE)," ")</f>
        <v>0</v>
      </c>
      <c r="G733" s="25">
        <f>IFERROR(VLOOKUP(E733,'ESTRUCTURA CODIGO'!$H$2:$J$1048576,3,FALSE)," ")</f>
        <v>0</v>
      </c>
      <c r="H733" s="25">
        <f>IFERROR(VLOOKUP(E733,'ESTRUCTURA CODIGO'!$H$2:$L$612,4,FALSE)," ")</f>
        <v>0</v>
      </c>
    </row>
    <row r="734" spans="1:8" x14ac:dyDescent="0.3">
      <c r="A734" s="25">
        <v>732</v>
      </c>
      <c r="B734" s="25"/>
      <c r="C734" s="25"/>
      <c r="D734" s="25"/>
      <c r="E734" s="30" t="str">
        <f t="shared" si="13"/>
        <v>--</v>
      </c>
      <c r="F734" s="13">
        <f>IFERROR(VLOOKUP(E734,'ESTRUCTURA CODIGO'!$H$2:$J$1048576,2,FALSE)," ")</f>
        <v>0</v>
      </c>
      <c r="G734" s="25">
        <f>IFERROR(VLOOKUP(E734,'ESTRUCTURA CODIGO'!$H$2:$J$1048576,3,FALSE)," ")</f>
        <v>0</v>
      </c>
      <c r="H734" s="25">
        <f>IFERROR(VLOOKUP(E734,'ESTRUCTURA CODIGO'!$H$2:$L$612,4,FALSE)," ")</f>
        <v>0</v>
      </c>
    </row>
    <row r="735" spans="1:8" x14ac:dyDescent="0.3">
      <c r="A735" s="25">
        <v>733</v>
      </c>
      <c r="B735" s="25"/>
      <c r="C735" s="25"/>
      <c r="D735" s="25"/>
      <c r="E735" s="30" t="str">
        <f t="shared" si="13"/>
        <v>--</v>
      </c>
      <c r="F735" s="13">
        <f>IFERROR(VLOOKUP(E735,'ESTRUCTURA CODIGO'!$H$2:$J$1048576,2,FALSE)," ")</f>
        <v>0</v>
      </c>
      <c r="G735" s="25">
        <f>IFERROR(VLOOKUP(E735,'ESTRUCTURA CODIGO'!$H$2:$J$1048576,3,FALSE)," ")</f>
        <v>0</v>
      </c>
      <c r="H735" s="25">
        <f>IFERROR(VLOOKUP(E735,'ESTRUCTURA CODIGO'!$H$2:$L$612,4,FALSE)," ")</f>
        <v>0</v>
      </c>
    </row>
    <row r="736" spans="1:8" x14ac:dyDescent="0.3">
      <c r="A736" s="25">
        <v>734</v>
      </c>
      <c r="B736" s="25"/>
      <c r="C736" s="25"/>
      <c r="D736" s="25"/>
      <c r="E736" s="30" t="str">
        <f t="shared" si="13"/>
        <v>--</v>
      </c>
      <c r="F736" s="13">
        <f>IFERROR(VLOOKUP(E736,'ESTRUCTURA CODIGO'!$H$2:$J$1048576,2,FALSE)," ")</f>
        <v>0</v>
      </c>
      <c r="G736" s="25">
        <f>IFERROR(VLOOKUP(E736,'ESTRUCTURA CODIGO'!$H$2:$J$1048576,3,FALSE)," ")</f>
        <v>0</v>
      </c>
      <c r="H736" s="25">
        <f>IFERROR(VLOOKUP(E736,'ESTRUCTURA CODIGO'!$H$2:$L$612,4,FALSE)," ")</f>
        <v>0</v>
      </c>
    </row>
    <row r="737" spans="1:8" x14ac:dyDescent="0.3">
      <c r="A737" s="25">
        <v>735</v>
      </c>
      <c r="B737" s="25"/>
      <c r="C737" s="25"/>
      <c r="D737" s="25"/>
      <c r="E737" s="30" t="str">
        <f t="shared" si="13"/>
        <v>--</v>
      </c>
      <c r="F737" s="13">
        <f>IFERROR(VLOOKUP(E737,'ESTRUCTURA CODIGO'!$H$2:$J$1048576,2,FALSE)," ")</f>
        <v>0</v>
      </c>
      <c r="G737" s="25">
        <f>IFERROR(VLOOKUP(E737,'ESTRUCTURA CODIGO'!$H$2:$J$1048576,3,FALSE)," ")</f>
        <v>0</v>
      </c>
      <c r="H737" s="25">
        <f>IFERROR(VLOOKUP(E737,'ESTRUCTURA CODIGO'!$H$2:$L$612,4,FALSE)," ")</f>
        <v>0</v>
      </c>
    </row>
    <row r="738" spans="1:8" x14ac:dyDescent="0.3">
      <c r="A738" s="25">
        <v>736</v>
      </c>
      <c r="B738" s="25"/>
      <c r="C738" s="25"/>
      <c r="D738" s="25"/>
      <c r="E738" s="30" t="str">
        <f t="shared" si="13"/>
        <v>--</v>
      </c>
      <c r="F738" s="13">
        <f>IFERROR(VLOOKUP(E738,'ESTRUCTURA CODIGO'!$H$2:$J$1048576,2,FALSE)," ")</f>
        <v>0</v>
      </c>
      <c r="G738" s="25">
        <f>IFERROR(VLOOKUP(E738,'ESTRUCTURA CODIGO'!$H$2:$J$1048576,3,FALSE)," ")</f>
        <v>0</v>
      </c>
      <c r="H738" s="25">
        <f>IFERROR(VLOOKUP(E738,'ESTRUCTURA CODIGO'!$H$2:$L$612,4,FALSE)," ")</f>
        <v>0</v>
      </c>
    </row>
    <row r="739" spans="1:8" x14ac:dyDescent="0.3">
      <c r="A739" s="25">
        <v>737</v>
      </c>
      <c r="B739" s="25"/>
      <c r="C739" s="25"/>
      <c r="D739" s="25"/>
      <c r="E739" s="30" t="str">
        <f t="shared" si="13"/>
        <v>--</v>
      </c>
      <c r="F739" s="13">
        <f>IFERROR(VLOOKUP(E739,'ESTRUCTURA CODIGO'!$H$2:$J$1048576,2,FALSE)," ")</f>
        <v>0</v>
      </c>
      <c r="G739" s="25">
        <f>IFERROR(VLOOKUP(E739,'ESTRUCTURA CODIGO'!$H$2:$J$1048576,3,FALSE)," ")</f>
        <v>0</v>
      </c>
      <c r="H739" s="25">
        <f>IFERROR(VLOOKUP(E739,'ESTRUCTURA CODIGO'!$H$2:$L$612,4,FALSE)," ")</f>
        <v>0</v>
      </c>
    </row>
    <row r="740" spans="1:8" x14ac:dyDescent="0.3">
      <c r="A740" s="25">
        <v>738</v>
      </c>
      <c r="B740" s="25"/>
      <c r="C740" s="25"/>
      <c r="D740" s="25"/>
      <c r="E740" s="30" t="str">
        <f t="shared" si="13"/>
        <v>--</v>
      </c>
      <c r="F740" s="13">
        <f>IFERROR(VLOOKUP(E740,'ESTRUCTURA CODIGO'!$H$2:$J$1048576,2,FALSE)," ")</f>
        <v>0</v>
      </c>
      <c r="G740" s="25">
        <f>IFERROR(VLOOKUP(E740,'ESTRUCTURA CODIGO'!$H$2:$J$1048576,3,FALSE)," ")</f>
        <v>0</v>
      </c>
      <c r="H740" s="25">
        <f>IFERROR(VLOOKUP(E740,'ESTRUCTURA CODIGO'!$H$2:$L$612,4,FALSE)," ")</f>
        <v>0</v>
      </c>
    </row>
    <row r="741" spans="1:8" x14ac:dyDescent="0.3">
      <c r="A741" s="25">
        <v>739</v>
      </c>
      <c r="B741" s="25"/>
      <c r="C741" s="25"/>
      <c r="D741" s="25"/>
      <c r="E741" s="30" t="str">
        <f t="shared" si="13"/>
        <v>--</v>
      </c>
      <c r="F741" s="13">
        <f>IFERROR(VLOOKUP(E741,'ESTRUCTURA CODIGO'!$H$2:$J$1048576,2,FALSE)," ")</f>
        <v>0</v>
      </c>
      <c r="G741" s="25">
        <f>IFERROR(VLOOKUP(E741,'ESTRUCTURA CODIGO'!$H$2:$J$1048576,3,FALSE)," ")</f>
        <v>0</v>
      </c>
      <c r="H741" s="25">
        <f>IFERROR(VLOOKUP(E741,'ESTRUCTURA CODIGO'!$H$2:$L$612,4,FALSE)," ")</f>
        <v>0</v>
      </c>
    </row>
    <row r="742" spans="1:8" x14ac:dyDescent="0.3">
      <c r="A742" s="25">
        <v>740</v>
      </c>
      <c r="B742" s="25"/>
      <c r="C742" s="25"/>
      <c r="D742" s="25"/>
      <c r="E742" s="30" t="str">
        <f t="shared" si="13"/>
        <v>--</v>
      </c>
      <c r="F742" s="13">
        <f>IFERROR(VLOOKUP(E742,'ESTRUCTURA CODIGO'!$H$2:$J$1048576,2,FALSE)," ")</f>
        <v>0</v>
      </c>
      <c r="G742" s="25">
        <f>IFERROR(VLOOKUP(E742,'ESTRUCTURA CODIGO'!$H$2:$J$1048576,3,FALSE)," ")</f>
        <v>0</v>
      </c>
      <c r="H742" s="25">
        <f>IFERROR(VLOOKUP(E742,'ESTRUCTURA CODIGO'!$H$2:$L$612,4,FALSE)," ")</f>
        <v>0</v>
      </c>
    </row>
    <row r="743" spans="1:8" x14ac:dyDescent="0.3">
      <c r="A743" s="25">
        <v>741</v>
      </c>
      <c r="B743" s="25"/>
      <c r="C743" s="25"/>
      <c r="D743" s="25"/>
      <c r="E743" s="30" t="str">
        <f t="shared" si="13"/>
        <v>--</v>
      </c>
      <c r="F743" s="13">
        <f>IFERROR(VLOOKUP(E743,'ESTRUCTURA CODIGO'!$H$2:$J$1048576,2,FALSE)," ")</f>
        <v>0</v>
      </c>
      <c r="G743" s="25">
        <f>IFERROR(VLOOKUP(E743,'ESTRUCTURA CODIGO'!$H$2:$J$1048576,3,FALSE)," ")</f>
        <v>0</v>
      </c>
      <c r="H743" s="25">
        <f>IFERROR(VLOOKUP(E743,'ESTRUCTURA CODIGO'!$H$2:$L$612,4,FALSE)," ")</f>
        <v>0</v>
      </c>
    </row>
    <row r="744" spans="1:8" x14ac:dyDescent="0.3">
      <c r="A744" s="25">
        <v>742</v>
      </c>
      <c r="B744" s="25"/>
      <c r="C744" s="25"/>
      <c r="D744" s="25"/>
      <c r="E744" s="30" t="str">
        <f t="shared" si="13"/>
        <v>--</v>
      </c>
      <c r="F744" s="13">
        <f>IFERROR(VLOOKUP(E744,'ESTRUCTURA CODIGO'!$H$2:$J$1048576,2,FALSE)," ")</f>
        <v>0</v>
      </c>
      <c r="G744" s="25">
        <f>IFERROR(VLOOKUP(E744,'ESTRUCTURA CODIGO'!$H$2:$J$1048576,3,FALSE)," ")</f>
        <v>0</v>
      </c>
      <c r="H744" s="25">
        <f>IFERROR(VLOOKUP(E744,'ESTRUCTURA CODIGO'!$H$2:$L$612,4,FALSE)," ")</f>
        <v>0</v>
      </c>
    </row>
    <row r="745" spans="1:8" x14ac:dyDescent="0.3">
      <c r="A745" s="25">
        <v>743</v>
      </c>
      <c r="B745" s="25"/>
      <c r="C745" s="25"/>
      <c r="D745" s="25"/>
      <c r="E745" s="30" t="str">
        <f t="shared" si="13"/>
        <v>--</v>
      </c>
      <c r="F745" s="13">
        <f>IFERROR(VLOOKUP(E745,'ESTRUCTURA CODIGO'!$H$2:$J$1048576,2,FALSE)," ")</f>
        <v>0</v>
      </c>
      <c r="G745" s="25">
        <f>IFERROR(VLOOKUP(E745,'ESTRUCTURA CODIGO'!$H$2:$J$1048576,3,FALSE)," ")</f>
        <v>0</v>
      </c>
      <c r="H745" s="25">
        <f>IFERROR(VLOOKUP(E745,'ESTRUCTURA CODIGO'!$H$2:$L$612,4,FALSE)," ")</f>
        <v>0</v>
      </c>
    </row>
    <row r="746" spans="1:8" x14ac:dyDescent="0.3">
      <c r="A746" s="25">
        <v>744</v>
      </c>
      <c r="B746" s="25"/>
      <c r="C746" s="25"/>
      <c r="D746" s="25"/>
      <c r="E746" s="30" t="str">
        <f t="shared" si="13"/>
        <v>--</v>
      </c>
      <c r="F746" s="13">
        <f>IFERROR(VLOOKUP(E746,'ESTRUCTURA CODIGO'!$H$2:$J$1048576,2,FALSE)," ")</f>
        <v>0</v>
      </c>
      <c r="G746" s="25">
        <f>IFERROR(VLOOKUP(E746,'ESTRUCTURA CODIGO'!$H$2:$J$1048576,3,FALSE)," ")</f>
        <v>0</v>
      </c>
      <c r="H746" s="25">
        <f>IFERROR(VLOOKUP(E746,'ESTRUCTURA CODIGO'!$H$2:$L$612,4,FALSE)," ")</f>
        <v>0</v>
      </c>
    </row>
    <row r="747" spans="1:8" x14ac:dyDescent="0.3">
      <c r="A747" s="25">
        <v>745</v>
      </c>
      <c r="B747" s="25"/>
      <c r="C747" s="25"/>
      <c r="D747" s="25"/>
      <c r="E747" s="30" t="str">
        <f t="shared" si="13"/>
        <v>--</v>
      </c>
      <c r="F747" s="13">
        <f>IFERROR(VLOOKUP(E747,'ESTRUCTURA CODIGO'!$H$2:$J$1048576,2,FALSE)," ")</f>
        <v>0</v>
      </c>
      <c r="G747" s="25">
        <f>IFERROR(VLOOKUP(E747,'ESTRUCTURA CODIGO'!$H$2:$J$1048576,3,FALSE)," ")</f>
        <v>0</v>
      </c>
      <c r="H747" s="25">
        <f>IFERROR(VLOOKUP(E747,'ESTRUCTURA CODIGO'!$H$2:$L$612,4,FALSE)," ")</f>
        <v>0</v>
      </c>
    </row>
    <row r="748" spans="1:8" x14ac:dyDescent="0.3">
      <c r="A748" s="25">
        <v>746</v>
      </c>
      <c r="B748" s="25"/>
      <c r="C748" s="25"/>
      <c r="D748" s="25"/>
      <c r="E748" s="30" t="str">
        <f t="shared" si="13"/>
        <v>--</v>
      </c>
      <c r="F748" s="13">
        <f>IFERROR(VLOOKUP(E748,'ESTRUCTURA CODIGO'!$H$2:$J$1048576,2,FALSE)," ")</f>
        <v>0</v>
      </c>
      <c r="G748" s="25">
        <f>IFERROR(VLOOKUP(E748,'ESTRUCTURA CODIGO'!$H$2:$J$1048576,3,FALSE)," ")</f>
        <v>0</v>
      </c>
      <c r="H748" s="25">
        <f>IFERROR(VLOOKUP(E748,'ESTRUCTURA CODIGO'!$H$2:$L$612,4,FALSE)," ")</f>
        <v>0</v>
      </c>
    </row>
    <row r="749" spans="1:8" x14ac:dyDescent="0.3">
      <c r="A749" s="25">
        <v>747</v>
      </c>
      <c r="B749" s="25"/>
      <c r="C749" s="25"/>
      <c r="D749" s="25"/>
      <c r="E749" s="30" t="str">
        <f t="shared" si="13"/>
        <v>--</v>
      </c>
      <c r="F749" s="13">
        <f>IFERROR(VLOOKUP(E749,'ESTRUCTURA CODIGO'!$H$2:$J$1048576,2,FALSE)," ")</f>
        <v>0</v>
      </c>
      <c r="G749" s="25">
        <f>IFERROR(VLOOKUP(E749,'ESTRUCTURA CODIGO'!$H$2:$J$1048576,3,FALSE)," ")</f>
        <v>0</v>
      </c>
      <c r="H749" s="25">
        <f>IFERROR(VLOOKUP(E749,'ESTRUCTURA CODIGO'!$H$2:$L$612,4,FALSE)," ")</f>
        <v>0</v>
      </c>
    </row>
    <row r="750" spans="1:8" x14ac:dyDescent="0.3">
      <c r="A750" s="25">
        <v>748</v>
      </c>
      <c r="B750" s="25"/>
      <c r="C750" s="25"/>
      <c r="D750" s="25"/>
      <c r="E750" s="30" t="str">
        <f t="shared" si="13"/>
        <v>--</v>
      </c>
      <c r="F750" s="13">
        <f>IFERROR(VLOOKUP(E750,'ESTRUCTURA CODIGO'!$H$2:$J$1048576,2,FALSE)," ")</f>
        <v>0</v>
      </c>
      <c r="G750" s="25">
        <f>IFERROR(VLOOKUP(E750,'ESTRUCTURA CODIGO'!$H$2:$J$1048576,3,FALSE)," ")</f>
        <v>0</v>
      </c>
      <c r="H750" s="25">
        <f>IFERROR(VLOOKUP(E750,'ESTRUCTURA CODIGO'!$H$2:$L$612,4,FALSE)," ")</f>
        <v>0</v>
      </c>
    </row>
    <row r="751" spans="1:8" x14ac:dyDescent="0.3">
      <c r="A751" s="25">
        <v>749</v>
      </c>
      <c r="B751" s="25"/>
      <c r="C751" s="25"/>
      <c r="D751" s="25"/>
      <c r="E751" s="30" t="str">
        <f t="shared" si="13"/>
        <v>--</v>
      </c>
      <c r="F751" s="13">
        <f>IFERROR(VLOOKUP(E751,'ESTRUCTURA CODIGO'!$H$2:$J$1048576,2,FALSE)," ")</f>
        <v>0</v>
      </c>
      <c r="G751" s="25">
        <f>IFERROR(VLOOKUP(E751,'ESTRUCTURA CODIGO'!$H$2:$J$1048576,3,FALSE)," ")</f>
        <v>0</v>
      </c>
      <c r="H751" s="25">
        <f>IFERROR(VLOOKUP(E751,'ESTRUCTURA CODIGO'!$H$2:$L$612,4,FALSE)," ")</f>
        <v>0</v>
      </c>
    </row>
    <row r="752" spans="1:8" x14ac:dyDescent="0.3">
      <c r="A752" s="25">
        <v>750</v>
      </c>
      <c r="B752" s="25"/>
      <c r="C752" s="25"/>
      <c r="D752" s="25"/>
      <c r="E752" s="30" t="str">
        <f t="shared" si="13"/>
        <v>--</v>
      </c>
      <c r="F752" s="13">
        <f>IFERROR(VLOOKUP(E752,'ESTRUCTURA CODIGO'!$H$2:$J$1048576,2,FALSE)," ")</f>
        <v>0</v>
      </c>
      <c r="G752" s="25">
        <f>IFERROR(VLOOKUP(E752,'ESTRUCTURA CODIGO'!$H$2:$J$1048576,3,FALSE)," ")</f>
        <v>0</v>
      </c>
      <c r="H752" s="25">
        <f>IFERROR(VLOOKUP(E752,'ESTRUCTURA CODIGO'!$H$2:$L$612,4,FALSE)," ")</f>
        <v>0</v>
      </c>
    </row>
    <row r="753" spans="1:8" x14ac:dyDescent="0.3">
      <c r="A753" s="25">
        <v>751</v>
      </c>
      <c r="B753" s="25"/>
      <c r="C753" s="25"/>
      <c r="D753" s="25"/>
      <c r="E753" s="30" t="str">
        <f t="shared" si="13"/>
        <v>--</v>
      </c>
      <c r="F753" s="13">
        <f>IFERROR(VLOOKUP(E753,'ESTRUCTURA CODIGO'!$H$2:$J$1048576,2,FALSE)," ")</f>
        <v>0</v>
      </c>
      <c r="G753" s="25">
        <f>IFERROR(VLOOKUP(E753,'ESTRUCTURA CODIGO'!$H$2:$J$1048576,3,FALSE)," ")</f>
        <v>0</v>
      </c>
      <c r="H753" s="25">
        <f>IFERROR(VLOOKUP(E753,'ESTRUCTURA CODIGO'!$H$2:$L$612,4,FALSE)," ")</f>
        <v>0</v>
      </c>
    </row>
    <row r="754" spans="1:8" x14ac:dyDescent="0.3">
      <c r="A754" s="25">
        <v>752</v>
      </c>
      <c r="B754" s="25"/>
      <c r="C754" s="25"/>
      <c r="D754" s="25"/>
      <c r="E754" s="30" t="str">
        <f t="shared" si="13"/>
        <v>--</v>
      </c>
      <c r="F754" s="13">
        <f>IFERROR(VLOOKUP(E754,'ESTRUCTURA CODIGO'!$H$2:$J$1048576,2,FALSE)," ")</f>
        <v>0</v>
      </c>
      <c r="G754" s="25">
        <f>IFERROR(VLOOKUP(E754,'ESTRUCTURA CODIGO'!$H$2:$J$1048576,3,FALSE)," ")</f>
        <v>0</v>
      </c>
      <c r="H754" s="25">
        <f>IFERROR(VLOOKUP(E754,'ESTRUCTURA CODIGO'!$H$2:$L$612,4,FALSE)," ")</f>
        <v>0</v>
      </c>
    </row>
    <row r="755" spans="1:8" x14ac:dyDescent="0.3">
      <c r="A755" s="25">
        <v>753</v>
      </c>
      <c r="B755" s="25"/>
      <c r="C755" s="25"/>
      <c r="D755" s="25"/>
      <c r="E755" s="30" t="str">
        <f t="shared" si="13"/>
        <v>--</v>
      </c>
      <c r="F755" s="13">
        <f>IFERROR(VLOOKUP(E755,'ESTRUCTURA CODIGO'!$H$2:$J$1048576,2,FALSE)," ")</f>
        <v>0</v>
      </c>
      <c r="G755" s="25">
        <f>IFERROR(VLOOKUP(E755,'ESTRUCTURA CODIGO'!$H$2:$J$1048576,3,FALSE)," ")</f>
        <v>0</v>
      </c>
      <c r="H755" s="25">
        <f>IFERROR(VLOOKUP(E755,'ESTRUCTURA CODIGO'!$H$2:$L$612,4,FALSE)," ")</f>
        <v>0</v>
      </c>
    </row>
    <row r="756" spans="1:8" x14ac:dyDescent="0.3">
      <c r="A756" s="25">
        <v>754</v>
      </c>
      <c r="B756" s="25"/>
      <c r="C756" s="25"/>
      <c r="D756" s="25"/>
      <c r="E756" s="30" t="str">
        <f t="shared" ref="E756:E819" si="14">CONCATENATE(B756,"-",C756,"-",D756)</f>
        <v>--</v>
      </c>
      <c r="F756" s="13">
        <f>IFERROR(VLOOKUP(E756,'ESTRUCTURA CODIGO'!$H$2:$J$1048576,2,FALSE)," ")</f>
        <v>0</v>
      </c>
      <c r="G756" s="25">
        <f>IFERROR(VLOOKUP(E756,'ESTRUCTURA CODIGO'!$H$2:$J$1048576,3,FALSE)," ")</f>
        <v>0</v>
      </c>
      <c r="H756" s="25">
        <f>IFERROR(VLOOKUP(E756,'ESTRUCTURA CODIGO'!$H$2:$L$612,4,FALSE)," ")</f>
        <v>0</v>
      </c>
    </row>
    <row r="757" spans="1:8" x14ac:dyDescent="0.3">
      <c r="A757" s="25">
        <v>755</v>
      </c>
      <c r="B757" s="25"/>
      <c r="C757" s="25"/>
      <c r="D757" s="25"/>
      <c r="E757" s="30" t="str">
        <f t="shared" si="14"/>
        <v>--</v>
      </c>
      <c r="F757" s="13">
        <f>IFERROR(VLOOKUP(E757,'ESTRUCTURA CODIGO'!$H$2:$J$1048576,2,FALSE)," ")</f>
        <v>0</v>
      </c>
      <c r="G757" s="25">
        <f>IFERROR(VLOOKUP(E757,'ESTRUCTURA CODIGO'!$H$2:$J$1048576,3,FALSE)," ")</f>
        <v>0</v>
      </c>
      <c r="H757" s="25">
        <f>IFERROR(VLOOKUP(E757,'ESTRUCTURA CODIGO'!$H$2:$L$612,4,FALSE)," ")</f>
        <v>0</v>
      </c>
    </row>
    <row r="758" spans="1:8" x14ac:dyDescent="0.3">
      <c r="A758" s="25">
        <v>756</v>
      </c>
      <c r="B758" s="25"/>
      <c r="C758" s="25"/>
      <c r="D758" s="25"/>
      <c r="E758" s="30" t="str">
        <f t="shared" si="14"/>
        <v>--</v>
      </c>
      <c r="F758" s="13">
        <f>IFERROR(VLOOKUP(E758,'ESTRUCTURA CODIGO'!$H$2:$J$1048576,2,FALSE)," ")</f>
        <v>0</v>
      </c>
      <c r="G758" s="25">
        <f>IFERROR(VLOOKUP(E758,'ESTRUCTURA CODIGO'!$H$2:$J$1048576,3,FALSE)," ")</f>
        <v>0</v>
      </c>
      <c r="H758" s="25">
        <f>IFERROR(VLOOKUP(E758,'ESTRUCTURA CODIGO'!$H$2:$L$612,4,FALSE)," ")</f>
        <v>0</v>
      </c>
    </row>
    <row r="759" spans="1:8" x14ac:dyDescent="0.3">
      <c r="A759" s="25">
        <v>757</v>
      </c>
      <c r="B759" s="25"/>
      <c r="C759" s="25"/>
      <c r="D759" s="25"/>
      <c r="E759" s="30" t="str">
        <f t="shared" si="14"/>
        <v>--</v>
      </c>
      <c r="F759" s="13">
        <f>IFERROR(VLOOKUP(E759,'ESTRUCTURA CODIGO'!$H$2:$J$1048576,2,FALSE)," ")</f>
        <v>0</v>
      </c>
      <c r="G759" s="25">
        <f>IFERROR(VLOOKUP(E759,'ESTRUCTURA CODIGO'!$H$2:$J$1048576,3,FALSE)," ")</f>
        <v>0</v>
      </c>
      <c r="H759" s="25">
        <f>IFERROR(VLOOKUP(E759,'ESTRUCTURA CODIGO'!$H$2:$L$612,4,FALSE)," ")</f>
        <v>0</v>
      </c>
    </row>
    <row r="760" spans="1:8" x14ac:dyDescent="0.3">
      <c r="A760" s="25">
        <v>758</v>
      </c>
      <c r="B760" s="25"/>
      <c r="C760" s="25"/>
      <c r="D760" s="25"/>
      <c r="E760" s="30" t="str">
        <f t="shared" si="14"/>
        <v>--</v>
      </c>
      <c r="F760" s="13">
        <f>IFERROR(VLOOKUP(E760,'ESTRUCTURA CODIGO'!$H$2:$J$1048576,2,FALSE)," ")</f>
        <v>0</v>
      </c>
      <c r="G760" s="25">
        <f>IFERROR(VLOOKUP(E760,'ESTRUCTURA CODIGO'!$H$2:$J$1048576,3,FALSE)," ")</f>
        <v>0</v>
      </c>
      <c r="H760" s="25">
        <f>IFERROR(VLOOKUP(E760,'ESTRUCTURA CODIGO'!$H$2:$L$612,4,FALSE)," ")</f>
        <v>0</v>
      </c>
    </row>
    <row r="761" spans="1:8" x14ac:dyDescent="0.3">
      <c r="A761" s="25">
        <v>759</v>
      </c>
      <c r="B761" s="25"/>
      <c r="C761" s="25"/>
      <c r="D761" s="25"/>
      <c r="E761" s="30" t="str">
        <f t="shared" si="14"/>
        <v>--</v>
      </c>
      <c r="F761" s="13">
        <f>IFERROR(VLOOKUP(E761,'ESTRUCTURA CODIGO'!$H$2:$J$1048576,2,FALSE)," ")</f>
        <v>0</v>
      </c>
      <c r="G761" s="25">
        <f>IFERROR(VLOOKUP(E761,'ESTRUCTURA CODIGO'!$H$2:$J$1048576,3,FALSE)," ")</f>
        <v>0</v>
      </c>
      <c r="H761" s="25">
        <f>IFERROR(VLOOKUP(E761,'ESTRUCTURA CODIGO'!$H$2:$L$612,4,FALSE)," ")</f>
        <v>0</v>
      </c>
    </row>
    <row r="762" spans="1:8" x14ac:dyDescent="0.3">
      <c r="A762" s="25">
        <v>760</v>
      </c>
      <c r="B762" s="25"/>
      <c r="C762" s="25"/>
      <c r="D762" s="25"/>
      <c r="E762" s="30" t="str">
        <f t="shared" si="14"/>
        <v>--</v>
      </c>
      <c r="F762" s="13">
        <f>IFERROR(VLOOKUP(E762,'ESTRUCTURA CODIGO'!$H$2:$J$1048576,2,FALSE)," ")</f>
        <v>0</v>
      </c>
      <c r="G762" s="25">
        <f>IFERROR(VLOOKUP(E762,'ESTRUCTURA CODIGO'!$H$2:$J$1048576,3,FALSE)," ")</f>
        <v>0</v>
      </c>
      <c r="H762" s="25">
        <f>IFERROR(VLOOKUP(E762,'ESTRUCTURA CODIGO'!$H$2:$L$612,4,FALSE)," ")</f>
        <v>0</v>
      </c>
    </row>
    <row r="763" spans="1:8" x14ac:dyDescent="0.3">
      <c r="A763" s="25">
        <v>761</v>
      </c>
      <c r="B763" s="25"/>
      <c r="C763" s="25"/>
      <c r="D763" s="25"/>
      <c r="E763" s="30" t="str">
        <f t="shared" si="14"/>
        <v>--</v>
      </c>
      <c r="F763" s="13">
        <f>IFERROR(VLOOKUP(E763,'ESTRUCTURA CODIGO'!$H$2:$J$1048576,2,FALSE)," ")</f>
        <v>0</v>
      </c>
      <c r="G763" s="25">
        <f>IFERROR(VLOOKUP(E763,'ESTRUCTURA CODIGO'!$H$2:$J$1048576,3,FALSE)," ")</f>
        <v>0</v>
      </c>
      <c r="H763" s="25">
        <f>IFERROR(VLOOKUP(E763,'ESTRUCTURA CODIGO'!$H$2:$L$612,4,FALSE)," ")</f>
        <v>0</v>
      </c>
    </row>
    <row r="764" spans="1:8" x14ac:dyDescent="0.3">
      <c r="A764" s="25">
        <v>762</v>
      </c>
      <c r="B764" s="25"/>
      <c r="C764" s="25"/>
      <c r="D764" s="25"/>
      <c r="E764" s="30" t="str">
        <f t="shared" si="14"/>
        <v>--</v>
      </c>
      <c r="F764" s="13">
        <f>IFERROR(VLOOKUP(E764,'ESTRUCTURA CODIGO'!$H$2:$J$1048576,2,FALSE)," ")</f>
        <v>0</v>
      </c>
      <c r="G764" s="25">
        <f>IFERROR(VLOOKUP(E764,'ESTRUCTURA CODIGO'!$H$2:$J$1048576,3,FALSE)," ")</f>
        <v>0</v>
      </c>
      <c r="H764" s="25">
        <f>IFERROR(VLOOKUP(E764,'ESTRUCTURA CODIGO'!$H$2:$L$612,4,FALSE)," ")</f>
        <v>0</v>
      </c>
    </row>
    <row r="765" spans="1:8" x14ac:dyDescent="0.3">
      <c r="A765" s="25">
        <v>763</v>
      </c>
      <c r="B765" s="25"/>
      <c r="C765" s="25"/>
      <c r="D765" s="25"/>
      <c r="E765" s="30" t="str">
        <f t="shared" si="14"/>
        <v>--</v>
      </c>
      <c r="F765" s="13">
        <f>IFERROR(VLOOKUP(E765,'ESTRUCTURA CODIGO'!$H$2:$J$1048576,2,FALSE)," ")</f>
        <v>0</v>
      </c>
      <c r="G765" s="25">
        <f>IFERROR(VLOOKUP(E765,'ESTRUCTURA CODIGO'!$H$2:$J$1048576,3,FALSE)," ")</f>
        <v>0</v>
      </c>
      <c r="H765" s="25">
        <f>IFERROR(VLOOKUP(E765,'ESTRUCTURA CODIGO'!$H$2:$L$612,4,FALSE)," ")</f>
        <v>0</v>
      </c>
    </row>
    <row r="766" spans="1:8" x14ac:dyDescent="0.3">
      <c r="A766" s="25">
        <v>764</v>
      </c>
      <c r="B766" s="25"/>
      <c r="C766" s="25"/>
      <c r="D766" s="25"/>
      <c r="E766" s="30" t="str">
        <f t="shared" si="14"/>
        <v>--</v>
      </c>
      <c r="F766" s="13">
        <f>IFERROR(VLOOKUP(E766,'ESTRUCTURA CODIGO'!$H$2:$J$1048576,2,FALSE)," ")</f>
        <v>0</v>
      </c>
      <c r="G766" s="25">
        <f>IFERROR(VLOOKUP(E766,'ESTRUCTURA CODIGO'!$H$2:$J$1048576,3,FALSE)," ")</f>
        <v>0</v>
      </c>
      <c r="H766" s="25">
        <f>IFERROR(VLOOKUP(E766,'ESTRUCTURA CODIGO'!$H$2:$L$612,4,FALSE)," ")</f>
        <v>0</v>
      </c>
    </row>
    <row r="767" spans="1:8" x14ac:dyDescent="0.3">
      <c r="A767" s="25">
        <v>765</v>
      </c>
      <c r="B767" s="25"/>
      <c r="C767" s="25"/>
      <c r="D767" s="25"/>
      <c r="E767" s="30" t="str">
        <f t="shared" si="14"/>
        <v>--</v>
      </c>
      <c r="F767" s="13">
        <f>IFERROR(VLOOKUP(E767,'ESTRUCTURA CODIGO'!$H$2:$J$1048576,2,FALSE)," ")</f>
        <v>0</v>
      </c>
      <c r="G767" s="25">
        <f>IFERROR(VLOOKUP(E767,'ESTRUCTURA CODIGO'!$H$2:$J$1048576,3,FALSE)," ")</f>
        <v>0</v>
      </c>
      <c r="H767" s="25">
        <f>IFERROR(VLOOKUP(E767,'ESTRUCTURA CODIGO'!$H$2:$L$612,4,FALSE)," ")</f>
        <v>0</v>
      </c>
    </row>
    <row r="768" spans="1:8" x14ac:dyDescent="0.3">
      <c r="A768" s="25">
        <v>766</v>
      </c>
      <c r="B768" s="25"/>
      <c r="C768" s="25"/>
      <c r="D768" s="25"/>
      <c r="E768" s="30" t="str">
        <f t="shared" si="14"/>
        <v>--</v>
      </c>
      <c r="F768" s="13">
        <f>IFERROR(VLOOKUP(E768,'ESTRUCTURA CODIGO'!$H$2:$J$1048576,2,FALSE)," ")</f>
        <v>0</v>
      </c>
      <c r="G768" s="25">
        <f>IFERROR(VLOOKUP(E768,'ESTRUCTURA CODIGO'!$H$2:$J$1048576,3,FALSE)," ")</f>
        <v>0</v>
      </c>
      <c r="H768" s="25">
        <f>IFERROR(VLOOKUP(E768,'ESTRUCTURA CODIGO'!$H$2:$L$612,4,FALSE)," ")</f>
        <v>0</v>
      </c>
    </row>
    <row r="769" spans="1:8" x14ac:dyDescent="0.3">
      <c r="A769" s="25">
        <v>767</v>
      </c>
      <c r="B769" s="25"/>
      <c r="C769" s="25"/>
      <c r="D769" s="25"/>
      <c r="E769" s="30" t="str">
        <f t="shared" si="14"/>
        <v>--</v>
      </c>
      <c r="F769" s="13">
        <f>IFERROR(VLOOKUP(E769,'ESTRUCTURA CODIGO'!$H$2:$J$1048576,2,FALSE)," ")</f>
        <v>0</v>
      </c>
      <c r="G769" s="25">
        <f>IFERROR(VLOOKUP(E769,'ESTRUCTURA CODIGO'!$H$2:$J$1048576,3,FALSE)," ")</f>
        <v>0</v>
      </c>
      <c r="H769" s="25">
        <f>IFERROR(VLOOKUP(E769,'ESTRUCTURA CODIGO'!$H$2:$L$612,4,FALSE)," ")</f>
        <v>0</v>
      </c>
    </row>
    <row r="770" spans="1:8" x14ac:dyDescent="0.3">
      <c r="A770" s="25">
        <v>768</v>
      </c>
      <c r="B770" s="25"/>
      <c r="C770" s="25"/>
      <c r="D770" s="25"/>
      <c r="E770" s="30" t="str">
        <f t="shared" si="14"/>
        <v>--</v>
      </c>
      <c r="F770" s="13">
        <f>IFERROR(VLOOKUP(E770,'ESTRUCTURA CODIGO'!$H$2:$J$1048576,2,FALSE)," ")</f>
        <v>0</v>
      </c>
      <c r="G770" s="25">
        <f>IFERROR(VLOOKUP(E770,'ESTRUCTURA CODIGO'!$H$2:$J$1048576,3,FALSE)," ")</f>
        <v>0</v>
      </c>
      <c r="H770" s="25">
        <f>IFERROR(VLOOKUP(E770,'ESTRUCTURA CODIGO'!$H$2:$L$612,4,FALSE)," ")</f>
        <v>0</v>
      </c>
    </row>
    <row r="771" spans="1:8" x14ac:dyDescent="0.3">
      <c r="A771" s="25">
        <v>769</v>
      </c>
      <c r="B771" s="25"/>
      <c r="C771" s="25"/>
      <c r="D771" s="25"/>
      <c r="E771" s="30" t="str">
        <f t="shared" si="14"/>
        <v>--</v>
      </c>
      <c r="F771" s="13">
        <f>IFERROR(VLOOKUP(E771,'ESTRUCTURA CODIGO'!$H$2:$J$1048576,2,FALSE)," ")</f>
        <v>0</v>
      </c>
      <c r="G771" s="25">
        <f>IFERROR(VLOOKUP(E771,'ESTRUCTURA CODIGO'!$H$2:$J$1048576,3,FALSE)," ")</f>
        <v>0</v>
      </c>
      <c r="H771" s="25">
        <f>IFERROR(VLOOKUP(E771,'ESTRUCTURA CODIGO'!$H$2:$L$612,4,FALSE)," ")</f>
        <v>0</v>
      </c>
    </row>
    <row r="772" spans="1:8" x14ac:dyDescent="0.3">
      <c r="A772" s="25">
        <v>770</v>
      </c>
      <c r="B772" s="25"/>
      <c r="C772" s="25"/>
      <c r="D772" s="25"/>
      <c r="E772" s="30" t="str">
        <f t="shared" si="14"/>
        <v>--</v>
      </c>
      <c r="F772" s="13">
        <f>IFERROR(VLOOKUP(E772,'ESTRUCTURA CODIGO'!$H$2:$J$1048576,2,FALSE)," ")</f>
        <v>0</v>
      </c>
      <c r="G772" s="25">
        <f>IFERROR(VLOOKUP(E772,'ESTRUCTURA CODIGO'!$H$2:$J$1048576,3,FALSE)," ")</f>
        <v>0</v>
      </c>
      <c r="H772" s="25">
        <f>IFERROR(VLOOKUP(E772,'ESTRUCTURA CODIGO'!$H$2:$L$612,4,FALSE)," ")</f>
        <v>0</v>
      </c>
    </row>
    <row r="773" spans="1:8" x14ac:dyDescent="0.3">
      <c r="A773" s="25">
        <v>771</v>
      </c>
      <c r="B773" s="25"/>
      <c r="C773" s="25"/>
      <c r="D773" s="25"/>
      <c r="E773" s="30" t="str">
        <f t="shared" si="14"/>
        <v>--</v>
      </c>
      <c r="F773" s="13">
        <f>IFERROR(VLOOKUP(E773,'ESTRUCTURA CODIGO'!$H$2:$J$1048576,2,FALSE)," ")</f>
        <v>0</v>
      </c>
      <c r="G773" s="25">
        <f>IFERROR(VLOOKUP(E773,'ESTRUCTURA CODIGO'!$H$2:$J$1048576,3,FALSE)," ")</f>
        <v>0</v>
      </c>
      <c r="H773" s="25">
        <f>IFERROR(VLOOKUP(E773,'ESTRUCTURA CODIGO'!$H$2:$L$612,4,FALSE)," ")</f>
        <v>0</v>
      </c>
    </row>
    <row r="774" spans="1:8" x14ac:dyDescent="0.3">
      <c r="A774" s="25">
        <v>772</v>
      </c>
      <c r="B774" s="25"/>
      <c r="C774" s="25"/>
      <c r="D774" s="25"/>
      <c r="E774" s="30" t="str">
        <f t="shared" si="14"/>
        <v>--</v>
      </c>
      <c r="F774" s="13">
        <f>IFERROR(VLOOKUP(E774,'ESTRUCTURA CODIGO'!$H$2:$J$1048576,2,FALSE)," ")</f>
        <v>0</v>
      </c>
      <c r="G774" s="25">
        <f>IFERROR(VLOOKUP(E774,'ESTRUCTURA CODIGO'!$H$2:$J$1048576,3,FALSE)," ")</f>
        <v>0</v>
      </c>
      <c r="H774" s="25">
        <f>IFERROR(VLOOKUP(E774,'ESTRUCTURA CODIGO'!$H$2:$L$612,4,FALSE)," ")</f>
        <v>0</v>
      </c>
    </row>
    <row r="775" spans="1:8" x14ac:dyDescent="0.3">
      <c r="A775" s="25">
        <v>773</v>
      </c>
      <c r="B775" s="25"/>
      <c r="C775" s="25"/>
      <c r="D775" s="25"/>
      <c r="E775" s="30" t="str">
        <f t="shared" si="14"/>
        <v>--</v>
      </c>
      <c r="F775" s="13">
        <f>IFERROR(VLOOKUP(E775,'ESTRUCTURA CODIGO'!$H$2:$J$1048576,2,FALSE)," ")</f>
        <v>0</v>
      </c>
      <c r="G775" s="25">
        <f>IFERROR(VLOOKUP(E775,'ESTRUCTURA CODIGO'!$H$2:$J$1048576,3,FALSE)," ")</f>
        <v>0</v>
      </c>
      <c r="H775" s="25">
        <f>IFERROR(VLOOKUP(E775,'ESTRUCTURA CODIGO'!$H$2:$L$612,4,FALSE)," ")</f>
        <v>0</v>
      </c>
    </row>
    <row r="776" spans="1:8" x14ac:dyDescent="0.3">
      <c r="A776" s="25">
        <v>774</v>
      </c>
      <c r="B776" s="25"/>
      <c r="C776" s="25"/>
      <c r="D776" s="25"/>
      <c r="E776" s="30" t="str">
        <f t="shared" si="14"/>
        <v>--</v>
      </c>
      <c r="F776" s="13">
        <f>IFERROR(VLOOKUP(E776,'ESTRUCTURA CODIGO'!$H$2:$J$1048576,2,FALSE)," ")</f>
        <v>0</v>
      </c>
      <c r="G776" s="25">
        <f>IFERROR(VLOOKUP(E776,'ESTRUCTURA CODIGO'!$H$2:$J$1048576,3,FALSE)," ")</f>
        <v>0</v>
      </c>
      <c r="H776" s="25">
        <f>IFERROR(VLOOKUP(E776,'ESTRUCTURA CODIGO'!$H$2:$L$612,4,FALSE)," ")</f>
        <v>0</v>
      </c>
    </row>
    <row r="777" spans="1:8" x14ac:dyDescent="0.3">
      <c r="A777" s="25">
        <v>775</v>
      </c>
      <c r="B777" s="25"/>
      <c r="C777" s="25"/>
      <c r="D777" s="25"/>
      <c r="E777" s="30" t="str">
        <f t="shared" si="14"/>
        <v>--</v>
      </c>
      <c r="F777" s="13">
        <f>IFERROR(VLOOKUP(E777,'ESTRUCTURA CODIGO'!$H$2:$J$1048576,2,FALSE)," ")</f>
        <v>0</v>
      </c>
      <c r="G777" s="25">
        <f>IFERROR(VLOOKUP(E777,'ESTRUCTURA CODIGO'!$H$2:$J$1048576,3,FALSE)," ")</f>
        <v>0</v>
      </c>
      <c r="H777" s="25">
        <f>IFERROR(VLOOKUP(E777,'ESTRUCTURA CODIGO'!$H$2:$L$612,4,FALSE)," ")</f>
        <v>0</v>
      </c>
    </row>
    <row r="778" spans="1:8" x14ac:dyDescent="0.3">
      <c r="A778" s="25">
        <v>776</v>
      </c>
      <c r="B778" s="25"/>
      <c r="C778" s="25"/>
      <c r="D778" s="25"/>
      <c r="E778" s="30" t="str">
        <f t="shared" si="14"/>
        <v>--</v>
      </c>
      <c r="F778" s="13">
        <f>IFERROR(VLOOKUP(E778,'ESTRUCTURA CODIGO'!$H$2:$J$1048576,2,FALSE)," ")</f>
        <v>0</v>
      </c>
      <c r="G778" s="25">
        <f>IFERROR(VLOOKUP(E778,'ESTRUCTURA CODIGO'!$H$2:$J$1048576,3,FALSE)," ")</f>
        <v>0</v>
      </c>
      <c r="H778" s="25">
        <f>IFERROR(VLOOKUP(E778,'ESTRUCTURA CODIGO'!$H$2:$L$612,4,FALSE)," ")</f>
        <v>0</v>
      </c>
    </row>
    <row r="779" spans="1:8" x14ac:dyDescent="0.3">
      <c r="A779" s="25">
        <v>777</v>
      </c>
      <c r="B779" s="25"/>
      <c r="C779" s="25"/>
      <c r="D779" s="25"/>
      <c r="E779" s="30" t="str">
        <f t="shared" si="14"/>
        <v>--</v>
      </c>
      <c r="F779" s="13">
        <f>IFERROR(VLOOKUP(E779,'ESTRUCTURA CODIGO'!$H$2:$J$1048576,2,FALSE)," ")</f>
        <v>0</v>
      </c>
      <c r="G779" s="25">
        <f>IFERROR(VLOOKUP(E779,'ESTRUCTURA CODIGO'!$H$2:$J$1048576,3,FALSE)," ")</f>
        <v>0</v>
      </c>
      <c r="H779" s="25">
        <f>IFERROR(VLOOKUP(E779,'ESTRUCTURA CODIGO'!$H$2:$L$612,4,FALSE)," ")</f>
        <v>0</v>
      </c>
    </row>
    <row r="780" spans="1:8" x14ac:dyDescent="0.3">
      <c r="A780" s="25">
        <v>778</v>
      </c>
      <c r="B780" s="25"/>
      <c r="C780" s="25"/>
      <c r="D780" s="25"/>
      <c r="E780" s="30" t="str">
        <f t="shared" si="14"/>
        <v>--</v>
      </c>
      <c r="F780" s="13">
        <f>IFERROR(VLOOKUP(E780,'ESTRUCTURA CODIGO'!$H$2:$J$1048576,2,FALSE)," ")</f>
        <v>0</v>
      </c>
      <c r="G780" s="25">
        <f>IFERROR(VLOOKUP(E780,'ESTRUCTURA CODIGO'!$H$2:$J$1048576,3,FALSE)," ")</f>
        <v>0</v>
      </c>
      <c r="H780" s="25">
        <f>IFERROR(VLOOKUP(E780,'ESTRUCTURA CODIGO'!$H$2:$L$612,4,FALSE)," ")</f>
        <v>0</v>
      </c>
    </row>
    <row r="781" spans="1:8" x14ac:dyDescent="0.3">
      <c r="A781" s="25">
        <v>779</v>
      </c>
      <c r="B781" s="25"/>
      <c r="C781" s="25"/>
      <c r="D781" s="25"/>
      <c r="E781" s="30" t="str">
        <f t="shared" si="14"/>
        <v>--</v>
      </c>
      <c r="F781" s="13">
        <f>IFERROR(VLOOKUP(E781,'ESTRUCTURA CODIGO'!$H$2:$J$1048576,2,FALSE)," ")</f>
        <v>0</v>
      </c>
      <c r="G781" s="25">
        <f>IFERROR(VLOOKUP(E781,'ESTRUCTURA CODIGO'!$H$2:$J$1048576,3,FALSE)," ")</f>
        <v>0</v>
      </c>
      <c r="H781" s="25">
        <f>IFERROR(VLOOKUP(E781,'ESTRUCTURA CODIGO'!$H$2:$L$612,4,FALSE)," ")</f>
        <v>0</v>
      </c>
    </row>
    <row r="782" spans="1:8" x14ac:dyDescent="0.3">
      <c r="A782" s="25">
        <v>780</v>
      </c>
      <c r="B782" s="25"/>
      <c r="C782" s="25"/>
      <c r="D782" s="25"/>
      <c r="E782" s="30" t="str">
        <f t="shared" si="14"/>
        <v>--</v>
      </c>
      <c r="F782" s="13">
        <f>IFERROR(VLOOKUP(E782,'ESTRUCTURA CODIGO'!$H$2:$J$1048576,2,FALSE)," ")</f>
        <v>0</v>
      </c>
      <c r="G782" s="25">
        <f>IFERROR(VLOOKUP(E782,'ESTRUCTURA CODIGO'!$H$2:$J$1048576,3,FALSE)," ")</f>
        <v>0</v>
      </c>
      <c r="H782" s="25">
        <f>IFERROR(VLOOKUP(E782,'ESTRUCTURA CODIGO'!$H$2:$L$612,4,FALSE)," ")</f>
        <v>0</v>
      </c>
    </row>
    <row r="783" spans="1:8" x14ac:dyDescent="0.3">
      <c r="A783" s="25">
        <v>781</v>
      </c>
      <c r="B783" s="25"/>
      <c r="C783" s="25"/>
      <c r="D783" s="25"/>
      <c r="E783" s="30" t="str">
        <f t="shared" si="14"/>
        <v>--</v>
      </c>
      <c r="F783" s="13">
        <f>IFERROR(VLOOKUP(E783,'ESTRUCTURA CODIGO'!$H$2:$J$1048576,2,FALSE)," ")</f>
        <v>0</v>
      </c>
      <c r="G783" s="25">
        <f>IFERROR(VLOOKUP(E783,'ESTRUCTURA CODIGO'!$H$2:$J$1048576,3,FALSE)," ")</f>
        <v>0</v>
      </c>
      <c r="H783" s="25">
        <f>IFERROR(VLOOKUP(E783,'ESTRUCTURA CODIGO'!$H$2:$L$612,4,FALSE)," ")</f>
        <v>0</v>
      </c>
    </row>
    <row r="784" spans="1:8" x14ac:dyDescent="0.3">
      <c r="A784" s="25">
        <v>782</v>
      </c>
      <c r="B784" s="25"/>
      <c r="C784" s="25"/>
      <c r="D784" s="25"/>
      <c r="E784" s="30" t="str">
        <f t="shared" si="14"/>
        <v>--</v>
      </c>
      <c r="F784" s="13">
        <f>IFERROR(VLOOKUP(E784,'ESTRUCTURA CODIGO'!$H$2:$J$1048576,2,FALSE)," ")</f>
        <v>0</v>
      </c>
      <c r="G784" s="25">
        <f>IFERROR(VLOOKUP(E784,'ESTRUCTURA CODIGO'!$H$2:$J$1048576,3,FALSE)," ")</f>
        <v>0</v>
      </c>
      <c r="H784" s="25">
        <f>IFERROR(VLOOKUP(E784,'ESTRUCTURA CODIGO'!$H$2:$L$612,4,FALSE)," ")</f>
        <v>0</v>
      </c>
    </row>
    <row r="785" spans="1:8" x14ac:dyDescent="0.3">
      <c r="A785" s="25">
        <v>783</v>
      </c>
      <c r="B785" s="25"/>
      <c r="C785" s="25"/>
      <c r="D785" s="25"/>
      <c r="E785" s="30" t="str">
        <f t="shared" si="14"/>
        <v>--</v>
      </c>
      <c r="F785" s="13">
        <f>IFERROR(VLOOKUP(E785,'ESTRUCTURA CODIGO'!$H$2:$J$1048576,2,FALSE)," ")</f>
        <v>0</v>
      </c>
      <c r="G785" s="25">
        <f>IFERROR(VLOOKUP(E785,'ESTRUCTURA CODIGO'!$H$2:$J$1048576,3,FALSE)," ")</f>
        <v>0</v>
      </c>
      <c r="H785" s="25">
        <f>IFERROR(VLOOKUP(E785,'ESTRUCTURA CODIGO'!$H$2:$L$612,4,FALSE)," ")</f>
        <v>0</v>
      </c>
    </row>
    <row r="786" spans="1:8" x14ac:dyDescent="0.3">
      <c r="A786" s="25">
        <v>784</v>
      </c>
      <c r="B786" s="25"/>
      <c r="C786" s="25"/>
      <c r="D786" s="25"/>
      <c r="E786" s="30" t="str">
        <f t="shared" si="14"/>
        <v>--</v>
      </c>
      <c r="F786" s="13">
        <f>IFERROR(VLOOKUP(E786,'ESTRUCTURA CODIGO'!$H$2:$J$1048576,2,FALSE)," ")</f>
        <v>0</v>
      </c>
      <c r="G786" s="25">
        <f>IFERROR(VLOOKUP(E786,'ESTRUCTURA CODIGO'!$H$2:$J$1048576,3,FALSE)," ")</f>
        <v>0</v>
      </c>
      <c r="H786" s="25">
        <f>IFERROR(VLOOKUP(E786,'ESTRUCTURA CODIGO'!$H$2:$L$612,4,FALSE)," ")</f>
        <v>0</v>
      </c>
    </row>
    <row r="787" spans="1:8" x14ac:dyDescent="0.3">
      <c r="A787" s="25">
        <v>785</v>
      </c>
      <c r="B787" s="25"/>
      <c r="C787" s="25"/>
      <c r="D787" s="25"/>
      <c r="E787" s="30" t="str">
        <f t="shared" si="14"/>
        <v>--</v>
      </c>
      <c r="F787" s="13">
        <f>IFERROR(VLOOKUP(E787,'ESTRUCTURA CODIGO'!$H$2:$J$1048576,2,FALSE)," ")</f>
        <v>0</v>
      </c>
      <c r="G787" s="25">
        <f>IFERROR(VLOOKUP(E787,'ESTRUCTURA CODIGO'!$H$2:$J$1048576,3,FALSE)," ")</f>
        <v>0</v>
      </c>
      <c r="H787" s="25">
        <f>IFERROR(VLOOKUP(E787,'ESTRUCTURA CODIGO'!$H$2:$L$612,4,FALSE)," ")</f>
        <v>0</v>
      </c>
    </row>
    <row r="788" spans="1:8" x14ac:dyDescent="0.3">
      <c r="A788" s="25">
        <v>786</v>
      </c>
      <c r="B788" s="25"/>
      <c r="C788" s="25"/>
      <c r="D788" s="25"/>
      <c r="E788" s="30" t="str">
        <f t="shared" si="14"/>
        <v>--</v>
      </c>
      <c r="F788" s="13">
        <f>IFERROR(VLOOKUP(E788,'ESTRUCTURA CODIGO'!$H$2:$J$1048576,2,FALSE)," ")</f>
        <v>0</v>
      </c>
      <c r="G788" s="25">
        <f>IFERROR(VLOOKUP(E788,'ESTRUCTURA CODIGO'!$H$2:$J$1048576,3,FALSE)," ")</f>
        <v>0</v>
      </c>
      <c r="H788" s="25">
        <f>IFERROR(VLOOKUP(E788,'ESTRUCTURA CODIGO'!$H$2:$L$612,4,FALSE)," ")</f>
        <v>0</v>
      </c>
    </row>
    <row r="789" spans="1:8" x14ac:dyDescent="0.3">
      <c r="A789" s="25">
        <v>787</v>
      </c>
      <c r="B789" s="25"/>
      <c r="C789" s="25"/>
      <c r="D789" s="25"/>
      <c r="E789" s="30" t="str">
        <f t="shared" si="14"/>
        <v>--</v>
      </c>
      <c r="F789" s="13">
        <f>IFERROR(VLOOKUP(E789,'ESTRUCTURA CODIGO'!$H$2:$J$1048576,2,FALSE)," ")</f>
        <v>0</v>
      </c>
      <c r="G789" s="25">
        <f>IFERROR(VLOOKUP(E789,'ESTRUCTURA CODIGO'!$H$2:$J$1048576,3,FALSE)," ")</f>
        <v>0</v>
      </c>
      <c r="H789" s="25">
        <f>IFERROR(VLOOKUP(E789,'ESTRUCTURA CODIGO'!$H$2:$L$612,4,FALSE)," ")</f>
        <v>0</v>
      </c>
    </row>
    <row r="790" spans="1:8" x14ac:dyDescent="0.3">
      <c r="A790" s="25">
        <v>788</v>
      </c>
      <c r="B790" s="25"/>
      <c r="C790" s="25"/>
      <c r="D790" s="25"/>
      <c r="E790" s="30" t="str">
        <f t="shared" si="14"/>
        <v>--</v>
      </c>
      <c r="F790" s="13">
        <f>IFERROR(VLOOKUP(E790,'ESTRUCTURA CODIGO'!$H$2:$J$1048576,2,FALSE)," ")</f>
        <v>0</v>
      </c>
      <c r="G790" s="25">
        <f>IFERROR(VLOOKUP(E790,'ESTRUCTURA CODIGO'!$H$2:$J$1048576,3,FALSE)," ")</f>
        <v>0</v>
      </c>
      <c r="H790" s="25">
        <f>IFERROR(VLOOKUP(E790,'ESTRUCTURA CODIGO'!$H$2:$L$612,4,FALSE)," ")</f>
        <v>0</v>
      </c>
    </row>
    <row r="791" spans="1:8" x14ac:dyDescent="0.3">
      <c r="A791" s="25">
        <v>789</v>
      </c>
      <c r="B791" s="25"/>
      <c r="C791" s="25"/>
      <c r="D791" s="25"/>
      <c r="E791" s="30" t="str">
        <f t="shared" si="14"/>
        <v>--</v>
      </c>
      <c r="F791" s="13">
        <f>IFERROR(VLOOKUP(E791,'ESTRUCTURA CODIGO'!$H$2:$J$1048576,2,FALSE)," ")</f>
        <v>0</v>
      </c>
      <c r="G791" s="25">
        <f>IFERROR(VLOOKUP(E791,'ESTRUCTURA CODIGO'!$H$2:$J$1048576,3,FALSE)," ")</f>
        <v>0</v>
      </c>
      <c r="H791" s="25">
        <f>IFERROR(VLOOKUP(E791,'ESTRUCTURA CODIGO'!$H$2:$L$612,4,FALSE)," ")</f>
        <v>0</v>
      </c>
    </row>
    <row r="792" spans="1:8" x14ac:dyDescent="0.3">
      <c r="A792" s="25">
        <v>790</v>
      </c>
      <c r="B792" s="25"/>
      <c r="C792" s="25"/>
      <c r="D792" s="25"/>
      <c r="E792" s="30" t="str">
        <f t="shared" si="14"/>
        <v>--</v>
      </c>
      <c r="F792" s="13">
        <f>IFERROR(VLOOKUP(E792,'ESTRUCTURA CODIGO'!$H$2:$J$1048576,2,FALSE)," ")</f>
        <v>0</v>
      </c>
      <c r="G792" s="25">
        <f>IFERROR(VLOOKUP(E792,'ESTRUCTURA CODIGO'!$H$2:$J$1048576,3,FALSE)," ")</f>
        <v>0</v>
      </c>
      <c r="H792" s="25">
        <f>IFERROR(VLOOKUP(E792,'ESTRUCTURA CODIGO'!$H$2:$L$612,4,FALSE)," ")</f>
        <v>0</v>
      </c>
    </row>
    <row r="793" spans="1:8" x14ac:dyDescent="0.3">
      <c r="A793" s="25">
        <v>791</v>
      </c>
      <c r="B793" s="25"/>
      <c r="C793" s="25"/>
      <c r="D793" s="25"/>
      <c r="E793" s="30" t="str">
        <f t="shared" si="14"/>
        <v>--</v>
      </c>
      <c r="F793" s="13">
        <f>IFERROR(VLOOKUP(E793,'ESTRUCTURA CODIGO'!$H$2:$J$1048576,2,FALSE)," ")</f>
        <v>0</v>
      </c>
      <c r="G793" s="25">
        <f>IFERROR(VLOOKUP(E793,'ESTRUCTURA CODIGO'!$H$2:$J$1048576,3,FALSE)," ")</f>
        <v>0</v>
      </c>
      <c r="H793" s="25">
        <f>IFERROR(VLOOKUP(E793,'ESTRUCTURA CODIGO'!$H$2:$L$612,4,FALSE)," ")</f>
        <v>0</v>
      </c>
    </row>
    <row r="794" spans="1:8" x14ac:dyDescent="0.3">
      <c r="A794" s="25">
        <v>792</v>
      </c>
      <c r="B794" s="25"/>
      <c r="C794" s="25"/>
      <c r="D794" s="25"/>
      <c r="E794" s="30" t="str">
        <f t="shared" si="14"/>
        <v>--</v>
      </c>
      <c r="F794" s="13">
        <f>IFERROR(VLOOKUP(E794,'ESTRUCTURA CODIGO'!$H$2:$J$1048576,2,FALSE)," ")</f>
        <v>0</v>
      </c>
      <c r="G794" s="25">
        <f>IFERROR(VLOOKUP(E794,'ESTRUCTURA CODIGO'!$H$2:$J$1048576,3,FALSE)," ")</f>
        <v>0</v>
      </c>
      <c r="H794" s="25">
        <f>IFERROR(VLOOKUP(E794,'ESTRUCTURA CODIGO'!$H$2:$L$612,4,FALSE)," ")</f>
        <v>0</v>
      </c>
    </row>
    <row r="795" spans="1:8" x14ac:dyDescent="0.3">
      <c r="A795" s="25">
        <v>793</v>
      </c>
      <c r="B795" s="25"/>
      <c r="C795" s="25"/>
      <c r="D795" s="25"/>
      <c r="E795" s="30" t="str">
        <f t="shared" si="14"/>
        <v>--</v>
      </c>
      <c r="F795" s="13">
        <f>IFERROR(VLOOKUP(E795,'ESTRUCTURA CODIGO'!$H$2:$J$1048576,2,FALSE)," ")</f>
        <v>0</v>
      </c>
      <c r="G795" s="25">
        <f>IFERROR(VLOOKUP(E795,'ESTRUCTURA CODIGO'!$H$2:$J$1048576,3,FALSE)," ")</f>
        <v>0</v>
      </c>
      <c r="H795" s="25">
        <f>IFERROR(VLOOKUP(E795,'ESTRUCTURA CODIGO'!$H$2:$L$612,4,FALSE)," ")</f>
        <v>0</v>
      </c>
    </row>
    <row r="796" spans="1:8" x14ac:dyDescent="0.3">
      <c r="A796" s="25">
        <v>794</v>
      </c>
      <c r="B796" s="25"/>
      <c r="C796" s="25"/>
      <c r="D796" s="25"/>
      <c r="E796" s="30" t="str">
        <f t="shared" si="14"/>
        <v>--</v>
      </c>
      <c r="F796" s="13">
        <f>IFERROR(VLOOKUP(E796,'ESTRUCTURA CODIGO'!$H$2:$J$1048576,2,FALSE)," ")</f>
        <v>0</v>
      </c>
      <c r="G796" s="25">
        <f>IFERROR(VLOOKUP(E796,'ESTRUCTURA CODIGO'!$H$2:$J$1048576,3,FALSE)," ")</f>
        <v>0</v>
      </c>
      <c r="H796" s="25">
        <f>IFERROR(VLOOKUP(E796,'ESTRUCTURA CODIGO'!$H$2:$L$612,4,FALSE)," ")</f>
        <v>0</v>
      </c>
    </row>
    <row r="797" spans="1:8" x14ac:dyDescent="0.3">
      <c r="A797" s="25">
        <v>795</v>
      </c>
      <c r="B797" s="25"/>
      <c r="C797" s="25"/>
      <c r="D797" s="25"/>
      <c r="E797" s="30" t="str">
        <f t="shared" si="14"/>
        <v>--</v>
      </c>
      <c r="F797" s="13">
        <f>IFERROR(VLOOKUP(E797,'ESTRUCTURA CODIGO'!$H$2:$J$1048576,2,FALSE)," ")</f>
        <v>0</v>
      </c>
      <c r="G797" s="25">
        <f>IFERROR(VLOOKUP(E797,'ESTRUCTURA CODIGO'!$H$2:$J$1048576,3,FALSE)," ")</f>
        <v>0</v>
      </c>
      <c r="H797" s="25">
        <f>IFERROR(VLOOKUP(E797,'ESTRUCTURA CODIGO'!$H$2:$L$612,4,FALSE)," ")</f>
        <v>0</v>
      </c>
    </row>
    <row r="798" spans="1:8" x14ac:dyDescent="0.3">
      <c r="A798" s="25">
        <v>796</v>
      </c>
      <c r="B798" s="25"/>
      <c r="C798" s="25"/>
      <c r="D798" s="25"/>
      <c r="E798" s="30" t="str">
        <f t="shared" si="14"/>
        <v>--</v>
      </c>
      <c r="F798" s="13">
        <f>IFERROR(VLOOKUP(E798,'ESTRUCTURA CODIGO'!$H$2:$J$1048576,2,FALSE)," ")</f>
        <v>0</v>
      </c>
      <c r="G798" s="25">
        <f>IFERROR(VLOOKUP(E798,'ESTRUCTURA CODIGO'!$H$2:$J$1048576,3,FALSE)," ")</f>
        <v>0</v>
      </c>
      <c r="H798" s="25">
        <f>IFERROR(VLOOKUP(E798,'ESTRUCTURA CODIGO'!$H$2:$L$612,4,FALSE)," ")</f>
        <v>0</v>
      </c>
    </row>
    <row r="799" spans="1:8" x14ac:dyDescent="0.3">
      <c r="A799" s="25">
        <v>797</v>
      </c>
      <c r="B799" s="25"/>
      <c r="C799" s="25"/>
      <c r="D799" s="25"/>
      <c r="E799" s="30" t="str">
        <f t="shared" si="14"/>
        <v>--</v>
      </c>
      <c r="F799" s="13">
        <f>IFERROR(VLOOKUP(E799,'ESTRUCTURA CODIGO'!$H$2:$J$1048576,2,FALSE)," ")</f>
        <v>0</v>
      </c>
      <c r="G799" s="25">
        <f>IFERROR(VLOOKUP(E799,'ESTRUCTURA CODIGO'!$H$2:$J$1048576,3,FALSE)," ")</f>
        <v>0</v>
      </c>
      <c r="H799" s="25">
        <f>IFERROR(VLOOKUP(E799,'ESTRUCTURA CODIGO'!$H$2:$L$612,4,FALSE)," ")</f>
        <v>0</v>
      </c>
    </row>
    <row r="800" spans="1:8" x14ac:dyDescent="0.3">
      <c r="A800" s="25">
        <v>798</v>
      </c>
      <c r="B800" s="25"/>
      <c r="C800" s="25"/>
      <c r="D800" s="25"/>
      <c r="E800" s="30" t="str">
        <f t="shared" si="14"/>
        <v>--</v>
      </c>
      <c r="F800" s="13">
        <f>IFERROR(VLOOKUP(E800,'ESTRUCTURA CODIGO'!$H$2:$J$1048576,2,FALSE)," ")</f>
        <v>0</v>
      </c>
      <c r="G800" s="25">
        <f>IFERROR(VLOOKUP(E800,'ESTRUCTURA CODIGO'!$H$2:$J$1048576,3,FALSE)," ")</f>
        <v>0</v>
      </c>
      <c r="H800" s="25">
        <f>IFERROR(VLOOKUP(E800,'ESTRUCTURA CODIGO'!$H$2:$L$612,4,FALSE)," ")</f>
        <v>0</v>
      </c>
    </row>
    <row r="801" spans="1:8" x14ac:dyDescent="0.3">
      <c r="A801" s="25">
        <v>799</v>
      </c>
      <c r="B801" s="25"/>
      <c r="C801" s="25"/>
      <c r="D801" s="25"/>
      <c r="E801" s="30" t="str">
        <f t="shared" si="14"/>
        <v>--</v>
      </c>
      <c r="F801" s="13">
        <f>IFERROR(VLOOKUP(E801,'ESTRUCTURA CODIGO'!$H$2:$J$1048576,2,FALSE)," ")</f>
        <v>0</v>
      </c>
      <c r="G801" s="25">
        <f>IFERROR(VLOOKUP(E801,'ESTRUCTURA CODIGO'!$H$2:$J$1048576,3,FALSE)," ")</f>
        <v>0</v>
      </c>
      <c r="H801" s="25">
        <f>IFERROR(VLOOKUP(E801,'ESTRUCTURA CODIGO'!$H$2:$L$612,4,FALSE)," ")</f>
        <v>0</v>
      </c>
    </row>
    <row r="802" spans="1:8" x14ac:dyDescent="0.3">
      <c r="A802" s="25">
        <v>800</v>
      </c>
      <c r="B802" s="25"/>
      <c r="C802" s="25"/>
      <c r="D802" s="25"/>
      <c r="E802" s="30" t="str">
        <f t="shared" si="14"/>
        <v>--</v>
      </c>
      <c r="F802" s="13">
        <f>IFERROR(VLOOKUP(E802,'ESTRUCTURA CODIGO'!$H$2:$J$1048576,2,FALSE)," ")</f>
        <v>0</v>
      </c>
      <c r="G802" s="25">
        <f>IFERROR(VLOOKUP(E802,'ESTRUCTURA CODIGO'!$H$2:$J$1048576,3,FALSE)," ")</f>
        <v>0</v>
      </c>
      <c r="H802" s="25">
        <f>IFERROR(VLOOKUP(E802,'ESTRUCTURA CODIGO'!$H$2:$L$612,4,FALSE)," ")</f>
        <v>0</v>
      </c>
    </row>
    <row r="803" spans="1:8" x14ac:dyDescent="0.3">
      <c r="A803" s="25">
        <v>801</v>
      </c>
      <c r="B803" s="25"/>
      <c r="C803" s="25"/>
      <c r="D803" s="25"/>
      <c r="E803" s="30" t="str">
        <f t="shared" si="14"/>
        <v>--</v>
      </c>
      <c r="F803" s="13">
        <f>IFERROR(VLOOKUP(E803,'ESTRUCTURA CODIGO'!$H$2:$J$1048576,2,FALSE)," ")</f>
        <v>0</v>
      </c>
      <c r="G803" s="25">
        <f>IFERROR(VLOOKUP(E803,'ESTRUCTURA CODIGO'!$H$2:$J$1048576,3,FALSE)," ")</f>
        <v>0</v>
      </c>
      <c r="H803" s="25">
        <f>IFERROR(VLOOKUP(E803,'ESTRUCTURA CODIGO'!$H$2:$L$612,4,FALSE)," ")</f>
        <v>0</v>
      </c>
    </row>
    <row r="804" spans="1:8" x14ac:dyDescent="0.3">
      <c r="A804" s="25">
        <v>802</v>
      </c>
      <c r="B804" s="25"/>
      <c r="C804" s="25"/>
      <c r="D804" s="25"/>
      <c r="E804" s="30" t="str">
        <f t="shared" si="14"/>
        <v>--</v>
      </c>
      <c r="F804" s="13">
        <f>IFERROR(VLOOKUP(E804,'ESTRUCTURA CODIGO'!$H$2:$J$1048576,2,FALSE)," ")</f>
        <v>0</v>
      </c>
      <c r="G804" s="25">
        <f>IFERROR(VLOOKUP(E804,'ESTRUCTURA CODIGO'!$H$2:$J$1048576,3,FALSE)," ")</f>
        <v>0</v>
      </c>
      <c r="H804" s="25">
        <f>IFERROR(VLOOKUP(E804,'ESTRUCTURA CODIGO'!$H$2:$L$612,4,FALSE)," ")</f>
        <v>0</v>
      </c>
    </row>
    <row r="805" spans="1:8" x14ac:dyDescent="0.3">
      <c r="A805" s="25">
        <v>803</v>
      </c>
      <c r="B805" s="25"/>
      <c r="C805" s="25"/>
      <c r="D805" s="25"/>
      <c r="E805" s="30" t="str">
        <f t="shared" si="14"/>
        <v>--</v>
      </c>
      <c r="F805" s="13">
        <f>IFERROR(VLOOKUP(E805,'ESTRUCTURA CODIGO'!$H$2:$J$1048576,2,FALSE)," ")</f>
        <v>0</v>
      </c>
      <c r="G805" s="25">
        <f>IFERROR(VLOOKUP(E805,'ESTRUCTURA CODIGO'!$H$2:$J$1048576,3,FALSE)," ")</f>
        <v>0</v>
      </c>
      <c r="H805" s="25">
        <f>IFERROR(VLOOKUP(E805,'ESTRUCTURA CODIGO'!$H$2:$L$612,4,FALSE)," ")</f>
        <v>0</v>
      </c>
    </row>
    <row r="806" spans="1:8" x14ac:dyDescent="0.3">
      <c r="A806" s="25">
        <v>804</v>
      </c>
      <c r="B806" s="25"/>
      <c r="C806" s="25"/>
      <c r="D806" s="25"/>
      <c r="E806" s="30" t="str">
        <f t="shared" si="14"/>
        <v>--</v>
      </c>
      <c r="F806" s="13">
        <f>IFERROR(VLOOKUP(E806,'ESTRUCTURA CODIGO'!$H$2:$J$1048576,2,FALSE)," ")</f>
        <v>0</v>
      </c>
      <c r="G806" s="25">
        <f>IFERROR(VLOOKUP(E806,'ESTRUCTURA CODIGO'!$H$2:$J$1048576,3,FALSE)," ")</f>
        <v>0</v>
      </c>
      <c r="H806" s="25">
        <f>IFERROR(VLOOKUP(E806,'ESTRUCTURA CODIGO'!$H$2:$L$612,4,FALSE)," ")</f>
        <v>0</v>
      </c>
    </row>
    <row r="807" spans="1:8" x14ac:dyDescent="0.3">
      <c r="A807" s="25">
        <v>805</v>
      </c>
      <c r="B807" s="25"/>
      <c r="C807" s="25"/>
      <c r="D807" s="25"/>
      <c r="E807" s="30" t="str">
        <f t="shared" si="14"/>
        <v>--</v>
      </c>
      <c r="F807" s="13">
        <f>IFERROR(VLOOKUP(E807,'ESTRUCTURA CODIGO'!$H$2:$J$1048576,2,FALSE)," ")</f>
        <v>0</v>
      </c>
      <c r="G807" s="25">
        <f>IFERROR(VLOOKUP(E807,'ESTRUCTURA CODIGO'!$H$2:$J$1048576,3,FALSE)," ")</f>
        <v>0</v>
      </c>
      <c r="H807" s="25">
        <f>IFERROR(VLOOKUP(E807,'ESTRUCTURA CODIGO'!$H$2:$L$612,4,FALSE)," ")</f>
        <v>0</v>
      </c>
    </row>
    <row r="808" spans="1:8" x14ac:dyDescent="0.3">
      <c r="A808" s="25">
        <v>806</v>
      </c>
      <c r="B808" s="25"/>
      <c r="C808" s="25"/>
      <c r="D808" s="25"/>
      <c r="E808" s="30" t="str">
        <f t="shared" si="14"/>
        <v>--</v>
      </c>
      <c r="F808" s="13">
        <f>IFERROR(VLOOKUP(E808,'ESTRUCTURA CODIGO'!$H$2:$J$1048576,2,FALSE)," ")</f>
        <v>0</v>
      </c>
      <c r="G808" s="25">
        <f>IFERROR(VLOOKUP(E808,'ESTRUCTURA CODIGO'!$H$2:$J$1048576,3,FALSE)," ")</f>
        <v>0</v>
      </c>
      <c r="H808" s="25">
        <f>IFERROR(VLOOKUP(E808,'ESTRUCTURA CODIGO'!$H$2:$L$612,4,FALSE)," ")</f>
        <v>0</v>
      </c>
    </row>
    <row r="809" spans="1:8" x14ac:dyDescent="0.3">
      <c r="A809" s="25">
        <v>807</v>
      </c>
      <c r="B809" s="25"/>
      <c r="C809" s="25"/>
      <c r="D809" s="25"/>
      <c r="E809" s="30" t="str">
        <f t="shared" si="14"/>
        <v>--</v>
      </c>
      <c r="F809" s="13">
        <f>IFERROR(VLOOKUP(E809,'ESTRUCTURA CODIGO'!$H$2:$J$1048576,2,FALSE)," ")</f>
        <v>0</v>
      </c>
      <c r="G809" s="25">
        <f>IFERROR(VLOOKUP(E809,'ESTRUCTURA CODIGO'!$H$2:$J$1048576,3,FALSE)," ")</f>
        <v>0</v>
      </c>
      <c r="H809" s="25">
        <f>IFERROR(VLOOKUP(E809,'ESTRUCTURA CODIGO'!$H$2:$L$612,4,FALSE)," ")</f>
        <v>0</v>
      </c>
    </row>
    <row r="810" spans="1:8" x14ac:dyDescent="0.3">
      <c r="A810" s="25">
        <v>808</v>
      </c>
      <c r="B810" s="25"/>
      <c r="C810" s="25"/>
      <c r="D810" s="25"/>
      <c r="E810" s="30" t="str">
        <f t="shared" si="14"/>
        <v>--</v>
      </c>
      <c r="F810" s="13">
        <f>IFERROR(VLOOKUP(E810,'ESTRUCTURA CODIGO'!$H$2:$J$1048576,2,FALSE)," ")</f>
        <v>0</v>
      </c>
      <c r="G810" s="25">
        <f>IFERROR(VLOOKUP(E810,'ESTRUCTURA CODIGO'!$H$2:$J$1048576,3,FALSE)," ")</f>
        <v>0</v>
      </c>
      <c r="H810" s="25">
        <f>IFERROR(VLOOKUP(E810,'ESTRUCTURA CODIGO'!$H$2:$L$612,4,FALSE)," ")</f>
        <v>0</v>
      </c>
    </row>
    <row r="811" spans="1:8" x14ac:dyDescent="0.3">
      <c r="A811" s="25">
        <v>809</v>
      </c>
      <c r="B811" s="25"/>
      <c r="C811" s="25"/>
      <c r="D811" s="25"/>
      <c r="E811" s="30" t="str">
        <f t="shared" si="14"/>
        <v>--</v>
      </c>
      <c r="F811" s="13">
        <f>IFERROR(VLOOKUP(E811,'ESTRUCTURA CODIGO'!$H$2:$J$1048576,2,FALSE)," ")</f>
        <v>0</v>
      </c>
      <c r="G811" s="25">
        <f>IFERROR(VLOOKUP(E811,'ESTRUCTURA CODIGO'!$H$2:$J$1048576,3,FALSE)," ")</f>
        <v>0</v>
      </c>
      <c r="H811" s="25">
        <f>IFERROR(VLOOKUP(E811,'ESTRUCTURA CODIGO'!$H$2:$L$612,4,FALSE)," ")</f>
        <v>0</v>
      </c>
    </row>
    <row r="812" spans="1:8" x14ac:dyDescent="0.3">
      <c r="A812" s="25">
        <v>810</v>
      </c>
      <c r="B812" s="25"/>
      <c r="C812" s="25"/>
      <c r="D812" s="25"/>
      <c r="E812" s="30" t="str">
        <f t="shared" si="14"/>
        <v>--</v>
      </c>
      <c r="F812" s="13">
        <f>IFERROR(VLOOKUP(E812,'ESTRUCTURA CODIGO'!$H$2:$J$1048576,2,FALSE)," ")</f>
        <v>0</v>
      </c>
      <c r="G812" s="25">
        <f>IFERROR(VLOOKUP(E812,'ESTRUCTURA CODIGO'!$H$2:$J$1048576,3,FALSE)," ")</f>
        <v>0</v>
      </c>
      <c r="H812" s="25">
        <f>IFERROR(VLOOKUP(E812,'ESTRUCTURA CODIGO'!$H$2:$L$612,4,FALSE)," ")</f>
        <v>0</v>
      </c>
    </row>
    <row r="813" spans="1:8" x14ac:dyDescent="0.3">
      <c r="A813" s="25">
        <v>811</v>
      </c>
      <c r="B813" s="25"/>
      <c r="C813" s="25"/>
      <c r="D813" s="25"/>
      <c r="E813" s="30" t="str">
        <f t="shared" si="14"/>
        <v>--</v>
      </c>
      <c r="F813" s="13">
        <f>IFERROR(VLOOKUP(E813,'ESTRUCTURA CODIGO'!$H$2:$J$1048576,2,FALSE)," ")</f>
        <v>0</v>
      </c>
      <c r="G813" s="25">
        <f>IFERROR(VLOOKUP(E813,'ESTRUCTURA CODIGO'!$H$2:$J$1048576,3,FALSE)," ")</f>
        <v>0</v>
      </c>
      <c r="H813" s="25">
        <f>IFERROR(VLOOKUP(E813,'ESTRUCTURA CODIGO'!$H$2:$L$612,4,FALSE)," ")</f>
        <v>0</v>
      </c>
    </row>
    <row r="814" spans="1:8" x14ac:dyDescent="0.3">
      <c r="A814" s="25">
        <v>812</v>
      </c>
      <c r="B814" s="25"/>
      <c r="C814" s="25"/>
      <c r="D814" s="25"/>
      <c r="E814" s="30" t="str">
        <f t="shared" si="14"/>
        <v>--</v>
      </c>
      <c r="F814" s="13">
        <f>IFERROR(VLOOKUP(E814,'ESTRUCTURA CODIGO'!$H$2:$J$1048576,2,FALSE)," ")</f>
        <v>0</v>
      </c>
      <c r="G814" s="25">
        <f>IFERROR(VLOOKUP(E814,'ESTRUCTURA CODIGO'!$H$2:$J$1048576,3,FALSE)," ")</f>
        <v>0</v>
      </c>
      <c r="H814" s="25">
        <f>IFERROR(VLOOKUP(E814,'ESTRUCTURA CODIGO'!$H$2:$L$612,4,FALSE)," ")</f>
        <v>0</v>
      </c>
    </row>
    <row r="815" spans="1:8" x14ac:dyDescent="0.3">
      <c r="A815" s="25">
        <v>813</v>
      </c>
      <c r="B815" s="25"/>
      <c r="C815" s="25"/>
      <c r="D815" s="25"/>
      <c r="E815" s="30" t="str">
        <f t="shared" si="14"/>
        <v>--</v>
      </c>
      <c r="F815" s="13">
        <f>IFERROR(VLOOKUP(E815,'ESTRUCTURA CODIGO'!$H$2:$J$1048576,2,FALSE)," ")</f>
        <v>0</v>
      </c>
      <c r="G815" s="25">
        <f>IFERROR(VLOOKUP(E815,'ESTRUCTURA CODIGO'!$H$2:$J$1048576,3,FALSE)," ")</f>
        <v>0</v>
      </c>
      <c r="H815" s="25">
        <f>IFERROR(VLOOKUP(E815,'ESTRUCTURA CODIGO'!$H$2:$L$612,4,FALSE)," ")</f>
        <v>0</v>
      </c>
    </row>
    <row r="816" spans="1:8" x14ac:dyDescent="0.3">
      <c r="A816" s="25">
        <v>814</v>
      </c>
      <c r="B816" s="25"/>
      <c r="C816" s="25"/>
      <c r="D816" s="25"/>
      <c r="E816" s="30" t="str">
        <f t="shared" si="14"/>
        <v>--</v>
      </c>
      <c r="F816" s="13">
        <f>IFERROR(VLOOKUP(E816,'ESTRUCTURA CODIGO'!$H$2:$J$1048576,2,FALSE)," ")</f>
        <v>0</v>
      </c>
      <c r="G816" s="25">
        <f>IFERROR(VLOOKUP(E816,'ESTRUCTURA CODIGO'!$H$2:$J$1048576,3,FALSE)," ")</f>
        <v>0</v>
      </c>
      <c r="H816" s="25">
        <f>IFERROR(VLOOKUP(E816,'ESTRUCTURA CODIGO'!$H$2:$L$612,4,FALSE)," ")</f>
        <v>0</v>
      </c>
    </row>
    <row r="817" spans="1:8" x14ac:dyDescent="0.3">
      <c r="A817" s="25">
        <v>815</v>
      </c>
      <c r="B817" s="25"/>
      <c r="C817" s="25"/>
      <c r="D817" s="25"/>
      <c r="E817" s="30" t="str">
        <f t="shared" si="14"/>
        <v>--</v>
      </c>
      <c r="F817" s="13">
        <f>IFERROR(VLOOKUP(E817,'ESTRUCTURA CODIGO'!$H$2:$J$1048576,2,FALSE)," ")</f>
        <v>0</v>
      </c>
      <c r="G817" s="25">
        <f>IFERROR(VLOOKUP(E817,'ESTRUCTURA CODIGO'!$H$2:$J$1048576,3,FALSE)," ")</f>
        <v>0</v>
      </c>
      <c r="H817" s="25">
        <f>IFERROR(VLOOKUP(E817,'ESTRUCTURA CODIGO'!$H$2:$L$612,4,FALSE)," ")</f>
        <v>0</v>
      </c>
    </row>
    <row r="818" spans="1:8" x14ac:dyDescent="0.3">
      <c r="A818" s="25">
        <v>816</v>
      </c>
      <c r="B818" s="25"/>
      <c r="C818" s="25"/>
      <c r="D818" s="25"/>
      <c r="E818" s="30" t="str">
        <f t="shared" si="14"/>
        <v>--</v>
      </c>
      <c r="F818" s="13">
        <f>IFERROR(VLOOKUP(E818,'ESTRUCTURA CODIGO'!$H$2:$J$1048576,2,FALSE)," ")</f>
        <v>0</v>
      </c>
      <c r="G818" s="25">
        <f>IFERROR(VLOOKUP(E818,'ESTRUCTURA CODIGO'!$H$2:$J$1048576,3,FALSE)," ")</f>
        <v>0</v>
      </c>
      <c r="H818" s="25">
        <f>IFERROR(VLOOKUP(E818,'ESTRUCTURA CODIGO'!$H$2:$L$612,4,FALSE)," ")</f>
        <v>0</v>
      </c>
    </row>
    <row r="819" spans="1:8" x14ac:dyDescent="0.3">
      <c r="A819" s="25">
        <v>817</v>
      </c>
      <c r="B819" s="25"/>
      <c r="C819" s="25"/>
      <c r="D819" s="25"/>
      <c r="E819" s="30" t="str">
        <f t="shared" si="14"/>
        <v>--</v>
      </c>
      <c r="F819" s="13">
        <f>IFERROR(VLOOKUP(E819,'ESTRUCTURA CODIGO'!$H$2:$J$1048576,2,FALSE)," ")</f>
        <v>0</v>
      </c>
      <c r="G819" s="25">
        <f>IFERROR(VLOOKUP(E819,'ESTRUCTURA CODIGO'!$H$2:$J$1048576,3,FALSE)," ")</f>
        <v>0</v>
      </c>
      <c r="H819" s="25">
        <f>IFERROR(VLOOKUP(E819,'ESTRUCTURA CODIGO'!$H$2:$L$612,4,FALSE)," ")</f>
        <v>0</v>
      </c>
    </row>
    <row r="820" spans="1:8" x14ac:dyDescent="0.3">
      <c r="A820" s="25">
        <v>818</v>
      </c>
      <c r="B820" s="25"/>
      <c r="C820" s="25"/>
      <c r="D820" s="25"/>
      <c r="E820" s="30" t="str">
        <f t="shared" ref="E820:E874" si="15">CONCATENATE(B820,"-",C820,"-",D820)</f>
        <v>--</v>
      </c>
      <c r="F820" s="13">
        <f>IFERROR(VLOOKUP(E820,'ESTRUCTURA CODIGO'!$H$2:$J$1048576,2,FALSE)," ")</f>
        <v>0</v>
      </c>
      <c r="G820" s="25">
        <f>IFERROR(VLOOKUP(E820,'ESTRUCTURA CODIGO'!$H$2:$J$1048576,3,FALSE)," ")</f>
        <v>0</v>
      </c>
      <c r="H820" s="25">
        <f>IFERROR(VLOOKUP(E820,'ESTRUCTURA CODIGO'!$H$2:$L$612,4,FALSE)," ")</f>
        <v>0</v>
      </c>
    </row>
    <row r="821" spans="1:8" x14ac:dyDescent="0.3">
      <c r="A821" s="25">
        <v>819</v>
      </c>
      <c r="B821" s="25"/>
      <c r="C821" s="25"/>
      <c r="D821" s="25"/>
      <c r="E821" s="30" t="str">
        <f t="shared" si="15"/>
        <v>--</v>
      </c>
      <c r="F821" s="13">
        <f>IFERROR(VLOOKUP(E821,'ESTRUCTURA CODIGO'!$H$2:$J$1048576,2,FALSE)," ")</f>
        <v>0</v>
      </c>
      <c r="G821" s="25">
        <f>IFERROR(VLOOKUP(E821,'ESTRUCTURA CODIGO'!$H$2:$J$1048576,3,FALSE)," ")</f>
        <v>0</v>
      </c>
      <c r="H821" s="25">
        <f>IFERROR(VLOOKUP(E821,'ESTRUCTURA CODIGO'!$H$2:$L$612,4,FALSE)," ")</f>
        <v>0</v>
      </c>
    </row>
    <row r="822" spans="1:8" x14ac:dyDescent="0.3">
      <c r="A822" s="25">
        <v>820</v>
      </c>
      <c r="B822" s="25"/>
      <c r="C822" s="25"/>
      <c r="D822" s="25"/>
      <c r="E822" s="30" t="str">
        <f t="shared" si="15"/>
        <v>--</v>
      </c>
      <c r="F822" s="13">
        <f>IFERROR(VLOOKUP(E822,'ESTRUCTURA CODIGO'!$H$2:$J$1048576,2,FALSE)," ")</f>
        <v>0</v>
      </c>
      <c r="G822" s="25">
        <f>IFERROR(VLOOKUP(E822,'ESTRUCTURA CODIGO'!$H$2:$J$1048576,3,FALSE)," ")</f>
        <v>0</v>
      </c>
      <c r="H822" s="25">
        <f>IFERROR(VLOOKUP(E822,'ESTRUCTURA CODIGO'!$H$2:$L$612,4,FALSE)," ")</f>
        <v>0</v>
      </c>
    </row>
    <row r="823" spans="1:8" x14ac:dyDescent="0.3">
      <c r="A823" s="25">
        <v>821</v>
      </c>
      <c r="B823" s="25"/>
      <c r="C823" s="25"/>
      <c r="D823" s="25"/>
      <c r="E823" s="30" t="str">
        <f t="shared" si="15"/>
        <v>--</v>
      </c>
      <c r="F823" s="13">
        <f>IFERROR(VLOOKUP(E823,'ESTRUCTURA CODIGO'!$H$2:$J$1048576,2,FALSE)," ")</f>
        <v>0</v>
      </c>
      <c r="G823" s="25">
        <f>IFERROR(VLOOKUP(E823,'ESTRUCTURA CODIGO'!$H$2:$J$1048576,3,FALSE)," ")</f>
        <v>0</v>
      </c>
      <c r="H823" s="25">
        <f>IFERROR(VLOOKUP(E823,'ESTRUCTURA CODIGO'!$H$2:$L$612,4,FALSE)," ")</f>
        <v>0</v>
      </c>
    </row>
    <row r="824" spans="1:8" x14ac:dyDescent="0.3">
      <c r="A824" s="25">
        <v>822</v>
      </c>
      <c r="B824" s="25"/>
      <c r="C824" s="25"/>
      <c r="D824" s="25"/>
      <c r="E824" s="30" t="str">
        <f t="shared" si="15"/>
        <v>--</v>
      </c>
      <c r="F824" s="13">
        <f>IFERROR(VLOOKUP(E824,'ESTRUCTURA CODIGO'!$H$2:$J$1048576,2,FALSE)," ")</f>
        <v>0</v>
      </c>
      <c r="G824" s="25">
        <f>IFERROR(VLOOKUP(E824,'ESTRUCTURA CODIGO'!$H$2:$J$1048576,3,FALSE)," ")</f>
        <v>0</v>
      </c>
      <c r="H824" s="25">
        <f>IFERROR(VLOOKUP(E824,'ESTRUCTURA CODIGO'!$H$2:$L$612,4,FALSE)," ")</f>
        <v>0</v>
      </c>
    </row>
    <row r="825" spans="1:8" x14ac:dyDescent="0.3">
      <c r="A825" s="25">
        <v>823</v>
      </c>
      <c r="B825" s="25"/>
      <c r="C825" s="25"/>
      <c r="D825" s="25"/>
      <c r="E825" s="30" t="str">
        <f t="shared" si="15"/>
        <v>--</v>
      </c>
      <c r="F825" s="13">
        <f>IFERROR(VLOOKUP(E825,'ESTRUCTURA CODIGO'!$H$2:$J$1048576,2,FALSE)," ")</f>
        <v>0</v>
      </c>
      <c r="G825" s="25">
        <f>IFERROR(VLOOKUP(E825,'ESTRUCTURA CODIGO'!$H$2:$J$1048576,3,FALSE)," ")</f>
        <v>0</v>
      </c>
      <c r="H825" s="25">
        <f>IFERROR(VLOOKUP(E825,'ESTRUCTURA CODIGO'!$H$2:$L$612,4,FALSE)," ")</f>
        <v>0</v>
      </c>
    </row>
    <row r="826" spans="1:8" x14ac:dyDescent="0.3">
      <c r="A826" s="25">
        <v>824</v>
      </c>
      <c r="B826" s="25"/>
      <c r="C826" s="25"/>
      <c r="D826" s="25"/>
      <c r="E826" s="30" t="str">
        <f t="shared" si="15"/>
        <v>--</v>
      </c>
      <c r="F826" s="13">
        <f>IFERROR(VLOOKUP(E826,'ESTRUCTURA CODIGO'!$H$2:$J$1048576,2,FALSE)," ")</f>
        <v>0</v>
      </c>
      <c r="G826" s="25">
        <f>IFERROR(VLOOKUP(E826,'ESTRUCTURA CODIGO'!$H$2:$J$1048576,3,FALSE)," ")</f>
        <v>0</v>
      </c>
      <c r="H826" s="25">
        <f>IFERROR(VLOOKUP(E826,'ESTRUCTURA CODIGO'!$H$2:$L$612,4,FALSE)," ")</f>
        <v>0</v>
      </c>
    </row>
    <row r="827" spans="1:8" x14ac:dyDescent="0.3">
      <c r="A827" s="25">
        <v>825</v>
      </c>
      <c r="B827" s="25"/>
      <c r="C827" s="25"/>
      <c r="D827" s="25"/>
      <c r="E827" s="30" t="str">
        <f t="shared" si="15"/>
        <v>--</v>
      </c>
      <c r="F827" s="13">
        <f>IFERROR(VLOOKUP(E827,'ESTRUCTURA CODIGO'!$H$2:$J$1048576,2,FALSE)," ")</f>
        <v>0</v>
      </c>
      <c r="G827" s="25">
        <f>IFERROR(VLOOKUP(E827,'ESTRUCTURA CODIGO'!$H$2:$J$1048576,3,FALSE)," ")</f>
        <v>0</v>
      </c>
      <c r="H827" s="25">
        <f>IFERROR(VLOOKUP(E827,'ESTRUCTURA CODIGO'!$H$2:$L$612,4,FALSE)," ")</f>
        <v>0</v>
      </c>
    </row>
    <row r="828" spans="1:8" x14ac:dyDescent="0.3">
      <c r="A828" s="25">
        <v>826</v>
      </c>
      <c r="B828" s="25"/>
      <c r="C828" s="25"/>
      <c r="D828" s="25"/>
      <c r="E828" s="30" t="str">
        <f t="shared" si="15"/>
        <v>--</v>
      </c>
      <c r="F828" s="13">
        <f>IFERROR(VLOOKUP(E828,'ESTRUCTURA CODIGO'!$H$2:$J$1048576,2,FALSE)," ")</f>
        <v>0</v>
      </c>
      <c r="G828" s="25">
        <f>IFERROR(VLOOKUP(E828,'ESTRUCTURA CODIGO'!$H$2:$J$1048576,3,FALSE)," ")</f>
        <v>0</v>
      </c>
      <c r="H828" s="25">
        <f>IFERROR(VLOOKUP(E828,'ESTRUCTURA CODIGO'!$H$2:$L$612,4,FALSE)," ")</f>
        <v>0</v>
      </c>
    </row>
    <row r="829" spans="1:8" x14ac:dyDescent="0.3">
      <c r="A829" s="25">
        <v>827</v>
      </c>
      <c r="B829" s="25"/>
      <c r="C829" s="25"/>
      <c r="D829" s="25"/>
      <c r="E829" s="30" t="str">
        <f t="shared" si="15"/>
        <v>--</v>
      </c>
      <c r="F829" s="13">
        <f>IFERROR(VLOOKUP(E829,'ESTRUCTURA CODIGO'!$H$2:$J$1048576,2,FALSE)," ")</f>
        <v>0</v>
      </c>
      <c r="G829" s="25">
        <f>IFERROR(VLOOKUP(E829,'ESTRUCTURA CODIGO'!$H$2:$J$1048576,3,FALSE)," ")</f>
        <v>0</v>
      </c>
      <c r="H829" s="25">
        <f>IFERROR(VLOOKUP(E829,'ESTRUCTURA CODIGO'!$H$2:$L$612,4,FALSE)," ")</f>
        <v>0</v>
      </c>
    </row>
    <row r="830" spans="1:8" x14ac:dyDescent="0.3">
      <c r="A830" s="25">
        <v>828</v>
      </c>
      <c r="B830" s="25"/>
      <c r="C830" s="25"/>
      <c r="D830" s="25"/>
      <c r="E830" s="30" t="str">
        <f t="shared" si="15"/>
        <v>--</v>
      </c>
      <c r="F830" s="13">
        <f>IFERROR(VLOOKUP(E830,'ESTRUCTURA CODIGO'!$H$2:$J$1048576,2,FALSE)," ")</f>
        <v>0</v>
      </c>
      <c r="G830" s="25">
        <f>IFERROR(VLOOKUP(E830,'ESTRUCTURA CODIGO'!$H$2:$J$1048576,3,FALSE)," ")</f>
        <v>0</v>
      </c>
      <c r="H830" s="25">
        <f>IFERROR(VLOOKUP(E830,'ESTRUCTURA CODIGO'!$H$2:$L$612,4,FALSE)," ")</f>
        <v>0</v>
      </c>
    </row>
    <row r="831" spans="1:8" x14ac:dyDescent="0.3">
      <c r="A831" s="25">
        <v>829</v>
      </c>
      <c r="B831" s="25"/>
      <c r="C831" s="25"/>
      <c r="D831" s="25"/>
      <c r="E831" s="30" t="str">
        <f t="shared" si="15"/>
        <v>--</v>
      </c>
      <c r="F831" s="13">
        <f>IFERROR(VLOOKUP(E831,'ESTRUCTURA CODIGO'!$H$2:$J$1048576,2,FALSE)," ")</f>
        <v>0</v>
      </c>
      <c r="G831" s="25">
        <f>IFERROR(VLOOKUP(E831,'ESTRUCTURA CODIGO'!$H$2:$J$1048576,3,FALSE)," ")</f>
        <v>0</v>
      </c>
      <c r="H831" s="25">
        <f>IFERROR(VLOOKUP(E831,'ESTRUCTURA CODIGO'!$H$2:$L$612,4,FALSE)," ")</f>
        <v>0</v>
      </c>
    </row>
    <row r="832" spans="1:8" x14ac:dyDescent="0.3">
      <c r="A832" s="25">
        <v>830</v>
      </c>
      <c r="B832" s="25"/>
      <c r="C832" s="25"/>
      <c r="D832" s="25"/>
      <c r="E832" s="30" t="str">
        <f t="shared" si="15"/>
        <v>--</v>
      </c>
      <c r="F832" s="13">
        <f>IFERROR(VLOOKUP(E832,'ESTRUCTURA CODIGO'!$H$2:$J$1048576,2,FALSE)," ")</f>
        <v>0</v>
      </c>
      <c r="G832" s="25">
        <f>IFERROR(VLOOKUP(E832,'ESTRUCTURA CODIGO'!$H$2:$J$1048576,3,FALSE)," ")</f>
        <v>0</v>
      </c>
      <c r="H832" s="25">
        <f>IFERROR(VLOOKUP(E832,'ESTRUCTURA CODIGO'!$H$2:$L$612,4,FALSE)," ")</f>
        <v>0</v>
      </c>
    </row>
    <row r="833" spans="1:8" x14ac:dyDescent="0.3">
      <c r="A833" s="25">
        <v>831</v>
      </c>
      <c r="B833" s="25"/>
      <c r="C833" s="25"/>
      <c r="D833" s="25"/>
      <c r="E833" s="30" t="str">
        <f t="shared" si="15"/>
        <v>--</v>
      </c>
      <c r="F833" s="13">
        <f>IFERROR(VLOOKUP(E833,'ESTRUCTURA CODIGO'!$H$2:$J$1048576,2,FALSE)," ")</f>
        <v>0</v>
      </c>
      <c r="G833" s="25">
        <f>IFERROR(VLOOKUP(E833,'ESTRUCTURA CODIGO'!$H$2:$J$1048576,3,FALSE)," ")</f>
        <v>0</v>
      </c>
      <c r="H833" s="25">
        <f>IFERROR(VLOOKUP(E833,'ESTRUCTURA CODIGO'!$H$2:$L$612,4,FALSE)," ")</f>
        <v>0</v>
      </c>
    </row>
    <row r="834" spans="1:8" x14ac:dyDescent="0.3">
      <c r="A834" s="25">
        <v>832</v>
      </c>
      <c r="B834" s="25"/>
      <c r="C834" s="25"/>
      <c r="D834" s="25"/>
      <c r="E834" s="30" t="str">
        <f t="shared" si="15"/>
        <v>--</v>
      </c>
      <c r="F834" s="13">
        <f>IFERROR(VLOOKUP(E834,'ESTRUCTURA CODIGO'!$H$2:$J$1048576,2,FALSE)," ")</f>
        <v>0</v>
      </c>
      <c r="G834" s="25">
        <f>IFERROR(VLOOKUP(E834,'ESTRUCTURA CODIGO'!$H$2:$J$1048576,3,FALSE)," ")</f>
        <v>0</v>
      </c>
      <c r="H834" s="25">
        <f>IFERROR(VLOOKUP(E834,'ESTRUCTURA CODIGO'!$H$2:$L$612,4,FALSE)," ")</f>
        <v>0</v>
      </c>
    </row>
    <row r="835" spans="1:8" x14ac:dyDescent="0.3">
      <c r="A835" s="25">
        <v>833</v>
      </c>
      <c r="B835" s="25"/>
      <c r="C835" s="25"/>
      <c r="D835" s="25"/>
      <c r="E835" s="30" t="str">
        <f t="shared" si="15"/>
        <v>--</v>
      </c>
      <c r="F835" s="13">
        <f>IFERROR(VLOOKUP(E835,'ESTRUCTURA CODIGO'!$H$2:$J$1048576,2,FALSE)," ")</f>
        <v>0</v>
      </c>
      <c r="G835" s="25">
        <f>IFERROR(VLOOKUP(E835,'ESTRUCTURA CODIGO'!$H$2:$J$1048576,3,FALSE)," ")</f>
        <v>0</v>
      </c>
      <c r="H835" s="25">
        <f>IFERROR(VLOOKUP(E835,'ESTRUCTURA CODIGO'!$H$2:$L$612,4,FALSE)," ")</f>
        <v>0</v>
      </c>
    </row>
    <row r="836" spans="1:8" x14ac:dyDescent="0.3">
      <c r="A836" s="25">
        <v>834</v>
      </c>
      <c r="B836" s="25"/>
      <c r="C836" s="25"/>
      <c r="D836" s="25"/>
      <c r="E836" s="30" t="str">
        <f t="shared" si="15"/>
        <v>--</v>
      </c>
      <c r="F836" s="13">
        <f>IFERROR(VLOOKUP(E836,'ESTRUCTURA CODIGO'!$H$2:$J$1048576,2,FALSE)," ")</f>
        <v>0</v>
      </c>
      <c r="G836" s="25">
        <f>IFERROR(VLOOKUP(E836,'ESTRUCTURA CODIGO'!$H$2:$J$1048576,3,FALSE)," ")</f>
        <v>0</v>
      </c>
      <c r="H836" s="25">
        <f>IFERROR(VLOOKUP(E836,'ESTRUCTURA CODIGO'!$H$2:$L$612,4,FALSE)," ")</f>
        <v>0</v>
      </c>
    </row>
    <row r="837" spans="1:8" x14ac:dyDescent="0.3">
      <c r="A837" s="25">
        <v>835</v>
      </c>
      <c r="B837" s="25"/>
      <c r="C837" s="25"/>
      <c r="D837" s="25"/>
      <c r="E837" s="30" t="str">
        <f t="shared" si="15"/>
        <v>--</v>
      </c>
      <c r="F837" s="13">
        <f>IFERROR(VLOOKUP(E837,'ESTRUCTURA CODIGO'!$H$2:$J$1048576,2,FALSE)," ")</f>
        <v>0</v>
      </c>
      <c r="G837" s="25">
        <f>IFERROR(VLOOKUP(E837,'ESTRUCTURA CODIGO'!$H$2:$J$1048576,3,FALSE)," ")</f>
        <v>0</v>
      </c>
      <c r="H837" s="25">
        <f>IFERROR(VLOOKUP(E837,'ESTRUCTURA CODIGO'!$H$2:$L$612,4,FALSE)," ")</f>
        <v>0</v>
      </c>
    </row>
    <row r="838" spans="1:8" x14ac:dyDescent="0.3">
      <c r="A838" s="25">
        <v>836</v>
      </c>
      <c r="B838" s="25"/>
      <c r="C838" s="25"/>
      <c r="D838" s="25"/>
      <c r="E838" s="30" t="str">
        <f t="shared" si="15"/>
        <v>--</v>
      </c>
      <c r="F838" s="13">
        <f>IFERROR(VLOOKUP(E838,'ESTRUCTURA CODIGO'!$H$2:$J$1048576,2,FALSE)," ")</f>
        <v>0</v>
      </c>
      <c r="G838" s="25">
        <f>IFERROR(VLOOKUP(E838,'ESTRUCTURA CODIGO'!$H$2:$J$1048576,3,FALSE)," ")</f>
        <v>0</v>
      </c>
      <c r="H838" s="25">
        <f>IFERROR(VLOOKUP(E838,'ESTRUCTURA CODIGO'!$H$2:$L$612,4,FALSE)," ")</f>
        <v>0</v>
      </c>
    </row>
    <row r="839" spans="1:8" x14ac:dyDescent="0.3">
      <c r="A839" s="25">
        <v>837</v>
      </c>
      <c r="B839" s="25"/>
      <c r="C839" s="25"/>
      <c r="D839" s="25"/>
      <c r="E839" s="30" t="str">
        <f t="shared" si="15"/>
        <v>--</v>
      </c>
      <c r="F839" s="13">
        <f>IFERROR(VLOOKUP(E839,'ESTRUCTURA CODIGO'!$H$2:$J$1048576,2,FALSE)," ")</f>
        <v>0</v>
      </c>
      <c r="G839" s="25">
        <f>IFERROR(VLOOKUP(E839,'ESTRUCTURA CODIGO'!$H$2:$J$1048576,3,FALSE)," ")</f>
        <v>0</v>
      </c>
      <c r="H839" s="25">
        <f>IFERROR(VLOOKUP(E839,'ESTRUCTURA CODIGO'!$H$2:$L$612,4,FALSE)," ")</f>
        <v>0</v>
      </c>
    </row>
    <row r="840" spans="1:8" x14ac:dyDescent="0.3">
      <c r="A840" s="25">
        <v>838</v>
      </c>
      <c r="B840" s="25"/>
      <c r="C840" s="25"/>
      <c r="D840" s="25"/>
      <c r="E840" s="30" t="str">
        <f t="shared" si="15"/>
        <v>--</v>
      </c>
      <c r="F840" s="13">
        <f>IFERROR(VLOOKUP(E840,'ESTRUCTURA CODIGO'!$H$2:$J$1048576,2,FALSE)," ")</f>
        <v>0</v>
      </c>
      <c r="G840" s="25">
        <f>IFERROR(VLOOKUP(E840,'ESTRUCTURA CODIGO'!$H$2:$J$1048576,3,FALSE)," ")</f>
        <v>0</v>
      </c>
      <c r="H840" s="25">
        <f>IFERROR(VLOOKUP(E840,'ESTRUCTURA CODIGO'!$H$2:$L$612,4,FALSE)," ")</f>
        <v>0</v>
      </c>
    </row>
    <row r="841" spans="1:8" x14ac:dyDescent="0.3">
      <c r="A841" s="25">
        <v>839</v>
      </c>
      <c r="B841" s="25"/>
      <c r="C841" s="25"/>
      <c r="D841" s="25"/>
      <c r="E841" s="30" t="str">
        <f t="shared" si="15"/>
        <v>--</v>
      </c>
      <c r="F841" s="13">
        <f>IFERROR(VLOOKUP(E841,'ESTRUCTURA CODIGO'!$H$2:$J$1048576,2,FALSE)," ")</f>
        <v>0</v>
      </c>
      <c r="G841" s="25">
        <f>IFERROR(VLOOKUP(E841,'ESTRUCTURA CODIGO'!$H$2:$J$1048576,3,FALSE)," ")</f>
        <v>0</v>
      </c>
      <c r="H841" s="25">
        <f>IFERROR(VLOOKUP(E841,'ESTRUCTURA CODIGO'!$H$2:$L$612,4,FALSE)," ")</f>
        <v>0</v>
      </c>
    </row>
    <row r="842" spans="1:8" x14ac:dyDescent="0.3">
      <c r="A842" s="25">
        <v>840</v>
      </c>
      <c r="B842" s="25"/>
      <c r="C842" s="25"/>
      <c r="D842" s="25"/>
      <c r="E842" s="30" t="str">
        <f t="shared" si="15"/>
        <v>--</v>
      </c>
      <c r="F842" s="13">
        <f>IFERROR(VLOOKUP(E842,'ESTRUCTURA CODIGO'!$H$2:$J$1048576,2,FALSE)," ")</f>
        <v>0</v>
      </c>
      <c r="G842" s="25">
        <f>IFERROR(VLOOKUP(E842,'ESTRUCTURA CODIGO'!$H$2:$J$1048576,3,FALSE)," ")</f>
        <v>0</v>
      </c>
      <c r="H842" s="25">
        <f>IFERROR(VLOOKUP(E842,'ESTRUCTURA CODIGO'!$H$2:$L$612,4,FALSE)," ")</f>
        <v>0</v>
      </c>
    </row>
    <row r="843" spans="1:8" x14ac:dyDescent="0.3">
      <c r="A843" s="25">
        <v>841</v>
      </c>
      <c r="B843" s="25"/>
      <c r="C843" s="25"/>
      <c r="D843" s="25"/>
      <c r="E843" s="30" t="str">
        <f t="shared" si="15"/>
        <v>--</v>
      </c>
      <c r="F843" s="13">
        <f>IFERROR(VLOOKUP(E843,'ESTRUCTURA CODIGO'!$H$2:$J$1048576,2,FALSE)," ")</f>
        <v>0</v>
      </c>
      <c r="G843" s="25">
        <f>IFERROR(VLOOKUP(E843,'ESTRUCTURA CODIGO'!$H$2:$J$1048576,3,FALSE)," ")</f>
        <v>0</v>
      </c>
      <c r="H843" s="25">
        <f>IFERROR(VLOOKUP(E843,'ESTRUCTURA CODIGO'!$H$2:$L$612,4,FALSE)," ")</f>
        <v>0</v>
      </c>
    </row>
    <row r="844" spans="1:8" x14ac:dyDescent="0.3">
      <c r="A844" s="25">
        <v>842</v>
      </c>
      <c r="B844" s="25"/>
      <c r="C844" s="25"/>
      <c r="D844" s="25"/>
      <c r="E844" s="30" t="str">
        <f t="shared" si="15"/>
        <v>--</v>
      </c>
      <c r="F844" s="13">
        <f>IFERROR(VLOOKUP(E844,'ESTRUCTURA CODIGO'!$H$2:$J$1048576,2,FALSE)," ")</f>
        <v>0</v>
      </c>
      <c r="G844" s="25">
        <f>IFERROR(VLOOKUP(E844,'ESTRUCTURA CODIGO'!$H$2:$J$1048576,3,FALSE)," ")</f>
        <v>0</v>
      </c>
      <c r="H844" s="25">
        <f>IFERROR(VLOOKUP(E844,'ESTRUCTURA CODIGO'!$H$2:$L$612,4,FALSE)," ")</f>
        <v>0</v>
      </c>
    </row>
    <row r="845" spans="1:8" x14ac:dyDescent="0.3">
      <c r="A845" s="25">
        <v>843</v>
      </c>
      <c r="B845" s="25"/>
      <c r="C845" s="25"/>
      <c r="D845" s="25"/>
      <c r="E845" s="30" t="str">
        <f t="shared" si="15"/>
        <v>--</v>
      </c>
      <c r="F845" s="13">
        <f>IFERROR(VLOOKUP(E845,'ESTRUCTURA CODIGO'!$H$2:$J$1048576,2,FALSE)," ")</f>
        <v>0</v>
      </c>
      <c r="G845" s="25">
        <f>IFERROR(VLOOKUP(E845,'ESTRUCTURA CODIGO'!$H$2:$J$1048576,3,FALSE)," ")</f>
        <v>0</v>
      </c>
      <c r="H845" s="25">
        <f>IFERROR(VLOOKUP(E845,'ESTRUCTURA CODIGO'!$H$2:$L$612,4,FALSE)," ")</f>
        <v>0</v>
      </c>
    </row>
    <row r="846" spans="1:8" x14ac:dyDescent="0.3">
      <c r="A846" s="25">
        <v>844</v>
      </c>
      <c r="B846" s="25"/>
      <c r="C846" s="25"/>
      <c r="D846" s="25"/>
      <c r="E846" s="30" t="str">
        <f t="shared" si="15"/>
        <v>--</v>
      </c>
      <c r="F846" s="13">
        <f>IFERROR(VLOOKUP(E846,'ESTRUCTURA CODIGO'!$H$2:$J$1048576,2,FALSE)," ")</f>
        <v>0</v>
      </c>
      <c r="G846" s="25">
        <f>IFERROR(VLOOKUP(E846,'ESTRUCTURA CODIGO'!$H$2:$J$1048576,3,FALSE)," ")</f>
        <v>0</v>
      </c>
      <c r="H846" s="25">
        <f>IFERROR(VLOOKUP(E846,'ESTRUCTURA CODIGO'!$H$2:$L$612,4,FALSE)," ")</f>
        <v>0</v>
      </c>
    </row>
    <row r="847" spans="1:8" x14ac:dyDescent="0.3">
      <c r="A847" s="25">
        <v>845</v>
      </c>
      <c r="B847" s="25"/>
      <c r="C847" s="25"/>
      <c r="D847" s="25"/>
      <c r="E847" s="30" t="str">
        <f t="shared" si="15"/>
        <v>--</v>
      </c>
      <c r="F847" s="13">
        <f>IFERROR(VLOOKUP(E847,'ESTRUCTURA CODIGO'!$H$2:$J$1048576,2,FALSE)," ")</f>
        <v>0</v>
      </c>
      <c r="G847" s="25">
        <f>IFERROR(VLOOKUP(E847,'ESTRUCTURA CODIGO'!$H$2:$J$1048576,3,FALSE)," ")</f>
        <v>0</v>
      </c>
      <c r="H847" s="25">
        <f>IFERROR(VLOOKUP(E847,'ESTRUCTURA CODIGO'!$H$2:$L$612,4,FALSE)," ")</f>
        <v>0</v>
      </c>
    </row>
    <row r="848" spans="1:8" x14ac:dyDescent="0.3">
      <c r="A848" s="25">
        <v>846</v>
      </c>
      <c r="B848" s="25"/>
      <c r="C848" s="25"/>
      <c r="D848" s="25"/>
      <c r="E848" s="30" t="str">
        <f t="shared" si="15"/>
        <v>--</v>
      </c>
      <c r="F848" s="13">
        <f>IFERROR(VLOOKUP(E848,'ESTRUCTURA CODIGO'!$H$2:$J$1048576,2,FALSE)," ")</f>
        <v>0</v>
      </c>
      <c r="G848" s="25">
        <f>IFERROR(VLOOKUP(E848,'ESTRUCTURA CODIGO'!$H$2:$J$1048576,3,FALSE)," ")</f>
        <v>0</v>
      </c>
      <c r="H848" s="25">
        <f>IFERROR(VLOOKUP(E848,'ESTRUCTURA CODIGO'!$H$2:$L$612,4,FALSE)," ")</f>
        <v>0</v>
      </c>
    </row>
    <row r="849" spans="1:8" x14ac:dyDescent="0.3">
      <c r="A849" s="25">
        <v>847</v>
      </c>
      <c r="B849" s="25"/>
      <c r="C849" s="25"/>
      <c r="D849" s="25"/>
      <c r="E849" s="30" t="str">
        <f t="shared" si="15"/>
        <v>--</v>
      </c>
      <c r="F849" s="13">
        <f>IFERROR(VLOOKUP(E849,'ESTRUCTURA CODIGO'!$H$2:$J$1048576,2,FALSE)," ")</f>
        <v>0</v>
      </c>
      <c r="G849" s="25">
        <f>IFERROR(VLOOKUP(E849,'ESTRUCTURA CODIGO'!$H$2:$J$1048576,3,FALSE)," ")</f>
        <v>0</v>
      </c>
      <c r="H849" s="25">
        <f>IFERROR(VLOOKUP(E849,'ESTRUCTURA CODIGO'!$H$2:$L$612,4,FALSE)," ")</f>
        <v>0</v>
      </c>
    </row>
    <row r="850" spans="1:8" x14ac:dyDescent="0.3">
      <c r="A850" s="25">
        <v>848</v>
      </c>
      <c r="B850" s="25"/>
      <c r="C850" s="25"/>
      <c r="D850" s="25"/>
      <c r="E850" s="30" t="str">
        <f t="shared" si="15"/>
        <v>--</v>
      </c>
      <c r="F850" s="13">
        <f>IFERROR(VLOOKUP(E850,'ESTRUCTURA CODIGO'!$H$2:$J$1048576,2,FALSE)," ")</f>
        <v>0</v>
      </c>
      <c r="G850" s="25">
        <f>IFERROR(VLOOKUP(E850,'ESTRUCTURA CODIGO'!$H$2:$J$1048576,3,FALSE)," ")</f>
        <v>0</v>
      </c>
      <c r="H850" s="25">
        <f>IFERROR(VLOOKUP(E850,'ESTRUCTURA CODIGO'!$H$2:$L$612,4,FALSE)," ")</f>
        <v>0</v>
      </c>
    </row>
    <row r="851" spans="1:8" x14ac:dyDescent="0.3">
      <c r="A851" s="25">
        <v>849</v>
      </c>
      <c r="B851" s="25"/>
      <c r="C851" s="25"/>
      <c r="D851" s="25"/>
      <c r="E851" s="30" t="str">
        <f t="shared" si="15"/>
        <v>--</v>
      </c>
      <c r="F851" s="13">
        <f>IFERROR(VLOOKUP(E851,'ESTRUCTURA CODIGO'!$H$2:$J$1048576,2,FALSE)," ")</f>
        <v>0</v>
      </c>
      <c r="G851" s="25">
        <f>IFERROR(VLOOKUP(E851,'ESTRUCTURA CODIGO'!$H$2:$J$1048576,3,FALSE)," ")</f>
        <v>0</v>
      </c>
      <c r="H851" s="25">
        <f>IFERROR(VLOOKUP(E851,'ESTRUCTURA CODIGO'!$H$2:$L$612,4,FALSE)," ")</f>
        <v>0</v>
      </c>
    </row>
    <row r="852" spans="1:8" x14ac:dyDescent="0.3">
      <c r="A852" s="25">
        <v>850</v>
      </c>
      <c r="B852" s="25"/>
      <c r="C852" s="25"/>
      <c r="D852" s="25"/>
      <c r="E852" s="30" t="str">
        <f t="shared" si="15"/>
        <v>--</v>
      </c>
      <c r="F852" s="13">
        <f>IFERROR(VLOOKUP(E852,'ESTRUCTURA CODIGO'!$H$2:$J$1048576,2,FALSE)," ")</f>
        <v>0</v>
      </c>
      <c r="G852" s="25">
        <f>IFERROR(VLOOKUP(E852,'ESTRUCTURA CODIGO'!$H$2:$J$1048576,3,FALSE)," ")</f>
        <v>0</v>
      </c>
      <c r="H852" s="25">
        <f>IFERROR(VLOOKUP(E852,'ESTRUCTURA CODIGO'!$H$2:$L$612,4,FALSE)," ")</f>
        <v>0</v>
      </c>
    </row>
    <row r="853" spans="1:8" x14ac:dyDescent="0.3">
      <c r="A853" s="25">
        <v>851</v>
      </c>
      <c r="B853" s="25"/>
      <c r="C853" s="25"/>
      <c r="D853" s="25"/>
      <c r="E853" s="30" t="str">
        <f t="shared" si="15"/>
        <v>--</v>
      </c>
      <c r="F853" s="13">
        <f>IFERROR(VLOOKUP(E853,'ESTRUCTURA CODIGO'!$H$2:$J$1048576,2,FALSE)," ")</f>
        <v>0</v>
      </c>
      <c r="G853" s="25">
        <f>IFERROR(VLOOKUP(E853,'ESTRUCTURA CODIGO'!$H$2:$J$1048576,3,FALSE)," ")</f>
        <v>0</v>
      </c>
      <c r="H853" s="25">
        <f>IFERROR(VLOOKUP(E853,'ESTRUCTURA CODIGO'!$H$2:$L$612,4,FALSE)," ")</f>
        <v>0</v>
      </c>
    </row>
    <row r="854" spans="1:8" x14ac:dyDescent="0.3">
      <c r="A854" s="25">
        <v>852</v>
      </c>
      <c r="B854" s="25"/>
      <c r="C854" s="25"/>
      <c r="D854" s="25"/>
      <c r="E854" s="30" t="str">
        <f t="shared" si="15"/>
        <v>--</v>
      </c>
      <c r="F854" s="13">
        <f>IFERROR(VLOOKUP(E854,'ESTRUCTURA CODIGO'!$H$2:$J$1048576,2,FALSE)," ")</f>
        <v>0</v>
      </c>
      <c r="G854" s="25">
        <f>IFERROR(VLOOKUP(E854,'ESTRUCTURA CODIGO'!$H$2:$J$1048576,3,FALSE)," ")</f>
        <v>0</v>
      </c>
      <c r="H854" s="25">
        <f>IFERROR(VLOOKUP(E854,'ESTRUCTURA CODIGO'!$H$2:$L$612,4,FALSE)," ")</f>
        <v>0</v>
      </c>
    </row>
    <row r="855" spans="1:8" x14ac:dyDescent="0.3">
      <c r="A855" s="25">
        <v>853</v>
      </c>
      <c r="B855" s="25"/>
      <c r="C855" s="25"/>
      <c r="D855" s="25"/>
      <c r="E855" s="30" t="str">
        <f t="shared" si="15"/>
        <v>--</v>
      </c>
      <c r="F855" s="13">
        <f>IFERROR(VLOOKUP(E855,'ESTRUCTURA CODIGO'!$H$2:$J$1048576,2,FALSE)," ")</f>
        <v>0</v>
      </c>
      <c r="G855" s="25">
        <f>IFERROR(VLOOKUP(E855,'ESTRUCTURA CODIGO'!$H$2:$J$1048576,3,FALSE)," ")</f>
        <v>0</v>
      </c>
      <c r="H855" s="25">
        <f>IFERROR(VLOOKUP(E855,'ESTRUCTURA CODIGO'!$H$2:$L$612,4,FALSE)," ")</f>
        <v>0</v>
      </c>
    </row>
    <row r="856" spans="1:8" x14ac:dyDescent="0.3">
      <c r="A856" s="25">
        <v>854</v>
      </c>
      <c r="B856" s="25"/>
      <c r="C856" s="25"/>
      <c r="D856" s="25"/>
      <c r="E856" s="30" t="str">
        <f t="shared" si="15"/>
        <v>--</v>
      </c>
      <c r="F856" s="13">
        <f>IFERROR(VLOOKUP(E856,'ESTRUCTURA CODIGO'!$H$2:$J$1048576,2,FALSE)," ")</f>
        <v>0</v>
      </c>
      <c r="G856" s="25">
        <f>IFERROR(VLOOKUP(E856,'ESTRUCTURA CODIGO'!$H$2:$J$1048576,3,FALSE)," ")</f>
        <v>0</v>
      </c>
      <c r="H856" s="25">
        <f>IFERROR(VLOOKUP(E856,'ESTRUCTURA CODIGO'!$H$2:$L$612,4,FALSE)," ")</f>
        <v>0</v>
      </c>
    </row>
    <row r="857" spans="1:8" x14ac:dyDescent="0.3">
      <c r="A857" s="25">
        <v>855</v>
      </c>
      <c r="B857" s="25"/>
      <c r="C857" s="25"/>
      <c r="D857" s="25"/>
      <c r="E857" s="30" t="str">
        <f t="shared" si="15"/>
        <v>--</v>
      </c>
      <c r="F857" s="13">
        <f>IFERROR(VLOOKUP(E857,'ESTRUCTURA CODIGO'!$H$2:$J$1048576,2,FALSE)," ")</f>
        <v>0</v>
      </c>
      <c r="G857" s="25">
        <f>IFERROR(VLOOKUP(E857,'ESTRUCTURA CODIGO'!$H$2:$J$1048576,3,FALSE)," ")</f>
        <v>0</v>
      </c>
      <c r="H857" s="25">
        <f>IFERROR(VLOOKUP(E857,'ESTRUCTURA CODIGO'!$H$2:$L$612,4,FALSE)," ")</f>
        <v>0</v>
      </c>
    </row>
    <row r="858" spans="1:8" x14ac:dyDescent="0.3">
      <c r="A858" s="25">
        <v>856</v>
      </c>
      <c r="B858" s="25"/>
      <c r="C858" s="25"/>
      <c r="D858" s="25"/>
      <c r="E858" s="30" t="str">
        <f t="shared" si="15"/>
        <v>--</v>
      </c>
      <c r="F858" s="13">
        <f>IFERROR(VLOOKUP(E858,'ESTRUCTURA CODIGO'!$H$2:$J$1048576,2,FALSE)," ")</f>
        <v>0</v>
      </c>
      <c r="G858" s="25">
        <f>IFERROR(VLOOKUP(E858,'ESTRUCTURA CODIGO'!$H$2:$J$1048576,3,FALSE)," ")</f>
        <v>0</v>
      </c>
      <c r="H858" s="25">
        <f>IFERROR(VLOOKUP(E858,'ESTRUCTURA CODIGO'!$H$2:$L$612,4,FALSE)," ")</f>
        <v>0</v>
      </c>
    </row>
    <row r="859" spans="1:8" x14ac:dyDescent="0.3">
      <c r="A859" s="25">
        <v>857</v>
      </c>
      <c r="B859" s="25"/>
      <c r="C859" s="25"/>
      <c r="D859" s="25"/>
      <c r="E859" s="30" t="str">
        <f t="shared" si="15"/>
        <v>--</v>
      </c>
      <c r="F859" s="13">
        <f>IFERROR(VLOOKUP(E859,'ESTRUCTURA CODIGO'!$H$2:$J$1048576,2,FALSE)," ")</f>
        <v>0</v>
      </c>
      <c r="G859" s="25">
        <f>IFERROR(VLOOKUP(E859,'ESTRUCTURA CODIGO'!$H$2:$J$1048576,3,FALSE)," ")</f>
        <v>0</v>
      </c>
      <c r="H859" s="25">
        <f>IFERROR(VLOOKUP(E859,'ESTRUCTURA CODIGO'!$H$2:$L$612,4,FALSE)," ")</f>
        <v>0</v>
      </c>
    </row>
    <row r="860" spans="1:8" x14ac:dyDescent="0.3">
      <c r="A860" s="25">
        <v>858</v>
      </c>
      <c r="B860" s="25"/>
      <c r="C860" s="25"/>
      <c r="D860" s="25"/>
      <c r="E860" s="30" t="str">
        <f t="shared" si="15"/>
        <v>--</v>
      </c>
      <c r="F860" s="13">
        <f>IFERROR(VLOOKUP(E860,'ESTRUCTURA CODIGO'!$H$2:$J$1048576,2,FALSE)," ")</f>
        <v>0</v>
      </c>
      <c r="G860" s="25">
        <f>IFERROR(VLOOKUP(E860,'ESTRUCTURA CODIGO'!$H$2:$J$1048576,3,FALSE)," ")</f>
        <v>0</v>
      </c>
      <c r="H860" s="25">
        <f>IFERROR(VLOOKUP(E860,'ESTRUCTURA CODIGO'!$H$2:$L$612,4,FALSE)," ")</f>
        <v>0</v>
      </c>
    </row>
    <row r="861" spans="1:8" x14ac:dyDescent="0.3">
      <c r="A861" s="25">
        <v>859</v>
      </c>
      <c r="B861" s="25"/>
      <c r="C861" s="25"/>
      <c r="D861" s="25"/>
      <c r="E861" s="30" t="str">
        <f t="shared" si="15"/>
        <v>--</v>
      </c>
      <c r="F861" s="13">
        <f>IFERROR(VLOOKUP(E861,'ESTRUCTURA CODIGO'!$H$2:$J$1048576,2,FALSE)," ")</f>
        <v>0</v>
      </c>
      <c r="G861" s="25">
        <f>IFERROR(VLOOKUP(E861,'ESTRUCTURA CODIGO'!$H$2:$J$1048576,3,FALSE)," ")</f>
        <v>0</v>
      </c>
      <c r="H861" s="25">
        <f>IFERROR(VLOOKUP(E861,'ESTRUCTURA CODIGO'!$H$2:$L$612,4,FALSE)," ")</f>
        <v>0</v>
      </c>
    </row>
    <row r="862" spans="1:8" x14ac:dyDescent="0.3">
      <c r="A862" s="25">
        <v>860</v>
      </c>
      <c r="B862" s="25"/>
      <c r="C862" s="25"/>
      <c r="D862" s="25"/>
      <c r="E862" s="30" t="str">
        <f t="shared" si="15"/>
        <v>--</v>
      </c>
      <c r="F862" s="13">
        <f>IFERROR(VLOOKUP(E862,'ESTRUCTURA CODIGO'!$H$2:$J$1048576,2,FALSE)," ")</f>
        <v>0</v>
      </c>
      <c r="G862" s="25">
        <f>IFERROR(VLOOKUP(E862,'ESTRUCTURA CODIGO'!$H$2:$J$1048576,3,FALSE)," ")</f>
        <v>0</v>
      </c>
      <c r="H862" s="25">
        <f>IFERROR(VLOOKUP(E862,'ESTRUCTURA CODIGO'!$H$2:$L$612,4,FALSE)," ")</f>
        <v>0</v>
      </c>
    </row>
    <row r="863" spans="1:8" x14ac:dyDescent="0.3">
      <c r="A863" s="25">
        <v>861</v>
      </c>
      <c r="B863" s="25"/>
      <c r="C863" s="25"/>
      <c r="D863" s="25"/>
      <c r="E863" s="30" t="str">
        <f t="shared" si="15"/>
        <v>--</v>
      </c>
      <c r="F863" s="13">
        <f>IFERROR(VLOOKUP(E863,'ESTRUCTURA CODIGO'!$H$2:$J$1048576,2,FALSE)," ")</f>
        <v>0</v>
      </c>
      <c r="G863" s="25">
        <f>IFERROR(VLOOKUP(E863,'ESTRUCTURA CODIGO'!$H$2:$J$1048576,3,FALSE)," ")</f>
        <v>0</v>
      </c>
      <c r="H863" s="25">
        <f>IFERROR(VLOOKUP(E863,'ESTRUCTURA CODIGO'!$H$2:$L$612,4,FALSE)," ")</f>
        <v>0</v>
      </c>
    </row>
    <row r="864" spans="1:8" x14ac:dyDescent="0.3">
      <c r="A864" s="25">
        <v>862</v>
      </c>
      <c r="B864" s="25"/>
      <c r="C864" s="25"/>
      <c r="D864" s="25"/>
      <c r="E864" s="30" t="str">
        <f t="shared" si="15"/>
        <v>--</v>
      </c>
      <c r="F864" s="13">
        <f>IFERROR(VLOOKUP(E864,'ESTRUCTURA CODIGO'!$H$2:$J$1048576,2,FALSE)," ")</f>
        <v>0</v>
      </c>
      <c r="G864" s="25">
        <f>IFERROR(VLOOKUP(E864,'ESTRUCTURA CODIGO'!$H$2:$J$1048576,3,FALSE)," ")</f>
        <v>0</v>
      </c>
      <c r="H864" s="25">
        <f>IFERROR(VLOOKUP(E864,'ESTRUCTURA CODIGO'!$H$2:$L$612,4,FALSE)," ")</f>
        <v>0</v>
      </c>
    </row>
    <row r="865" spans="1:11" x14ac:dyDescent="0.3">
      <c r="A865" s="25">
        <v>863</v>
      </c>
      <c r="B865" s="25"/>
      <c r="C865" s="25"/>
      <c r="D865" s="25"/>
      <c r="E865" s="30" t="str">
        <f t="shared" si="15"/>
        <v>--</v>
      </c>
      <c r="F865" s="13">
        <f>IFERROR(VLOOKUP(E865,'ESTRUCTURA CODIGO'!$H$2:$J$1048576,2,FALSE)," ")</f>
        <v>0</v>
      </c>
      <c r="G865" s="25">
        <f>IFERROR(VLOOKUP(E865,'ESTRUCTURA CODIGO'!$H$2:$J$1048576,3,FALSE)," ")</f>
        <v>0</v>
      </c>
      <c r="H865" s="25">
        <f>IFERROR(VLOOKUP(E865,'ESTRUCTURA CODIGO'!$H$2:$L$612,4,FALSE)," ")</f>
        <v>0</v>
      </c>
    </row>
    <row r="866" spans="1:11" x14ac:dyDescent="0.3">
      <c r="A866" s="25">
        <v>864</v>
      </c>
      <c r="B866" s="25"/>
      <c r="C866" s="25"/>
      <c r="D866" s="25"/>
      <c r="E866" s="30" t="str">
        <f t="shared" si="15"/>
        <v>--</v>
      </c>
      <c r="F866" s="13">
        <f>IFERROR(VLOOKUP(E866,'ESTRUCTURA CODIGO'!$H$2:$J$1048576,2,FALSE)," ")</f>
        <v>0</v>
      </c>
      <c r="G866" s="25">
        <f>IFERROR(VLOOKUP(E866,'ESTRUCTURA CODIGO'!$H$2:$J$1048576,3,FALSE)," ")</f>
        <v>0</v>
      </c>
      <c r="H866" s="25">
        <f>IFERROR(VLOOKUP(E866,'ESTRUCTURA CODIGO'!$H$2:$L$612,4,FALSE)," ")</f>
        <v>0</v>
      </c>
    </row>
    <row r="867" spans="1:11" x14ac:dyDescent="0.3">
      <c r="A867" s="25">
        <v>865</v>
      </c>
      <c r="B867" s="25"/>
      <c r="C867" s="25"/>
      <c r="D867" s="25"/>
      <c r="E867" s="30" t="str">
        <f t="shared" si="15"/>
        <v>--</v>
      </c>
      <c r="F867" s="13">
        <f>IFERROR(VLOOKUP(E867,'ESTRUCTURA CODIGO'!$H$2:$J$1048576,2,FALSE)," ")</f>
        <v>0</v>
      </c>
      <c r="G867" s="25">
        <f>IFERROR(VLOOKUP(E867,'ESTRUCTURA CODIGO'!$H$2:$J$1048576,3,FALSE)," ")</f>
        <v>0</v>
      </c>
      <c r="H867" s="25">
        <f>IFERROR(VLOOKUP(E867,'ESTRUCTURA CODIGO'!$H$2:$L$612,4,FALSE)," ")</f>
        <v>0</v>
      </c>
    </row>
    <row r="868" spans="1:11" x14ac:dyDescent="0.3">
      <c r="A868" s="25">
        <v>866</v>
      </c>
      <c r="B868" s="25"/>
      <c r="C868" s="25"/>
      <c r="D868" s="25"/>
      <c r="E868" s="30" t="str">
        <f t="shared" si="15"/>
        <v>--</v>
      </c>
      <c r="F868" s="13">
        <f>IFERROR(VLOOKUP(E868,'ESTRUCTURA CODIGO'!$H$2:$J$1048576,2,FALSE)," ")</f>
        <v>0</v>
      </c>
      <c r="G868" s="25">
        <f>IFERROR(VLOOKUP(E868,'ESTRUCTURA CODIGO'!$H$2:$J$1048576,3,FALSE)," ")</f>
        <v>0</v>
      </c>
      <c r="H868" s="25">
        <f>IFERROR(VLOOKUP(E868,'ESTRUCTURA CODIGO'!$H$2:$L$612,4,FALSE)," ")</f>
        <v>0</v>
      </c>
    </row>
    <row r="869" spans="1:11" x14ac:dyDescent="0.3">
      <c r="A869" s="25">
        <v>867</v>
      </c>
      <c r="B869" s="25"/>
      <c r="C869" s="25"/>
      <c r="D869" s="25"/>
      <c r="E869" s="30" t="str">
        <f t="shared" si="15"/>
        <v>--</v>
      </c>
      <c r="F869" s="13">
        <f>IFERROR(VLOOKUP(E869,'ESTRUCTURA CODIGO'!$H$2:$J$1048576,2,FALSE)," ")</f>
        <v>0</v>
      </c>
      <c r="G869" s="25">
        <f>IFERROR(VLOOKUP(E869,'ESTRUCTURA CODIGO'!$H$2:$J$1048576,3,FALSE)," ")</f>
        <v>0</v>
      </c>
      <c r="H869" s="25">
        <f>IFERROR(VLOOKUP(E869,'ESTRUCTURA CODIGO'!$H$2:$L$612,4,FALSE)," ")</f>
        <v>0</v>
      </c>
    </row>
    <row r="870" spans="1:11" x14ac:dyDescent="0.3">
      <c r="A870" s="25">
        <v>868</v>
      </c>
      <c r="B870" s="25"/>
      <c r="C870" s="25"/>
      <c r="D870" s="25"/>
      <c r="E870" s="30" t="str">
        <f t="shared" si="15"/>
        <v>--</v>
      </c>
      <c r="F870" s="13">
        <f>IFERROR(VLOOKUP(E870,'ESTRUCTURA CODIGO'!$H$2:$J$1048576,2,FALSE)," ")</f>
        <v>0</v>
      </c>
      <c r="G870" s="25">
        <f>IFERROR(VLOOKUP(E870,'ESTRUCTURA CODIGO'!$H$2:$J$1048576,3,FALSE)," ")</f>
        <v>0</v>
      </c>
      <c r="H870" s="25">
        <f>IFERROR(VLOOKUP(E870,'ESTRUCTURA CODIGO'!$H$2:$L$612,4,FALSE)," ")</f>
        <v>0</v>
      </c>
    </row>
    <row r="871" spans="1:11" x14ac:dyDescent="0.3">
      <c r="A871" s="25">
        <v>869</v>
      </c>
      <c r="B871" s="25"/>
      <c r="C871" s="25"/>
      <c r="D871" s="25"/>
      <c r="E871" s="30" t="str">
        <f t="shared" si="15"/>
        <v>--</v>
      </c>
      <c r="F871" s="13">
        <f>IFERROR(VLOOKUP(E871,'ESTRUCTURA CODIGO'!$H$2:$J$1048576,2,FALSE)," ")</f>
        <v>0</v>
      </c>
      <c r="G871" s="25">
        <f>IFERROR(VLOOKUP(E871,'ESTRUCTURA CODIGO'!$H$2:$J$1048576,3,FALSE)," ")</f>
        <v>0</v>
      </c>
      <c r="H871" s="25">
        <f>IFERROR(VLOOKUP(E871,'ESTRUCTURA CODIGO'!$H$2:$L$612,4,FALSE)," ")</f>
        <v>0</v>
      </c>
    </row>
    <row r="872" spans="1:11" x14ac:dyDescent="0.3">
      <c r="A872" s="25">
        <v>870</v>
      </c>
      <c r="B872" s="25"/>
      <c r="C872" s="25"/>
      <c r="D872" s="25"/>
      <c r="E872" s="30" t="str">
        <f t="shared" si="15"/>
        <v>--</v>
      </c>
      <c r="F872" s="13">
        <f>IFERROR(VLOOKUP(E872,'ESTRUCTURA CODIGO'!$H$2:$J$1048576,2,FALSE)," ")</f>
        <v>0</v>
      </c>
      <c r="G872" s="25">
        <f>IFERROR(VLOOKUP(E872,'ESTRUCTURA CODIGO'!$H$2:$J$1048576,3,FALSE)," ")</f>
        <v>0</v>
      </c>
      <c r="H872" s="25">
        <f>IFERROR(VLOOKUP(E872,'ESTRUCTURA CODIGO'!$H$2:$L$612,4,FALSE)," ")</f>
        <v>0</v>
      </c>
    </row>
    <row r="873" spans="1:11" x14ac:dyDescent="0.3">
      <c r="A873" s="25">
        <v>871</v>
      </c>
      <c r="B873" s="25"/>
      <c r="C873" s="25"/>
      <c r="D873" s="25"/>
      <c r="E873" s="30" t="str">
        <f t="shared" si="15"/>
        <v>--</v>
      </c>
      <c r="F873" s="13">
        <f>IFERROR(VLOOKUP(E873,'ESTRUCTURA CODIGO'!$H$2:$J$1048576,2,FALSE)," ")</f>
        <v>0</v>
      </c>
      <c r="G873" s="25">
        <f>IFERROR(VLOOKUP(E873,'ESTRUCTURA CODIGO'!$H$2:$J$1048576,3,FALSE)," ")</f>
        <v>0</v>
      </c>
      <c r="H873" s="25">
        <f>IFERROR(VLOOKUP(E873,'ESTRUCTURA CODIGO'!$H$2:$L$612,4,FALSE)," ")</f>
        <v>0</v>
      </c>
    </row>
    <row r="874" spans="1:11" x14ac:dyDescent="0.3">
      <c r="A874" s="25">
        <v>872</v>
      </c>
      <c r="B874" s="25"/>
      <c r="C874" s="25"/>
      <c r="D874" s="25"/>
      <c r="E874" s="30" t="str">
        <f t="shared" si="15"/>
        <v>--</v>
      </c>
      <c r="F874" s="13">
        <f>IFERROR(VLOOKUP(E874,'ESTRUCTURA CODIGO'!$H$2:$J$1048576,2,FALSE)," ")</f>
        <v>0</v>
      </c>
      <c r="G874" s="25">
        <f>IFERROR(VLOOKUP(E874,'ESTRUCTURA CODIGO'!$H$2:$J$1048576,3,FALSE)," ")</f>
        <v>0</v>
      </c>
      <c r="H874" s="25">
        <f>IFERROR(VLOOKUP(E874,'ESTRUCTURA CODIGO'!$H$2:$L$612,4,FALSE)," ")</f>
        <v>0</v>
      </c>
    </row>
    <row r="875" spans="1:11" x14ac:dyDescent="0.3">
      <c r="A875" s="25">
        <v>873</v>
      </c>
      <c r="B875" s="25" t="s">
        <v>9</v>
      </c>
      <c r="C875" s="25" t="s">
        <v>9</v>
      </c>
      <c r="D875" s="25" t="s">
        <v>9</v>
      </c>
      <c r="E875" s="30" t="s">
        <v>9</v>
      </c>
      <c r="F875" s="13" t="s">
        <v>9</v>
      </c>
      <c r="G875" s="25" t="s">
        <v>9</v>
      </c>
      <c r="H875" s="25" t="s">
        <v>9</v>
      </c>
      <c r="I875" s="2" t="s">
        <v>9</v>
      </c>
      <c r="J875" s="2" t="s">
        <v>9</v>
      </c>
      <c r="K875" s="2" t="s">
        <v>9</v>
      </c>
    </row>
  </sheetData>
  <autoFilter ref="B2:H875" xr:uid="{9965BB46-3B3C-4424-BA61-E81752F978A8}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623F3-3D1A-4F27-86F6-5894E7E8B595}">
  <dimension ref="A1:T613"/>
  <sheetViews>
    <sheetView zoomScale="85" zoomScaleNormal="85" workbookViewId="0">
      <pane ySplit="1" topLeftCell="A417" activePane="bottomLeft" state="frozen"/>
      <selection pane="bottomLeft" activeCell="E425" sqref="E425:G425"/>
    </sheetView>
  </sheetViews>
  <sheetFormatPr baseColWidth="10" defaultRowHeight="14.4" x14ac:dyDescent="0.3"/>
  <cols>
    <col min="1" max="1" width="5.88671875" style="15" bestFit="1" customWidth="1"/>
    <col min="2" max="2" width="18.6640625" style="15" bestFit="1" customWidth="1"/>
    <col min="3" max="3" width="20.109375" style="15" bestFit="1" customWidth="1"/>
    <col min="4" max="4" width="36" style="16" customWidth="1"/>
    <col min="5" max="7" width="8" style="15" customWidth="1"/>
    <col min="8" max="8" width="13" style="15" customWidth="1"/>
    <col min="9" max="9" width="38.88671875" style="5" customWidth="1"/>
    <col min="10" max="10" width="11.5546875" style="17"/>
    <col min="11" max="11" width="11.5546875" style="45"/>
    <col min="12" max="12" width="15.44140625" style="12" bestFit="1" customWidth="1"/>
    <col min="13" max="16384" width="11.5546875" style="12"/>
  </cols>
  <sheetData>
    <row r="1" spans="1:12" s="42" customFormat="1" ht="28.8" x14ac:dyDescent="0.3">
      <c r="A1" s="37" t="s">
        <v>11</v>
      </c>
      <c r="B1" s="37" t="s">
        <v>1</v>
      </c>
      <c r="C1" s="37" t="s">
        <v>2</v>
      </c>
      <c r="D1" s="37" t="s">
        <v>3</v>
      </c>
      <c r="E1" s="38" t="s">
        <v>44</v>
      </c>
      <c r="F1" s="38" t="s">
        <v>45</v>
      </c>
      <c r="G1" s="38" t="s">
        <v>46</v>
      </c>
      <c r="H1" s="38" t="s">
        <v>47</v>
      </c>
      <c r="I1" s="38" t="s">
        <v>5</v>
      </c>
      <c r="J1" s="39" t="s">
        <v>6</v>
      </c>
      <c r="K1" s="40" t="s">
        <v>49</v>
      </c>
      <c r="L1" s="41" t="s">
        <v>50</v>
      </c>
    </row>
    <row r="2" spans="1:12" x14ac:dyDescent="0.3">
      <c r="A2" s="6">
        <v>1</v>
      </c>
      <c r="B2" s="6" t="s">
        <v>104</v>
      </c>
      <c r="C2" s="6" t="s">
        <v>21</v>
      </c>
      <c r="D2" s="8"/>
      <c r="E2" s="9"/>
      <c r="F2" s="9"/>
      <c r="G2" s="9">
        <v>1</v>
      </c>
      <c r="H2" s="9" t="str">
        <f>CONCATENATE(E2,"-",F2,"-",G2)</f>
        <v>--1</v>
      </c>
      <c r="I2" s="14"/>
      <c r="J2" s="11"/>
      <c r="K2" s="44"/>
      <c r="L2" s="10"/>
    </row>
    <row r="3" spans="1:12" x14ac:dyDescent="0.3">
      <c r="A3" s="6">
        <v>2</v>
      </c>
      <c r="B3" s="6" t="s">
        <v>12</v>
      </c>
      <c r="C3" s="6" t="s">
        <v>22</v>
      </c>
      <c r="D3" s="8"/>
      <c r="E3" s="9"/>
      <c r="F3" s="9"/>
      <c r="G3" s="9">
        <v>2</v>
      </c>
      <c r="H3" s="9" t="str">
        <f t="shared" ref="H3:H66" si="0">CONCATENATE(E3,"-",F3,"-",G3)</f>
        <v>--2</v>
      </c>
      <c r="I3" s="14"/>
      <c r="J3" s="11"/>
      <c r="K3" s="44"/>
      <c r="L3" s="10"/>
    </row>
    <row r="4" spans="1:12" x14ac:dyDescent="0.3">
      <c r="A4" s="6">
        <v>3</v>
      </c>
      <c r="B4" s="6" t="s">
        <v>13</v>
      </c>
      <c r="C4" s="6" t="s">
        <v>23</v>
      </c>
      <c r="D4" s="8"/>
      <c r="E4" s="9"/>
      <c r="F4" s="9"/>
      <c r="G4" s="9">
        <v>3</v>
      </c>
      <c r="H4" s="9" t="str">
        <f t="shared" si="0"/>
        <v>--3</v>
      </c>
      <c r="I4" s="14"/>
      <c r="J4" s="11"/>
      <c r="K4" s="44"/>
      <c r="L4" s="10"/>
    </row>
    <row r="5" spans="1:12" x14ac:dyDescent="0.3">
      <c r="A5" s="6">
        <v>4</v>
      </c>
      <c r="B5" s="6" t="s">
        <v>14</v>
      </c>
      <c r="C5" s="6" t="s">
        <v>25</v>
      </c>
      <c r="D5" s="8"/>
      <c r="E5" s="9"/>
      <c r="F5" s="9"/>
      <c r="G5" s="9">
        <v>4</v>
      </c>
      <c r="H5" s="9" t="str">
        <f t="shared" si="0"/>
        <v>--4</v>
      </c>
      <c r="I5" s="14"/>
      <c r="J5" s="11"/>
      <c r="K5" s="44"/>
      <c r="L5" s="10"/>
    </row>
    <row r="6" spans="1:12" x14ac:dyDescent="0.3">
      <c r="A6" s="6">
        <v>5</v>
      </c>
      <c r="B6" s="6" t="s">
        <v>15</v>
      </c>
      <c r="C6" s="6" t="s">
        <v>26</v>
      </c>
      <c r="D6" s="8"/>
      <c r="E6" s="9"/>
      <c r="F6" s="9"/>
      <c r="G6" s="9">
        <v>5</v>
      </c>
      <c r="H6" s="9" t="str">
        <f t="shared" si="0"/>
        <v>--5</v>
      </c>
      <c r="I6" s="14"/>
      <c r="J6" s="11"/>
      <c r="K6" s="44"/>
      <c r="L6" s="10"/>
    </row>
    <row r="7" spans="1:12" x14ac:dyDescent="0.3">
      <c r="A7" s="6">
        <v>6</v>
      </c>
      <c r="B7" s="6" t="s">
        <v>16</v>
      </c>
      <c r="C7" s="6" t="s">
        <v>27</v>
      </c>
      <c r="D7" s="8"/>
      <c r="E7" s="9"/>
      <c r="F7" s="9"/>
      <c r="G7" s="9">
        <v>6</v>
      </c>
      <c r="H7" s="9" t="str">
        <f t="shared" si="0"/>
        <v>--6</v>
      </c>
      <c r="I7" s="14"/>
      <c r="J7" s="11"/>
      <c r="K7" s="44"/>
      <c r="L7" s="10"/>
    </row>
    <row r="8" spans="1:12" x14ac:dyDescent="0.3">
      <c r="A8" s="6">
        <v>7</v>
      </c>
      <c r="B8" s="6" t="s">
        <v>17</v>
      </c>
      <c r="C8" s="6" t="s">
        <v>28</v>
      </c>
      <c r="D8" s="8"/>
      <c r="E8" s="9"/>
      <c r="F8" s="9"/>
      <c r="G8" s="9">
        <v>7</v>
      </c>
      <c r="H8" s="9" t="str">
        <f t="shared" si="0"/>
        <v>--7</v>
      </c>
      <c r="I8" s="14"/>
      <c r="J8" s="11"/>
      <c r="K8" s="44"/>
      <c r="L8" s="10"/>
    </row>
    <row r="9" spans="1:12" x14ac:dyDescent="0.3">
      <c r="A9" s="6">
        <v>8</v>
      </c>
      <c r="B9" s="6" t="s">
        <v>18</v>
      </c>
      <c r="C9" s="6" t="s">
        <v>29</v>
      </c>
      <c r="D9" s="8"/>
      <c r="E9" s="9"/>
      <c r="F9" s="9"/>
      <c r="G9" s="9">
        <v>8</v>
      </c>
      <c r="H9" s="9" t="str">
        <f t="shared" si="0"/>
        <v>--8</v>
      </c>
      <c r="I9" s="14"/>
      <c r="J9" s="11"/>
      <c r="K9" s="44"/>
      <c r="L9" s="10"/>
    </row>
    <row r="10" spans="1:12" x14ac:dyDescent="0.3">
      <c r="A10" s="6">
        <v>9</v>
      </c>
      <c r="B10" s="6" t="s">
        <v>24</v>
      </c>
      <c r="C10" s="6" t="s">
        <v>30</v>
      </c>
      <c r="D10" s="8"/>
      <c r="E10" s="9"/>
      <c r="F10" s="9"/>
      <c r="G10" s="9">
        <v>9</v>
      </c>
      <c r="H10" s="9" t="str">
        <f t="shared" si="0"/>
        <v>--9</v>
      </c>
      <c r="I10" s="14"/>
      <c r="J10" s="11"/>
      <c r="K10" s="44"/>
      <c r="L10" s="10"/>
    </row>
    <row r="11" spans="1:12" x14ac:dyDescent="0.3">
      <c r="A11" s="6">
        <v>10</v>
      </c>
      <c r="B11" s="6" t="s">
        <v>19</v>
      </c>
      <c r="C11" s="6" t="s">
        <v>31</v>
      </c>
      <c r="D11" s="8"/>
      <c r="E11" s="9"/>
      <c r="F11" s="9"/>
      <c r="G11" s="9">
        <v>10</v>
      </c>
      <c r="H11" s="9" t="str">
        <f t="shared" si="0"/>
        <v>--10</v>
      </c>
      <c r="I11" s="14"/>
      <c r="J11" s="11"/>
      <c r="K11" s="44"/>
      <c r="L11" s="10"/>
    </row>
    <row r="12" spans="1:12" x14ac:dyDescent="0.3">
      <c r="A12" s="6">
        <v>11</v>
      </c>
      <c r="B12" s="6" t="s">
        <v>20</v>
      </c>
      <c r="C12" s="6" t="s">
        <v>32</v>
      </c>
      <c r="D12" s="8"/>
      <c r="E12" s="9"/>
      <c r="F12" s="9"/>
      <c r="G12" s="9">
        <v>11</v>
      </c>
      <c r="H12" s="9" t="str">
        <f t="shared" si="0"/>
        <v>--11</v>
      </c>
      <c r="I12" s="14"/>
      <c r="J12" s="11"/>
      <c r="K12" s="44"/>
      <c r="L12" s="10"/>
    </row>
    <row r="13" spans="1:12" x14ac:dyDescent="0.3">
      <c r="A13" s="6">
        <v>12</v>
      </c>
      <c r="B13" s="6" t="s">
        <v>48</v>
      </c>
      <c r="C13" s="6" t="s">
        <v>33</v>
      </c>
      <c r="D13" s="8"/>
      <c r="E13" s="9"/>
      <c r="F13" s="9"/>
      <c r="G13" s="9">
        <v>12</v>
      </c>
      <c r="H13" s="9" t="str">
        <f t="shared" si="0"/>
        <v>--12</v>
      </c>
      <c r="I13" s="14"/>
      <c r="J13" s="11"/>
      <c r="K13" s="44"/>
      <c r="L13" s="10"/>
    </row>
    <row r="14" spans="1:12" x14ac:dyDescent="0.3">
      <c r="A14" s="6">
        <v>13</v>
      </c>
      <c r="B14" s="6" t="s">
        <v>52</v>
      </c>
      <c r="C14" s="6" t="s">
        <v>34</v>
      </c>
      <c r="D14" s="8"/>
      <c r="E14" s="9"/>
      <c r="F14" s="9"/>
      <c r="G14" s="9">
        <v>13</v>
      </c>
      <c r="H14" s="9" t="str">
        <f t="shared" si="0"/>
        <v>--13</v>
      </c>
      <c r="I14" s="14"/>
      <c r="J14" s="11"/>
      <c r="K14" s="44"/>
      <c r="L14" s="10"/>
    </row>
    <row r="15" spans="1:12" x14ac:dyDescent="0.3">
      <c r="A15" s="6">
        <v>14</v>
      </c>
      <c r="B15" s="6" t="s">
        <v>76</v>
      </c>
      <c r="C15" s="6" t="s">
        <v>35</v>
      </c>
      <c r="D15" s="8"/>
      <c r="E15" s="9"/>
      <c r="F15" s="9"/>
      <c r="G15" s="9">
        <v>14</v>
      </c>
      <c r="H15" s="9" t="str">
        <f t="shared" si="0"/>
        <v>--14</v>
      </c>
      <c r="I15" s="14"/>
      <c r="J15" s="11"/>
      <c r="K15" s="44"/>
      <c r="L15" s="10"/>
    </row>
    <row r="16" spans="1:12" x14ac:dyDescent="0.3">
      <c r="A16" s="6">
        <v>15</v>
      </c>
      <c r="B16" s="6" t="s">
        <v>81</v>
      </c>
      <c r="C16" s="6" t="s">
        <v>36</v>
      </c>
      <c r="D16" s="8"/>
      <c r="E16" s="9"/>
      <c r="F16" s="9"/>
      <c r="G16" s="9">
        <v>15</v>
      </c>
      <c r="H16" s="9" t="str">
        <f t="shared" si="0"/>
        <v>--15</v>
      </c>
      <c r="I16" s="14"/>
      <c r="J16" s="11"/>
      <c r="K16" s="44"/>
      <c r="L16" s="10"/>
    </row>
    <row r="17" spans="1:12" x14ac:dyDescent="0.3">
      <c r="A17" s="6">
        <v>16</v>
      </c>
      <c r="B17" s="6" t="s">
        <v>118</v>
      </c>
      <c r="C17" s="6" t="s">
        <v>37</v>
      </c>
      <c r="D17" s="8"/>
      <c r="E17" s="9"/>
      <c r="F17" s="9"/>
      <c r="G17" s="9">
        <v>16</v>
      </c>
      <c r="H17" s="9" t="str">
        <f t="shared" si="0"/>
        <v>--16</v>
      </c>
      <c r="I17" s="14"/>
      <c r="J17" s="11"/>
      <c r="K17" s="44"/>
      <c r="L17" s="10"/>
    </row>
    <row r="18" spans="1:12" x14ac:dyDescent="0.3">
      <c r="A18" s="6">
        <v>17</v>
      </c>
      <c r="B18" s="6" t="s">
        <v>186</v>
      </c>
      <c r="C18" s="6" t="s">
        <v>38</v>
      </c>
      <c r="D18" s="8"/>
      <c r="E18" s="9"/>
      <c r="F18" s="9"/>
      <c r="G18" s="9">
        <v>17</v>
      </c>
      <c r="H18" s="9" t="str">
        <f t="shared" si="0"/>
        <v>--17</v>
      </c>
      <c r="I18" s="14"/>
      <c r="J18" s="11"/>
      <c r="K18" s="44"/>
      <c r="L18" s="10"/>
    </row>
    <row r="19" spans="1:12" x14ac:dyDescent="0.3">
      <c r="A19" s="6">
        <v>18</v>
      </c>
      <c r="B19" s="6" t="s">
        <v>388</v>
      </c>
      <c r="C19" s="6" t="s">
        <v>39</v>
      </c>
      <c r="D19" s="8"/>
      <c r="E19" s="9"/>
      <c r="F19" s="9"/>
      <c r="G19" s="9">
        <v>18</v>
      </c>
      <c r="H19" s="9" t="str">
        <f t="shared" si="0"/>
        <v>--18</v>
      </c>
      <c r="I19" s="14"/>
      <c r="J19" s="11"/>
      <c r="K19" s="44"/>
      <c r="L19" s="10"/>
    </row>
    <row r="20" spans="1:12" ht="43.2" x14ac:dyDescent="0.3">
      <c r="A20" s="6">
        <v>19</v>
      </c>
      <c r="B20" s="53" t="s">
        <v>424</v>
      </c>
      <c r="C20" s="6" t="s">
        <v>40</v>
      </c>
      <c r="D20" s="8"/>
      <c r="E20" s="9"/>
      <c r="F20" s="9"/>
      <c r="G20" s="9">
        <v>19</v>
      </c>
      <c r="H20" s="9" t="str">
        <f t="shared" si="0"/>
        <v>--19</v>
      </c>
      <c r="I20" s="14"/>
      <c r="J20" s="11"/>
      <c r="K20" s="44"/>
      <c r="L20" s="10"/>
    </row>
    <row r="21" spans="1:12" x14ac:dyDescent="0.3">
      <c r="A21" s="6">
        <v>20</v>
      </c>
      <c r="B21" s="6" t="s">
        <v>436</v>
      </c>
      <c r="C21" s="6" t="s">
        <v>41</v>
      </c>
      <c r="D21" s="8"/>
      <c r="E21" s="9"/>
      <c r="F21" s="9"/>
      <c r="G21" s="9">
        <v>20</v>
      </c>
      <c r="H21" s="9" t="str">
        <f t="shared" si="0"/>
        <v>--20</v>
      </c>
      <c r="I21" s="14"/>
      <c r="J21" s="11"/>
      <c r="K21" s="44"/>
      <c r="L21" s="10"/>
    </row>
    <row r="22" spans="1:12" x14ac:dyDescent="0.3">
      <c r="A22" s="6">
        <v>21</v>
      </c>
      <c r="B22" s="6" t="s">
        <v>442</v>
      </c>
      <c r="C22" s="6" t="s">
        <v>55</v>
      </c>
      <c r="D22" s="8"/>
      <c r="E22" s="9"/>
      <c r="F22" s="9"/>
      <c r="G22" s="9">
        <v>21</v>
      </c>
      <c r="H22" s="9" t="str">
        <f t="shared" si="0"/>
        <v>--21</v>
      </c>
      <c r="I22" s="14"/>
      <c r="J22" s="11"/>
      <c r="K22" s="44"/>
      <c r="L22" s="10"/>
    </row>
    <row r="23" spans="1:12" x14ac:dyDescent="0.3">
      <c r="A23" s="6">
        <v>22</v>
      </c>
      <c r="B23" s="6"/>
      <c r="C23" s="6" t="s">
        <v>63</v>
      </c>
      <c r="D23" s="8"/>
      <c r="E23" s="9"/>
      <c r="F23" s="9"/>
      <c r="G23" s="9">
        <v>22</v>
      </c>
      <c r="H23" s="9" t="str">
        <f t="shared" si="0"/>
        <v>--22</v>
      </c>
      <c r="I23" s="14"/>
      <c r="J23" s="11"/>
      <c r="K23" s="44"/>
      <c r="L23" s="10"/>
    </row>
    <row r="24" spans="1:12" x14ac:dyDescent="0.3">
      <c r="A24" s="6">
        <v>23</v>
      </c>
      <c r="B24" s="6"/>
      <c r="C24" s="6" t="s">
        <v>67</v>
      </c>
      <c r="D24" s="8"/>
      <c r="E24" s="9"/>
      <c r="F24" s="9"/>
      <c r="G24" s="9">
        <v>23</v>
      </c>
      <c r="H24" s="9" t="str">
        <f t="shared" si="0"/>
        <v>--23</v>
      </c>
      <c r="I24" s="14"/>
      <c r="J24" s="11"/>
      <c r="K24" s="44"/>
      <c r="L24" s="10"/>
    </row>
    <row r="25" spans="1:12" x14ac:dyDescent="0.3">
      <c r="A25" s="6">
        <v>24</v>
      </c>
      <c r="B25" s="6"/>
      <c r="C25" s="6" t="s">
        <v>77</v>
      </c>
      <c r="D25" s="8"/>
      <c r="E25" s="9"/>
      <c r="F25" s="9"/>
      <c r="G25" s="9">
        <v>24</v>
      </c>
      <c r="H25" s="9" t="str">
        <f t="shared" si="0"/>
        <v>--24</v>
      </c>
      <c r="I25" s="14"/>
      <c r="J25" s="11"/>
      <c r="K25" s="44"/>
      <c r="L25" s="10"/>
    </row>
    <row r="26" spans="1:12" x14ac:dyDescent="0.3">
      <c r="A26" s="6">
        <v>25</v>
      </c>
      <c r="B26" s="6"/>
      <c r="C26" s="6" t="s">
        <v>79</v>
      </c>
      <c r="D26" s="8"/>
      <c r="E26" s="9"/>
      <c r="F26" s="9"/>
      <c r="G26" s="9">
        <v>25</v>
      </c>
      <c r="H26" s="9" t="str">
        <f t="shared" si="0"/>
        <v>--25</v>
      </c>
      <c r="I26" s="14"/>
      <c r="J26" s="11"/>
      <c r="K26" s="44"/>
      <c r="L26" s="10"/>
    </row>
    <row r="27" spans="1:12" x14ac:dyDescent="0.3">
      <c r="A27" s="6">
        <v>26</v>
      </c>
      <c r="B27" s="6"/>
      <c r="C27" s="6" t="s">
        <v>84</v>
      </c>
      <c r="D27" s="8"/>
      <c r="E27" s="9"/>
      <c r="F27" s="9"/>
      <c r="G27" s="9">
        <v>26</v>
      </c>
      <c r="H27" s="9" t="str">
        <f t="shared" si="0"/>
        <v>--26</v>
      </c>
      <c r="I27" s="14"/>
      <c r="J27" s="11"/>
      <c r="K27" s="44"/>
      <c r="L27" s="10"/>
    </row>
    <row r="28" spans="1:12" x14ac:dyDescent="0.3">
      <c r="A28" s="6">
        <v>27</v>
      </c>
      <c r="B28" s="6"/>
      <c r="C28" s="6" t="s">
        <v>87</v>
      </c>
      <c r="D28" s="8"/>
      <c r="E28" s="9"/>
      <c r="F28" s="9"/>
      <c r="G28" s="9">
        <v>27</v>
      </c>
      <c r="H28" s="9" t="str">
        <f t="shared" si="0"/>
        <v>--27</v>
      </c>
      <c r="I28" s="14"/>
      <c r="J28" s="11"/>
      <c r="K28" s="44"/>
      <c r="L28" s="10"/>
    </row>
    <row r="29" spans="1:12" x14ac:dyDescent="0.3">
      <c r="A29" s="6">
        <v>28</v>
      </c>
      <c r="B29" s="6"/>
      <c r="C29" s="6" t="s">
        <v>91</v>
      </c>
      <c r="D29" s="8"/>
      <c r="E29" s="9"/>
      <c r="F29" s="9"/>
      <c r="G29" s="9">
        <v>28</v>
      </c>
      <c r="H29" s="9" t="str">
        <f t="shared" si="0"/>
        <v>--28</v>
      </c>
      <c r="I29" s="14"/>
      <c r="J29" s="11"/>
      <c r="K29" s="44"/>
      <c r="L29" s="10"/>
    </row>
    <row r="30" spans="1:12" x14ac:dyDescent="0.3">
      <c r="A30" s="6">
        <v>29</v>
      </c>
      <c r="B30" s="6"/>
      <c r="C30" s="6" t="s">
        <v>96</v>
      </c>
      <c r="D30" s="8"/>
      <c r="E30" s="9"/>
      <c r="F30" s="9"/>
      <c r="G30" s="9">
        <v>29</v>
      </c>
      <c r="H30" s="9" t="str">
        <f t="shared" si="0"/>
        <v>--29</v>
      </c>
      <c r="I30" s="14"/>
      <c r="J30" s="11"/>
      <c r="K30" s="44"/>
      <c r="L30" s="10"/>
    </row>
    <row r="31" spans="1:12" x14ac:dyDescent="0.3">
      <c r="A31" s="6">
        <v>30</v>
      </c>
      <c r="B31" s="6"/>
      <c r="C31" s="6" t="s">
        <v>102</v>
      </c>
      <c r="D31" s="8"/>
      <c r="E31" s="9"/>
      <c r="F31" s="9"/>
      <c r="G31" s="9">
        <v>30</v>
      </c>
      <c r="H31" s="9" t="str">
        <f t="shared" si="0"/>
        <v>--30</v>
      </c>
      <c r="I31" s="14"/>
      <c r="J31" s="11"/>
      <c r="K31" s="44"/>
      <c r="L31" s="10"/>
    </row>
    <row r="32" spans="1:12" x14ac:dyDescent="0.3">
      <c r="A32" s="6">
        <v>31</v>
      </c>
      <c r="B32" s="6"/>
      <c r="C32" s="6" t="s">
        <v>109</v>
      </c>
      <c r="D32" s="8"/>
      <c r="E32" s="9"/>
      <c r="F32" s="9"/>
      <c r="G32" s="9">
        <v>31</v>
      </c>
      <c r="H32" s="9" t="str">
        <f t="shared" si="0"/>
        <v>--31</v>
      </c>
      <c r="I32" s="14"/>
      <c r="J32" s="11"/>
      <c r="K32" s="44"/>
      <c r="L32" s="10"/>
    </row>
    <row r="33" spans="1:12" x14ac:dyDescent="0.3">
      <c r="A33" s="6">
        <v>32</v>
      </c>
      <c r="B33" s="6"/>
      <c r="C33" s="6" t="s">
        <v>114</v>
      </c>
      <c r="D33" s="8"/>
      <c r="E33" s="9"/>
      <c r="F33" s="9"/>
      <c r="G33" s="9">
        <v>32</v>
      </c>
      <c r="H33" s="9" t="str">
        <f t="shared" si="0"/>
        <v>--32</v>
      </c>
      <c r="I33" s="14"/>
      <c r="J33" s="11"/>
      <c r="K33" s="44"/>
      <c r="L33" s="10"/>
    </row>
    <row r="34" spans="1:12" x14ac:dyDescent="0.3">
      <c r="A34" s="6">
        <v>33</v>
      </c>
      <c r="B34" s="6"/>
      <c r="C34" s="6" t="s">
        <v>116</v>
      </c>
      <c r="D34" s="8"/>
      <c r="E34" s="9"/>
      <c r="F34" s="9"/>
      <c r="G34" s="9">
        <v>33</v>
      </c>
      <c r="H34" s="9" t="str">
        <f t="shared" si="0"/>
        <v>--33</v>
      </c>
      <c r="I34" s="14"/>
      <c r="J34" s="11"/>
      <c r="K34" s="44"/>
      <c r="L34" s="10"/>
    </row>
    <row r="35" spans="1:12" x14ac:dyDescent="0.3">
      <c r="A35" s="6">
        <v>34</v>
      </c>
      <c r="B35" s="6"/>
      <c r="C35" s="6" t="s">
        <v>120</v>
      </c>
      <c r="D35" s="8"/>
      <c r="E35" s="9"/>
      <c r="F35" s="9"/>
      <c r="G35" s="9">
        <v>34</v>
      </c>
      <c r="H35" s="9" t="str">
        <f t="shared" si="0"/>
        <v>--34</v>
      </c>
      <c r="I35" s="14"/>
      <c r="J35" s="11"/>
      <c r="K35" s="44"/>
      <c r="L35" s="10"/>
    </row>
    <row r="36" spans="1:12" x14ac:dyDescent="0.3">
      <c r="A36" s="6">
        <v>35</v>
      </c>
      <c r="B36" s="6"/>
      <c r="C36" s="6" t="s">
        <v>123</v>
      </c>
      <c r="D36" s="8"/>
      <c r="E36" s="9"/>
      <c r="F36" s="9"/>
      <c r="G36" s="9">
        <v>35</v>
      </c>
      <c r="H36" s="9" t="str">
        <f t="shared" si="0"/>
        <v>--35</v>
      </c>
      <c r="I36" s="14"/>
      <c r="J36" s="11"/>
      <c r="K36" s="44"/>
      <c r="L36" s="10"/>
    </row>
    <row r="37" spans="1:12" x14ac:dyDescent="0.3">
      <c r="A37" s="6">
        <v>36</v>
      </c>
      <c r="B37" s="6"/>
      <c r="C37" s="6" t="s">
        <v>128</v>
      </c>
      <c r="D37" s="8"/>
      <c r="E37" s="9"/>
      <c r="F37" s="9"/>
      <c r="G37" s="9">
        <v>36</v>
      </c>
      <c r="H37" s="9" t="str">
        <f t="shared" si="0"/>
        <v>--36</v>
      </c>
      <c r="I37" s="14"/>
      <c r="J37" s="11"/>
      <c r="K37" s="44"/>
      <c r="L37" s="10"/>
    </row>
    <row r="38" spans="1:12" x14ac:dyDescent="0.3">
      <c r="A38" s="6">
        <v>37</v>
      </c>
      <c r="B38" s="6"/>
      <c r="C38" s="6" t="s">
        <v>131</v>
      </c>
      <c r="D38" s="8"/>
      <c r="E38" s="9"/>
      <c r="F38" s="9"/>
      <c r="G38" s="9">
        <v>37</v>
      </c>
      <c r="H38" s="9" t="str">
        <f t="shared" si="0"/>
        <v>--37</v>
      </c>
      <c r="I38" s="14"/>
      <c r="J38" s="11"/>
      <c r="K38" s="44"/>
      <c r="L38" s="10"/>
    </row>
    <row r="39" spans="1:12" x14ac:dyDescent="0.3">
      <c r="A39" s="6">
        <v>38</v>
      </c>
      <c r="B39" s="6"/>
      <c r="C39" s="6" t="s">
        <v>133</v>
      </c>
      <c r="D39" s="8"/>
      <c r="E39" s="9"/>
      <c r="F39" s="9"/>
      <c r="G39" s="9">
        <v>38</v>
      </c>
      <c r="H39" s="9" t="str">
        <f t="shared" si="0"/>
        <v>--38</v>
      </c>
      <c r="I39" s="14"/>
      <c r="J39" s="11"/>
      <c r="K39" s="44"/>
      <c r="L39" s="10"/>
    </row>
    <row r="40" spans="1:12" x14ac:dyDescent="0.3">
      <c r="A40" s="6">
        <v>39</v>
      </c>
      <c r="B40" s="6"/>
      <c r="C40" s="6" t="s">
        <v>160</v>
      </c>
      <c r="D40" s="8"/>
      <c r="E40" s="9"/>
      <c r="F40" s="9"/>
      <c r="G40" s="9">
        <v>39</v>
      </c>
      <c r="H40" s="9" t="str">
        <f t="shared" si="0"/>
        <v>--39</v>
      </c>
      <c r="I40" s="14"/>
      <c r="J40" s="11"/>
      <c r="K40" s="44"/>
      <c r="L40" s="10"/>
    </row>
    <row r="41" spans="1:12" x14ac:dyDescent="0.3">
      <c r="A41" s="6">
        <v>40</v>
      </c>
      <c r="B41" s="6"/>
      <c r="C41" s="6" t="s">
        <v>163</v>
      </c>
      <c r="D41" s="8"/>
      <c r="E41" s="9"/>
      <c r="F41" s="9"/>
      <c r="G41" s="9">
        <v>40</v>
      </c>
      <c r="H41" s="9" t="str">
        <f t="shared" si="0"/>
        <v>--40</v>
      </c>
      <c r="I41" s="14"/>
      <c r="J41" s="11"/>
      <c r="K41" s="44"/>
      <c r="L41" s="10"/>
    </row>
    <row r="42" spans="1:12" x14ac:dyDescent="0.3">
      <c r="A42" s="6">
        <v>41</v>
      </c>
      <c r="B42" s="6"/>
      <c r="C42" s="6" t="s">
        <v>177</v>
      </c>
      <c r="D42" s="8"/>
      <c r="E42" s="9"/>
      <c r="F42" s="9"/>
      <c r="G42" s="9">
        <v>41</v>
      </c>
      <c r="H42" s="9" t="str">
        <f t="shared" si="0"/>
        <v>--41</v>
      </c>
      <c r="I42" s="14"/>
      <c r="J42" s="11"/>
      <c r="K42" s="44"/>
      <c r="L42" s="10"/>
    </row>
    <row r="43" spans="1:12" x14ac:dyDescent="0.3">
      <c r="A43" s="6">
        <v>42</v>
      </c>
      <c r="B43" s="6"/>
      <c r="C43" s="6" t="s">
        <v>182</v>
      </c>
      <c r="D43" s="8"/>
      <c r="E43" s="9"/>
      <c r="F43" s="9"/>
      <c r="G43" s="9">
        <v>42</v>
      </c>
      <c r="H43" s="9" t="str">
        <f t="shared" si="0"/>
        <v>--42</v>
      </c>
      <c r="I43" s="14"/>
      <c r="J43" s="11"/>
      <c r="K43" s="44"/>
      <c r="L43" s="10"/>
    </row>
    <row r="44" spans="1:12" x14ac:dyDescent="0.3">
      <c r="A44" s="6">
        <v>43</v>
      </c>
      <c r="B44" s="6"/>
      <c r="C44" s="6" t="s">
        <v>184</v>
      </c>
      <c r="D44" s="8"/>
      <c r="E44" s="9"/>
      <c r="F44" s="9"/>
      <c r="G44" s="9">
        <v>43</v>
      </c>
      <c r="H44" s="9" t="str">
        <f t="shared" si="0"/>
        <v>--43</v>
      </c>
      <c r="I44" s="14"/>
      <c r="J44" s="11"/>
      <c r="K44" s="44"/>
      <c r="L44" s="10"/>
    </row>
    <row r="45" spans="1:12" x14ac:dyDescent="0.3">
      <c r="A45" s="6">
        <v>44</v>
      </c>
      <c r="B45" s="6"/>
      <c r="C45" s="6" t="s">
        <v>187</v>
      </c>
      <c r="D45" s="8"/>
      <c r="E45" s="9"/>
      <c r="F45" s="9"/>
      <c r="G45" s="9">
        <v>44</v>
      </c>
      <c r="H45" s="9" t="str">
        <f t="shared" si="0"/>
        <v>--44</v>
      </c>
      <c r="I45" s="14"/>
      <c r="J45" s="11"/>
      <c r="K45" s="44"/>
      <c r="L45" s="10"/>
    </row>
    <row r="46" spans="1:12" x14ac:dyDescent="0.3">
      <c r="A46" s="6">
        <v>45</v>
      </c>
      <c r="B46" s="6"/>
      <c r="C46" s="6" t="s">
        <v>191</v>
      </c>
      <c r="D46" s="8"/>
      <c r="E46" s="9"/>
      <c r="F46" s="9"/>
      <c r="G46" s="9">
        <v>45</v>
      </c>
      <c r="H46" s="9" t="str">
        <f t="shared" si="0"/>
        <v>--45</v>
      </c>
      <c r="I46" s="14"/>
      <c r="J46" s="11"/>
      <c r="K46" s="44"/>
      <c r="L46" s="10"/>
    </row>
    <row r="47" spans="1:12" x14ac:dyDescent="0.3">
      <c r="A47" s="6">
        <v>46</v>
      </c>
      <c r="B47" s="6"/>
      <c r="C47" s="6" t="s">
        <v>210</v>
      </c>
      <c r="D47" s="8"/>
      <c r="E47" s="9"/>
      <c r="F47" s="9"/>
      <c r="G47" s="9">
        <v>46</v>
      </c>
      <c r="H47" s="9" t="str">
        <f t="shared" si="0"/>
        <v>--46</v>
      </c>
      <c r="I47" s="14"/>
      <c r="J47" s="11"/>
      <c r="K47" s="44"/>
      <c r="L47" s="10"/>
    </row>
    <row r="48" spans="1:12" x14ac:dyDescent="0.3">
      <c r="A48" s="6">
        <v>47</v>
      </c>
      <c r="B48" s="6"/>
      <c r="C48" s="6" t="s">
        <v>211</v>
      </c>
      <c r="D48" s="8"/>
      <c r="E48" s="9"/>
      <c r="F48" s="9"/>
      <c r="G48" s="9">
        <v>47</v>
      </c>
      <c r="H48" s="9" t="str">
        <f t="shared" si="0"/>
        <v>--47</v>
      </c>
      <c r="I48" s="14"/>
      <c r="J48" s="11"/>
      <c r="K48" s="44"/>
      <c r="L48" s="10"/>
    </row>
    <row r="49" spans="1:12" x14ac:dyDescent="0.3">
      <c r="A49" s="6">
        <v>48</v>
      </c>
      <c r="B49" s="6"/>
      <c r="C49" s="6" t="s">
        <v>214</v>
      </c>
      <c r="D49" s="8"/>
      <c r="E49" s="9"/>
      <c r="F49" s="9"/>
      <c r="G49" s="9">
        <v>48</v>
      </c>
      <c r="H49" s="9" t="str">
        <f t="shared" si="0"/>
        <v>--48</v>
      </c>
      <c r="I49" s="14"/>
      <c r="J49" s="11"/>
      <c r="K49" s="44"/>
      <c r="L49" s="10"/>
    </row>
    <row r="50" spans="1:12" x14ac:dyDescent="0.3">
      <c r="A50" s="6">
        <v>49</v>
      </c>
      <c r="B50" s="6"/>
      <c r="C50" s="6" t="s">
        <v>216</v>
      </c>
      <c r="D50" s="8"/>
      <c r="E50" s="9"/>
      <c r="F50" s="9"/>
      <c r="G50" s="9">
        <v>49</v>
      </c>
      <c r="H50" s="9" t="str">
        <f t="shared" si="0"/>
        <v>--49</v>
      </c>
      <c r="I50" s="14"/>
      <c r="J50" s="11"/>
      <c r="K50" s="44"/>
      <c r="L50" s="10"/>
    </row>
    <row r="51" spans="1:12" x14ac:dyDescent="0.3">
      <c r="A51" s="6">
        <v>50</v>
      </c>
      <c r="B51" s="6"/>
      <c r="C51" s="6" t="s">
        <v>219</v>
      </c>
      <c r="D51" s="8"/>
      <c r="E51" s="9"/>
      <c r="F51" s="9"/>
      <c r="G51" s="9">
        <v>50</v>
      </c>
      <c r="H51" s="9" t="str">
        <f t="shared" si="0"/>
        <v>--50</v>
      </c>
      <c r="I51" s="14"/>
      <c r="J51" s="11"/>
      <c r="K51" s="44"/>
      <c r="L51" s="10"/>
    </row>
    <row r="52" spans="1:12" x14ac:dyDescent="0.3">
      <c r="A52" s="6">
        <v>51</v>
      </c>
      <c r="B52" s="6"/>
      <c r="C52" s="6" t="s">
        <v>220</v>
      </c>
      <c r="D52" s="8"/>
      <c r="E52" s="9"/>
      <c r="F52" s="9"/>
      <c r="G52" s="9">
        <v>51</v>
      </c>
      <c r="H52" s="9" t="str">
        <f t="shared" si="0"/>
        <v>--51</v>
      </c>
      <c r="I52" s="14"/>
      <c r="J52" s="11"/>
      <c r="K52" s="44"/>
      <c r="L52" s="10"/>
    </row>
    <row r="53" spans="1:12" x14ac:dyDescent="0.3">
      <c r="A53" s="6">
        <v>52</v>
      </c>
      <c r="B53" s="6"/>
      <c r="C53" s="6" t="s">
        <v>222</v>
      </c>
      <c r="D53" s="8"/>
      <c r="E53" s="9"/>
      <c r="F53" s="9"/>
      <c r="G53" s="9">
        <v>52</v>
      </c>
      <c r="H53" s="9" t="str">
        <f t="shared" si="0"/>
        <v>--52</v>
      </c>
      <c r="I53" s="14"/>
      <c r="J53" s="11"/>
      <c r="K53" s="44"/>
      <c r="L53" s="10"/>
    </row>
    <row r="54" spans="1:12" x14ac:dyDescent="0.3">
      <c r="A54" s="6">
        <v>53</v>
      </c>
      <c r="B54" s="6"/>
      <c r="C54" s="6" t="s">
        <v>228</v>
      </c>
      <c r="D54" s="8"/>
      <c r="E54" s="9"/>
      <c r="F54" s="9"/>
      <c r="G54" s="9">
        <v>53</v>
      </c>
      <c r="H54" s="9" t="str">
        <f t="shared" si="0"/>
        <v>--53</v>
      </c>
      <c r="I54" s="14"/>
      <c r="J54" s="11"/>
      <c r="K54" s="44"/>
      <c r="L54" s="10"/>
    </row>
    <row r="55" spans="1:12" x14ac:dyDescent="0.3">
      <c r="A55" s="6">
        <v>54</v>
      </c>
      <c r="B55" s="6"/>
      <c r="C55" s="6" t="s">
        <v>237</v>
      </c>
      <c r="D55" s="8"/>
      <c r="E55" s="9"/>
      <c r="F55" s="9"/>
      <c r="G55" s="9">
        <v>54</v>
      </c>
      <c r="H55" s="9" t="str">
        <f t="shared" si="0"/>
        <v>--54</v>
      </c>
      <c r="I55" s="14"/>
      <c r="J55" s="11"/>
      <c r="K55" s="44"/>
      <c r="L55" s="10"/>
    </row>
    <row r="56" spans="1:12" x14ac:dyDescent="0.3">
      <c r="A56" s="6">
        <v>55</v>
      </c>
      <c r="B56" s="6"/>
      <c r="C56" s="6" t="s">
        <v>242</v>
      </c>
      <c r="D56" s="8"/>
      <c r="E56" s="9"/>
      <c r="F56" s="9"/>
      <c r="G56" s="9">
        <v>55</v>
      </c>
      <c r="H56" s="9" t="str">
        <f t="shared" si="0"/>
        <v>--55</v>
      </c>
      <c r="I56" s="14"/>
      <c r="J56" s="11"/>
      <c r="K56" s="44"/>
      <c r="L56" s="10"/>
    </row>
    <row r="57" spans="1:12" x14ac:dyDescent="0.3">
      <c r="A57" s="6">
        <v>56</v>
      </c>
      <c r="B57" s="6"/>
      <c r="C57" s="6" t="s">
        <v>256</v>
      </c>
      <c r="D57" s="8"/>
      <c r="E57" s="9"/>
      <c r="F57" s="9"/>
      <c r="G57" s="9">
        <v>56</v>
      </c>
      <c r="H57" s="9" t="str">
        <f t="shared" si="0"/>
        <v>--56</v>
      </c>
      <c r="I57" s="14"/>
      <c r="J57" s="11"/>
      <c r="K57" s="44"/>
      <c r="L57" s="10"/>
    </row>
    <row r="58" spans="1:12" x14ac:dyDescent="0.3">
      <c r="A58" s="6">
        <v>57</v>
      </c>
      <c r="B58" s="6"/>
      <c r="C58" s="6" t="s">
        <v>265</v>
      </c>
      <c r="D58" s="8"/>
      <c r="E58" s="9"/>
      <c r="F58" s="9"/>
      <c r="G58" s="9">
        <v>57</v>
      </c>
      <c r="H58" s="9" t="str">
        <f t="shared" si="0"/>
        <v>--57</v>
      </c>
      <c r="I58" s="14"/>
      <c r="J58" s="11"/>
      <c r="K58" s="44"/>
      <c r="L58" s="10"/>
    </row>
    <row r="59" spans="1:12" x14ac:dyDescent="0.3">
      <c r="A59" s="6">
        <v>58</v>
      </c>
      <c r="B59" s="6"/>
      <c r="C59" s="6" t="s">
        <v>267</v>
      </c>
      <c r="D59" s="8"/>
      <c r="E59" s="9"/>
      <c r="F59" s="9"/>
      <c r="G59" s="9">
        <v>58</v>
      </c>
      <c r="H59" s="9" t="str">
        <f t="shared" si="0"/>
        <v>--58</v>
      </c>
      <c r="I59" s="14"/>
      <c r="J59" s="11"/>
      <c r="K59" s="44"/>
      <c r="L59" s="10"/>
    </row>
    <row r="60" spans="1:12" x14ac:dyDescent="0.3">
      <c r="A60" s="6">
        <v>59</v>
      </c>
      <c r="B60" s="6"/>
      <c r="C60" s="6" t="s">
        <v>281</v>
      </c>
      <c r="D60" s="8"/>
      <c r="E60" s="9"/>
      <c r="F60" s="9"/>
      <c r="G60" s="9">
        <v>59</v>
      </c>
      <c r="H60" s="9" t="str">
        <f t="shared" si="0"/>
        <v>--59</v>
      </c>
      <c r="I60" s="14"/>
      <c r="J60" s="11"/>
      <c r="K60" s="44"/>
      <c r="L60" s="10"/>
    </row>
    <row r="61" spans="1:12" x14ac:dyDescent="0.3">
      <c r="A61" s="6">
        <v>60</v>
      </c>
      <c r="B61" s="6"/>
      <c r="C61" s="6" t="s">
        <v>282</v>
      </c>
      <c r="D61" s="8"/>
      <c r="E61" s="9"/>
      <c r="F61" s="9"/>
      <c r="G61" s="9">
        <v>60</v>
      </c>
      <c r="H61" s="9" t="str">
        <f t="shared" si="0"/>
        <v>--60</v>
      </c>
      <c r="I61" s="14"/>
      <c r="J61" s="11"/>
      <c r="K61" s="44"/>
      <c r="L61" s="10"/>
    </row>
    <row r="62" spans="1:12" x14ac:dyDescent="0.3">
      <c r="A62" s="6">
        <v>61</v>
      </c>
      <c r="B62" s="6"/>
      <c r="C62" s="6" t="s">
        <v>291</v>
      </c>
      <c r="D62" s="8"/>
      <c r="E62" s="9"/>
      <c r="F62" s="9"/>
      <c r="G62" s="9">
        <v>61</v>
      </c>
      <c r="H62" s="9" t="str">
        <f t="shared" si="0"/>
        <v>--61</v>
      </c>
      <c r="I62" s="14"/>
      <c r="J62" s="11"/>
      <c r="K62" s="44"/>
      <c r="L62" s="10"/>
    </row>
    <row r="63" spans="1:12" x14ac:dyDescent="0.3">
      <c r="A63" s="6">
        <v>62</v>
      </c>
      <c r="B63" s="6"/>
      <c r="C63" s="6" t="s">
        <v>304</v>
      </c>
      <c r="D63" s="8"/>
      <c r="E63" s="9"/>
      <c r="F63" s="9"/>
      <c r="G63" s="9">
        <v>62</v>
      </c>
      <c r="H63" s="9" t="str">
        <f t="shared" si="0"/>
        <v>--62</v>
      </c>
      <c r="I63" s="14"/>
      <c r="J63" s="11"/>
      <c r="K63" s="44"/>
      <c r="L63" s="10"/>
    </row>
    <row r="64" spans="1:12" ht="28.8" x14ac:dyDescent="0.3">
      <c r="A64" s="6">
        <v>63</v>
      </c>
      <c r="B64" s="6"/>
      <c r="C64" s="53" t="s">
        <v>327</v>
      </c>
      <c r="D64" s="8"/>
      <c r="E64" s="9"/>
      <c r="F64" s="9"/>
      <c r="G64" s="9">
        <v>63</v>
      </c>
      <c r="H64" s="9" t="str">
        <f t="shared" si="0"/>
        <v>--63</v>
      </c>
      <c r="I64" s="14"/>
      <c r="J64" s="11"/>
      <c r="K64" s="44"/>
      <c r="L64" s="10"/>
    </row>
    <row r="65" spans="1:12" x14ac:dyDescent="0.3">
      <c r="A65" s="6">
        <v>64</v>
      </c>
      <c r="B65" s="6"/>
      <c r="C65" s="6" t="s">
        <v>329</v>
      </c>
      <c r="D65" s="8"/>
      <c r="E65" s="9"/>
      <c r="F65" s="9"/>
      <c r="G65" s="9">
        <v>64</v>
      </c>
      <c r="H65" s="9" t="str">
        <f t="shared" si="0"/>
        <v>--64</v>
      </c>
      <c r="I65" s="14"/>
      <c r="J65" s="11"/>
      <c r="K65" s="44"/>
      <c r="L65" s="10"/>
    </row>
    <row r="66" spans="1:12" x14ac:dyDescent="0.3">
      <c r="A66" s="6">
        <v>65</v>
      </c>
      <c r="B66" s="6"/>
      <c r="C66" s="6" t="s">
        <v>355</v>
      </c>
      <c r="D66" s="8"/>
      <c r="E66" s="9"/>
      <c r="F66" s="9"/>
      <c r="G66" s="9">
        <v>65</v>
      </c>
      <c r="H66" s="9" t="str">
        <f t="shared" si="0"/>
        <v>--65</v>
      </c>
      <c r="I66" s="14"/>
      <c r="J66" s="11"/>
      <c r="K66" s="44"/>
      <c r="L66" s="10"/>
    </row>
    <row r="67" spans="1:12" x14ac:dyDescent="0.3">
      <c r="A67" s="6">
        <v>66</v>
      </c>
      <c r="B67" s="6"/>
      <c r="C67" s="6" t="s">
        <v>359</v>
      </c>
      <c r="D67" s="8"/>
      <c r="E67" s="9"/>
      <c r="F67" s="9"/>
      <c r="G67" s="9">
        <v>66</v>
      </c>
      <c r="H67" s="9" t="str">
        <f t="shared" ref="H67:H130" si="1">CONCATENATE(E67,"-",F67,"-",G67)</f>
        <v>--66</v>
      </c>
      <c r="I67" s="14"/>
      <c r="J67" s="11"/>
      <c r="K67" s="44"/>
      <c r="L67" s="10"/>
    </row>
    <row r="68" spans="1:12" x14ac:dyDescent="0.3">
      <c r="A68" s="6">
        <v>67</v>
      </c>
      <c r="B68" s="6"/>
      <c r="C68" s="6" t="s">
        <v>374</v>
      </c>
      <c r="D68" s="8"/>
      <c r="E68" s="9"/>
      <c r="F68" s="9"/>
      <c r="G68" s="9">
        <v>67</v>
      </c>
      <c r="H68" s="9" t="str">
        <f t="shared" si="1"/>
        <v>--67</v>
      </c>
      <c r="I68" s="14"/>
      <c r="J68" s="11"/>
      <c r="K68" s="44"/>
      <c r="L68" s="10"/>
    </row>
    <row r="69" spans="1:12" x14ac:dyDescent="0.3">
      <c r="A69" s="6">
        <v>68</v>
      </c>
      <c r="B69" s="6"/>
      <c r="C69" s="6" t="s">
        <v>378</v>
      </c>
      <c r="D69" s="8"/>
      <c r="E69" s="9"/>
      <c r="F69" s="9"/>
      <c r="G69" s="9">
        <v>68</v>
      </c>
      <c r="H69" s="9" t="str">
        <f t="shared" si="1"/>
        <v>--68</v>
      </c>
      <c r="I69" s="14"/>
      <c r="J69" s="11"/>
      <c r="K69" s="44"/>
      <c r="L69" s="10"/>
    </row>
    <row r="70" spans="1:12" x14ac:dyDescent="0.3">
      <c r="A70" s="6">
        <v>69</v>
      </c>
      <c r="B70" s="6"/>
      <c r="C70" s="6" t="s">
        <v>383</v>
      </c>
      <c r="D70" s="8"/>
      <c r="E70" s="9"/>
      <c r="F70" s="9"/>
      <c r="G70" s="9">
        <v>69</v>
      </c>
      <c r="H70" s="9" t="str">
        <f t="shared" si="1"/>
        <v>--69</v>
      </c>
      <c r="I70" s="14"/>
      <c r="J70" s="11"/>
      <c r="K70" s="44"/>
      <c r="L70" s="10"/>
    </row>
    <row r="71" spans="1:12" x14ac:dyDescent="0.3">
      <c r="A71" s="6">
        <v>70</v>
      </c>
      <c r="B71" s="6"/>
      <c r="C71" s="6" t="s">
        <v>385</v>
      </c>
      <c r="D71" s="8"/>
      <c r="E71" s="9"/>
      <c r="F71" s="9"/>
      <c r="G71" s="9">
        <v>70</v>
      </c>
      <c r="H71" s="9" t="str">
        <f t="shared" si="1"/>
        <v>--70</v>
      </c>
      <c r="I71" s="14"/>
      <c r="J71" s="11"/>
      <c r="K71" s="44"/>
      <c r="L71" s="10"/>
    </row>
    <row r="72" spans="1:12" x14ac:dyDescent="0.3">
      <c r="A72" s="6">
        <v>71</v>
      </c>
      <c r="B72" s="6"/>
      <c r="C72" s="6" t="s">
        <v>389</v>
      </c>
      <c r="D72" s="8"/>
      <c r="E72" s="9"/>
      <c r="F72" s="9"/>
      <c r="G72" s="9">
        <v>71</v>
      </c>
      <c r="H72" s="9" t="str">
        <f t="shared" si="1"/>
        <v>--71</v>
      </c>
      <c r="I72" s="14"/>
      <c r="J72" s="11"/>
      <c r="K72" s="44"/>
      <c r="L72" s="10"/>
    </row>
    <row r="73" spans="1:12" x14ac:dyDescent="0.3">
      <c r="A73" s="6">
        <v>72</v>
      </c>
      <c r="B73" s="6"/>
      <c r="C73" s="6" t="s">
        <v>393</v>
      </c>
      <c r="D73" s="8"/>
      <c r="E73" s="9"/>
      <c r="F73" s="9"/>
      <c r="G73" s="9">
        <v>72</v>
      </c>
      <c r="H73" s="9" t="str">
        <f t="shared" si="1"/>
        <v>--72</v>
      </c>
      <c r="I73" s="14"/>
      <c r="J73" s="11"/>
      <c r="K73" s="44"/>
      <c r="L73" s="10"/>
    </row>
    <row r="74" spans="1:12" x14ac:dyDescent="0.3">
      <c r="A74" s="6">
        <v>73</v>
      </c>
      <c r="B74" s="6"/>
      <c r="C74" s="6" t="s">
        <v>397</v>
      </c>
      <c r="D74" s="8"/>
      <c r="E74" s="9"/>
      <c r="F74" s="9"/>
      <c r="G74" s="9">
        <v>73</v>
      </c>
      <c r="H74" s="9" t="str">
        <f t="shared" si="1"/>
        <v>--73</v>
      </c>
      <c r="I74" s="14"/>
      <c r="J74" s="11"/>
      <c r="K74" s="44"/>
      <c r="L74" s="10"/>
    </row>
    <row r="75" spans="1:12" x14ac:dyDescent="0.3">
      <c r="A75" s="6">
        <v>74</v>
      </c>
      <c r="B75" s="6"/>
      <c r="C75" s="6" t="s">
        <v>399</v>
      </c>
      <c r="D75" s="8"/>
      <c r="E75" s="9"/>
      <c r="F75" s="9"/>
      <c r="G75" s="9">
        <v>74</v>
      </c>
      <c r="H75" s="9" t="str">
        <f t="shared" si="1"/>
        <v>--74</v>
      </c>
      <c r="I75" s="14"/>
      <c r="J75" s="11"/>
      <c r="K75" s="44"/>
      <c r="L75" s="10"/>
    </row>
    <row r="76" spans="1:12" x14ac:dyDescent="0.3">
      <c r="A76" s="6">
        <v>75</v>
      </c>
      <c r="B76" s="6"/>
      <c r="C76" s="6" t="s">
        <v>403</v>
      </c>
      <c r="D76" s="8"/>
      <c r="E76" s="9"/>
      <c r="F76" s="9"/>
      <c r="G76" s="9">
        <v>75</v>
      </c>
      <c r="H76" s="9" t="str">
        <f t="shared" si="1"/>
        <v>--75</v>
      </c>
      <c r="I76" s="14"/>
      <c r="J76" s="11"/>
      <c r="K76" s="44"/>
      <c r="L76" s="10"/>
    </row>
    <row r="77" spans="1:12" x14ac:dyDescent="0.3">
      <c r="A77" s="6">
        <v>76</v>
      </c>
      <c r="B77" s="6"/>
      <c r="C77" s="6" t="s">
        <v>405</v>
      </c>
      <c r="D77" s="8"/>
      <c r="E77" s="9"/>
      <c r="F77" s="9"/>
      <c r="G77" s="9">
        <v>76</v>
      </c>
      <c r="H77" s="9" t="str">
        <f t="shared" si="1"/>
        <v>--76</v>
      </c>
      <c r="I77" s="14"/>
      <c r="J77" s="11"/>
      <c r="K77" s="44"/>
      <c r="L77" s="10"/>
    </row>
    <row r="78" spans="1:12" x14ac:dyDescent="0.3">
      <c r="A78" s="6">
        <v>77</v>
      </c>
      <c r="B78" s="6"/>
      <c r="C78" s="6" t="s">
        <v>408</v>
      </c>
      <c r="D78" s="8"/>
      <c r="E78" s="9"/>
      <c r="F78" s="9"/>
      <c r="G78" s="9">
        <v>77</v>
      </c>
      <c r="H78" s="9" t="str">
        <f t="shared" si="1"/>
        <v>--77</v>
      </c>
      <c r="I78" s="14"/>
      <c r="J78" s="11"/>
      <c r="K78" s="44"/>
      <c r="L78" s="10"/>
    </row>
    <row r="79" spans="1:12" x14ac:dyDescent="0.3">
      <c r="A79" s="6">
        <v>78</v>
      </c>
      <c r="B79" s="6"/>
      <c r="C79" s="6" t="s">
        <v>412</v>
      </c>
      <c r="D79" s="8"/>
      <c r="E79" s="9"/>
      <c r="F79" s="9"/>
      <c r="G79" s="9">
        <v>78</v>
      </c>
      <c r="H79" s="9" t="str">
        <f t="shared" si="1"/>
        <v>--78</v>
      </c>
      <c r="I79" s="14"/>
      <c r="J79" s="11"/>
      <c r="K79" s="44"/>
      <c r="L79" s="10"/>
    </row>
    <row r="80" spans="1:12" x14ac:dyDescent="0.3">
      <c r="A80" s="6">
        <v>79</v>
      </c>
      <c r="B80" s="6"/>
      <c r="C80" s="6" t="s">
        <v>414</v>
      </c>
      <c r="D80" s="8"/>
      <c r="E80" s="9"/>
      <c r="F80" s="9"/>
      <c r="G80" s="9">
        <v>79</v>
      </c>
      <c r="H80" s="9" t="str">
        <f t="shared" si="1"/>
        <v>--79</v>
      </c>
      <c r="I80" s="14"/>
      <c r="J80" s="11"/>
      <c r="K80" s="44"/>
      <c r="L80" s="10"/>
    </row>
    <row r="81" spans="1:12" x14ac:dyDescent="0.3">
      <c r="A81" s="6">
        <v>80</v>
      </c>
      <c r="B81" s="6"/>
      <c r="C81" s="6" t="s">
        <v>415</v>
      </c>
      <c r="D81" s="8"/>
      <c r="E81" s="9"/>
      <c r="F81" s="9"/>
      <c r="G81" s="9">
        <v>80</v>
      </c>
      <c r="H81" s="9" t="str">
        <f t="shared" si="1"/>
        <v>--80</v>
      </c>
      <c r="I81" s="14"/>
      <c r="J81" s="11"/>
      <c r="K81" s="44"/>
      <c r="L81" s="10"/>
    </row>
    <row r="82" spans="1:12" x14ac:dyDescent="0.3">
      <c r="A82" s="6">
        <v>81</v>
      </c>
      <c r="B82" s="6"/>
      <c r="C82" s="6" t="s">
        <v>425</v>
      </c>
      <c r="D82" s="8"/>
      <c r="E82" s="9"/>
      <c r="F82" s="9"/>
      <c r="G82" s="9">
        <v>81</v>
      </c>
      <c r="H82" s="9" t="str">
        <f t="shared" si="1"/>
        <v>--81</v>
      </c>
      <c r="I82" s="14"/>
      <c r="J82" s="11"/>
      <c r="K82" s="44"/>
      <c r="L82" s="10"/>
    </row>
    <row r="83" spans="1:12" ht="32.4" customHeight="1" x14ac:dyDescent="0.3">
      <c r="A83" s="6">
        <v>82</v>
      </c>
      <c r="B83" s="6"/>
      <c r="C83" s="53" t="s">
        <v>428</v>
      </c>
      <c r="D83" s="8"/>
      <c r="E83" s="9"/>
      <c r="F83" s="9"/>
      <c r="G83" s="9">
        <v>82</v>
      </c>
      <c r="H83" s="9" t="str">
        <f t="shared" si="1"/>
        <v>--82</v>
      </c>
      <c r="I83" s="14"/>
      <c r="J83" s="11"/>
      <c r="K83" s="44"/>
      <c r="L83" s="10"/>
    </row>
    <row r="84" spans="1:12" x14ac:dyDescent="0.3">
      <c r="A84" s="6">
        <v>83</v>
      </c>
      <c r="B84" s="6"/>
      <c r="C84" s="6" t="s">
        <v>437</v>
      </c>
      <c r="D84" s="8"/>
      <c r="E84" s="9"/>
      <c r="F84" s="9"/>
      <c r="G84" s="9">
        <v>83</v>
      </c>
      <c r="H84" s="9" t="str">
        <f t="shared" si="1"/>
        <v>--83</v>
      </c>
      <c r="I84" s="14"/>
      <c r="J84" s="11"/>
      <c r="K84" s="44"/>
      <c r="L84" s="10"/>
    </row>
    <row r="85" spans="1:12" x14ac:dyDescent="0.3">
      <c r="A85" s="6">
        <v>84</v>
      </c>
      <c r="B85" s="6"/>
      <c r="C85" s="6" t="s">
        <v>443</v>
      </c>
      <c r="D85" s="8"/>
      <c r="E85" s="9"/>
      <c r="F85" s="9"/>
      <c r="G85" s="9">
        <v>84</v>
      </c>
      <c r="H85" s="9" t="str">
        <f t="shared" si="1"/>
        <v>--84</v>
      </c>
      <c r="I85" s="14"/>
      <c r="J85" s="11"/>
      <c r="K85" s="44"/>
      <c r="L85" s="10"/>
    </row>
    <row r="86" spans="1:12" x14ac:dyDescent="0.3">
      <c r="A86" s="6">
        <v>85</v>
      </c>
      <c r="B86" s="6"/>
      <c r="C86" s="6" t="s">
        <v>446</v>
      </c>
      <c r="D86" s="8"/>
      <c r="E86" s="9"/>
      <c r="F86" s="9"/>
      <c r="G86" s="9">
        <v>85</v>
      </c>
      <c r="H86" s="9" t="str">
        <f t="shared" si="1"/>
        <v>--85</v>
      </c>
      <c r="I86" s="14"/>
      <c r="J86" s="11"/>
      <c r="K86" s="44"/>
      <c r="L86" s="10"/>
    </row>
    <row r="87" spans="1:12" x14ac:dyDescent="0.3">
      <c r="A87" s="6">
        <v>86</v>
      </c>
      <c r="B87" s="6"/>
      <c r="C87" s="6" t="s">
        <v>448</v>
      </c>
      <c r="D87" s="8"/>
      <c r="E87" s="9"/>
      <c r="F87" s="9"/>
      <c r="G87" s="9">
        <v>86</v>
      </c>
      <c r="H87" s="9" t="str">
        <f t="shared" si="1"/>
        <v>--86</v>
      </c>
      <c r="I87" s="14"/>
      <c r="J87" s="11"/>
      <c r="K87" s="44"/>
      <c r="L87" s="10"/>
    </row>
    <row r="88" spans="1:12" x14ac:dyDescent="0.3">
      <c r="A88" s="6">
        <v>87</v>
      </c>
      <c r="B88" s="6"/>
      <c r="C88" s="6" t="s">
        <v>456</v>
      </c>
      <c r="D88" s="8"/>
      <c r="E88" s="9"/>
      <c r="F88" s="9"/>
      <c r="G88" s="9">
        <v>87</v>
      </c>
      <c r="H88" s="9" t="str">
        <f t="shared" si="1"/>
        <v>--87</v>
      </c>
      <c r="I88" s="14"/>
      <c r="J88" s="11"/>
      <c r="K88" s="44"/>
      <c r="L88" s="10"/>
    </row>
    <row r="89" spans="1:12" x14ac:dyDescent="0.3">
      <c r="A89" s="6">
        <v>88</v>
      </c>
      <c r="B89" s="6"/>
      <c r="C89" s="6"/>
      <c r="D89" s="8"/>
      <c r="E89" s="9"/>
      <c r="F89" s="9"/>
      <c r="G89" s="9">
        <v>88</v>
      </c>
      <c r="H89" s="9" t="str">
        <f t="shared" si="1"/>
        <v>--88</v>
      </c>
      <c r="I89" s="14"/>
      <c r="J89" s="11"/>
      <c r="K89" s="44"/>
      <c r="L89" s="10"/>
    </row>
    <row r="90" spans="1:12" x14ac:dyDescent="0.3">
      <c r="A90" s="6">
        <v>89</v>
      </c>
      <c r="B90" s="6"/>
      <c r="C90" s="6"/>
      <c r="D90" s="8"/>
      <c r="E90" s="9"/>
      <c r="F90" s="9"/>
      <c r="G90" s="9">
        <v>89</v>
      </c>
      <c r="H90" s="9" t="str">
        <f t="shared" si="1"/>
        <v>--89</v>
      </c>
      <c r="I90" s="14"/>
      <c r="J90" s="11"/>
      <c r="K90" s="44"/>
      <c r="L90" s="10"/>
    </row>
    <row r="91" spans="1:12" x14ac:dyDescent="0.3">
      <c r="A91" s="6">
        <v>90</v>
      </c>
      <c r="B91" s="6"/>
      <c r="C91" s="6"/>
      <c r="D91" s="8"/>
      <c r="E91" s="9"/>
      <c r="F91" s="9"/>
      <c r="G91" s="9">
        <v>90</v>
      </c>
      <c r="H91" s="9" t="str">
        <f t="shared" si="1"/>
        <v>--90</v>
      </c>
      <c r="I91" s="14"/>
      <c r="J91" s="11"/>
      <c r="K91" s="44"/>
      <c r="L91" s="10"/>
    </row>
    <row r="92" spans="1:12" x14ac:dyDescent="0.3">
      <c r="A92" s="6">
        <v>91</v>
      </c>
      <c r="B92" s="6"/>
      <c r="C92" s="6"/>
      <c r="D92" s="8"/>
      <c r="E92" s="9"/>
      <c r="F92" s="9"/>
      <c r="G92" s="9">
        <v>91</v>
      </c>
      <c r="H92" s="9" t="str">
        <f t="shared" si="1"/>
        <v>--91</v>
      </c>
      <c r="I92" s="14"/>
      <c r="J92" s="11"/>
      <c r="K92" s="44"/>
      <c r="L92" s="10"/>
    </row>
    <row r="93" spans="1:12" x14ac:dyDescent="0.3">
      <c r="A93" s="6">
        <v>92</v>
      </c>
      <c r="B93" s="6"/>
      <c r="C93" s="6"/>
      <c r="D93" s="8"/>
      <c r="E93" s="9"/>
      <c r="F93" s="9"/>
      <c r="G93" s="9">
        <v>92</v>
      </c>
      <c r="H93" s="9" t="str">
        <f t="shared" si="1"/>
        <v>--92</v>
      </c>
      <c r="I93" s="14"/>
      <c r="J93" s="11"/>
      <c r="K93" s="44"/>
      <c r="L93" s="10"/>
    </row>
    <row r="94" spans="1:12" x14ac:dyDescent="0.3">
      <c r="A94" s="6">
        <v>93</v>
      </c>
      <c r="B94" s="6"/>
      <c r="C94" s="6"/>
      <c r="D94" s="8"/>
      <c r="E94" s="9"/>
      <c r="F94" s="9"/>
      <c r="G94" s="9">
        <v>93</v>
      </c>
      <c r="H94" s="9" t="str">
        <f t="shared" si="1"/>
        <v>--93</v>
      </c>
      <c r="I94" s="14"/>
      <c r="J94" s="11"/>
      <c r="K94" s="44"/>
      <c r="L94" s="10"/>
    </row>
    <row r="95" spans="1:12" x14ac:dyDescent="0.3">
      <c r="A95" s="6">
        <v>94</v>
      </c>
      <c r="B95" s="6"/>
      <c r="C95" s="6"/>
      <c r="D95" s="8"/>
      <c r="E95" s="9"/>
      <c r="F95" s="9"/>
      <c r="G95" s="9">
        <v>94</v>
      </c>
      <c r="H95" s="9" t="str">
        <f t="shared" si="1"/>
        <v>--94</v>
      </c>
      <c r="I95" s="14"/>
      <c r="J95" s="11"/>
      <c r="K95" s="44"/>
      <c r="L95" s="10"/>
    </row>
    <row r="96" spans="1:12" x14ac:dyDescent="0.3">
      <c r="A96" s="6">
        <v>95</v>
      </c>
      <c r="B96" s="6"/>
      <c r="C96" s="6"/>
      <c r="D96" s="8"/>
      <c r="E96" s="9"/>
      <c r="F96" s="9"/>
      <c r="G96" s="9">
        <v>95</v>
      </c>
      <c r="H96" s="9" t="str">
        <f t="shared" si="1"/>
        <v>--95</v>
      </c>
      <c r="I96" s="14"/>
      <c r="J96" s="11"/>
      <c r="K96" s="44"/>
      <c r="L96" s="10"/>
    </row>
    <row r="97" spans="1:12" x14ac:dyDescent="0.3">
      <c r="A97" s="6">
        <v>96</v>
      </c>
      <c r="B97" s="6"/>
      <c r="C97" s="6"/>
      <c r="D97" s="8"/>
      <c r="E97" s="9"/>
      <c r="F97" s="9"/>
      <c r="G97" s="9">
        <v>96</v>
      </c>
      <c r="H97" s="9" t="str">
        <f t="shared" si="1"/>
        <v>--96</v>
      </c>
      <c r="I97" s="14"/>
      <c r="J97" s="11"/>
      <c r="K97" s="44"/>
      <c r="L97" s="10"/>
    </row>
    <row r="98" spans="1:12" x14ac:dyDescent="0.3">
      <c r="A98" s="6">
        <v>97</v>
      </c>
      <c r="B98" s="6"/>
      <c r="C98" s="6"/>
      <c r="D98" s="8"/>
      <c r="E98" s="9"/>
      <c r="F98" s="9"/>
      <c r="G98" s="9">
        <v>97</v>
      </c>
      <c r="H98" s="9" t="str">
        <f t="shared" si="1"/>
        <v>--97</v>
      </c>
      <c r="I98" s="14"/>
      <c r="J98" s="11"/>
      <c r="K98" s="44"/>
      <c r="L98" s="10"/>
    </row>
    <row r="99" spans="1:12" x14ac:dyDescent="0.3">
      <c r="A99" s="6">
        <v>98</v>
      </c>
      <c r="B99" s="6"/>
      <c r="C99" s="6"/>
      <c r="D99" s="8"/>
      <c r="E99" s="9"/>
      <c r="F99" s="9"/>
      <c r="G99" s="9">
        <v>98</v>
      </c>
      <c r="H99" s="9" t="str">
        <f t="shared" si="1"/>
        <v>--98</v>
      </c>
      <c r="I99" s="14"/>
      <c r="J99" s="11"/>
      <c r="K99" s="44"/>
      <c r="L99" s="10"/>
    </row>
    <row r="100" spans="1:12" x14ac:dyDescent="0.3">
      <c r="A100" s="6">
        <v>99</v>
      </c>
      <c r="B100" s="6"/>
      <c r="C100" s="6"/>
      <c r="D100" s="8"/>
      <c r="E100" s="9"/>
      <c r="F100" s="9"/>
      <c r="G100" s="9">
        <v>99</v>
      </c>
      <c r="H100" s="9" t="str">
        <f t="shared" si="1"/>
        <v>--99</v>
      </c>
      <c r="I100" s="14"/>
      <c r="J100" s="11"/>
      <c r="K100" s="44"/>
      <c r="L100" s="10"/>
    </row>
    <row r="101" spans="1:12" x14ac:dyDescent="0.3">
      <c r="A101" s="6">
        <v>100</v>
      </c>
      <c r="B101" s="6"/>
      <c r="C101" s="6"/>
      <c r="D101" s="8"/>
      <c r="E101" s="9"/>
      <c r="F101" s="9"/>
      <c r="G101" s="9">
        <v>100</v>
      </c>
      <c r="H101" s="9" t="str">
        <f t="shared" si="1"/>
        <v>--100</v>
      </c>
      <c r="I101" s="14"/>
      <c r="J101" s="11"/>
      <c r="K101" s="44"/>
      <c r="L101" s="10"/>
    </row>
    <row r="102" spans="1:12" x14ac:dyDescent="0.3">
      <c r="A102" s="6">
        <v>101</v>
      </c>
      <c r="B102" s="6"/>
      <c r="C102" s="6"/>
      <c r="D102" s="8"/>
      <c r="E102" s="9"/>
      <c r="F102" s="9"/>
      <c r="G102" s="9">
        <v>101</v>
      </c>
      <c r="H102" s="9" t="str">
        <f t="shared" si="1"/>
        <v>--101</v>
      </c>
      <c r="I102" s="14"/>
      <c r="J102" s="11"/>
      <c r="K102" s="44"/>
      <c r="L102" s="10"/>
    </row>
    <row r="103" spans="1:12" x14ac:dyDescent="0.3">
      <c r="A103" s="6">
        <v>102</v>
      </c>
      <c r="B103" s="6"/>
      <c r="C103" s="6"/>
      <c r="D103" s="8"/>
      <c r="E103" s="9"/>
      <c r="F103" s="9"/>
      <c r="G103" s="9">
        <v>102</v>
      </c>
      <c r="H103" s="9" t="str">
        <f t="shared" si="1"/>
        <v>--102</v>
      </c>
      <c r="I103" s="14"/>
      <c r="J103" s="11"/>
      <c r="K103" s="44"/>
      <c r="L103" s="10"/>
    </row>
    <row r="104" spans="1:12" x14ac:dyDescent="0.3">
      <c r="A104" s="6">
        <v>103</v>
      </c>
      <c r="B104" s="6"/>
      <c r="C104" s="6"/>
      <c r="D104" s="8"/>
      <c r="E104" s="9"/>
      <c r="F104" s="9"/>
      <c r="G104" s="9">
        <v>103</v>
      </c>
      <c r="H104" s="9" t="str">
        <f t="shared" si="1"/>
        <v>--103</v>
      </c>
      <c r="I104" s="14"/>
      <c r="J104" s="11"/>
      <c r="K104" s="44"/>
      <c r="L104" s="10"/>
    </row>
    <row r="105" spans="1:12" x14ac:dyDescent="0.3">
      <c r="A105" s="6">
        <v>104</v>
      </c>
      <c r="B105" s="6"/>
      <c r="C105" s="6"/>
      <c r="D105" s="8"/>
      <c r="E105" s="9"/>
      <c r="F105" s="9"/>
      <c r="G105" s="9">
        <v>104</v>
      </c>
      <c r="H105" s="9" t="str">
        <f t="shared" si="1"/>
        <v>--104</v>
      </c>
      <c r="I105" s="14"/>
      <c r="J105" s="11"/>
      <c r="K105" s="44"/>
      <c r="L105" s="10"/>
    </row>
    <row r="106" spans="1:12" x14ac:dyDescent="0.3">
      <c r="A106" s="6">
        <v>105</v>
      </c>
      <c r="B106" s="6"/>
      <c r="C106" s="6"/>
      <c r="D106" s="8"/>
      <c r="E106" s="9"/>
      <c r="F106" s="9"/>
      <c r="G106" s="9">
        <v>105</v>
      </c>
      <c r="H106" s="9" t="str">
        <f t="shared" si="1"/>
        <v>--105</v>
      </c>
      <c r="I106" s="14"/>
      <c r="J106" s="11"/>
      <c r="K106" s="44"/>
      <c r="L106" s="10"/>
    </row>
    <row r="107" spans="1:12" x14ac:dyDescent="0.3">
      <c r="A107" s="6">
        <v>106</v>
      </c>
      <c r="B107" s="6"/>
      <c r="C107" s="6"/>
      <c r="D107" s="8"/>
      <c r="E107" s="9"/>
      <c r="F107" s="9"/>
      <c r="G107" s="9">
        <v>106</v>
      </c>
      <c r="H107" s="9" t="str">
        <f t="shared" si="1"/>
        <v>--106</v>
      </c>
      <c r="I107" s="14"/>
      <c r="J107" s="11"/>
      <c r="K107" s="44"/>
      <c r="L107" s="10"/>
    </row>
    <row r="108" spans="1:12" x14ac:dyDescent="0.3">
      <c r="A108" s="6">
        <v>107</v>
      </c>
      <c r="B108" s="6"/>
      <c r="C108" s="6"/>
      <c r="D108" s="8"/>
      <c r="E108" s="9"/>
      <c r="F108" s="9"/>
      <c r="G108" s="9">
        <v>107</v>
      </c>
      <c r="H108" s="9" t="str">
        <f t="shared" si="1"/>
        <v>--107</v>
      </c>
      <c r="I108" s="14"/>
      <c r="J108" s="11"/>
      <c r="K108" s="44"/>
      <c r="L108" s="10"/>
    </row>
    <row r="109" spans="1:12" x14ac:dyDescent="0.3">
      <c r="A109" s="6">
        <v>108</v>
      </c>
      <c r="B109" s="6"/>
      <c r="C109" s="6"/>
      <c r="D109" s="8"/>
      <c r="E109" s="9"/>
      <c r="F109" s="9"/>
      <c r="G109" s="9">
        <v>108</v>
      </c>
      <c r="H109" s="9" t="str">
        <f t="shared" si="1"/>
        <v>--108</v>
      </c>
      <c r="I109" s="14"/>
      <c r="J109" s="11"/>
      <c r="K109" s="44"/>
      <c r="L109" s="10"/>
    </row>
    <row r="110" spans="1:12" x14ac:dyDescent="0.3">
      <c r="A110" s="6">
        <v>109</v>
      </c>
      <c r="B110" s="6"/>
      <c r="C110" s="6"/>
      <c r="D110" s="8"/>
      <c r="E110" s="9"/>
      <c r="F110" s="9"/>
      <c r="G110" s="9">
        <v>109</v>
      </c>
      <c r="H110" s="9" t="str">
        <f t="shared" si="1"/>
        <v>--109</v>
      </c>
      <c r="I110" s="14"/>
      <c r="J110" s="11"/>
      <c r="K110" s="44"/>
      <c r="L110" s="10"/>
    </row>
    <row r="111" spans="1:12" x14ac:dyDescent="0.3">
      <c r="A111" s="6">
        <v>110</v>
      </c>
      <c r="B111" s="6"/>
      <c r="C111" s="6"/>
      <c r="D111" s="8"/>
      <c r="E111" s="9"/>
      <c r="F111" s="9"/>
      <c r="G111" s="9">
        <v>110</v>
      </c>
      <c r="H111" s="9" t="str">
        <f t="shared" si="1"/>
        <v>--110</v>
      </c>
      <c r="I111" s="14"/>
      <c r="J111" s="11"/>
      <c r="K111" s="44"/>
      <c r="L111" s="10"/>
    </row>
    <row r="112" spans="1:12" x14ac:dyDescent="0.3">
      <c r="A112" s="6">
        <v>111</v>
      </c>
      <c r="B112" s="6"/>
      <c r="C112" s="6"/>
      <c r="D112" s="8"/>
      <c r="E112" s="9"/>
      <c r="F112" s="9"/>
      <c r="G112" s="9">
        <v>111</v>
      </c>
      <c r="H112" s="9" t="str">
        <f t="shared" si="1"/>
        <v>--111</v>
      </c>
      <c r="I112" s="14"/>
      <c r="J112" s="11"/>
      <c r="K112" s="44"/>
      <c r="L112" s="10"/>
    </row>
    <row r="113" spans="1:12" x14ac:dyDescent="0.3">
      <c r="A113" s="6">
        <v>112</v>
      </c>
      <c r="B113" s="6"/>
      <c r="C113" s="6"/>
      <c r="D113" s="8"/>
      <c r="E113" s="9"/>
      <c r="F113" s="9"/>
      <c r="G113" s="9">
        <v>112</v>
      </c>
      <c r="H113" s="9" t="str">
        <f t="shared" si="1"/>
        <v>--112</v>
      </c>
      <c r="I113" s="14"/>
      <c r="J113" s="11"/>
      <c r="K113" s="44"/>
      <c r="L113" s="10"/>
    </row>
    <row r="114" spans="1:12" x14ac:dyDescent="0.3">
      <c r="A114" s="6">
        <v>113</v>
      </c>
      <c r="B114" s="6"/>
      <c r="C114" s="6"/>
      <c r="D114" s="8"/>
      <c r="E114" s="9"/>
      <c r="F114" s="9"/>
      <c r="G114" s="9">
        <v>113</v>
      </c>
      <c r="H114" s="9" t="str">
        <f t="shared" si="1"/>
        <v>--113</v>
      </c>
      <c r="I114" s="14"/>
      <c r="J114" s="11"/>
      <c r="K114" s="44"/>
      <c r="L114" s="10"/>
    </row>
    <row r="115" spans="1:12" x14ac:dyDescent="0.3">
      <c r="A115" s="6">
        <v>114</v>
      </c>
      <c r="B115" s="6"/>
      <c r="C115" s="6"/>
      <c r="D115" s="8"/>
      <c r="E115" s="9"/>
      <c r="F115" s="9"/>
      <c r="G115" s="9">
        <v>114</v>
      </c>
      <c r="H115" s="9" t="str">
        <f t="shared" si="1"/>
        <v>--114</v>
      </c>
      <c r="I115" s="14"/>
      <c r="J115" s="11"/>
      <c r="K115" s="44"/>
      <c r="L115" s="10"/>
    </row>
    <row r="116" spans="1:12" x14ac:dyDescent="0.3">
      <c r="A116" s="6">
        <v>115</v>
      </c>
      <c r="B116" s="6"/>
      <c r="C116" s="6"/>
      <c r="D116" s="8"/>
      <c r="E116" s="9"/>
      <c r="F116" s="9"/>
      <c r="G116" s="9">
        <v>115</v>
      </c>
      <c r="H116" s="9" t="str">
        <f t="shared" si="1"/>
        <v>--115</v>
      </c>
      <c r="I116" s="14"/>
      <c r="J116" s="11"/>
      <c r="K116" s="44"/>
      <c r="L116" s="10"/>
    </row>
    <row r="117" spans="1:12" x14ac:dyDescent="0.3">
      <c r="A117" s="6">
        <v>116</v>
      </c>
      <c r="B117" s="6"/>
      <c r="C117" s="6"/>
      <c r="D117" s="8"/>
      <c r="E117" s="9"/>
      <c r="F117" s="9"/>
      <c r="G117" s="9">
        <v>116</v>
      </c>
      <c r="H117" s="9" t="str">
        <f t="shared" si="1"/>
        <v>--116</v>
      </c>
      <c r="I117" s="14"/>
      <c r="J117" s="11"/>
      <c r="K117" s="44"/>
      <c r="L117" s="10"/>
    </row>
    <row r="118" spans="1:12" x14ac:dyDescent="0.3">
      <c r="A118" s="6">
        <v>117</v>
      </c>
      <c r="B118" s="6"/>
      <c r="C118" s="6"/>
      <c r="D118" s="8"/>
      <c r="E118" s="9"/>
      <c r="F118" s="9"/>
      <c r="G118" s="9">
        <v>117</v>
      </c>
      <c r="H118" s="9" t="str">
        <f t="shared" si="1"/>
        <v>--117</v>
      </c>
      <c r="I118" s="14"/>
      <c r="J118" s="11"/>
      <c r="K118" s="44"/>
      <c r="L118" s="10"/>
    </row>
    <row r="119" spans="1:12" x14ac:dyDescent="0.3">
      <c r="A119" s="6">
        <v>118</v>
      </c>
      <c r="B119" s="6"/>
      <c r="C119" s="6"/>
      <c r="D119" s="8"/>
      <c r="E119" s="9"/>
      <c r="F119" s="9"/>
      <c r="G119" s="9">
        <v>118</v>
      </c>
      <c r="H119" s="9" t="str">
        <f t="shared" si="1"/>
        <v>--118</v>
      </c>
      <c r="I119" s="14"/>
      <c r="J119" s="11"/>
      <c r="K119" s="44"/>
      <c r="L119" s="10"/>
    </row>
    <row r="120" spans="1:12" x14ac:dyDescent="0.3">
      <c r="A120" s="6">
        <v>119</v>
      </c>
      <c r="B120" s="6"/>
      <c r="C120" s="6"/>
      <c r="D120" s="8"/>
      <c r="E120" s="9"/>
      <c r="F120" s="9"/>
      <c r="G120" s="9">
        <v>119</v>
      </c>
      <c r="H120" s="9" t="str">
        <f t="shared" si="1"/>
        <v>--119</v>
      </c>
      <c r="I120" s="14"/>
      <c r="J120" s="11"/>
      <c r="K120" s="44"/>
      <c r="L120" s="10"/>
    </row>
    <row r="121" spans="1:12" x14ac:dyDescent="0.3">
      <c r="A121" s="6">
        <v>120</v>
      </c>
      <c r="B121" s="6"/>
      <c r="C121" s="6"/>
      <c r="D121" s="8"/>
      <c r="E121" s="9"/>
      <c r="F121" s="9"/>
      <c r="G121" s="9">
        <v>120</v>
      </c>
      <c r="H121" s="9" t="str">
        <f t="shared" si="1"/>
        <v>--120</v>
      </c>
      <c r="I121" s="14"/>
      <c r="J121" s="11"/>
      <c r="K121" s="44"/>
      <c r="L121" s="10"/>
    </row>
    <row r="122" spans="1:12" x14ac:dyDescent="0.3">
      <c r="A122" s="6">
        <v>121</v>
      </c>
      <c r="B122" s="6"/>
      <c r="C122" s="6"/>
      <c r="D122" s="8"/>
      <c r="E122" s="9"/>
      <c r="F122" s="9"/>
      <c r="G122" s="9">
        <v>121</v>
      </c>
      <c r="H122" s="9" t="str">
        <f t="shared" si="1"/>
        <v>--121</v>
      </c>
      <c r="I122" s="14"/>
      <c r="J122" s="11"/>
      <c r="K122" s="44"/>
      <c r="L122" s="10"/>
    </row>
    <row r="123" spans="1:12" x14ac:dyDescent="0.3">
      <c r="A123" s="6">
        <v>122</v>
      </c>
      <c r="B123" s="6"/>
      <c r="C123" s="6"/>
      <c r="D123" s="8"/>
      <c r="E123" s="9"/>
      <c r="F123" s="9"/>
      <c r="G123" s="9">
        <v>122</v>
      </c>
      <c r="H123" s="9" t="str">
        <f t="shared" si="1"/>
        <v>--122</v>
      </c>
      <c r="I123" s="14"/>
      <c r="J123" s="11"/>
      <c r="K123" s="44"/>
      <c r="L123" s="10"/>
    </row>
    <row r="124" spans="1:12" x14ac:dyDescent="0.3">
      <c r="A124" s="6">
        <v>123</v>
      </c>
      <c r="B124" s="6"/>
      <c r="C124" s="6"/>
      <c r="D124" s="8"/>
      <c r="E124" s="9"/>
      <c r="F124" s="9"/>
      <c r="G124" s="9">
        <v>123</v>
      </c>
      <c r="H124" s="9" t="str">
        <f t="shared" si="1"/>
        <v>--123</v>
      </c>
      <c r="I124" s="14"/>
      <c r="J124" s="11"/>
      <c r="K124" s="44"/>
      <c r="L124" s="10"/>
    </row>
    <row r="125" spans="1:12" x14ac:dyDescent="0.3">
      <c r="A125" s="6">
        <v>124</v>
      </c>
      <c r="B125" s="6"/>
      <c r="C125" s="6"/>
      <c r="D125" s="8"/>
      <c r="E125" s="9"/>
      <c r="F125" s="9"/>
      <c r="G125" s="9">
        <v>124</v>
      </c>
      <c r="H125" s="9" t="str">
        <f t="shared" si="1"/>
        <v>--124</v>
      </c>
      <c r="I125" s="14"/>
      <c r="J125" s="11"/>
      <c r="K125" s="44"/>
      <c r="L125" s="10"/>
    </row>
    <row r="126" spans="1:12" x14ac:dyDescent="0.3">
      <c r="A126" s="6">
        <v>125</v>
      </c>
      <c r="B126" s="6"/>
      <c r="C126" s="6"/>
      <c r="D126" s="8"/>
      <c r="E126" s="9"/>
      <c r="F126" s="9"/>
      <c r="G126" s="9">
        <v>125</v>
      </c>
      <c r="H126" s="9" t="str">
        <f t="shared" si="1"/>
        <v>--125</v>
      </c>
      <c r="I126" s="14"/>
      <c r="J126" s="11"/>
      <c r="K126" s="44"/>
      <c r="L126" s="10"/>
    </row>
    <row r="127" spans="1:12" x14ac:dyDescent="0.3">
      <c r="A127" s="6">
        <v>126</v>
      </c>
      <c r="B127" s="6"/>
      <c r="C127" s="6"/>
      <c r="D127" s="8"/>
      <c r="E127" s="9"/>
      <c r="F127" s="9"/>
      <c r="G127" s="9">
        <v>126</v>
      </c>
      <c r="H127" s="9" t="str">
        <f t="shared" si="1"/>
        <v>--126</v>
      </c>
      <c r="I127" s="14"/>
      <c r="J127" s="11"/>
      <c r="K127" s="44"/>
      <c r="L127" s="10"/>
    </row>
    <row r="128" spans="1:12" x14ac:dyDescent="0.3">
      <c r="A128" s="6">
        <v>127</v>
      </c>
      <c r="B128" s="6"/>
      <c r="C128" s="6"/>
      <c r="D128" s="8"/>
      <c r="E128" s="9"/>
      <c r="F128" s="9"/>
      <c r="G128" s="9">
        <v>127</v>
      </c>
      <c r="H128" s="9" t="str">
        <f t="shared" si="1"/>
        <v>--127</v>
      </c>
      <c r="I128" s="14"/>
      <c r="J128" s="11"/>
      <c r="K128" s="44"/>
      <c r="L128" s="10"/>
    </row>
    <row r="129" spans="1:12" x14ac:dyDescent="0.3">
      <c r="A129" s="6">
        <v>128</v>
      </c>
      <c r="B129" s="6"/>
      <c r="C129" s="6"/>
      <c r="D129" s="8"/>
      <c r="E129" s="9"/>
      <c r="F129" s="9"/>
      <c r="G129" s="9">
        <v>128</v>
      </c>
      <c r="H129" s="9" t="str">
        <f t="shared" si="1"/>
        <v>--128</v>
      </c>
      <c r="I129" s="14"/>
      <c r="J129" s="11"/>
      <c r="K129" s="44"/>
      <c r="L129" s="10"/>
    </row>
    <row r="130" spans="1:12" x14ac:dyDescent="0.3">
      <c r="A130" s="6">
        <v>129</v>
      </c>
      <c r="B130" s="6"/>
      <c r="C130" s="6"/>
      <c r="D130" s="8"/>
      <c r="E130" s="9"/>
      <c r="F130" s="9"/>
      <c r="G130" s="9">
        <v>129</v>
      </c>
      <c r="H130" s="9" t="str">
        <f t="shared" si="1"/>
        <v>--129</v>
      </c>
      <c r="I130" s="14"/>
      <c r="J130" s="11"/>
      <c r="K130" s="44"/>
      <c r="L130" s="10"/>
    </row>
    <row r="131" spans="1:12" x14ac:dyDescent="0.3">
      <c r="A131" s="6">
        <v>130</v>
      </c>
      <c r="B131" s="6"/>
      <c r="C131" s="6"/>
      <c r="D131" s="8"/>
      <c r="E131" s="9"/>
      <c r="F131" s="9"/>
      <c r="G131" s="9">
        <v>130</v>
      </c>
      <c r="H131" s="9" t="str">
        <f t="shared" ref="H131:H194" si="2">CONCATENATE(E131,"-",F131,"-",G131)</f>
        <v>--130</v>
      </c>
      <c r="I131" s="14"/>
      <c r="J131" s="11"/>
      <c r="K131" s="44"/>
      <c r="L131" s="10"/>
    </row>
    <row r="132" spans="1:12" x14ac:dyDescent="0.3">
      <c r="A132" s="6">
        <v>131</v>
      </c>
      <c r="B132" s="6"/>
      <c r="C132" s="6"/>
      <c r="D132" s="8"/>
      <c r="E132" s="9"/>
      <c r="F132" s="9"/>
      <c r="G132" s="9">
        <v>131</v>
      </c>
      <c r="H132" s="9" t="str">
        <f t="shared" si="2"/>
        <v>--131</v>
      </c>
      <c r="I132" s="14"/>
      <c r="J132" s="11"/>
      <c r="K132" s="44"/>
      <c r="L132" s="10"/>
    </row>
    <row r="133" spans="1:12" x14ac:dyDescent="0.3">
      <c r="A133" s="6">
        <v>132</v>
      </c>
      <c r="B133" s="6"/>
      <c r="C133" s="6"/>
      <c r="D133" s="8"/>
      <c r="E133" s="9"/>
      <c r="F133" s="9"/>
      <c r="G133" s="9">
        <v>132</v>
      </c>
      <c r="H133" s="9" t="str">
        <f t="shared" si="2"/>
        <v>--132</v>
      </c>
      <c r="I133" s="14"/>
      <c r="J133" s="11"/>
      <c r="K133" s="44"/>
      <c r="L133" s="10"/>
    </row>
    <row r="134" spans="1:12" x14ac:dyDescent="0.3">
      <c r="A134" s="6">
        <v>133</v>
      </c>
      <c r="B134" s="6"/>
      <c r="C134" s="6"/>
      <c r="D134" s="8"/>
      <c r="E134" s="9"/>
      <c r="F134" s="9"/>
      <c r="G134" s="9">
        <v>133</v>
      </c>
      <c r="H134" s="9" t="str">
        <f t="shared" si="2"/>
        <v>--133</v>
      </c>
      <c r="I134" s="14"/>
      <c r="J134" s="11"/>
      <c r="K134" s="44"/>
      <c r="L134" s="10"/>
    </row>
    <row r="135" spans="1:12" x14ac:dyDescent="0.3">
      <c r="A135" s="6">
        <v>134</v>
      </c>
      <c r="B135" s="6"/>
      <c r="C135" s="6"/>
      <c r="D135" s="8"/>
      <c r="E135" s="9"/>
      <c r="F135" s="9"/>
      <c r="G135" s="9">
        <v>134</v>
      </c>
      <c r="H135" s="9" t="str">
        <f t="shared" si="2"/>
        <v>--134</v>
      </c>
      <c r="I135" s="14"/>
      <c r="J135" s="11"/>
      <c r="K135" s="44"/>
      <c r="L135" s="10"/>
    </row>
    <row r="136" spans="1:12" x14ac:dyDescent="0.3">
      <c r="A136" s="6">
        <v>135</v>
      </c>
      <c r="B136" s="6"/>
      <c r="C136" s="6"/>
      <c r="D136" s="8"/>
      <c r="E136" s="9"/>
      <c r="F136" s="9"/>
      <c r="G136" s="9">
        <v>135</v>
      </c>
      <c r="H136" s="9" t="str">
        <f t="shared" si="2"/>
        <v>--135</v>
      </c>
      <c r="I136" s="14"/>
      <c r="J136" s="11"/>
      <c r="K136" s="44"/>
      <c r="L136" s="10"/>
    </row>
    <row r="137" spans="1:12" x14ac:dyDescent="0.3">
      <c r="A137" s="6">
        <v>136</v>
      </c>
      <c r="B137" s="6"/>
      <c r="C137" s="6"/>
      <c r="D137" s="8"/>
      <c r="E137" s="9"/>
      <c r="F137" s="9"/>
      <c r="G137" s="9">
        <v>136</v>
      </c>
      <c r="H137" s="9" t="str">
        <f t="shared" si="2"/>
        <v>--136</v>
      </c>
      <c r="I137" s="14"/>
      <c r="J137" s="11"/>
      <c r="K137" s="44"/>
      <c r="L137" s="10"/>
    </row>
    <row r="138" spans="1:12" x14ac:dyDescent="0.3">
      <c r="A138" s="6">
        <v>137</v>
      </c>
      <c r="B138" s="6"/>
      <c r="C138" s="6"/>
      <c r="D138" s="8"/>
      <c r="E138" s="9"/>
      <c r="F138" s="9"/>
      <c r="G138" s="9">
        <v>137</v>
      </c>
      <c r="H138" s="9" t="str">
        <f t="shared" si="2"/>
        <v>--137</v>
      </c>
      <c r="I138" s="14"/>
      <c r="J138" s="11"/>
      <c r="K138" s="44"/>
      <c r="L138" s="10"/>
    </row>
    <row r="139" spans="1:12" x14ac:dyDescent="0.3">
      <c r="A139" s="6">
        <v>138</v>
      </c>
      <c r="B139" s="6"/>
      <c r="C139" s="6"/>
      <c r="D139" s="8"/>
      <c r="E139" s="9"/>
      <c r="F139" s="9"/>
      <c r="G139" s="9">
        <v>138</v>
      </c>
      <c r="H139" s="9" t="str">
        <f t="shared" si="2"/>
        <v>--138</v>
      </c>
      <c r="I139" s="14"/>
      <c r="J139" s="11"/>
      <c r="K139" s="44"/>
      <c r="L139" s="10"/>
    </row>
    <row r="140" spans="1:12" x14ac:dyDescent="0.3">
      <c r="A140" s="6">
        <v>139</v>
      </c>
      <c r="B140" s="6"/>
      <c r="C140" s="6"/>
      <c r="D140" s="8"/>
      <c r="E140" s="9"/>
      <c r="F140" s="9"/>
      <c r="G140" s="9">
        <v>139</v>
      </c>
      <c r="H140" s="9" t="str">
        <f t="shared" si="2"/>
        <v>--139</v>
      </c>
      <c r="I140" s="14"/>
      <c r="J140" s="11"/>
      <c r="K140" s="44"/>
      <c r="L140" s="10"/>
    </row>
    <row r="141" spans="1:12" x14ac:dyDescent="0.3">
      <c r="A141" s="6">
        <v>140</v>
      </c>
      <c r="B141" s="6"/>
      <c r="C141" s="6"/>
      <c r="D141" s="8"/>
      <c r="E141" s="9"/>
      <c r="F141" s="9"/>
      <c r="G141" s="9">
        <v>140</v>
      </c>
      <c r="H141" s="9" t="str">
        <f t="shared" si="2"/>
        <v>--140</v>
      </c>
      <c r="I141" s="14"/>
      <c r="J141" s="11"/>
      <c r="K141" s="44"/>
      <c r="L141" s="10"/>
    </row>
    <row r="142" spans="1:12" x14ac:dyDescent="0.3">
      <c r="A142" s="6">
        <v>141</v>
      </c>
      <c r="B142" s="6"/>
      <c r="C142" s="6"/>
      <c r="D142" s="8"/>
      <c r="E142" s="9"/>
      <c r="F142" s="9"/>
      <c r="G142" s="9">
        <v>141</v>
      </c>
      <c r="H142" s="9" t="str">
        <f t="shared" si="2"/>
        <v>--141</v>
      </c>
      <c r="I142" s="14"/>
      <c r="J142" s="11"/>
      <c r="K142" s="44"/>
      <c r="L142" s="10"/>
    </row>
    <row r="143" spans="1:12" x14ac:dyDescent="0.3">
      <c r="A143" s="6">
        <v>142</v>
      </c>
      <c r="B143" s="6"/>
      <c r="C143" s="6"/>
      <c r="D143" s="8"/>
      <c r="E143" s="9"/>
      <c r="F143" s="9"/>
      <c r="G143" s="9">
        <v>142</v>
      </c>
      <c r="H143" s="9" t="str">
        <f t="shared" si="2"/>
        <v>--142</v>
      </c>
      <c r="I143" s="14"/>
      <c r="J143" s="11"/>
      <c r="K143" s="44"/>
      <c r="L143" s="10"/>
    </row>
    <row r="144" spans="1:12" x14ac:dyDescent="0.3">
      <c r="A144" s="6">
        <v>143</v>
      </c>
      <c r="B144" s="6"/>
      <c r="C144" s="6"/>
      <c r="D144" s="8"/>
      <c r="E144" s="9"/>
      <c r="F144" s="9"/>
      <c r="G144" s="9">
        <v>143</v>
      </c>
      <c r="H144" s="9" t="str">
        <f t="shared" si="2"/>
        <v>--143</v>
      </c>
      <c r="I144" s="14"/>
      <c r="J144" s="11"/>
      <c r="K144" s="44"/>
      <c r="L144" s="10"/>
    </row>
    <row r="145" spans="1:12" x14ac:dyDescent="0.3">
      <c r="A145" s="6">
        <v>144</v>
      </c>
      <c r="B145" s="6"/>
      <c r="C145" s="6"/>
      <c r="D145" s="8"/>
      <c r="E145" s="9"/>
      <c r="F145" s="9"/>
      <c r="G145" s="9">
        <v>144</v>
      </c>
      <c r="H145" s="9" t="str">
        <f t="shared" si="2"/>
        <v>--144</v>
      </c>
      <c r="I145" s="14"/>
      <c r="J145" s="11"/>
      <c r="K145" s="44"/>
      <c r="L145" s="10"/>
    </row>
    <row r="146" spans="1:12" x14ac:dyDescent="0.3">
      <c r="A146" s="6">
        <v>145</v>
      </c>
      <c r="B146" s="6"/>
      <c r="C146" s="6"/>
      <c r="D146" s="8"/>
      <c r="E146" s="9"/>
      <c r="F146" s="9"/>
      <c r="G146" s="9">
        <v>145</v>
      </c>
      <c r="H146" s="9" t="str">
        <f t="shared" si="2"/>
        <v>--145</v>
      </c>
      <c r="I146" s="14"/>
      <c r="J146" s="11"/>
      <c r="K146" s="44"/>
      <c r="L146" s="10"/>
    </row>
    <row r="147" spans="1:12" x14ac:dyDescent="0.3">
      <c r="A147" s="6">
        <v>146</v>
      </c>
      <c r="B147" s="6"/>
      <c r="C147" s="6"/>
      <c r="D147" s="8"/>
      <c r="E147" s="9"/>
      <c r="F147" s="9"/>
      <c r="G147" s="9">
        <v>146</v>
      </c>
      <c r="H147" s="9" t="str">
        <f t="shared" si="2"/>
        <v>--146</v>
      </c>
      <c r="I147" s="14"/>
      <c r="J147" s="11"/>
      <c r="K147" s="44"/>
      <c r="L147" s="10"/>
    </row>
    <row r="148" spans="1:12" x14ac:dyDescent="0.3">
      <c r="A148" s="6">
        <v>147</v>
      </c>
      <c r="B148" s="6"/>
      <c r="C148" s="6"/>
      <c r="D148" s="8"/>
      <c r="E148" s="9"/>
      <c r="F148" s="9"/>
      <c r="G148" s="9">
        <v>147</v>
      </c>
      <c r="H148" s="9" t="str">
        <f t="shared" si="2"/>
        <v>--147</v>
      </c>
      <c r="I148" s="14"/>
      <c r="J148" s="11"/>
      <c r="K148" s="44"/>
      <c r="L148" s="10"/>
    </row>
    <row r="149" spans="1:12" x14ac:dyDescent="0.3">
      <c r="A149" s="6">
        <v>148</v>
      </c>
      <c r="B149" s="6"/>
      <c r="C149" s="6"/>
      <c r="D149" s="8"/>
      <c r="E149" s="9"/>
      <c r="F149" s="9"/>
      <c r="G149" s="9">
        <v>148</v>
      </c>
      <c r="H149" s="9" t="str">
        <f t="shared" si="2"/>
        <v>--148</v>
      </c>
      <c r="I149" s="14"/>
      <c r="J149" s="11"/>
      <c r="K149" s="44"/>
      <c r="L149" s="10"/>
    </row>
    <row r="150" spans="1:12" x14ac:dyDescent="0.3">
      <c r="A150" s="6">
        <v>149</v>
      </c>
      <c r="B150" s="6"/>
      <c r="C150" s="6"/>
      <c r="D150" s="8"/>
      <c r="E150" s="9"/>
      <c r="F150" s="9"/>
      <c r="G150" s="9">
        <v>149</v>
      </c>
      <c r="H150" s="9" t="str">
        <f t="shared" si="2"/>
        <v>--149</v>
      </c>
      <c r="I150" s="14"/>
      <c r="J150" s="11"/>
      <c r="K150" s="44"/>
      <c r="L150" s="10"/>
    </row>
    <row r="151" spans="1:12" x14ac:dyDescent="0.3">
      <c r="A151" s="6">
        <v>150</v>
      </c>
      <c r="B151" s="6"/>
      <c r="C151" s="6"/>
      <c r="D151" s="8"/>
      <c r="E151" s="9"/>
      <c r="F151" s="9"/>
      <c r="G151" s="9">
        <v>150</v>
      </c>
      <c r="H151" s="9" t="str">
        <f t="shared" si="2"/>
        <v>--150</v>
      </c>
      <c r="I151" s="14"/>
      <c r="J151" s="11"/>
      <c r="K151" s="44"/>
      <c r="L151" s="10"/>
    </row>
    <row r="152" spans="1:12" x14ac:dyDescent="0.3">
      <c r="A152" s="6">
        <v>151</v>
      </c>
      <c r="B152" s="6"/>
      <c r="C152" s="6"/>
      <c r="D152" s="8"/>
      <c r="E152" s="9"/>
      <c r="F152" s="9"/>
      <c r="G152" s="9">
        <v>151</v>
      </c>
      <c r="H152" s="9" t="str">
        <f t="shared" si="2"/>
        <v>--151</v>
      </c>
      <c r="I152" s="14"/>
      <c r="J152" s="11"/>
      <c r="K152" s="44"/>
      <c r="L152" s="10"/>
    </row>
    <row r="153" spans="1:12" x14ac:dyDescent="0.3">
      <c r="A153" s="6">
        <v>152</v>
      </c>
      <c r="B153" s="6"/>
      <c r="C153" s="6"/>
      <c r="D153" s="8"/>
      <c r="E153" s="9"/>
      <c r="F153" s="9"/>
      <c r="G153" s="9">
        <v>152</v>
      </c>
      <c r="H153" s="9" t="str">
        <f t="shared" si="2"/>
        <v>--152</v>
      </c>
      <c r="I153" s="14"/>
      <c r="J153" s="11"/>
      <c r="K153" s="44"/>
      <c r="L153" s="10"/>
    </row>
    <row r="154" spans="1:12" x14ac:dyDescent="0.3">
      <c r="A154" s="6">
        <v>153</v>
      </c>
      <c r="B154" s="6"/>
      <c r="C154" s="6"/>
      <c r="D154" s="8"/>
      <c r="E154" s="9"/>
      <c r="F154" s="9"/>
      <c r="G154" s="9">
        <v>153</v>
      </c>
      <c r="H154" s="9" t="str">
        <f t="shared" si="2"/>
        <v>--153</v>
      </c>
      <c r="I154" s="14"/>
      <c r="J154" s="11"/>
      <c r="K154" s="44"/>
      <c r="L154" s="10"/>
    </row>
    <row r="155" spans="1:12" x14ac:dyDescent="0.3">
      <c r="A155" s="6">
        <v>154</v>
      </c>
      <c r="B155" s="6"/>
      <c r="C155" s="6"/>
      <c r="D155" s="8"/>
      <c r="E155" s="9"/>
      <c r="F155" s="9"/>
      <c r="G155" s="9">
        <v>154</v>
      </c>
      <c r="H155" s="9" t="str">
        <f t="shared" si="2"/>
        <v>--154</v>
      </c>
      <c r="I155" s="14"/>
      <c r="J155" s="11"/>
      <c r="K155" s="44"/>
      <c r="L155" s="10"/>
    </row>
    <row r="156" spans="1:12" x14ac:dyDescent="0.3">
      <c r="A156" s="6">
        <v>155</v>
      </c>
      <c r="B156" s="6"/>
      <c r="C156" s="6"/>
      <c r="D156" s="8"/>
      <c r="E156" s="9"/>
      <c r="F156" s="9"/>
      <c r="G156" s="9">
        <v>155</v>
      </c>
      <c r="H156" s="9" t="str">
        <f t="shared" si="2"/>
        <v>--155</v>
      </c>
      <c r="I156" s="14"/>
      <c r="J156" s="11"/>
      <c r="K156" s="44"/>
      <c r="L156" s="10"/>
    </row>
    <row r="157" spans="1:12" x14ac:dyDescent="0.3">
      <c r="A157" s="6">
        <v>156</v>
      </c>
      <c r="B157" s="6"/>
      <c r="C157" s="6"/>
      <c r="D157" s="8"/>
      <c r="E157" s="9"/>
      <c r="F157" s="9"/>
      <c r="G157" s="9">
        <v>156</v>
      </c>
      <c r="H157" s="9" t="str">
        <f t="shared" si="2"/>
        <v>--156</v>
      </c>
      <c r="I157" s="14"/>
      <c r="J157" s="11"/>
      <c r="K157" s="44"/>
      <c r="L157" s="10"/>
    </row>
    <row r="158" spans="1:12" x14ac:dyDescent="0.3">
      <c r="A158" s="6">
        <v>157</v>
      </c>
      <c r="B158" s="6"/>
      <c r="C158" s="6"/>
      <c r="D158" s="8"/>
      <c r="E158" s="9"/>
      <c r="F158" s="9"/>
      <c r="G158" s="9">
        <v>157</v>
      </c>
      <c r="H158" s="9" t="str">
        <f t="shared" si="2"/>
        <v>--157</v>
      </c>
      <c r="I158" s="14"/>
      <c r="J158" s="11"/>
      <c r="K158" s="44"/>
      <c r="L158" s="10"/>
    </row>
    <row r="159" spans="1:12" x14ac:dyDescent="0.3">
      <c r="A159" s="6">
        <v>158</v>
      </c>
      <c r="B159" s="6"/>
      <c r="C159" s="6"/>
      <c r="D159" s="8"/>
      <c r="E159" s="9"/>
      <c r="F159" s="9"/>
      <c r="G159" s="9">
        <v>158</v>
      </c>
      <c r="H159" s="9" t="str">
        <f t="shared" si="2"/>
        <v>--158</v>
      </c>
      <c r="I159" s="14"/>
      <c r="J159" s="11"/>
      <c r="K159" s="44"/>
      <c r="L159" s="10"/>
    </row>
    <row r="160" spans="1:12" x14ac:dyDescent="0.3">
      <c r="A160" s="6">
        <v>159</v>
      </c>
      <c r="B160" s="6"/>
      <c r="C160" s="6"/>
      <c r="D160" s="8"/>
      <c r="E160" s="9"/>
      <c r="F160" s="9"/>
      <c r="G160" s="9">
        <v>159</v>
      </c>
      <c r="H160" s="9" t="str">
        <f t="shared" si="2"/>
        <v>--159</v>
      </c>
      <c r="I160" s="14"/>
      <c r="J160" s="11"/>
      <c r="K160" s="44"/>
      <c r="L160" s="10"/>
    </row>
    <row r="161" spans="1:12" x14ac:dyDescent="0.3">
      <c r="A161" s="6">
        <v>160</v>
      </c>
      <c r="B161" s="6"/>
      <c r="C161" s="6"/>
      <c r="D161" s="8"/>
      <c r="E161" s="9"/>
      <c r="F161" s="9"/>
      <c r="G161" s="9">
        <v>160</v>
      </c>
      <c r="H161" s="9" t="str">
        <f t="shared" si="2"/>
        <v>--160</v>
      </c>
      <c r="I161" s="14"/>
      <c r="J161" s="11"/>
      <c r="K161" s="44"/>
      <c r="L161" s="10"/>
    </row>
    <row r="162" spans="1:12" x14ac:dyDescent="0.3">
      <c r="A162" s="6">
        <v>161</v>
      </c>
      <c r="B162" s="6"/>
      <c r="C162" s="6"/>
      <c r="D162" s="8"/>
      <c r="E162" s="9"/>
      <c r="F162" s="9"/>
      <c r="G162" s="9">
        <v>161</v>
      </c>
      <c r="H162" s="9" t="str">
        <f t="shared" si="2"/>
        <v>--161</v>
      </c>
      <c r="I162" s="14"/>
      <c r="J162" s="11"/>
      <c r="K162" s="44"/>
      <c r="L162" s="10"/>
    </row>
    <row r="163" spans="1:12" x14ac:dyDescent="0.3">
      <c r="A163" s="6">
        <v>162</v>
      </c>
      <c r="B163" s="6"/>
      <c r="C163" s="6"/>
      <c r="D163" s="8"/>
      <c r="E163" s="9"/>
      <c r="F163" s="9"/>
      <c r="G163" s="9">
        <v>162</v>
      </c>
      <c r="H163" s="9" t="str">
        <f t="shared" si="2"/>
        <v>--162</v>
      </c>
      <c r="I163" s="14"/>
      <c r="J163" s="11"/>
      <c r="K163" s="44"/>
      <c r="L163" s="10"/>
    </row>
    <row r="164" spans="1:12" x14ac:dyDescent="0.3">
      <c r="A164" s="6">
        <v>163</v>
      </c>
      <c r="B164" s="6"/>
      <c r="C164" s="6"/>
      <c r="D164" s="8"/>
      <c r="E164" s="9"/>
      <c r="F164" s="9"/>
      <c r="G164" s="9">
        <v>163</v>
      </c>
      <c r="H164" s="9" t="str">
        <f t="shared" si="2"/>
        <v>--163</v>
      </c>
      <c r="I164" s="14"/>
      <c r="J164" s="11"/>
      <c r="K164" s="44"/>
      <c r="L164" s="10"/>
    </row>
    <row r="165" spans="1:12" x14ac:dyDescent="0.3">
      <c r="A165" s="6">
        <v>164</v>
      </c>
      <c r="B165" s="6"/>
      <c r="C165" s="6"/>
      <c r="D165" s="8"/>
      <c r="E165" s="9"/>
      <c r="F165" s="9"/>
      <c r="G165" s="9">
        <v>164</v>
      </c>
      <c r="H165" s="9" t="str">
        <f t="shared" si="2"/>
        <v>--164</v>
      </c>
      <c r="I165" s="14"/>
      <c r="J165" s="11"/>
      <c r="K165" s="44"/>
      <c r="L165" s="10"/>
    </row>
    <row r="166" spans="1:12" x14ac:dyDescent="0.3">
      <c r="A166" s="6">
        <v>165</v>
      </c>
      <c r="B166" s="6"/>
      <c r="C166" s="6"/>
      <c r="D166" s="8"/>
      <c r="E166" s="9"/>
      <c r="F166" s="9"/>
      <c r="G166" s="9">
        <v>165</v>
      </c>
      <c r="H166" s="9" t="str">
        <f t="shared" si="2"/>
        <v>--165</v>
      </c>
      <c r="I166" s="14"/>
      <c r="J166" s="11"/>
      <c r="K166" s="44"/>
      <c r="L166" s="10"/>
    </row>
    <row r="167" spans="1:12" x14ac:dyDescent="0.3">
      <c r="A167" s="6">
        <v>166</v>
      </c>
      <c r="B167" s="6"/>
      <c r="C167" s="6"/>
      <c r="D167" s="8"/>
      <c r="E167" s="9"/>
      <c r="F167" s="9"/>
      <c r="G167" s="9">
        <v>166</v>
      </c>
      <c r="H167" s="9" t="str">
        <f t="shared" si="2"/>
        <v>--166</v>
      </c>
      <c r="I167" s="14"/>
      <c r="J167" s="11"/>
      <c r="K167" s="44"/>
      <c r="L167" s="10"/>
    </row>
    <row r="168" spans="1:12" x14ac:dyDescent="0.3">
      <c r="A168" s="6">
        <v>167</v>
      </c>
      <c r="B168" s="6"/>
      <c r="C168" s="6"/>
      <c r="D168" s="8"/>
      <c r="E168" s="9"/>
      <c r="F168" s="9"/>
      <c r="G168" s="9">
        <v>167</v>
      </c>
      <c r="H168" s="9" t="str">
        <f t="shared" si="2"/>
        <v>--167</v>
      </c>
      <c r="I168" s="14"/>
      <c r="J168" s="11"/>
      <c r="K168" s="44"/>
      <c r="L168" s="10"/>
    </row>
    <row r="169" spans="1:12" x14ac:dyDescent="0.3">
      <c r="A169" s="6">
        <v>168</v>
      </c>
      <c r="B169" s="6"/>
      <c r="C169" s="6"/>
      <c r="D169" s="8"/>
      <c r="E169" s="9"/>
      <c r="F169" s="9"/>
      <c r="G169" s="9">
        <v>168</v>
      </c>
      <c r="H169" s="9" t="str">
        <f t="shared" si="2"/>
        <v>--168</v>
      </c>
      <c r="I169" s="14"/>
      <c r="J169" s="11"/>
      <c r="K169" s="44"/>
      <c r="L169" s="10"/>
    </row>
    <row r="170" spans="1:12" x14ac:dyDescent="0.3">
      <c r="A170" s="6">
        <v>169</v>
      </c>
      <c r="B170" s="6"/>
      <c r="C170" s="6"/>
      <c r="D170" s="8"/>
      <c r="E170" s="9"/>
      <c r="F170" s="9"/>
      <c r="G170" s="9">
        <v>169</v>
      </c>
      <c r="H170" s="9" t="str">
        <f t="shared" si="2"/>
        <v>--169</v>
      </c>
      <c r="I170" s="14"/>
      <c r="J170" s="11"/>
      <c r="K170" s="44"/>
      <c r="L170" s="10"/>
    </row>
    <row r="171" spans="1:12" x14ac:dyDescent="0.3">
      <c r="A171" s="6">
        <v>170</v>
      </c>
      <c r="B171" s="6"/>
      <c r="C171" s="6"/>
      <c r="D171" s="8"/>
      <c r="E171" s="9"/>
      <c r="F171" s="9"/>
      <c r="G171" s="9">
        <v>170</v>
      </c>
      <c r="H171" s="9" t="str">
        <f t="shared" si="2"/>
        <v>--170</v>
      </c>
      <c r="I171" s="14"/>
      <c r="J171" s="11"/>
      <c r="K171" s="44"/>
      <c r="L171" s="10"/>
    </row>
    <row r="172" spans="1:12" x14ac:dyDescent="0.3">
      <c r="A172" s="6">
        <v>171</v>
      </c>
      <c r="B172" s="6"/>
      <c r="C172" s="6"/>
      <c r="D172" s="8"/>
      <c r="E172" s="9"/>
      <c r="F172" s="9"/>
      <c r="G172" s="9">
        <v>171</v>
      </c>
      <c r="H172" s="9" t="str">
        <f t="shared" si="2"/>
        <v>--171</v>
      </c>
      <c r="I172" s="14"/>
      <c r="J172" s="11"/>
      <c r="K172" s="44"/>
      <c r="L172" s="10"/>
    </row>
    <row r="173" spans="1:12" x14ac:dyDescent="0.3">
      <c r="A173" s="6">
        <v>172</v>
      </c>
      <c r="B173" s="6"/>
      <c r="C173" s="6"/>
      <c r="D173" s="8"/>
      <c r="E173" s="9"/>
      <c r="F173" s="9"/>
      <c r="G173" s="9">
        <v>172</v>
      </c>
      <c r="H173" s="9" t="str">
        <f t="shared" si="2"/>
        <v>--172</v>
      </c>
      <c r="I173" s="14"/>
      <c r="J173" s="11"/>
      <c r="K173" s="44"/>
      <c r="L173" s="10"/>
    </row>
    <row r="174" spans="1:12" x14ac:dyDescent="0.3">
      <c r="A174" s="6">
        <v>173</v>
      </c>
      <c r="B174" s="6"/>
      <c r="C174" s="6"/>
      <c r="D174" s="8"/>
      <c r="E174" s="9"/>
      <c r="F174" s="9"/>
      <c r="G174" s="9">
        <v>173</v>
      </c>
      <c r="H174" s="9" t="str">
        <f t="shared" si="2"/>
        <v>--173</v>
      </c>
      <c r="I174" s="14"/>
      <c r="J174" s="11"/>
      <c r="K174" s="44"/>
      <c r="L174" s="10"/>
    </row>
    <row r="175" spans="1:12" x14ac:dyDescent="0.3">
      <c r="A175" s="6">
        <v>174</v>
      </c>
      <c r="B175" s="6"/>
      <c r="C175" s="6"/>
      <c r="D175" s="8"/>
      <c r="E175" s="9"/>
      <c r="F175" s="9"/>
      <c r="G175" s="9">
        <v>174</v>
      </c>
      <c r="H175" s="9" t="str">
        <f t="shared" si="2"/>
        <v>--174</v>
      </c>
      <c r="I175" s="14"/>
      <c r="J175" s="11"/>
      <c r="K175" s="44"/>
      <c r="L175" s="10"/>
    </row>
    <row r="176" spans="1:12" x14ac:dyDescent="0.3">
      <c r="A176" s="6">
        <v>175</v>
      </c>
      <c r="B176" s="6"/>
      <c r="C176" s="6"/>
      <c r="D176" s="8"/>
      <c r="E176" s="9"/>
      <c r="F176" s="9"/>
      <c r="G176" s="9">
        <v>175</v>
      </c>
      <c r="H176" s="9" t="str">
        <f t="shared" si="2"/>
        <v>--175</v>
      </c>
      <c r="I176" s="14"/>
      <c r="J176" s="11"/>
      <c r="K176" s="44"/>
      <c r="L176" s="10"/>
    </row>
    <row r="177" spans="1:12" x14ac:dyDescent="0.3">
      <c r="A177" s="6">
        <v>176</v>
      </c>
      <c r="B177" s="6"/>
      <c r="C177" s="6"/>
      <c r="D177" s="8"/>
      <c r="E177" s="9"/>
      <c r="F177" s="9"/>
      <c r="G177" s="9">
        <v>176</v>
      </c>
      <c r="H177" s="9" t="str">
        <f t="shared" si="2"/>
        <v>--176</v>
      </c>
      <c r="I177" s="14"/>
      <c r="J177" s="11"/>
      <c r="K177" s="44"/>
      <c r="L177" s="10"/>
    </row>
    <row r="178" spans="1:12" x14ac:dyDescent="0.3">
      <c r="A178" s="6">
        <v>177</v>
      </c>
      <c r="B178" s="6"/>
      <c r="C178" s="6"/>
      <c r="D178" s="8"/>
      <c r="E178" s="9"/>
      <c r="F178" s="9"/>
      <c r="G178" s="9">
        <v>177</v>
      </c>
      <c r="H178" s="9" t="str">
        <f t="shared" si="2"/>
        <v>--177</v>
      </c>
      <c r="I178" s="14"/>
      <c r="J178" s="11"/>
      <c r="K178" s="44"/>
      <c r="L178" s="10"/>
    </row>
    <row r="179" spans="1:12" x14ac:dyDescent="0.3">
      <c r="A179" s="6">
        <v>178</v>
      </c>
      <c r="B179" s="6"/>
      <c r="C179" s="6"/>
      <c r="D179" s="8" t="s">
        <v>43</v>
      </c>
      <c r="E179" s="9">
        <v>7</v>
      </c>
      <c r="F179" s="9">
        <v>20</v>
      </c>
      <c r="G179" s="9">
        <v>178</v>
      </c>
      <c r="H179" s="9" t="str">
        <f t="shared" si="2"/>
        <v>7-20-178</v>
      </c>
      <c r="I179" s="14" t="s">
        <v>107</v>
      </c>
      <c r="J179" s="11" t="s">
        <v>10</v>
      </c>
      <c r="K179" s="44"/>
      <c r="L179" s="10" t="s">
        <v>51</v>
      </c>
    </row>
    <row r="180" spans="1:12" x14ac:dyDescent="0.3">
      <c r="A180" s="6">
        <v>179</v>
      </c>
      <c r="B180" s="6"/>
      <c r="C180" s="6"/>
      <c r="D180" s="8" t="s">
        <v>42</v>
      </c>
      <c r="E180" s="9">
        <v>7</v>
      </c>
      <c r="F180" s="9">
        <v>20</v>
      </c>
      <c r="G180" s="9">
        <v>179</v>
      </c>
      <c r="H180" s="9" t="str">
        <f t="shared" si="2"/>
        <v>7-20-179</v>
      </c>
      <c r="I180" s="14" t="s">
        <v>108</v>
      </c>
      <c r="J180" s="11" t="s">
        <v>10</v>
      </c>
      <c r="K180" s="44"/>
      <c r="L180" s="10" t="s">
        <v>51</v>
      </c>
    </row>
    <row r="181" spans="1:12" x14ac:dyDescent="0.3">
      <c r="A181" s="6">
        <v>180</v>
      </c>
      <c r="B181" s="6"/>
      <c r="C181" s="6"/>
      <c r="D181" s="8" t="s">
        <v>56</v>
      </c>
      <c r="E181" s="9">
        <v>13</v>
      </c>
      <c r="F181" s="9">
        <v>21</v>
      </c>
      <c r="G181" s="9">
        <v>180</v>
      </c>
      <c r="H181" s="9" t="str">
        <f t="shared" si="2"/>
        <v>13-21-180</v>
      </c>
      <c r="I181" s="14" t="s">
        <v>58</v>
      </c>
      <c r="J181" s="11" t="s">
        <v>10</v>
      </c>
      <c r="K181" s="44" t="s">
        <v>59</v>
      </c>
      <c r="L181" s="10"/>
    </row>
    <row r="182" spans="1:12" x14ac:dyDescent="0.3">
      <c r="A182" s="6">
        <v>181</v>
      </c>
      <c r="B182" s="6"/>
      <c r="C182" s="6"/>
      <c r="D182" s="8" t="s">
        <v>57</v>
      </c>
      <c r="E182" s="9">
        <v>13</v>
      </c>
      <c r="F182" s="9">
        <v>21</v>
      </c>
      <c r="G182" s="9">
        <v>181</v>
      </c>
      <c r="H182" s="9" t="str">
        <f t="shared" si="2"/>
        <v>13-21-181</v>
      </c>
      <c r="I182" s="14" t="s">
        <v>60</v>
      </c>
      <c r="J182" s="11" t="s">
        <v>10</v>
      </c>
      <c r="K182" s="44" t="s">
        <v>59</v>
      </c>
      <c r="L182" s="10"/>
    </row>
    <row r="183" spans="1:12" x14ac:dyDescent="0.3">
      <c r="A183" s="6">
        <v>182</v>
      </c>
      <c r="B183" s="6"/>
      <c r="C183" s="6"/>
      <c r="D183" s="8" t="s">
        <v>64</v>
      </c>
      <c r="E183" s="9">
        <v>13</v>
      </c>
      <c r="F183" s="9">
        <v>22</v>
      </c>
      <c r="G183" s="9">
        <v>182</v>
      </c>
      <c r="H183" s="9" t="str">
        <f t="shared" si="2"/>
        <v>13-22-182</v>
      </c>
      <c r="I183" s="14" t="s">
        <v>64</v>
      </c>
      <c r="J183" s="11" t="s">
        <v>10</v>
      </c>
      <c r="K183" s="44" t="s">
        <v>59</v>
      </c>
      <c r="L183" s="10"/>
    </row>
    <row r="184" spans="1:12" x14ac:dyDescent="0.3">
      <c r="A184" s="6">
        <v>183</v>
      </c>
      <c r="B184" s="6"/>
      <c r="C184" s="6"/>
      <c r="D184" s="8" t="s">
        <v>65</v>
      </c>
      <c r="E184" s="9">
        <v>13</v>
      </c>
      <c r="F184" s="9">
        <v>22</v>
      </c>
      <c r="G184" s="9">
        <v>183</v>
      </c>
      <c r="H184" s="9" t="str">
        <f t="shared" si="2"/>
        <v>13-22-183</v>
      </c>
      <c r="I184" s="14" t="s">
        <v>65</v>
      </c>
      <c r="J184" s="11" t="s">
        <v>10</v>
      </c>
      <c r="K184" s="44" t="s">
        <v>59</v>
      </c>
      <c r="L184" s="10"/>
    </row>
    <row r="185" spans="1:12" x14ac:dyDescent="0.3">
      <c r="A185" s="6">
        <v>184</v>
      </c>
      <c r="B185" s="6"/>
      <c r="C185" s="6"/>
      <c r="D185" s="8" t="s">
        <v>66</v>
      </c>
      <c r="E185" s="9">
        <v>13</v>
      </c>
      <c r="F185" s="9">
        <v>22</v>
      </c>
      <c r="G185" s="9">
        <v>184</v>
      </c>
      <c r="H185" s="9" t="str">
        <f t="shared" si="2"/>
        <v>13-22-184</v>
      </c>
      <c r="I185" s="14" t="s">
        <v>66</v>
      </c>
      <c r="J185" s="11" t="s">
        <v>10</v>
      </c>
      <c r="K185" s="44" t="s">
        <v>59</v>
      </c>
      <c r="L185" s="10"/>
    </row>
    <row r="186" spans="1:12" x14ac:dyDescent="0.3">
      <c r="A186" s="6">
        <v>185</v>
      </c>
      <c r="B186" s="6"/>
      <c r="C186" s="6"/>
      <c r="D186" s="8" t="s">
        <v>70</v>
      </c>
      <c r="E186" s="9">
        <v>13</v>
      </c>
      <c r="F186" s="9">
        <v>23</v>
      </c>
      <c r="G186" s="9">
        <v>185</v>
      </c>
      <c r="H186" s="9" t="str">
        <f t="shared" si="2"/>
        <v>13-23-185</v>
      </c>
      <c r="I186" s="14" t="s">
        <v>70</v>
      </c>
      <c r="J186" s="11" t="s">
        <v>10</v>
      </c>
      <c r="K186" s="44" t="s">
        <v>59</v>
      </c>
      <c r="L186" s="10"/>
    </row>
    <row r="187" spans="1:12" x14ac:dyDescent="0.3">
      <c r="A187" s="6">
        <v>186</v>
      </c>
      <c r="B187" s="6"/>
      <c r="C187" s="6"/>
      <c r="D187" s="8" t="s">
        <v>71</v>
      </c>
      <c r="E187" s="9">
        <v>13</v>
      </c>
      <c r="F187" s="9">
        <v>23</v>
      </c>
      <c r="G187" s="9">
        <v>186</v>
      </c>
      <c r="H187" s="9" t="str">
        <f t="shared" si="2"/>
        <v>13-23-186</v>
      </c>
      <c r="I187" s="14" t="s">
        <v>71</v>
      </c>
      <c r="J187" s="11" t="s">
        <v>10</v>
      </c>
      <c r="K187" s="44" t="s">
        <v>59</v>
      </c>
      <c r="L187" s="10"/>
    </row>
    <row r="188" spans="1:12" ht="28.8" x14ac:dyDescent="0.3">
      <c r="A188" s="6">
        <v>187</v>
      </c>
      <c r="B188" s="6"/>
      <c r="C188" s="6"/>
      <c r="D188" s="8" t="s">
        <v>72</v>
      </c>
      <c r="E188" s="9">
        <v>13</v>
      </c>
      <c r="F188" s="9">
        <v>23</v>
      </c>
      <c r="G188" s="9">
        <v>187</v>
      </c>
      <c r="H188" s="9" t="str">
        <f t="shared" si="2"/>
        <v>13-23-187</v>
      </c>
      <c r="I188" s="14" t="s">
        <v>72</v>
      </c>
      <c r="J188" s="11" t="s">
        <v>10</v>
      </c>
      <c r="K188" s="44" t="s">
        <v>59</v>
      </c>
      <c r="L188" s="10"/>
    </row>
    <row r="189" spans="1:12" x14ac:dyDescent="0.3">
      <c r="A189" s="6">
        <v>188</v>
      </c>
      <c r="B189" s="6"/>
      <c r="C189" s="6"/>
      <c r="D189" s="8" t="s">
        <v>73</v>
      </c>
      <c r="E189" s="9">
        <v>13</v>
      </c>
      <c r="F189" s="9">
        <v>23</v>
      </c>
      <c r="G189" s="9">
        <v>188</v>
      </c>
      <c r="H189" s="9" t="str">
        <f t="shared" si="2"/>
        <v>13-23-188</v>
      </c>
      <c r="I189" s="14" t="s">
        <v>73</v>
      </c>
      <c r="J189" s="11" t="s">
        <v>10</v>
      </c>
      <c r="K189" s="44" t="s">
        <v>59</v>
      </c>
      <c r="L189" s="10"/>
    </row>
    <row r="190" spans="1:12" x14ac:dyDescent="0.3">
      <c r="A190" s="6">
        <v>189</v>
      </c>
      <c r="B190" s="6"/>
      <c r="C190" s="6"/>
      <c r="D190" s="8" t="s">
        <v>74</v>
      </c>
      <c r="E190" s="9">
        <v>13</v>
      </c>
      <c r="F190" s="9">
        <v>23</v>
      </c>
      <c r="G190" s="9">
        <v>189</v>
      </c>
      <c r="H190" s="9" t="str">
        <f t="shared" si="2"/>
        <v>13-23-189</v>
      </c>
      <c r="I190" s="14" t="s">
        <v>74</v>
      </c>
      <c r="J190" s="11" t="s">
        <v>10</v>
      </c>
      <c r="K190" s="44" t="s">
        <v>59</v>
      </c>
      <c r="L190" s="10"/>
    </row>
    <row r="191" spans="1:12" x14ac:dyDescent="0.3">
      <c r="A191" s="6">
        <v>190</v>
      </c>
      <c r="B191" s="6"/>
      <c r="C191" s="6"/>
      <c r="D191" s="8" t="s">
        <v>68</v>
      </c>
      <c r="E191" s="9">
        <v>13</v>
      </c>
      <c r="F191" s="9">
        <v>23</v>
      </c>
      <c r="G191" s="9">
        <v>190</v>
      </c>
      <c r="H191" s="9" t="str">
        <f t="shared" si="2"/>
        <v>13-23-190</v>
      </c>
      <c r="I191" s="14" t="s">
        <v>68</v>
      </c>
      <c r="J191" s="11" t="s">
        <v>10</v>
      </c>
      <c r="K191" s="44" t="s">
        <v>59</v>
      </c>
      <c r="L191" s="10"/>
    </row>
    <row r="192" spans="1:12" x14ac:dyDescent="0.3">
      <c r="A192" s="6">
        <v>191</v>
      </c>
      <c r="B192" s="6"/>
      <c r="C192" s="6"/>
      <c r="D192" s="8" t="s">
        <v>69</v>
      </c>
      <c r="E192" s="9">
        <v>13</v>
      </c>
      <c r="F192" s="9">
        <v>23</v>
      </c>
      <c r="G192" s="9">
        <v>191</v>
      </c>
      <c r="H192" s="9" t="str">
        <f t="shared" si="2"/>
        <v>13-23-191</v>
      </c>
      <c r="I192" s="14" t="s">
        <v>69</v>
      </c>
      <c r="J192" s="11" t="s">
        <v>10</v>
      </c>
      <c r="K192" s="44" t="s">
        <v>59</v>
      </c>
      <c r="L192" s="10"/>
    </row>
    <row r="193" spans="1:12" ht="28.8" x14ac:dyDescent="0.3">
      <c r="A193" s="6">
        <v>192</v>
      </c>
      <c r="B193" s="6"/>
      <c r="C193" s="6"/>
      <c r="D193" s="8" t="s">
        <v>75</v>
      </c>
      <c r="E193" s="9">
        <v>6</v>
      </c>
      <c r="F193" s="9">
        <v>23</v>
      </c>
      <c r="G193" s="9">
        <v>192</v>
      </c>
      <c r="H193" s="9" t="str">
        <f t="shared" si="2"/>
        <v>6-23-192</v>
      </c>
      <c r="I193" s="14" t="s">
        <v>75</v>
      </c>
      <c r="J193" s="11" t="s">
        <v>10</v>
      </c>
      <c r="K193" s="44" t="s">
        <v>59</v>
      </c>
      <c r="L193" s="10"/>
    </row>
    <row r="194" spans="1:12" x14ac:dyDescent="0.3">
      <c r="A194" s="6">
        <v>193</v>
      </c>
      <c r="B194" s="6"/>
      <c r="C194" s="6"/>
      <c r="D194" s="8" t="s">
        <v>78</v>
      </c>
      <c r="E194" s="9">
        <v>14</v>
      </c>
      <c r="F194" s="9">
        <v>24</v>
      </c>
      <c r="G194" s="9">
        <v>193</v>
      </c>
      <c r="H194" s="9" t="str">
        <f t="shared" si="2"/>
        <v>14-24-193</v>
      </c>
      <c r="I194" s="14" t="s">
        <v>78</v>
      </c>
      <c r="J194" s="11" t="s">
        <v>10</v>
      </c>
      <c r="K194" s="44" t="s">
        <v>59</v>
      </c>
      <c r="L194" s="10"/>
    </row>
    <row r="195" spans="1:12" ht="28.8" x14ac:dyDescent="0.3">
      <c r="A195" s="6">
        <v>194</v>
      </c>
      <c r="B195" s="6"/>
      <c r="C195" s="6"/>
      <c r="D195" s="8" t="s">
        <v>82</v>
      </c>
      <c r="E195" s="9">
        <v>13</v>
      </c>
      <c r="F195" s="9">
        <v>25</v>
      </c>
      <c r="G195" s="9">
        <v>194</v>
      </c>
      <c r="H195" s="9" t="str">
        <f t="shared" ref="H195:H226" si="3">CONCATENATE(E195,"-",F195,"-",G195)</f>
        <v>13-25-194</v>
      </c>
      <c r="I195" s="14" t="s">
        <v>82</v>
      </c>
      <c r="J195" s="11" t="s">
        <v>10</v>
      </c>
      <c r="K195" s="44" t="s">
        <v>80</v>
      </c>
      <c r="L195" s="10"/>
    </row>
    <row r="196" spans="1:12" ht="28.8" x14ac:dyDescent="0.3">
      <c r="A196" s="6">
        <v>195</v>
      </c>
      <c r="B196" s="6"/>
      <c r="C196" s="6"/>
      <c r="D196" s="8" t="s">
        <v>83</v>
      </c>
      <c r="E196" s="9">
        <v>15</v>
      </c>
      <c r="F196" s="9">
        <v>25</v>
      </c>
      <c r="G196" s="9">
        <v>195</v>
      </c>
      <c r="H196" s="9" t="str">
        <f t="shared" si="3"/>
        <v>15-25-195</v>
      </c>
      <c r="I196" s="14" t="s">
        <v>83</v>
      </c>
      <c r="J196" s="11" t="s">
        <v>10</v>
      </c>
      <c r="K196" s="44" t="s">
        <v>80</v>
      </c>
      <c r="L196" s="10"/>
    </row>
    <row r="197" spans="1:12" ht="28.8" x14ac:dyDescent="0.3">
      <c r="A197" s="6">
        <v>196</v>
      </c>
      <c r="B197" s="6"/>
      <c r="C197" s="6"/>
      <c r="D197" s="8" t="s">
        <v>85</v>
      </c>
      <c r="E197" s="9">
        <v>7</v>
      </c>
      <c r="F197" s="9">
        <v>26</v>
      </c>
      <c r="G197" s="9">
        <v>196</v>
      </c>
      <c r="H197" s="9" t="str">
        <f t="shared" si="3"/>
        <v>7-26-196</v>
      </c>
      <c r="I197" s="14" t="s">
        <v>85</v>
      </c>
      <c r="J197" s="11" t="s">
        <v>10</v>
      </c>
      <c r="K197" s="44" t="s">
        <v>86</v>
      </c>
      <c r="L197" s="10"/>
    </row>
    <row r="198" spans="1:12" ht="32.4" customHeight="1" x14ac:dyDescent="0.3">
      <c r="A198" s="6">
        <v>197</v>
      </c>
      <c r="B198" s="6"/>
      <c r="C198" s="6"/>
      <c r="D198" s="8" t="s">
        <v>88</v>
      </c>
      <c r="E198" s="9">
        <v>4</v>
      </c>
      <c r="F198" s="9">
        <v>27</v>
      </c>
      <c r="G198" s="9">
        <v>197</v>
      </c>
      <c r="H198" s="9" t="str">
        <f t="shared" si="3"/>
        <v>4-27-197</v>
      </c>
      <c r="I198" s="14" t="s">
        <v>88</v>
      </c>
      <c r="J198" s="11" t="s">
        <v>10</v>
      </c>
      <c r="K198" s="44" t="s">
        <v>59</v>
      </c>
      <c r="L198" s="10"/>
    </row>
    <row r="199" spans="1:12" ht="30.6" customHeight="1" x14ac:dyDescent="0.3">
      <c r="A199" s="6">
        <v>198</v>
      </c>
      <c r="B199" s="6"/>
      <c r="C199" s="6"/>
      <c r="D199" s="8" t="s">
        <v>90</v>
      </c>
      <c r="E199" s="9">
        <v>4</v>
      </c>
      <c r="F199" s="9">
        <v>27</v>
      </c>
      <c r="G199" s="9">
        <v>198</v>
      </c>
      <c r="H199" s="9" t="str">
        <f t="shared" si="3"/>
        <v>4-27-198</v>
      </c>
      <c r="I199" s="14" t="s">
        <v>90</v>
      </c>
      <c r="J199" s="11" t="s">
        <v>10</v>
      </c>
      <c r="K199" s="44" t="s">
        <v>59</v>
      </c>
      <c r="L199" s="10"/>
    </row>
    <row r="200" spans="1:12" ht="43.2" x14ac:dyDescent="0.3">
      <c r="A200" s="6">
        <v>199</v>
      </c>
      <c r="B200" s="6"/>
      <c r="C200" s="6"/>
      <c r="D200" s="8" t="s">
        <v>89</v>
      </c>
      <c r="E200" s="9">
        <v>4</v>
      </c>
      <c r="F200" s="9">
        <v>27</v>
      </c>
      <c r="G200" s="9">
        <v>199</v>
      </c>
      <c r="H200" s="9" t="str">
        <f t="shared" si="3"/>
        <v>4-27-199</v>
      </c>
      <c r="I200" s="14" t="s">
        <v>89</v>
      </c>
      <c r="J200" s="11" t="s">
        <v>10</v>
      </c>
      <c r="K200" s="44" t="s">
        <v>59</v>
      </c>
      <c r="L200" s="10"/>
    </row>
    <row r="201" spans="1:12" x14ac:dyDescent="0.3">
      <c r="A201" s="6">
        <v>200</v>
      </c>
      <c r="B201" s="6"/>
      <c r="C201" s="6"/>
      <c r="D201" s="8" t="s">
        <v>92</v>
      </c>
      <c r="E201" s="9">
        <v>8</v>
      </c>
      <c r="F201" s="9">
        <v>28</v>
      </c>
      <c r="G201" s="9">
        <v>200</v>
      </c>
      <c r="H201" s="9" t="str">
        <f t="shared" si="3"/>
        <v>8-28-200</v>
      </c>
      <c r="I201" s="14" t="s">
        <v>92</v>
      </c>
      <c r="J201" s="11" t="s">
        <v>10</v>
      </c>
      <c r="K201" s="44" t="s">
        <v>59</v>
      </c>
      <c r="L201" s="10"/>
    </row>
    <row r="202" spans="1:12" x14ac:dyDescent="0.3">
      <c r="A202" s="6">
        <v>201</v>
      </c>
      <c r="B202" s="6"/>
      <c r="C202" s="6"/>
      <c r="D202" s="8" t="s">
        <v>93</v>
      </c>
      <c r="E202" s="9">
        <v>8</v>
      </c>
      <c r="F202" s="9">
        <v>28</v>
      </c>
      <c r="G202" s="9">
        <v>201</v>
      </c>
      <c r="H202" s="9" t="str">
        <f t="shared" si="3"/>
        <v>8-28-201</v>
      </c>
      <c r="I202" s="14" t="s">
        <v>93</v>
      </c>
      <c r="J202" s="11" t="s">
        <v>10</v>
      </c>
      <c r="K202" s="44" t="s">
        <v>59</v>
      </c>
      <c r="L202" s="10"/>
    </row>
    <row r="203" spans="1:12" ht="28.8" x14ac:dyDescent="0.3">
      <c r="A203" s="6">
        <v>202</v>
      </c>
      <c r="B203" s="6"/>
      <c r="C203" s="6"/>
      <c r="D203" s="8" t="s">
        <v>94</v>
      </c>
      <c r="E203" s="9">
        <v>4</v>
      </c>
      <c r="F203" s="9">
        <v>27</v>
      </c>
      <c r="G203" s="9">
        <v>202</v>
      </c>
      <c r="H203" s="9" t="str">
        <f t="shared" si="3"/>
        <v>4-27-202</v>
      </c>
      <c r="I203" s="14" t="s">
        <v>94</v>
      </c>
      <c r="J203" s="11" t="s">
        <v>10</v>
      </c>
      <c r="K203" s="44" t="s">
        <v>59</v>
      </c>
      <c r="L203" s="10"/>
    </row>
    <row r="204" spans="1:12" ht="28.8" x14ac:dyDescent="0.3">
      <c r="A204" s="6">
        <v>203</v>
      </c>
      <c r="B204" s="6"/>
      <c r="C204" s="6"/>
      <c r="D204" s="8" t="s">
        <v>95</v>
      </c>
      <c r="E204" s="9">
        <v>8</v>
      </c>
      <c r="F204" s="9">
        <v>29</v>
      </c>
      <c r="G204" s="9">
        <v>202</v>
      </c>
      <c r="H204" s="9" t="str">
        <f t="shared" si="3"/>
        <v>8-29-202</v>
      </c>
      <c r="I204" s="14" t="s">
        <v>97</v>
      </c>
      <c r="J204" s="11" t="s">
        <v>10</v>
      </c>
      <c r="K204" s="44" t="s">
        <v>59</v>
      </c>
      <c r="L204" s="10"/>
    </row>
    <row r="205" spans="1:12" ht="43.2" x14ac:dyDescent="0.3">
      <c r="A205" s="6">
        <v>204</v>
      </c>
      <c r="B205" s="6"/>
      <c r="C205" s="6"/>
      <c r="D205" s="8" t="s">
        <v>98</v>
      </c>
      <c r="E205" s="9">
        <v>8</v>
      </c>
      <c r="F205" s="9">
        <v>27</v>
      </c>
      <c r="G205" s="9">
        <v>203</v>
      </c>
      <c r="H205" s="9" t="str">
        <f t="shared" si="3"/>
        <v>8-27-203</v>
      </c>
      <c r="I205" s="14" t="s">
        <v>98</v>
      </c>
      <c r="J205" s="11" t="s">
        <v>10</v>
      </c>
      <c r="K205" s="44" t="s">
        <v>59</v>
      </c>
      <c r="L205" s="10"/>
    </row>
    <row r="206" spans="1:12" ht="43.2" x14ac:dyDescent="0.3">
      <c r="A206" s="6">
        <v>205</v>
      </c>
      <c r="B206" s="6"/>
      <c r="C206" s="6"/>
      <c r="D206" s="8" t="s">
        <v>99</v>
      </c>
      <c r="E206" s="9">
        <v>8</v>
      </c>
      <c r="F206" s="9">
        <v>27</v>
      </c>
      <c r="G206" s="9">
        <v>204</v>
      </c>
      <c r="H206" s="9" t="str">
        <f t="shared" si="3"/>
        <v>8-27-204</v>
      </c>
      <c r="I206" s="14" t="s">
        <v>99</v>
      </c>
      <c r="J206" s="11" t="s">
        <v>10</v>
      </c>
      <c r="K206" s="44" t="s">
        <v>59</v>
      </c>
      <c r="L206" s="10"/>
    </row>
    <row r="207" spans="1:12" ht="28.8" x14ac:dyDescent="0.3">
      <c r="A207" s="6">
        <v>206</v>
      </c>
      <c r="B207" s="6"/>
      <c r="C207" s="6"/>
      <c r="D207" s="8" t="s">
        <v>100</v>
      </c>
      <c r="E207" s="9">
        <v>8</v>
      </c>
      <c r="F207" s="9">
        <v>4</v>
      </c>
      <c r="G207" s="9">
        <v>205</v>
      </c>
      <c r="H207" s="9" t="str">
        <f t="shared" si="3"/>
        <v>8-4-205</v>
      </c>
      <c r="I207" s="14" t="s">
        <v>100</v>
      </c>
      <c r="J207" s="11" t="s">
        <v>10</v>
      </c>
      <c r="K207" s="44" t="s">
        <v>59</v>
      </c>
      <c r="L207" s="10"/>
    </row>
    <row r="208" spans="1:12" ht="28.2" customHeight="1" x14ac:dyDescent="0.3">
      <c r="A208" s="6">
        <v>207</v>
      </c>
      <c r="B208" s="6"/>
      <c r="C208" s="6"/>
      <c r="D208" s="8" t="s">
        <v>101</v>
      </c>
      <c r="E208" s="9">
        <v>8</v>
      </c>
      <c r="F208" s="9">
        <v>30</v>
      </c>
      <c r="G208" s="9">
        <v>206</v>
      </c>
      <c r="H208" s="9" t="str">
        <f t="shared" si="3"/>
        <v>8-30-206</v>
      </c>
      <c r="I208" s="14" t="s">
        <v>101</v>
      </c>
      <c r="J208" s="11" t="s">
        <v>10</v>
      </c>
      <c r="K208" s="44" t="s">
        <v>59</v>
      </c>
      <c r="L208" s="10"/>
    </row>
    <row r="209" spans="1:12" ht="28.8" x14ac:dyDescent="0.3">
      <c r="A209" s="6">
        <v>208</v>
      </c>
      <c r="B209" s="6"/>
      <c r="C209" s="6"/>
      <c r="D209" s="8" t="s">
        <v>103</v>
      </c>
      <c r="E209" s="9">
        <v>1</v>
      </c>
      <c r="F209" s="9">
        <v>27</v>
      </c>
      <c r="G209" s="9">
        <v>207</v>
      </c>
      <c r="H209" s="9" t="str">
        <f t="shared" si="3"/>
        <v>1-27-207</v>
      </c>
      <c r="I209" s="14" t="s">
        <v>103</v>
      </c>
      <c r="J209" s="11" t="s">
        <v>10</v>
      </c>
      <c r="K209" s="44" t="s">
        <v>59</v>
      </c>
      <c r="L209" s="10"/>
    </row>
    <row r="210" spans="1:12" ht="28.8" x14ac:dyDescent="0.3">
      <c r="A210" s="6">
        <v>209</v>
      </c>
      <c r="B210" s="6"/>
      <c r="C210" s="6"/>
      <c r="D210" s="8" t="s">
        <v>105</v>
      </c>
      <c r="E210" s="9">
        <v>1</v>
      </c>
      <c r="F210" s="9">
        <v>27</v>
      </c>
      <c r="G210" s="9">
        <v>208</v>
      </c>
      <c r="H210" s="9" t="str">
        <f t="shared" si="3"/>
        <v>1-27-208</v>
      </c>
      <c r="I210" s="14" t="s">
        <v>105</v>
      </c>
      <c r="J210" s="11" t="s">
        <v>10</v>
      </c>
      <c r="K210" s="44" t="s">
        <v>59</v>
      </c>
      <c r="L210" s="10"/>
    </row>
    <row r="211" spans="1:12" ht="28.8" x14ac:dyDescent="0.3">
      <c r="A211" s="6">
        <v>210</v>
      </c>
      <c r="B211" s="6"/>
      <c r="C211" s="6"/>
      <c r="D211" s="8" t="s">
        <v>195</v>
      </c>
      <c r="E211" s="9">
        <v>3</v>
      </c>
      <c r="F211" s="9">
        <v>31</v>
      </c>
      <c r="G211" s="9">
        <v>209</v>
      </c>
      <c r="H211" s="9" t="str">
        <f t="shared" si="3"/>
        <v>3-31-209</v>
      </c>
      <c r="I211" s="14" t="s">
        <v>195</v>
      </c>
      <c r="J211" s="11" t="s">
        <v>110</v>
      </c>
      <c r="K211" s="44" t="s">
        <v>111</v>
      </c>
      <c r="L211" s="10"/>
    </row>
    <row r="212" spans="1:12" ht="28.8" x14ac:dyDescent="0.3">
      <c r="A212" s="6">
        <v>211</v>
      </c>
      <c r="B212" s="6"/>
      <c r="C212" s="6"/>
      <c r="D212" s="8" t="s">
        <v>196</v>
      </c>
      <c r="E212" s="9">
        <v>3</v>
      </c>
      <c r="F212" s="9">
        <v>31</v>
      </c>
      <c r="G212" s="9">
        <v>210</v>
      </c>
      <c r="H212" s="9" t="str">
        <f t="shared" si="3"/>
        <v>3-31-210</v>
      </c>
      <c r="I212" s="14" t="s">
        <v>196</v>
      </c>
      <c r="J212" s="11" t="s">
        <v>110</v>
      </c>
      <c r="K212" s="44" t="s">
        <v>111</v>
      </c>
      <c r="L212" s="10"/>
    </row>
    <row r="213" spans="1:12" ht="28.8" x14ac:dyDescent="0.3">
      <c r="A213" s="6">
        <v>212</v>
      </c>
      <c r="B213" s="6"/>
      <c r="C213" s="6"/>
      <c r="D213" s="8" t="s">
        <v>197</v>
      </c>
      <c r="E213" s="9">
        <v>3</v>
      </c>
      <c r="F213" s="9">
        <v>31</v>
      </c>
      <c r="G213" s="9">
        <v>211</v>
      </c>
      <c r="H213" s="9" t="str">
        <f t="shared" si="3"/>
        <v>3-31-211</v>
      </c>
      <c r="I213" s="14" t="s">
        <v>197</v>
      </c>
      <c r="J213" s="11" t="s">
        <v>110</v>
      </c>
      <c r="K213" s="44" t="s">
        <v>111</v>
      </c>
      <c r="L213" s="10"/>
    </row>
    <row r="214" spans="1:12" ht="28.8" x14ac:dyDescent="0.3">
      <c r="A214" s="6">
        <v>213</v>
      </c>
      <c r="B214" s="6"/>
      <c r="C214" s="6"/>
      <c r="D214" s="8" t="s">
        <v>198</v>
      </c>
      <c r="E214" s="9">
        <v>3</v>
      </c>
      <c r="F214" s="9">
        <v>31</v>
      </c>
      <c r="G214" s="9">
        <v>212</v>
      </c>
      <c r="H214" s="9" t="str">
        <f t="shared" si="3"/>
        <v>3-31-212</v>
      </c>
      <c r="I214" s="14" t="s">
        <v>198</v>
      </c>
      <c r="J214" s="11" t="s">
        <v>110</v>
      </c>
      <c r="K214" s="44" t="s">
        <v>111</v>
      </c>
      <c r="L214" s="10"/>
    </row>
    <row r="215" spans="1:12" ht="28.8" x14ac:dyDescent="0.3">
      <c r="A215" s="6">
        <v>214</v>
      </c>
      <c r="B215" s="6"/>
      <c r="C215" s="6"/>
      <c r="D215" s="8" t="s">
        <v>199</v>
      </c>
      <c r="E215" s="9">
        <v>3</v>
      </c>
      <c r="F215" s="9">
        <v>31</v>
      </c>
      <c r="G215" s="9">
        <v>213</v>
      </c>
      <c r="H215" s="9" t="str">
        <f t="shared" si="3"/>
        <v>3-31-213</v>
      </c>
      <c r="I215" s="14" t="s">
        <v>199</v>
      </c>
      <c r="J215" s="11" t="s">
        <v>110</v>
      </c>
      <c r="K215" s="44" t="s">
        <v>111</v>
      </c>
      <c r="L215" s="10"/>
    </row>
    <row r="216" spans="1:12" ht="28.8" x14ac:dyDescent="0.3">
      <c r="A216" s="6">
        <v>215</v>
      </c>
      <c r="B216" s="6"/>
      <c r="C216" s="6"/>
      <c r="D216" s="8" t="s">
        <v>200</v>
      </c>
      <c r="E216" s="9">
        <v>3</v>
      </c>
      <c r="F216" s="9">
        <v>31</v>
      </c>
      <c r="G216" s="9">
        <v>214</v>
      </c>
      <c r="H216" s="9" t="str">
        <f t="shared" si="3"/>
        <v>3-31-214</v>
      </c>
      <c r="I216" s="14" t="s">
        <v>200</v>
      </c>
      <c r="J216" s="11" t="s">
        <v>110</v>
      </c>
      <c r="K216" s="44" t="s">
        <v>111</v>
      </c>
      <c r="L216" s="10"/>
    </row>
    <row r="217" spans="1:12" ht="28.8" x14ac:dyDescent="0.3">
      <c r="A217" s="6">
        <v>216</v>
      </c>
      <c r="B217" s="6"/>
      <c r="C217" s="6"/>
      <c r="D217" s="8" t="s">
        <v>201</v>
      </c>
      <c r="E217" s="9">
        <v>3</v>
      </c>
      <c r="F217" s="9">
        <v>31</v>
      </c>
      <c r="G217" s="9">
        <v>215</v>
      </c>
      <c r="H217" s="9" t="str">
        <f t="shared" si="3"/>
        <v>3-31-215</v>
      </c>
      <c r="I217" s="14" t="s">
        <v>201</v>
      </c>
      <c r="J217" s="11" t="s">
        <v>110</v>
      </c>
      <c r="K217" s="44" t="s">
        <v>111</v>
      </c>
      <c r="L217" s="10"/>
    </row>
    <row r="218" spans="1:12" ht="28.8" x14ac:dyDescent="0.3">
      <c r="A218" s="6">
        <v>217</v>
      </c>
      <c r="B218" s="6"/>
      <c r="C218" s="6"/>
      <c r="D218" s="8" t="s">
        <v>202</v>
      </c>
      <c r="E218" s="9">
        <v>3</v>
      </c>
      <c r="F218" s="9">
        <v>31</v>
      </c>
      <c r="G218" s="9">
        <v>216</v>
      </c>
      <c r="H218" s="9" t="str">
        <f t="shared" si="3"/>
        <v>3-31-216</v>
      </c>
      <c r="I218" s="14" t="s">
        <v>202</v>
      </c>
      <c r="J218" s="11" t="s">
        <v>110</v>
      </c>
      <c r="K218" s="44" t="s">
        <v>111</v>
      </c>
      <c r="L218" s="10"/>
    </row>
    <row r="219" spans="1:12" ht="28.8" x14ac:dyDescent="0.3">
      <c r="A219" s="6">
        <v>218</v>
      </c>
      <c r="B219" s="6"/>
      <c r="C219" s="6"/>
      <c r="D219" s="8" t="s">
        <v>203</v>
      </c>
      <c r="E219" s="9">
        <v>3</v>
      </c>
      <c r="F219" s="9">
        <v>31</v>
      </c>
      <c r="G219" s="9">
        <v>217</v>
      </c>
      <c r="H219" s="9" t="str">
        <f t="shared" si="3"/>
        <v>3-31-217</v>
      </c>
      <c r="I219" s="14" t="s">
        <v>203</v>
      </c>
      <c r="J219" s="11" t="s">
        <v>110</v>
      </c>
      <c r="K219" s="44" t="s">
        <v>111</v>
      </c>
      <c r="L219" s="10"/>
    </row>
    <row r="220" spans="1:12" ht="28.8" x14ac:dyDescent="0.3">
      <c r="A220" s="6">
        <v>219</v>
      </c>
      <c r="B220" s="6"/>
      <c r="C220" s="6"/>
      <c r="D220" s="8" t="s">
        <v>204</v>
      </c>
      <c r="E220" s="9">
        <v>3</v>
      </c>
      <c r="F220" s="9">
        <v>31</v>
      </c>
      <c r="G220" s="9">
        <v>218</v>
      </c>
      <c r="H220" s="9" t="str">
        <f t="shared" si="3"/>
        <v>3-31-218</v>
      </c>
      <c r="I220" s="14" t="s">
        <v>204</v>
      </c>
      <c r="J220" s="11" t="s">
        <v>110</v>
      </c>
      <c r="K220" s="44" t="s">
        <v>111</v>
      </c>
      <c r="L220" s="10"/>
    </row>
    <row r="221" spans="1:12" ht="28.8" x14ac:dyDescent="0.3">
      <c r="A221" s="6">
        <v>220</v>
      </c>
      <c r="B221" s="6"/>
      <c r="C221" s="6"/>
      <c r="D221" s="8" t="s">
        <v>205</v>
      </c>
      <c r="E221" s="9">
        <v>3</v>
      </c>
      <c r="F221" s="9">
        <v>31</v>
      </c>
      <c r="G221" s="9">
        <v>219</v>
      </c>
      <c r="H221" s="9" t="str">
        <f t="shared" si="3"/>
        <v>3-31-219</v>
      </c>
      <c r="I221" s="14" t="s">
        <v>205</v>
      </c>
      <c r="J221" s="11" t="s">
        <v>110</v>
      </c>
      <c r="K221" s="44" t="s">
        <v>111</v>
      </c>
      <c r="L221" s="10"/>
    </row>
    <row r="222" spans="1:12" ht="28.8" x14ac:dyDescent="0.3">
      <c r="A222" s="6">
        <v>221</v>
      </c>
      <c r="B222" s="6"/>
      <c r="C222" s="6"/>
      <c r="D222" s="8" t="s">
        <v>206</v>
      </c>
      <c r="E222" s="9">
        <v>3</v>
      </c>
      <c r="F222" s="9">
        <v>31</v>
      </c>
      <c r="G222" s="9">
        <v>220</v>
      </c>
      <c r="H222" s="9" t="str">
        <f t="shared" si="3"/>
        <v>3-31-220</v>
      </c>
      <c r="I222" s="14" t="s">
        <v>206</v>
      </c>
      <c r="J222" s="11" t="s">
        <v>110</v>
      </c>
      <c r="K222" s="44" t="s">
        <v>111</v>
      </c>
      <c r="L222" s="10"/>
    </row>
    <row r="223" spans="1:12" ht="28.8" x14ac:dyDescent="0.3">
      <c r="A223" s="6">
        <v>222</v>
      </c>
      <c r="B223" s="6"/>
      <c r="C223" s="6"/>
      <c r="D223" s="8" t="s">
        <v>207</v>
      </c>
      <c r="E223" s="9">
        <v>3</v>
      </c>
      <c r="F223" s="9">
        <v>31</v>
      </c>
      <c r="G223" s="9">
        <v>221</v>
      </c>
      <c r="H223" s="9" t="str">
        <f t="shared" si="3"/>
        <v>3-31-221</v>
      </c>
      <c r="I223" s="14" t="s">
        <v>207</v>
      </c>
      <c r="J223" s="11" t="s">
        <v>110</v>
      </c>
      <c r="K223" s="44" t="s">
        <v>111</v>
      </c>
      <c r="L223" s="10"/>
    </row>
    <row r="224" spans="1:12" ht="28.8" x14ac:dyDescent="0.3">
      <c r="A224" s="6">
        <v>223</v>
      </c>
      <c r="B224" s="6"/>
      <c r="C224" s="6"/>
      <c r="D224" s="8" t="s">
        <v>208</v>
      </c>
      <c r="E224" s="9">
        <v>3</v>
      </c>
      <c r="F224" s="9">
        <v>31</v>
      </c>
      <c r="G224" s="9">
        <v>222</v>
      </c>
      <c r="H224" s="9" t="str">
        <f t="shared" si="3"/>
        <v>3-31-222</v>
      </c>
      <c r="I224" s="14" t="s">
        <v>208</v>
      </c>
      <c r="J224" s="11" t="s">
        <v>110</v>
      </c>
      <c r="K224" s="44" t="s">
        <v>111</v>
      </c>
      <c r="L224" s="10"/>
    </row>
    <row r="225" spans="1:12" ht="28.8" x14ac:dyDescent="0.3">
      <c r="A225" s="6">
        <v>224</v>
      </c>
      <c r="B225" s="6"/>
      <c r="C225" s="6"/>
      <c r="D225" s="8" t="s">
        <v>112</v>
      </c>
      <c r="E225" s="9">
        <v>9</v>
      </c>
      <c r="F225" s="9">
        <v>32</v>
      </c>
      <c r="G225" s="9">
        <v>223</v>
      </c>
      <c r="H225" s="9" t="str">
        <f t="shared" si="3"/>
        <v>9-32-223</v>
      </c>
      <c r="I225" s="14" t="s">
        <v>112</v>
      </c>
      <c r="J225" s="11" t="s">
        <v>10</v>
      </c>
      <c r="K225" s="44" t="s">
        <v>111</v>
      </c>
      <c r="L225" s="10"/>
    </row>
    <row r="226" spans="1:12" ht="28.8" x14ac:dyDescent="0.3">
      <c r="A226" s="6">
        <v>225</v>
      </c>
      <c r="B226" s="6"/>
      <c r="C226" s="6"/>
      <c r="D226" s="8" t="s">
        <v>113</v>
      </c>
      <c r="E226" s="9">
        <v>9</v>
      </c>
      <c r="F226" s="9">
        <v>32</v>
      </c>
      <c r="G226" s="9">
        <v>224</v>
      </c>
      <c r="H226" s="9" t="str">
        <f t="shared" si="3"/>
        <v>9-32-224</v>
      </c>
      <c r="I226" s="14" t="s">
        <v>113</v>
      </c>
      <c r="J226" s="11" t="s">
        <v>10</v>
      </c>
      <c r="K226" s="44" t="s">
        <v>111</v>
      </c>
      <c r="L226" s="10"/>
    </row>
    <row r="227" spans="1:12" ht="28.8" x14ac:dyDescent="0.3">
      <c r="A227" s="6">
        <v>226</v>
      </c>
      <c r="B227" s="6"/>
      <c r="C227" s="6"/>
      <c r="D227" s="8" t="s">
        <v>261</v>
      </c>
      <c r="E227" s="9">
        <v>9</v>
      </c>
      <c r="F227" s="9">
        <v>32</v>
      </c>
      <c r="G227" s="9">
        <v>225</v>
      </c>
      <c r="H227" s="9" t="str">
        <f t="shared" ref="H227:H258" si="4">CONCATENATE(E227,"-",F227,"-",G227)</f>
        <v>9-32-225</v>
      </c>
      <c r="I227" s="14" t="s">
        <v>115</v>
      </c>
      <c r="J227" s="11" t="s">
        <v>10</v>
      </c>
      <c r="K227" s="44" t="s">
        <v>111</v>
      </c>
      <c r="L227" s="10"/>
    </row>
    <row r="228" spans="1:12" ht="28.8" x14ac:dyDescent="0.3">
      <c r="A228" s="6">
        <v>227</v>
      </c>
      <c r="B228" s="6"/>
      <c r="C228" s="6"/>
      <c r="D228" s="8" t="s">
        <v>351</v>
      </c>
      <c r="E228" s="9">
        <v>16</v>
      </c>
      <c r="F228" s="9">
        <v>33</v>
      </c>
      <c r="G228" s="9">
        <v>226</v>
      </c>
      <c r="H228" s="9" t="str">
        <f t="shared" si="4"/>
        <v>16-33-226</v>
      </c>
      <c r="I228" s="14" t="s">
        <v>117</v>
      </c>
      <c r="J228" s="11" t="s">
        <v>10</v>
      </c>
      <c r="K228" s="44" t="s">
        <v>119</v>
      </c>
      <c r="L228" s="10"/>
    </row>
    <row r="229" spans="1:12" ht="28.8" x14ac:dyDescent="0.3">
      <c r="A229" s="6">
        <v>228</v>
      </c>
      <c r="B229" s="6"/>
      <c r="C229" s="6"/>
      <c r="D229" s="8" t="s">
        <v>121</v>
      </c>
      <c r="E229" s="9">
        <v>10</v>
      </c>
      <c r="F229" s="9">
        <v>34</v>
      </c>
      <c r="G229" s="9">
        <v>227</v>
      </c>
      <c r="H229" s="9" t="str">
        <f t="shared" si="4"/>
        <v>10-34-227</v>
      </c>
      <c r="I229" s="14" t="s">
        <v>121</v>
      </c>
      <c r="J229" s="11" t="s">
        <v>10</v>
      </c>
      <c r="K229" s="44" t="s">
        <v>122</v>
      </c>
      <c r="L229" s="10"/>
    </row>
    <row r="230" spans="1:12" ht="28.8" x14ac:dyDescent="0.3">
      <c r="A230" s="6">
        <v>229</v>
      </c>
      <c r="B230" s="6"/>
      <c r="C230" s="6"/>
      <c r="D230" s="8" t="s">
        <v>238</v>
      </c>
      <c r="E230" s="9">
        <v>7</v>
      </c>
      <c r="F230" s="9">
        <v>35</v>
      </c>
      <c r="G230" s="9">
        <v>228</v>
      </c>
      <c r="H230" s="9" t="str">
        <f t="shared" si="4"/>
        <v>7-35-228</v>
      </c>
      <c r="I230" s="14" t="s">
        <v>124</v>
      </c>
      <c r="J230" s="11" t="s">
        <v>10</v>
      </c>
      <c r="K230" s="44" t="s">
        <v>119</v>
      </c>
      <c r="L230" s="10"/>
    </row>
    <row r="231" spans="1:12" ht="28.8" x14ac:dyDescent="0.3">
      <c r="A231" s="6">
        <v>230</v>
      </c>
      <c r="B231" s="6"/>
      <c r="C231" s="6"/>
      <c r="D231" s="8" t="s">
        <v>239</v>
      </c>
      <c r="E231" s="9">
        <v>7</v>
      </c>
      <c r="F231" s="9">
        <v>35</v>
      </c>
      <c r="G231" s="9">
        <v>229</v>
      </c>
      <c r="H231" s="9" t="str">
        <f t="shared" si="4"/>
        <v>7-35-229</v>
      </c>
      <c r="I231" s="14" t="s">
        <v>125</v>
      </c>
      <c r="J231" s="11" t="s">
        <v>10</v>
      </c>
      <c r="K231" s="44" t="s">
        <v>119</v>
      </c>
      <c r="L231" s="10"/>
    </row>
    <row r="232" spans="1:12" ht="28.8" x14ac:dyDescent="0.3">
      <c r="A232" s="6">
        <v>231</v>
      </c>
      <c r="B232" s="6"/>
      <c r="C232" s="6"/>
      <c r="D232" s="8" t="s">
        <v>240</v>
      </c>
      <c r="E232" s="9">
        <v>7</v>
      </c>
      <c r="F232" s="9">
        <v>35</v>
      </c>
      <c r="G232" s="9">
        <v>230</v>
      </c>
      <c r="H232" s="9" t="str">
        <f t="shared" si="4"/>
        <v>7-35-230</v>
      </c>
      <c r="I232" s="14" t="s">
        <v>126</v>
      </c>
      <c r="J232" s="11" t="s">
        <v>10</v>
      </c>
      <c r="K232" s="44" t="s">
        <v>127</v>
      </c>
      <c r="L232" s="10"/>
    </row>
    <row r="233" spans="1:12" ht="28.8" x14ac:dyDescent="0.3">
      <c r="A233" s="6">
        <v>232</v>
      </c>
      <c r="B233" s="6"/>
      <c r="C233" s="6"/>
      <c r="D233" s="8" t="s">
        <v>129</v>
      </c>
      <c r="E233" s="9">
        <v>7</v>
      </c>
      <c r="F233" s="9">
        <v>36</v>
      </c>
      <c r="G233" s="9">
        <v>231</v>
      </c>
      <c r="H233" s="9" t="str">
        <f t="shared" si="4"/>
        <v>7-36-231</v>
      </c>
      <c r="I233" s="14" t="str">
        <f t="shared" ref="I233:I264" si="5">+D233</f>
        <v>CONTROLADOR SMART SOLAR MPPT 250/100-TR VICTROM ENERGY</v>
      </c>
      <c r="J233" s="11" t="s">
        <v>10</v>
      </c>
      <c r="K233" s="44" t="s">
        <v>127</v>
      </c>
      <c r="L233" s="10"/>
    </row>
    <row r="234" spans="1:12" ht="28.8" x14ac:dyDescent="0.3">
      <c r="A234" s="6">
        <v>233</v>
      </c>
      <c r="B234" s="6"/>
      <c r="C234" s="6"/>
      <c r="D234" s="8" t="s">
        <v>130</v>
      </c>
      <c r="E234" s="9">
        <v>10</v>
      </c>
      <c r="F234" s="9">
        <v>37</v>
      </c>
      <c r="G234" s="9">
        <v>232</v>
      </c>
      <c r="H234" s="9" t="str">
        <f t="shared" si="4"/>
        <v>10-37-232</v>
      </c>
      <c r="I234" s="14" t="str">
        <f t="shared" si="5"/>
        <v>SOPORTE CENTRAL NEGRO</v>
      </c>
      <c r="J234" s="11" t="s">
        <v>10</v>
      </c>
      <c r="K234" s="44" t="s">
        <v>122</v>
      </c>
      <c r="L234" s="10"/>
    </row>
    <row r="235" spans="1:12" ht="43.2" x14ac:dyDescent="0.3">
      <c r="A235" s="6">
        <v>234</v>
      </c>
      <c r="B235" s="6"/>
      <c r="C235" s="6"/>
      <c r="D235" s="8" t="s">
        <v>134</v>
      </c>
      <c r="E235" s="9">
        <v>7</v>
      </c>
      <c r="F235" s="9">
        <v>38</v>
      </c>
      <c r="G235" s="9">
        <v>233</v>
      </c>
      <c r="H235" s="9" t="str">
        <f t="shared" si="4"/>
        <v>7-38-233</v>
      </c>
      <c r="I235" s="14" t="str">
        <f t="shared" si="5"/>
        <v>PLACA SOLAR EX-275P-60 275W / 31.50V</v>
      </c>
      <c r="J235" s="11" t="s">
        <v>10</v>
      </c>
      <c r="K235" s="44" t="s">
        <v>158</v>
      </c>
      <c r="L235" s="10"/>
    </row>
    <row r="236" spans="1:12" ht="28.8" x14ac:dyDescent="0.3">
      <c r="A236" s="6">
        <v>235</v>
      </c>
      <c r="B236" s="6"/>
      <c r="C236" s="6"/>
      <c r="D236" s="8" t="s">
        <v>135</v>
      </c>
      <c r="E236" s="9">
        <v>7</v>
      </c>
      <c r="F236" s="9">
        <v>38</v>
      </c>
      <c r="G236" s="9">
        <f>+G235+1</f>
        <v>234</v>
      </c>
      <c r="H236" s="9" t="str">
        <f t="shared" si="4"/>
        <v>7-38-234</v>
      </c>
      <c r="I236" s="14" t="str">
        <f t="shared" si="5"/>
        <v>PLACA SOLAR CSP-6P-345W / 38.3C</v>
      </c>
      <c r="J236" s="11" t="s">
        <v>10</v>
      </c>
      <c r="K236" s="44" t="s">
        <v>159</v>
      </c>
      <c r="L236" s="10"/>
    </row>
    <row r="237" spans="1:12" ht="28.8" x14ac:dyDescent="0.3">
      <c r="A237" s="6">
        <v>236</v>
      </c>
      <c r="B237" s="6"/>
      <c r="C237" s="6"/>
      <c r="D237" s="8" t="s">
        <v>136</v>
      </c>
      <c r="E237" s="9">
        <v>7</v>
      </c>
      <c r="F237" s="9">
        <v>38</v>
      </c>
      <c r="G237" s="9">
        <f t="shared" ref="G237:G251" si="6">+G236+1</f>
        <v>235</v>
      </c>
      <c r="H237" s="9" t="str">
        <f t="shared" si="4"/>
        <v>7-38-235</v>
      </c>
      <c r="I237" s="14" t="str">
        <f t="shared" si="5"/>
        <v>PLACA SOLAR CS6L-450MS 450W / 34.4V</v>
      </c>
      <c r="J237" s="11" t="s">
        <v>10</v>
      </c>
      <c r="K237" s="44" t="s">
        <v>154</v>
      </c>
      <c r="L237" s="10"/>
    </row>
    <row r="238" spans="1:12" ht="28.8" x14ac:dyDescent="0.3">
      <c r="A238" s="6">
        <v>237</v>
      </c>
      <c r="B238" s="6"/>
      <c r="C238" s="6"/>
      <c r="D238" s="8" t="s">
        <v>137</v>
      </c>
      <c r="E238" s="9">
        <v>7</v>
      </c>
      <c r="F238" s="9">
        <v>38</v>
      </c>
      <c r="G238" s="9">
        <f t="shared" si="6"/>
        <v>236</v>
      </c>
      <c r="H238" s="9" t="str">
        <f t="shared" si="4"/>
        <v>7-38-236</v>
      </c>
      <c r="I238" s="14" t="str">
        <f t="shared" si="5"/>
        <v>PLACA SOLAR JAM66S30-505MR 505W / 45.72V</v>
      </c>
      <c r="J238" s="11" t="s">
        <v>10</v>
      </c>
      <c r="K238" s="44" t="s">
        <v>152</v>
      </c>
      <c r="L238" s="10"/>
    </row>
    <row r="239" spans="1:12" ht="28.8" x14ac:dyDescent="0.3">
      <c r="A239" s="6">
        <v>238</v>
      </c>
      <c r="B239" s="6"/>
      <c r="C239" s="6"/>
      <c r="D239" s="8" t="s">
        <v>138</v>
      </c>
      <c r="E239" s="9">
        <v>7</v>
      </c>
      <c r="F239" s="9">
        <v>38</v>
      </c>
      <c r="G239" s="9">
        <f t="shared" si="6"/>
        <v>237</v>
      </c>
      <c r="H239" s="9" t="str">
        <f t="shared" si="4"/>
        <v>7-38-237</v>
      </c>
      <c r="I239" s="14" t="str">
        <f t="shared" si="5"/>
        <v>PLACA SOLAR CS6.1-60TB-505 505W / 43.4V</v>
      </c>
      <c r="J239" s="11" t="s">
        <v>10</v>
      </c>
      <c r="K239" s="44" t="s">
        <v>154</v>
      </c>
      <c r="L239" s="10"/>
    </row>
    <row r="240" spans="1:12" ht="28.8" x14ac:dyDescent="0.3">
      <c r="A240" s="6">
        <v>239</v>
      </c>
      <c r="B240" s="6"/>
      <c r="C240" s="6"/>
      <c r="D240" s="8" t="s">
        <v>139</v>
      </c>
      <c r="E240" s="9">
        <v>7</v>
      </c>
      <c r="F240" s="9">
        <v>38</v>
      </c>
      <c r="G240" s="9">
        <f t="shared" si="6"/>
        <v>238</v>
      </c>
      <c r="H240" s="9" t="str">
        <f t="shared" si="4"/>
        <v>7-38-238</v>
      </c>
      <c r="I240" s="14" t="str">
        <f t="shared" si="5"/>
        <v>PLACA SOLAR SPR-P3-375-BLK-E4-AC 375W / 35.5V</v>
      </c>
      <c r="J240" s="11" t="s">
        <v>10</v>
      </c>
      <c r="K240" s="44" t="s">
        <v>151</v>
      </c>
      <c r="L240" s="10"/>
    </row>
    <row r="241" spans="1:12" ht="28.8" x14ac:dyDescent="0.3">
      <c r="A241" s="6">
        <v>240</v>
      </c>
      <c r="B241" s="6"/>
      <c r="C241" s="6"/>
      <c r="D241" s="8" t="s">
        <v>140</v>
      </c>
      <c r="E241" s="9">
        <v>7</v>
      </c>
      <c r="F241" s="9">
        <v>38</v>
      </c>
      <c r="G241" s="9">
        <f t="shared" si="6"/>
        <v>239</v>
      </c>
      <c r="H241" s="9" t="str">
        <f t="shared" si="4"/>
        <v>7-38-239</v>
      </c>
      <c r="I241" s="14" t="str">
        <f t="shared" si="5"/>
        <v>PLACA SOLAR JAMS0D42-520LB 520W / 43.53V</v>
      </c>
      <c r="J241" s="11" t="s">
        <v>10</v>
      </c>
      <c r="K241" s="44" t="s">
        <v>152</v>
      </c>
      <c r="L241" s="10"/>
    </row>
    <row r="242" spans="1:12" ht="28.8" x14ac:dyDescent="0.3">
      <c r="A242" s="6">
        <v>241</v>
      </c>
      <c r="B242" s="6"/>
      <c r="C242" s="6"/>
      <c r="D242" s="8" t="s">
        <v>141</v>
      </c>
      <c r="E242" s="9">
        <v>7</v>
      </c>
      <c r="F242" s="9">
        <v>38</v>
      </c>
      <c r="G242" s="9">
        <f t="shared" si="6"/>
        <v>240</v>
      </c>
      <c r="H242" s="9" t="str">
        <f t="shared" si="4"/>
        <v>7-38-240</v>
      </c>
      <c r="I242" s="14" t="str">
        <f t="shared" si="5"/>
        <v>PLACA SOLAR JAM72D30-545MB 545W / 49.75V</v>
      </c>
      <c r="J242" s="11" t="s">
        <v>10</v>
      </c>
      <c r="K242" s="44" t="s">
        <v>152</v>
      </c>
      <c r="L242" s="10"/>
    </row>
    <row r="243" spans="1:12" ht="28.8" x14ac:dyDescent="0.3">
      <c r="A243" s="6">
        <v>242</v>
      </c>
      <c r="B243" s="6"/>
      <c r="C243" s="6"/>
      <c r="D243" s="8" t="s">
        <v>142</v>
      </c>
      <c r="E243" s="9">
        <v>7</v>
      </c>
      <c r="F243" s="9">
        <v>38</v>
      </c>
      <c r="G243" s="9">
        <f t="shared" si="6"/>
        <v>241</v>
      </c>
      <c r="H243" s="9" t="str">
        <f t="shared" si="4"/>
        <v>7-38-241</v>
      </c>
      <c r="I243" s="14" t="str">
        <f t="shared" si="5"/>
        <v>PLACA SOLAR PS555M6H-24TH 555W / 41.64V</v>
      </c>
      <c r="J243" s="11" t="s">
        <v>10</v>
      </c>
      <c r="K243" s="44" t="s">
        <v>153</v>
      </c>
      <c r="L243" s="10"/>
    </row>
    <row r="244" spans="1:12" ht="28.8" x14ac:dyDescent="0.3">
      <c r="A244" s="6">
        <v>243</v>
      </c>
      <c r="B244" s="6"/>
      <c r="C244" s="6"/>
      <c r="D244" s="8" t="s">
        <v>143</v>
      </c>
      <c r="E244" s="9">
        <v>7</v>
      </c>
      <c r="F244" s="9">
        <v>38</v>
      </c>
      <c r="G244" s="9">
        <f t="shared" si="6"/>
        <v>242</v>
      </c>
      <c r="H244" s="9" t="str">
        <f t="shared" si="4"/>
        <v>7-38-242</v>
      </c>
      <c r="I244" s="14" t="str">
        <f t="shared" si="5"/>
        <v>PLACA SOLAR CS6W-585T 585W / 52.4V</v>
      </c>
      <c r="J244" s="11" t="s">
        <v>10</v>
      </c>
      <c r="K244" s="44" t="s">
        <v>154</v>
      </c>
      <c r="L244" s="10"/>
    </row>
    <row r="245" spans="1:12" ht="28.8" x14ac:dyDescent="0.3">
      <c r="A245" s="6">
        <v>244</v>
      </c>
      <c r="B245" s="6"/>
      <c r="C245" s="6"/>
      <c r="D245" s="8" t="s">
        <v>144</v>
      </c>
      <c r="E245" s="9">
        <v>7</v>
      </c>
      <c r="F245" s="9">
        <v>38</v>
      </c>
      <c r="G245" s="9">
        <f t="shared" si="6"/>
        <v>243</v>
      </c>
      <c r="H245" s="9" t="str">
        <f t="shared" si="4"/>
        <v>7-38-243</v>
      </c>
      <c r="I245" s="14" t="str">
        <f t="shared" si="5"/>
        <v>PLACA SOLAR YL550D-49e 1500V 1/2 550W / 42.0V</v>
      </c>
      <c r="J245" s="11" t="s">
        <v>10</v>
      </c>
      <c r="K245" s="44" t="s">
        <v>155</v>
      </c>
      <c r="L245" s="10"/>
    </row>
    <row r="246" spans="1:12" ht="28.8" x14ac:dyDescent="0.3">
      <c r="A246" s="6">
        <v>245</v>
      </c>
      <c r="B246" s="6"/>
      <c r="C246" s="6"/>
      <c r="D246" s="8" t="s">
        <v>145</v>
      </c>
      <c r="E246" s="9">
        <v>7</v>
      </c>
      <c r="F246" s="9">
        <v>38</v>
      </c>
      <c r="G246" s="9">
        <f t="shared" si="6"/>
        <v>244</v>
      </c>
      <c r="H246" s="9" t="str">
        <f t="shared" si="4"/>
        <v>7-38-244</v>
      </c>
      <c r="I246" s="14" t="str">
        <f t="shared" si="5"/>
        <v>PLACA SOLAR SK9612MHVC-550 550W / 42.16V</v>
      </c>
      <c r="J246" s="11" t="s">
        <v>10</v>
      </c>
      <c r="K246" s="44" t="s">
        <v>156</v>
      </c>
      <c r="L246" s="10"/>
    </row>
    <row r="247" spans="1:12" ht="28.8" x14ac:dyDescent="0.3">
      <c r="A247" s="6">
        <v>246</v>
      </c>
      <c r="B247" s="6"/>
      <c r="C247" s="6"/>
      <c r="D247" s="8" t="s">
        <v>146</v>
      </c>
      <c r="E247" s="9">
        <v>7</v>
      </c>
      <c r="F247" s="9">
        <v>38</v>
      </c>
      <c r="G247" s="9">
        <f t="shared" si="6"/>
        <v>245</v>
      </c>
      <c r="H247" s="9" t="str">
        <f t="shared" si="4"/>
        <v>7-38-245</v>
      </c>
      <c r="I247" s="14" t="str">
        <f t="shared" si="5"/>
        <v>PLACA SOLAR JAM72D40-590MB 590W / 52.37V</v>
      </c>
      <c r="J247" s="11" t="s">
        <v>10</v>
      </c>
      <c r="K247" s="44" t="s">
        <v>152</v>
      </c>
      <c r="L247" s="10"/>
    </row>
    <row r="248" spans="1:12" ht="28.8" x14ac:dyDescent="0.3">
      <c r="A248" s="6">
        <v>247</v>
      </c>
      <c r="B248" s="6"/>
      <c r="C248" s="6"/>
      <c r="D248" s="8" t="s">
        <v>147</v>
      </c>
      <c r="E248" s="9">
        <v>7</v>
      </c>
      <c r="F248" s="9">
        <v>38</v>
      </c>
      <c r="G248" s="9">
        <f t="shared" si="6"/>
        <v>246</v>
      </c>
      <c r="H248" s="9" t="str">
        <f t="shared" si="4"/>
        <v>7-38-246</v>
      </c>
      <c r="I248" s="14" t="str">
        <f t="shared" si="5"/>
        <v>PLACA SOLAR TSM-505DE18M.08(II) 505W / 43.0V</v>
      </c>
      <c r="J248" s="11" t="s">
        <v>10</v>
      </c>
      <c r="K248" s="44" t="s">
        <v>157</v>
      </c>
      <c r="L248" s="10"/>
    </row>
    <row r="249" spans="1:12" ht="28.8" x14ac:dyDescent="0.3">
      <c r="A249" s="6">
        <v>248</v>
      </c>
      <c r="B249" s="6"/>
      <c r="C249" s="6"/>
      <c r="D249" s="8" t="s">
        <v>148</v>
      </c>
      <c r="E249" s="9">
        <v>7</v>
      </c>
      <c r="F249" s="9">
        <v>38</v>
      </c>
      <c r="G249" s="9">
        <f t="shared" si="6"/>
        <v>247</v>
      </c>
      <c r="H249" s="9" t="str">
        <f t="shared" si="4"/>
        <v>7-38-247</v>
      </c>
      <c r="I249" s="14" t="str">
        <f t="shared" si="5"/>
        <v>PLACA SOLAR JAM60D42-535LB 535W / 44.13V</v>
      </c>
      <c r="J249" s="11" t="s">
        <v>10</v>
      </c>
      <c r="K249" s="44" t="s">
        <v>152</v>
      </c>
      <c r="L249" s="10"/>
    </row>
    <row r="250" spans="1:12" ht="28.8" x14ac:dyDescent="0.3">
      <c r="A250" s="6">
        <v>249</v>
      </c>
      <c r="B250" s="6"/>
      <c r="C250" s="6"/>
      <c r="D250" s="8" t="s">
        <v>149</v>
      </c>
      <c r="E250" s="9">
        <v>7</v>
      </c>
      <c r="F250" s="9">
        <v>38</v>
      </c>
      <c r="G250" s="9">
        <f t="shared" si="6"/>
        <v>248</v>
      </c>
      <c r="H250" s="9" t="str">
        <f t="shared" si="4"/>
        <v>7-38-248</v>
      </c>
      <c r="I250" s="14" t="str">
        <f t="shared" si="5"/>
        <v>PLACA SOLAR TSM-505NEG 18R.28 505W / 33.5V</v>
      </c>
      <c r="J250" s="11" t="s">
        <v>10</v>
      </c>
      <c r="K250" s="44" t="s">
        <v>157</v>
      </c>
      <c r="L250" s="10"/>
    </row>
    <row r="251" spans="1:12" ht="28.8" x14ac:dyDescent="0.3">
      <c r="A251" s="6">
        <v>250</v>
      </c>
      <c r="B251" s="6"/>
      <c r="C251" s="6"/>
      <c r="D251" s="8" t="s">
        <v>150</v>
      </c>
      <c r="E251" s="9">
        <v>7</v>
      </c>
      <c r="F251" s="9">
        <v>38</v>
      </c>
      <c r="G251" s="9">
        <f t="shared" si="6"/>
        <v>249</v>
      </c>
      <c r="H251" s="9" t="str">
        <f t="shared" si="4"/>
        <v>7-38-249</v>
      </c>
      <c r="I251" s="14" t="str">
        <f t="shared" si="5"/>
        <v>PLACA SOLAR JAM72S30-570LR 570W / 50.68V</v>
      </c>
      <c r="J251" s="11" t="s">
        <v>10</v>
      </c>
      <c r="K251" s="44" t="s">
        <v>152</v>
      </c>
      <c r="L251" s="10"/>
    </row>
    <row r="252" spans="1:12" x14ac:dyDescent="0.3">
      <c r="A252" s="6">
        <f>+A251+1</f>
        <v>251</v>
      </c>
      <c r="B252" s="6"/>
      <c r="C252" s="6"/>
      <c r="D252" s="8" t="s">
        <v>161</v>
      </c>
      <c r="E252" s="9">
        <v>4</v>
      </c>
      <c r="F252" s="9">
        <v>39</v>
      </c>
      <c r="G252" s="9">
        <v>250</v>
      </c>
      <c r="H252" s="9" t="str">
        <f t="shared" si="4"/>
        <v>4-39-250</v>
      </c>
      <c r="I252" s="14" t="str">
        <f t="shared" si="5"/>
        <v>CASQUILLO ESPACIADOR GALV M8X25</v>
      </c>
      <c r="J252" s="11" t="s">
        <v>10</v>
      </c>
      <c r="K252" s="44" t="s">
        <v>59</v>
      </c>
      <c r="L252" s="10"/>
    </row>
    <row r="253" spans="1:12" ht="28.2" customHeight="1" x14ac:dyDescent="0.3">
      <c r="A253" s="6">
        <f t="shared" ref="A253:A371" si="7">+A252+1</f>
        <v>252</v>
      </c>
      <c r="B253" s="6"/>
      <c r="C253" s="6"/>
      <c r="D253" s="8" t="s">
        <v>162</v>
      </c>
      <c r="E253" s="9">
        <v>4</v>
      </c>
      <c r="F253" s="9">
        <v>40</v>
      </c>
      <c r="G253" s="9">
        <v>251</v>
      </c>
      <c r="H253" s="9" t="str">
        <f t="shared" si="4"/>
        <v>4-40-251</v>
      </c>
      <c r="I253" s="14" t="str">
        <f t="shared" si="5"/>
        <v>TORNILLO ESPARRAGO GALV TX25 M8X80</v>
      </c>
      <c r="J253" s="11" t="s">
        <v>10</v>
      </c>
      <c r="K253" s="44" t="s">
        <v>59</v>
      </c>
      <c r="L253" s="10"/>
    </row>
    <row r="254" spans="1:12" ht="28.8" x14ac:dyDescent="0.3">
      <c r="A254" s="6">
        <f t="shared" si="7"/>
        <v>253</v>
      </c>
      <c r="B254" s="6"/>
      <c r="C254" s="6"/>
      <c r="D254" s="8" t="s">
        <v>169</v>
      </c>
      <c r="E254" s="9">
        <v>13</v>
      </c>
      <c r="F254" s="9">
        <v>25</v>
      </c>
      <c r="G254" s="9">
        <v>252</v>
      </c>
      <c r="H254" s="9" t="str">
        <f t="shared" si="4"/>
        <v>13-25-252</v>
      </c>
      <c r="I254" s="14" t="str">
        <f t="shared" si="5"/>
        <v>ANCLAJE PLASTICO MULTIUSO NYLON 2ALAS 14X100</v>
      </c>
      <c r="J254" s="11" t="s">
        <v>10</v>
      </c>
      <c r="K254" s="44" t="s">
        <v>59</v>
      </c>
      <c r="L254" s="10"/>
    </row>
    <row r="255" spans="1:12" ht="28.8" x14ac:dyDescent="0.3">
      <c r="A255" s="6">
        <f t="shared" si="7"/>
        <v>254</v>
      </c>
      <c r="B255" s="6"/>
      <c r="C255" s="6"/>
      <c r="D255" s="8" t="s">
        <v>164</v>
      </c>
      <c r="E255" s="9">
        <v>13</v>
      </c>
      <c r="F255" s="9">
        <v>25</v>
      </c>
      <c r="G255" s="9">
        <v>253</v>
      </c>
      <c r="H255" s="9" t="str">
        <f t="shared" si="4"/>
        <v>13-25-253</v>
      </c>
      <c r="I255" s="14" t="str">
        <f t="shared" si="5"/>
        <v>ANCLAJE PLASTICO MULTIUSO C/COLLARIN 6X36MM</v>
      </c>
      <c r="J255" s="11" t="s">
        <v>10</v>
      </c>
      <c r="K255" s="44" t="s">
        <v>59</v>
      </c>
      <c r="L255" s="10"/>
    </row>
    <row r="256" spans="1:12" ht="28.8" x14ac:dyDescent="0.3">
      <c r="A256" s="6">
        <f t="shared" si="7"/>
        <v>255</v>
      </c>
      <c r="B256" s="6"/>
      <c r="C256" s="6"/>
      <c r="D256" s="8" t="s">
        <v>165</v>
      </c>
      <c r="E256" s="9">
        <v>13</v>
      </c>
      <c r="F256" s="9">
        <v>25</v>
      </c>
      <c r="G256" s="9">
        <v>254</v>
      </c>
      <c r="H256" s="9" t="str">
        <f t="shared" si="4"/>
        <v>13-25-254</v>
      </c>
      <c r="I256" s="14" t="str">
        <f t="shared" si="5"/>
        <v>ANCLAJE PLASTICO MULTIUSO C/COLLARIN 8X51MM</v>
      </c>
      <c r="J256" s="11" t="s">
        <v>10</v>
      </c>
      <c r="K256" s="44" t="s">
        <v>59</v>
      </c>
      <c r="L256" s="10"/>
    </row>
    <row r="257" spans="1:12" ht="28.8" x14ac:dyDescent="0.3">
      <c r="A257" s="6">
        <f t="shared" si="7"/>
        <v>256</v>
      </c>
      <c r="B257" s="6"/>
      <c r="C257" s="6"/>
      <c r="D257" s="8" t="s">
        <v>166</v>
      </c>
      <c r="E257" s="9">
        <v>13</v>
      </c>
      <c r="F257" s="9">
        <v>25</v>
      </c>
      <c r="G257" s="9">
        <v>255</v>
      </c>
      <c r="H257" s="9" t="str">
        <f t="shared" si="4"/>
        <v>13-25-255</v>
      </c>
      <c r="I257" s="14" t="str">
        <f t="shared" si="5"/>
        <v>ANCLAJE PLASTICO MULTIUSO C/COLLARIN 10X61MM</v>
      </c>
      <c r="J257" s="11" t="s">
        <v>10</v>
      </c>
      <c r="K257" s="44" t="s">
        <v>59</v>
      </c>
      <c r="L257" s="10"/>
    </row>
    <row r="258" spans="1:12" ht="28.8" x14ac:dyDescent="0.3">
      <c r="A258" s="6">
        <f t="shared" si="7"/>
        <v>257</v>
      </c>
      <c r="B258" s="6"/>
      <c r="C258" s="6"/>
      <c r="D258" s="8" t="s">
        <v>167</v>
      </c>
      <c r="E258" s="9">
        <v>13</v>
      </c>
      <c r="F258" s="9">
        <v>25</v>
      </c>
      <c r="G258" s="9">
        <v>256</v>
      </c>
      <c r="H258" s="9" t="str">
        <f t="shared" si="4"/>
        <v>13-25-256</v>
      </c>
      <c r="I258" s="14" t="str">
        <f t="shared" si="5"/>
        <v>ANCLAJE PLASTICO MULTIUSO C/COLLARIN 12X71MM</v>
      </c>
      <c r="J258" s="11" t="s">
        <v>10</v>
      </c>
      <c r="K258" s="44" t="s">
        <v>59</v>
      </c>
      <c r="L258" s="10"/>
    </row>
    <row r="259" spans="1:12" ht="26.4" customHeight="1" x14ac:dyDescent="0.3">
      <c r="A259" s="6">
        <f t="shared" si="7"/>
        <v>258</v>
      </c>
      <c r="B259" s="6"/>
      <c r="C259" s="6"/>
      <c r="D259" s="8" t="s">
        <v>168</v>
      </c>
      <c r="E259" s="9">
        <v>8</v>
      </c>
      <c r="F259" s="9">
        <v>28</v>
      </c>
      <c r="G259" s="9">
        <v>257</v>
      </c>
      <c r="H259" s="9" t="str">
        <f t="shared" ref="H259:H290" si="8">CONCATENATE(E259,"-",F259,"-",G259)</f>
        <v>8-28-257</v>
      </c>
      <c r="I259" s="14" t="str">
        <f t="shared" si="5"/>
        <v>ARANDELA A/GALVANIZADO P/CARROCERIA 8.4X30X1.5</v>
      </c>
      <c r="J259" s="11" t="s">
        <v>10</v>
      </c>
      <c r="K259" s="44" t="s">
        <v>59</v>
      </c>
      <c r="L259" s="10"/>
    </row>
    <row r="260" spans="1:12" ht="28.8" x14ac:dyDescent="0.3">
      <c r="A260" s="6">
        <f t="shared" si="7"/>
        <v>259</v>
      </c>
      <c r="B260" s="6"/>
      <c r="C260" s="6"/>
      <c r="D260" s="8" t="s">
        <v>179</v>
      </c>
      <c r="E260" s="9">
        <v>8</v>
      </c>
      <c r="F260" s="9">
        <v>28</v>
      </c>
      <c r="G260" s="9">
        <v>258</v>
      </c>
      <c r="H260" s="9" t="str">
        <f t="shared" si="8"/>
        <v>8-28-258</v>
      </c>
      <c r="I260" s="14" t="str">
        <f t="shared" si="5"/>
        <v>ARANDELA A/GALVANIZADO P/CARROCERIA 8.4X25X1.25</v>
      </c>
      <c r="J260" s="11" t="s">
        <v>10</v>
      </c>
      <c r="K260" s="44" t="s">
        <v>59</v>
      </c>
      <c r="L260" s="10"/>
    </row>
    <row r="261" spans="1:12" ht="43.2" x14ac:dyDescent="0.3">
      <c r="A261" s="6">
        <f t="shared" si="7"/>
        <v>260</v>
      </c>
      <c r="B261" s="6"/>
      <c r="C261" s="6"/>
      <c r="D261" s="8" t="s">
        <v>171</v>
      </c>
      <c r="E261" s="9">
        <v>8</v>
      </c>
      <c r="F261" s="9">
        <v>13</v>
      </c>
      <c r="G261" s="9">
        <v>259</v>
      </c>
      <c r="H261" s="9" t="str">
        <f t="shared" si="8"/>
        <v>8-13-259</v>
      </c>
      <c r="I261" s="14" t="str">
        <f t="shared" si="5"/>
        <v>KIT TORNILLO TIPO T 18X30mm CON ARANDELA Y T/HEXAGONAL M8X25MM A/GALV</v>
      </c>
      <c r="J261" s="11" t="s">
        <v>10</v>
      </c>
      <c r="K261" s="44" t="s">
        <v>59</v>
      </c>
      <c r="L261" s="10"/>
    </row>
    <row r="262" spans="1:12" ht="43.2" x14ac:dyDescent="0.3">
      <c r="A262" s="6">
        <f t="shared" si="7"/>
        <v>261</v>
      </c>
      <c r="B262" s="6"/>
      <c r="C262" s="6"/>
      <c r="D262" s="8" t="s">
        <v>173</v>
      </c>
      <c r="E262" s="9">
        <v>1</v>
      </c>
      <c r="F262" s="9">
        <v>13</v>
      </c>
      <c r="G262" s="9">
        <v>260</v>
      </c>
      <c r="H262" s="9" t="str">
        <f t="shared" si="8"/>
        <v>1-13-260</v>
      </c>
      <c r="I262" s="14" t="str">
        <f t="shared" si="5"/>
        <v>KIT TORNILLO TIPO T 10X23mm CON ARANDELA DE PRESION, ARANDELA LISA Y T/HEXAGONAL M8X20MM A/INOX</v>
      </c>
      <c r="J262" s="11" t="s">
        <v>10</v>
      </c>
      <c r="K262" s="44" t="s">
        <v>59</v>
      </c>
      <c r="L262" s="10"/>
    </row>
    <row r="263" spans="1:12" ht="28.8" x14ac:dyDescent="0.3">
      <c r="A263" s="6">
        <f t="shared" si="7"/>
        <v>262</v>
      </c>
      <c r="B263" s="6"/>
      <c r="C263" s="6"/>
      <c r="D263" s="8" t="s">
        <v>170</v>
      </c>
      <c r="E263" s="9">
        <v>1</v>
      </c>
      <c r="F263" s="9">
        <v>28</v>
      </c>
      <c r="G263" s="9">
        <v>261</v>
      </c>
      <c r="H263" s="9" t="str">
        <f t="shared" si="8"/>
        <v>1-28-261</v>
      </c>
      <c r="I263" s="14" t="str">
        <f t="shared" si="5"/>
        <v>ARANDELA DE PRESION A/INOX PARA TORN. M8</v>
      </c>
      <c r="J263" s="11" t="s">
        <v>10</v>
      </c>
      <c r="K263" s="44" t="s">
        <v>59</v>
      </c>
      <c r="L263" s="10"/>
    </row>
    <row r="264" spans="1:12" ht="43.2" x14ac:dyDescent="0.3">
      <c r="A264" s="6">
        <f t="shared" si="7"/>
        <v>263</v>
      </c>
      <c r="B264" s="6"/>
      <c r="C264" s="6"/>
      <c r="D264" s="8" t="s">
        <v>172</v>
      </c>
      <c r="E264" s="9">
        <v>8</v>
      </c>
      <c r="F264" s="9">
        <v>13</v>
      </c>
      <c r="G264" s="9">
        <v>262</v>
      </c>
      <c r="H264" s="9" t="str">
        <f t="shared" si="8"/>
        <v>8-13-262</v>
      </c>
      <c r="I264" s="14" t="str">
        <f t="shared" si="5"/>
        <v>KIT TORNILLO TIPO T 18X30mm CON ARANDELA Y T/HEXAGONAL M8X35MM A/GALV</v>
      </c>
      <c r="J264" s="11" t="s">
        <v>10</v>
      </c>
      <c r="K264" s="44" t="s">
        <v>59</v>
      </c>
      <c r="L264" s="10"/>
    </row>
    <row r="265" spans="1:12" x14ac:dyDescent="0.3">
      <c r="A265" s="6">
        <f t="shared" si="7"/>
        <v>264</v>
      </c>
      <c r="B265" s="6"/>
      <c r="C265" s="6"/>
      <c r="D265" s="8" t="s">
        <v>174</v>
      </c>
      <c r="E265" s="9">
        <v>1</v>
      </c>
      <c r="F265" s="9">
        <v>28</v>
      </c>
      <c r="G265" s="9">
        <v>263</v>
      </c>
      <c r="H265" s="9" t="str">
        <f t="shared" si="8"/>
        <v>1-28-263</v>
      </c>
      <c r="I265" s="14" t="str">
        <f t="shared" ref="I265:I296" si="9">+D265</f>
        <v>ARANDELA A/INOX 9X1.5 PARA TORN. M8</v>
      </c>
      <c r="J265" s="11" t="s">
        <v>10</v>
      </c>
      <c r="K265" s="44" t="s">
        <v>59</v>
      </c>
      <c r="L265" s="10"/>
    </row>
    <row r="266" spans="1:12" ht="28.8" x14ac:dyDescent="0.3">
      <c r="A266" s="6">
        <f t="shared" si="7"/>
        <v>265</v>
      </c>
      <c r="B266" s="6"/>
      <c r="C266" s="6"/>
      <c r="D266" s="8" t="s">
        <v>175</v>
      </c>
      <c r="E266" s="9">
        <v>1</v>
      </c>
      <c r="F266" s="9">
        <v>28</v>
      </c>
      <c r="G266" s="9">
        <v>264</v>
      </c>
      <c r="H266" s="9" t="str">
        <f t="shared" si="8"/>
        <v>1-28-264</v>
      </c>
      <c r="I266" s="14" t="str">
        <f t="shared" si="9"/>
        <v>ARANDELA A/INOX 11X20mm PARA TORN. M8/M10</v>
      </c>
      <c r="J266" s="11" t="s">
        <v>10</v>
      </c>
      <c r="K266" s="44" t="s">
        <v>59</v>
      </c>
      <c r="L266" s="10"/>
    </row>
    <row r="267" spans="1:12" ht="28.8" x14ac:dyDescent="0.3">
      <c r="A267" s="6">
        <f t="shared" si="7"/>
        <v>266</v>
      </c>
      <c r="B267" s="6"/>
      <c r="C267" s="6"/>
      <c r="D267" s="8" t="s">
        <v>176</v>
      </c>
      <c r="E267" s="9">
        <v>8</v>
      </c>
      <c r="F267" s="9">
        <v>41</v>
      </c>
      <c r="G267" s="9">
        <v>265</v>
      </c>
      <c r="H267" s="9" t="str">
        <f t="shared" si="8"/>
        <v>8-41-265</v>
      </c>
      <c r="I267" s="14" t="str">
        <f t="shared" si="9"/>
        <v>TUERCA HEXAGONAL CLASE RESISTENCIA DIN 934 M8 A/GALV.</v>
      </c>
      <c r="J267" s="11" t="s">
        <v>10</v>
      </c>
      <c r="K267" s="44" t="s">
        <v>59</v>
      </c>
      <c r="L267" s="10"/>
    </row>
    <row r="268" spans="1:12" ht="32.4" customHeight="1" x14ac:dyDescent="0.3">
      <c r="A268" s="6">
        <f t="shared" si="7"/>
        <v>267</v>
      </c>
      <c r="B268" s="6"/>
      <c r="C268" s="6"/>
      <c r="D268" s="8" t="s">
        <v>178</v>
      </c>
      <c r="E268" s="9">
        <v>4</v>
      </c>
      <c r="F268" s="9">
        <v>40</v>
      </c>
      <c r="G268" s="9">
        <v>266</v>
      </c>
      <c r="H268" s="9" t="str">
        <f t="shared" si="8"/>
        <v>4-40-266</v>
      </c>
      <c r="I268" s="14" t="str">
        <f t="shared" si="9"/>
        <v>TORNILLO ESPARRAGO GALV TX25 M8X120</v>
      </c>
      <c r="J268" s="11" t="s">
        <v>10</v>
      </c>
      <c r="K268" s="44" t="s">
        <v>59</v>
      </c>
      <c r="L268" s="10"/>
    </row>
    <row r="269" spans="1:12" ht="31.8" customHeight="1" x14ac:dyDescent="0.3">
      <c r="A269" s="6">
        <f t="shared" si="7"/>
        <v>268</v>
      </c>
      <c r="B269" s="6"/>
      <c r="C269" s="6"/>
      <c r="D269" s="8" t="s">
        <v>181</v>
      </c>
      <c r="E269" s="9">
        <v>4</v>
      </c>
      <c r="F269" s="9">
        <v>15</v>
      </c>
      <c r="G269" s="9">
        <v>267</v>
      </c>
      <c r="H269" s="9" t="str">
        <f t="shared" si="8"/>
        <v>4-15-267</v>
      </c>
      <c r="I269" s="14" t="str">
        <f t="shared" si="9"/>
        <v>BARRA PERFORADA PARA REFUERZO 20X10X2MT GALV.</v>
      </c>
      <c r="J269" s="11" t="s">
        <v>10</v>
      </c>
      <c r="K269" s="44" t="s">
        <v>180</v>
      </c>
      <c r="L269" s="10"/>
    </row>
    <row r="270" spans="1:12" ht="28.8" x14ac:dyDescent="0.3">
      <c r="A270" s="6">
        <f t="shared" si="7"/>
        <v>269</v>
      </c>
      <c r="B270" s="6"/>
      <c r="C270" s="6"/>
      <c r="D270" s="8" t="s">
        <v>226</v>
      </c>
      <c r="E270" s="9">
        <v>10</v>
      </c>
      <c r="F270" s="9">
        <v>42</v>
      </c>
      <c r="G270" s="9">
        <v>268</v>
      </c>
      <c r="H270" s="9" t="str">
        <f t="shared" si="8"/>
        <v>10-42-268</v>
      </c>
      <c r="I270" s="14" t="str">
        <f t="shared" si="9"/>
        <v>PATA ALUMINIO PARA ESTRUCTURA PLACA SOLAR ANGULO 30º</v>
      </c>
      <c r="J270" s="11" t="s">
        <v>10</v>
      </c>
      <c r="K270" s="44" t="s">
        <v>122</v>
      </c>
      <c r="L270" s="10"/>
    </row>
    <row r="271" spans="1:12" ht="28.8" x14ac:dyDescent="0.3">
      <c r="A271" s="6">
        <f t="shared" si="7"/>
        <v>270</v>
      </c>
      <c r="B271" s="6"/>
      <c r="C271" s="6"/>
      <c r="D271" s="8" t="s">
        <v>183</v>
      </c>
      <c r="E271" s="9">
        <v>10</v>
      </c>
      <c r="F271" s="9">
        <v>15</v>
      </c>
      <c r="G271" s="9">
        <v>269</v>
      </c>
      <c r="H271" s="9" t="str">
        <f t="shared" si="8"/>
        <v>10-15-269</v>
      </c>
      <c r="I271" s="14" t="str">
        <f t="shared" si="9"/>
        <v xml:space="preserve">BARRA ALUMINIO PARA ESTRUCTURA </v>
      </c>
      <c r="J271" s="11" t="s">
        <v>10</v>
      </c>
      <c r="K271" s="44" t="s">
        <v>122</v>
      </c>
      <c r="L271" s="10"/>
    </row>
    <row r="272" spans="1:12" ht="28.8" x14ac:dyDescent="0.3">
      <c r="A272" s="6">
        <f t="shared" si="7"/>
        <v>271</v>
      </c>
      <c r="B272" s="6"/>
      <c r="C272" s="6"/>
      <c r="D272" s="8" t="s">
        <v>185</v>
      </c>
      <c r="E272" s="9">
        <v>10</v>
      </c>
      <c r="F272" s="9">
        <v>43</v>
      </c>
      <c r="G272" s="9">
        <v>270</v>
      </c>
      <c r="H272" s="9" t="str">
        <f t="shared" si="8"/>
        <v>10-43-270</v>
      </c>
      <c r="I272" s="14" t="str">
        <f t="shared" si="9"/>
        <v>EMPALME ALUMINIO P/BARRA</v>
      </c>
      <c r="J272" s="11" t="s">
        <v>10</v>
      </c>
      <c r="K272" s="44" t="s">
        <v>122</v>
      </c>
      <c r="L272" s="10"/>
    </row>
    <row r="273" spans="1:12" x14ac:dyDescent="0.3">
      <c r="A273" s="6">
        <f t="shared" si="7"/>
        <v>272</v>
      </c>
      <c r="B273" s="6"/>
      <c r="C273" s="6"/>
      <c r="D273" s="8" t="s">
        <v>188</v>
      </c>
      <c r="E273" s="9">
        <v>17</v>
      </c>
      <c r="F273" s="9">
        <v>44</v>
      </c>
      <c r="G273" s="9">
        <v>271</v>
      </c>
      <c r="H273" s="9" t="str">
        <f t="shared" si="8"/>
        <v>17-44-271</v>
      </c>
      <c r="I273" s="14" t="str">
        <f t="shared" si="9"/>
        <v>SELLANTE QUIMICO BLANCO</v>
      </c>
      <c r="J273" s="11" t="s">
        <v>10</v>
      </c>
      <c r="K273" s="44" t="s">
        <v>59</v>
      </c>
      <c r="L273" s="10"/>
    </row>
    <row r="274" spans="1:12" x14ac:dyDescent="0.3">
      <c r="A274" s="6">
        <f t="shared" si="7"/>
        <v>273</v>
      </c>
      <c r="B274" s="6"/>
      <c r="C274" s="6"/>
      <c r="D274" s="8" t="s">
        <v>189</v>
      </c>
      <c r="E274" s="9">
        <v>17</v>
      </c>
      <c r="F274" s="9">
        <v>44</v>
      </c>
      <c r="G274" s="9">
        <v>272</v>
      </c>
      <c r="H274" s="9" t="str">
        <f t="shared" si="8"/>
        <v>17-44-272</v>
      </c>
      <c r="I274" s="14" t="str">
        <f t="shared" si="9"/>
        <v>SELLANTE QUIMICO GRIS</v>
      </c>
      <c r="J274" s="11" t="s">
        <v>10</v>
      </c>
      <c r="K274" s="44" t="s">
        <v>59</v>
      </c>
      <c r="L274" s="10"/>
    </row>
    <row r="275" spans="1:12" x14ac:dyDescent="0.3">
      <c r="A275" s="6">
        <f t="shared" si="7"/>
        <v>274</v>
      </c>
      <c r="B275" s="6"/>
      <c r="C275" s="6"/>
      <c r="D275" s="8" t="s">
        <v>190</v>
      </c>
      <c r="E275" s="9">
        <v>17</v>
      </c>
      <c r="F275" s="9">
        <v>44</v>
      </c>
      <c r="G275" s="9">
        <v>273</v>
      </c>
      <c r="H275" s="9" t="str">
        <f t="shared" si="8"/>
        <v>17-44-273</v>
      </c>
      <c r="I275" s="14" t="str">
        <f t="shared" si="9"/>
        <v>SELLANTE QUIMICO TACO</v>
      </c>
      <c r="J275" s="11" t="s">
        <v>10</v>
      </c>
      <c r="K275" s="44" t="s">
        <v>59</v>
      </c>
      <c r="L275" s="10"/>
    </row>
    <row r="276" spans="1:12" ht="43.2" x14ac:dyDescent="0.3">
      <c r="A276" s="6">
        <f t="shared" si="7"/>
        <v>275</v>
      </c>
      <c r="B276" s="6"/>
      <c r="C276" s="6"/>
      <c r="D276" s="8" t="s">
        <v>194</v>
      </c>
      <c r="E276" s="9">
        <v>7</v>
      </c>
      <c r="F276" s="9">
        <v>35</v>
      </c>
      <c r="G276" s="9">
        <v>274</v>
      </c>
      <c r="H276" s="9" t="str">
        <f t="shared" si="8"/>
        <v>7-35-274</v>
      </c>
      <c r="I276" s="14" t="str">
        <f t="shared" si="9"/>
        <v>INVERSOR HIBRIDO MONOFASICO SPE 10000ES 10KW BATER. BAJO VOLTAJE Y BACKUP INCORP. (GROWATT)</v>
      </c>
      <c r="J276" s="46" t="s">
        <v>10</v>
      </c>
      <c r="K276" s="44" t="s">
        <v>209</v>
      </c>
      <c r="L276" s="10"/>
    </row>
    <row r="277" spans="1:12" ht="28.8" x14ac:dyDescent="0.3">
      <c r="A277" s="6">
        <f t="shared" si="7"/>
        <v>276</v>
      </c>
      <c r="B277" s="6"/>
      <c r="C277" s="6"/>
      <c r="D277" s="8" t="s">
        <v>192</v>
      </c>
      <c r="E277" s="9">
        <v>16</v>
      </c>
      <c r="F277" s="9">
        <v>45</v>
      </c>
      <c r="G277" s="9">
        <v>275</v>
      </c>
      <c r="H277" s="9" t="str">
        <f t="shared" si="8"/>
        <v>16-45-275</v>
      </c>
      <c r="I277" s="14" t="str">
        <f t="shared" si="9"/>
        <v>CAJA DISTRIBUCION INTERIOR 18 ELEM. (SOLERA)</v>
      </c>
      <c r="J277" s="46" t="s">
        <v>10</v>
      </c>
      <c r="K277" s="44" t="s">
        <v>111</v>
      </c>
      <c r="L277" s="10"/>
    </row>
    <row r="278" spans="1:12" ht="28.8" x14ac:dyDescent="0.3">
      <c r="A278" s="6">
        <f t="shared" si="7"/>
        <v>277</v>
      </c>
      <c r="B278" s="6"/>
      <c r="C278" s="6"/>
      <c r="D278" s="8" t="s">
        <v>193</v>
      </c>
      <c r="E278" s="9">
        <v>16</v>
      </c>
      <c r="F278" s="9">
        <v>45</v>
      </c>
      <c r="G278" s="9">
        <v>276</v>
      </c>
      <c r="H278" s="9" t="str">
        <f t="shared" si="8"/>
        <v>16-45-276</v>
      </c>
      <c r="I278" s="14" t="str">
        <f t="shared" si="9"/>
        <v>CAJA ESTANCA (COCHERA) EXTERIOR 18PT (IDE)</v>
      </c>
      <c r="J278" s="46" t="s">
        <v>10</v>
      </c>
      <c r="K278" s="44" t="s">
        <v>111</v>
      </c>
      <c r="L278" s="10"/>
    </row>
    <row r="279" spans="1:12" x14ac:dyDescent="0.3">
      <c r="A279" s="6">
        <f t="shared" si="7"/>
        <v>278</v>
      </c>
      <c r="B279" s="6"/>
      <c r="C279" s="6"/>
      <c r="D279" s="8" t="s">
        <v>309</v>
      </c>
      <c r="E279" s="9">
        <v>3</v>
      </c>
      <c r="F279" s="9">
        <v>31</v>
      </c>
      <c r="G279" s="9">
        <v>277</v>
      </c>
      <c r="H279" s="9" t="str">
        <f t="shared" si="8"/>
        <v>3-31-277</v>
      </c>
      <c r="I279" s="14" t="str">
        <f t="shared" si="9"/>
        <v>CABLE Nª 6 P/PLACA SOLAR NEGRO</v>
      </c>
      <c r="J279" s="11" t="s">
        <v>110</v>
      </c>
      <c r="K279" s="44" t="s">
        <v>209</v>
      </c>
      <c r="L279" s="10"/>
    </row>
    <row r="280" spans="1:12" x14ac:dyDescent="0.3">
      <c r="A280" s="6">
        <f t="shared" si="7"/>
        <v>279</v>
      </c>
      <c r="B280" s="6"/>
      <c r="C280" s="6"/>
      <c r="D280" s="8" t="s">
        <v>310</v>
      </c>
      <c r="E280" s="9">
        <v>3</v>
      </c>
      <c r="F280" s="9">
        <v>31</v>
      </c>
      <c r="G280" s="9">
        <v>278</v>
      </c>
      <c r="H280" s="9" t="str">
        <f t="shared" si="8"/>
        <v>3-31-278</v>
      </c>
      <c r="I280" s="14" t="str">
        <f t="shared" si="9"/>
        <v>CABLE Nª 6 P/PLACA SOLAR ROJO</v>
      </c>
      <c r="J280" s="11" t="s">
        <v>110</v>
      </c>
      <c r="K280" s="44" t="s">
        <v>209</v>
      </c>
      <c r="L280" s="10"/>
    </row>
    <row r="281" spans="1:12" x14ac:dyDescent="0.3">
      <c r="A281" s="6">
        <f t="shared" si="7"/>
        <v>280</v>
      </c>
      <c r="B281" s="6"/>
      <c r="C281" s="6"/>
      <c r="D281" s="8" t="s">
        <v>272</v>
      </c>
      <c r="E281" s="9">
        <v>16</v>
      </c>
      <c r="F281" s="9">
        <v>46</v>
      </c>
      <c r="G281" s="9">
        <v>279</v>
      </c>
      <c r="H281" s="9" t="str">
        <f t="shared" si="8"/>
        <v>16-46-279</v>
      </c>
      <c r="I281" s="14" t="str">
        <f t="shared" si="9"/>
        <v>MANGUERA CORRUGADA 25mm NEGRA</v>
      </c>
      <c r="J281" s="11" t="s">
        <v>110</v>
      </c>
      <c r="K281" s="44"/>
      <c r="L281" s="10"/>
    </row>
    <row r="282" spans="1:12" ht="28.8" x14ac:dyDescent="0.3">
      <c r="A282" s="6">
        <f t="shared" si="7"/>
        <v>281</v>
      </c>
      <c r="B282" s="6"/>
      <c r="C282" s="6"/>
      <c r="D282" s="8" t="s">
        <v>212</v>
      </c>
      <c r="E282" s="9">
        <v>16</v>
      </c>
      <c r="F282" s="9">
        <v>47</v>
      </c>
      <c r="G282" s="9">
        <v>280</v>
      </c>
      <c r="H282" s="9" t="str">
        <f t="shared" si="8"/>
        <v>16-47-280</v>
      </c>
      <c r="I282" s="14" t="str">
        <f t="shared" si="9"/>
        <v>DIFERENCIAL EPR2A063030 2P-63A-30mA (MAXGE)</v>
      </c>
      <c r="J282" s="11" t="s">
        <v>10</v>
      </c>
      <c r="K282" s="44" t="s">
        <v>111</v>
      </c>
      <c r="L282" s="10"/>
    </row>
    <row r="283" spans="1:12" ht="28.8" x14ac:dyDescent="0.3">
      <c r="A283" s="6">
        <f t="shared" si="7"/>
        <v>282</v>
      </c>
      <c r="B283" s="6"/>
      <c r="C283" s="6"/>
      <c r="D283" s="8" t="s">
        <v>213</v>
      </c>
      <c r="E283" s="9">
        <v>16</v>
      </c>
      <c r="F283" s="9">
        <v>48</v>
      </c>
      <c r="G283" s="9">
        <v>281</v>
      </c>
      <c r="H283" s="9" t="str">
        <f t="shared" si="8"/>
        <v>16-48-281</v>
      </c>
      <c r="I283" s="14" t="str">
        <f t="shared" si="9"/>
        <v>PORTA FUSIBLE SGF-32-DC (MAXGE)</v>
      </c>
      <c r="J283" s="11" t="s">
        <v>10</v>
      </c>
      <c r="K283" s="44" t="s">
        <v>111</v>
      </c>
      <c r="L283" s="10"/>
    </row>
    <row r="284" spans="1:12" x14ac:dyDescent="0.3">
      <c r="A284" s="6">
        <f t="shared" si="7"/>
        <v>283</v>
      </c>
      <c r="B284" s="6"/>
      <c r="C284" s="6"/>
      <c r="D284" s="8" t="s">
        <v>215</v>
      </c>
      <c r="E284" s="9">
        <v>16</v>
      </c>
      <c r="F284" s="9">
        <v>49</v>
      </c>
      <c r="G284" s="9">
        <v>282</v>
      </c>
      <c r="H284" s="9" t="str">
        <f t="shared" si="8"/>
        <v>16-49-282</v>
      </c>
      <c r="I284" s="14" t="str">
        <f t="shared" si="9"/>
        <v>CONTACTOR MODULAR RV32 (REVALCO)</v>
      </c>
      <c r="J284" s="11" t="s">
        <v>10</v>
      </c>
      <c r="K284" s="44" t="s">
        <v>217</v>
      </c>
      <c r="L284" s="10"/>
    </row>
    <row r="285" spans="1:12" ht="28.8" x14ac:dyDescent="0.3">
      <c r="A285" s="6">
        <f t="shared" si="7"/>
        <v>284</v>
      </c>
      <c r="B285" s="6"/>
      <c r="C285" s="6"/>
      <c r="D285" s="8" t="s">
        <v>218</v>
      </c>
      <c r="E285" s="9">
        <v>16</v>
      </c>
      <c r="F285" s="9">
        <v>50</v>
      </c>
      <c r="G285" s="9">
        <v>283</v>
      </c>
      <c r="H285" s="9" t="str">
        <f t="shared" si="8"/>
        <v>16-50-283</v>
      </c>
      <c r="I285" s="14" t="str">
        <f t="shared" si="9"/>
        <v>FUSIBLE 32A-1000VDC (SASSIN)</v>
      </c>
      <c r="J285" s="11" t="s">
        <v>10</v>
      </c>
      <c r="K285" s="44" t="s">
        <v>111</v>
      </c>
      <c r="L285" s="10"/>
    </row>
    <row r="286" spans="1:12" ht="43.2" x14ac:dyDescent="0.3">
      <c r="A286" s="6">
        <f t="shared" si="7"/>
        <v>285</v>
      </c>
      <c r="B286" s="6"/>
      <c r="C286" s="6"/>
      <c r="D286" s="8" t="s">
        <v>292</v>
      </c>
      <c r="E286" s="9">
        <v>16</v>
      </c>
      <c r="F286" s="9">
        <v>51</v>
      </c>
      <c r="G286" s="9">
        <v>284</v>
      </c>
      <c r="H286" s="9" t="str">
        <f t="shared" si="8"/>
        <v>16-51-284</v>
      </c>
      <c r="I286" s="14" t="str">
        <f t="shared" si="9"/>
        <v>LIMITADOR/SOBRETENSIONES MONOFASICO 3SUR1 15/30kA-275V (SASSIN)</v>
      </c>
      <c r="J286" s="11" t="s">
        <v>10</v>
      </c>
      <c r="K286" s="44" t="s">
        <v>111</v>
      </c>
      <c r="L286" s="10"/>
    </row>
    <row r="287" spans="1:12" ht="28.8" x14ac:dyDescent="0.3">
      <c r="A287" s="6">
        <f t="shared" si="7"/>
        <v>286</v>
      </c>
      <c r="B287" s="6"/>
      <c r="C287" s="6"/>
      <c r="D287" s="8" t="s">
        <v>221</v>
      </c>
      <c r="E287" s="9">
        <v>16</v>
      </c>
      <c r="F287" s="9">
        <v>52</v>
      </c>
      <c r="G287" s="9">
        <v>285</v>
      </c>
      <c r="H287" s="9" t="str">
        <f t="shared" si="8"/>
        <v>16-52-285</v>
      </c>
      <c r="I287" s="14" t="str">
        <f t="shared" si="9"/>
        <v>TERMICO EPBE63M1NC63 1P+N C63 (MAXGE)</v>
      </c>
      <c r="J287" s="11" t="s">
        <v>10</v>
      </c>
      <c r="K287" s="44" t="s">
        <v>111</v>
      </c>
      <c r="L287" s="10"/>
    </row>
    <row r="288" spans="1:12" ht="28.8" x14ac:dyDescent="0.3">
      <c r="A288" s="6">
        <f t="shared" si="7"/>
        <v>287</v>
      </c>
      <c r="B288" s="6"/>
      <c r="C288" s="6"/>
      <c r="D288" s="8" t="s">
        <v>223</v>
      </c>
      <c r="E288" s="9">
        <v>7</v>
      </c>
      <c r="F288" s="9">
        <v>35</v>
      </c>
      <c r="G288" s="9">
        <v>286</v>
      </c>
      <c r="H288" s="9" t="str">
        <f t="shared" si="8"/>
        <v>7-35-286</v>
      </c>
      <c r="I288" s="14" t="str">
        <f t="shared" si="9"/>
        <v>INVERSOR SPH 6000TL BL-UP 6KW (GROWATT)</v>
      </c>
      <c r="J288" s="11" t="s">
        <v>10</v>
      </c>
      <c r="K288" s="44" t="s">
        <v>217</v>
      </c>
      <c r="L288" s="10"/>
    </row>
    <row r="289" spans="1:12" ht="28.8" x14ac:dyDescent="0.3">
      <c r="A289" s="6">
        <f t="shared" si="7"/>
        <v>288</v>
      </c>
      <c r="B289" s="6"/>
      <c r="C289" s="6"/>
      <c r="D289" s="8" t="s">
        <v>224</v>
      </c>
      <c r="E289" s="9">
        <v>10</v>
      </c>
      <c r="F289" s="9">
        <v>37</v>
      </c>
      <c r="G289" s="9">
        <v>287</v>
      </c>
      <c r="H289" s="9" t="str">
        <f t="shared" si="8"/>
        <v>10-37-287</v>
      </c>
      <c r="I289" s="14" t="str">
        <f t="shared" si="9"/>
        <v>SOPORTE CENTRAL GRIS</v>
      </c>
      <c r="J289" s="11" t="s">
        <v>10</v>
      </c>
      <c r="K289" s="44" t="s">
        <v>122</v>
      </c>
      <c r="L289" s="10"/>
    </row>
    <row r="290" spans="1:12" ht="28.8" x14ac:dyDescent="0.3">
      <c r="A290" s="6">
        <f t="shared" si="7"/>
        <v>289</v>
      </c>
      <c r="B290" s="6"/>
      <c r="C290" s="6"/>
      <c r="D290" s="8" t="s">
        <v>225</v>
      </c>
      <c r="E290" s="9">
        <v>16</v>
      </c>
      <c r="F290" s="9">
        <v>49</v>
      </c>
      <c r="G290" s="9">
        <v>288</v>
      </c>
      <c r="H290" s="9" t="str">
        <f t="shared" si="8"/>
        <v>16-49-288</v>
      </c>
      <c r="I290" s="14" t="str">
        <f t="shared" si="9"/>
        <v>CONTACTOR MODULAR EPC1-6322-P7 (MAXGE)</v>
      </c>
      <c r="J290" s="11" t="s">
        <v>10</v>
      </c>
      <c r="K290" s="44" t="s">
        <v>111</v>
      </c>
      <c r="L290" s="10"/>
    </row>
    <row r="291" spans="1:12" ht="28.8" x14ac:dyDescent="0.3">
      <c r="A291" s="6">
        <f t="shared" si="7"/>
        <v>290</v>
      </c>
      <c r="B291" s="6"/>
      <c r="C291" s="6"/>
      <c r="D291" s="8" t="s">
        <v>231</v>
      </c>
      <c r="E291" s="9">
        <v>16</v>
      </c>
      <c r="F291" s="9">
        <v>53</v>
      </c>
      <c r="G291" s="9">
        <v>289</v>
      </c>
      <c r="H291" s="9" t="str">
        <f t="shared" ref="H291:H313" si="10">CONCATENATE(E291,"-",F291,"-",G291)</f>
        <v>16-53-289</v>
      </c>
      <c r="I291" s="14" t="str">
        <f t="shared" si="9"/>
        <v>PINCHO DE COMUNICACIÓN WIFI SHINEWILAN X (GROWATT)</v>
      </c>
      <c r="J291" s="11" t="s">
        <v>10</v>
      </c>
      <c r="K291" s="44" t="s">
        <v>111</v>
      </c>
      <c r="L291" s="10"/>
    </row>
    <row r="292" spans="1:12" ht="28.8" x14ac:dyDescent="0.3">
      <c r="A292" s="6">
        <f t="shared" si="7"/>
        <v>291</v>
      </c>
      <c r="B292" s="6"/>
      <c r="C292" s="6"/>
      <c r="D292" s="8" t="s">
        <v>230</v>
      </c>
      <c r="E292" s="9">
        <v>16</v>
      </c>
      <c r="F292" s="9">
        <v>53</v>
      </c>
      <c r="G292" s="9">
        <v>290</v>
      </c>
      <c r="H292" s="9" t="str">
        <f t="shared" si="10"/>
        <v>16-53-290</v>
      </c>
      <c r="I292" s="14" t="str">
        <f t="shared" si="9"/>
        <v>PINCHO DE COMUNICACIÓN WIFI SHINEWILAN X2 (GROWATT)</v>
      </c>
      <c r="J292" s="11" t="s">
        <v>10</v>
      </c>
      <c r="K292" s="44" t="s">
        <v>111</v>
      </c>
      <c r="L292" s="10"/>
    </row>
    <row r="293" spans="1:12" ht="28.8" x14ac:dyDescent="0.3">
      <c r="A293" s="6">
        <f t="shared" si="7"/>
        <v>292</v>
      </c>
      <c r="B293" s="6"/>
      <c r="C293" s="6"/>
      <c r="D293" s="8" t="s">
        <v>232</v>
      </c>
      <c r="E293" s="9">
        <v>9</v>
      </c>
      <c r="F293" s="9">
        <v>2</v>
      </c>
      <c r="G293" s="9">
        <v>291</v>
      </c>
      <c r="H293" s="9" t="str">
        <f t="shared" si="10"/>
        <v>9-2-291</v>
      </c>
      <c r="I293" s="14" t="str">
        <f t="shared" si="9"/>
        <v>TUBO ELECTRICO PVC 25mm - 3mt(AISCAN)</v>
      </c>
      <c r="J293" s="11" t="s">
        <v>10</v>
      </c>
      <c r="K293" s="44" t="s">
        <v>111</v>
      </c>
      <c r="L293" s="10"/>
    </row>
    <row r="294" spans="1:12" ht="28.8" x14ac:dyDescent="0.3">
      <c r="A294" s="6">
        <f t="shared" si="7"/>
        <v>293</v>
      </c>
      <c r="B294" s="6"/>
      <c r="C294" s="6"/>
      <c r="D294" s="8" t="s">
        <v>233</v>
      </c>
      <c r="E294" s="9">
        <v>16</v>
      </c>
      <c r="F294" s="9">
        <v>52</v>
      </c>
      <c r="G294" s="9">
        <v>292</v>
      </c>
      <c r="H294" s="9" t="str">
        <f t="shared" si="10"/>
        <v>16-52-292</v>
      </c>
      <c r="I294" s="14" t="str">
        <f t="shared" si="9"/>
        <v>TERMICO EPBE63M1NC63M1NC40 1P+N C40 (MAXGE)</v>
      </c>
      <c r="J294" s="11" t="s">
        <v>10</v>
      </c>
      <c r="K294" s="44" t="s">
        <v>111</v>
      </c>
      <c r="L294" s="10"/>
    </row>
    <row r="295" spans="1:12" ht="28.8" x14ac:dyDescent="0.3">
      <c r="A295" s="6">
        <f t="shared" si="7"/>
        <v>294</v>
      </c>
      <c r="B295" s="6"/>
      <c r="C295" s="6"/>
      <c r="D295" s="8" t="s">
        <v>234</v>
      </c>
      <c r="E295" s="9">
        <v>16</v>
      </c>
      <c r="F295" s="9">
        <v>52</v>
      </c>
      <c r="G295" s="9">
        <v>293</v>
      </c>
      <c r="H295" s="9" t="str">
        <f t="shared" si="10"/>
        <v>16-52-293</v>
      </c>
      <c r="I295" s="14" t="str">
        <f t="shared" si="9"/>
        <v>TERMICO EPBE63M1NC63M1NC32 1P+N C32 (MAXGE)</v>
      </c>
      <c r="J295" s="11" t="s">
        <v>10</v>
      </c>
      <c r="K295" s="44" t="s">
        <v>111</v>
      </c>
      <c r="L295" s="10"/>
    </row>
    <row r="296" spans="1:12" ht="28.8" x14ac:dyDescent="0.3">
      <c r="A296" s="6">
        <f t="shared" si="7"/>
        <v>295</v>
      </c>
      <c r="B296" s="6"/>
      <c r="C296" s="6"/>
      <c r="D296" s="8" t="s">
        <v>235</v>
      </c>
      <c r="E296" s="9">
        <v>16</v>
      </c>
      <c r="F296" s="9">
        <v>45</v>
      </c>
      <c r="G296" s="9">
        <v>294</v>
      </c>
      <c r="H296" s="9" t="str">
        <f t="shared" si="10"/>
        <v>16-45-294</v>
      </c>
      <c r="I296" s="14" t="str">
        <f t="shared" si="9"/>
        <v>CAJA DE ESTANCA 133X180X80 EV161 (IDE)</v>
      </c>
      <c r="J296" s="11" t="s">
        <v>10</v>
      </c>
      <c r="K296" s="44" t="s">
        <v>111</v>
      </c>
      <c r="L296" s="10"/>
    </row>
    <row r="297" spans="1:12" x14ac:dyDescent="0.3">
      <c r="A297" s="6">
        <f t="shared" si="7"/>
        <v>296</v>
      </c>
      <c r="B297" s="6"/>
      <c r="C297" s="6"/>
      <c r="D297" s="8" t="s">
        <v>236</v>
      </c>
      <c r="E297" s="9">
        <v>7</v>
      </c>
      <c r="F297" s="9">
        <v>54</v>
      </c>
      <c r="G297" s="9">
        <v>295</v>
      </c>
      <c r="H297" s="9" t="str">
        <f t="shared" si="10"/>
        <v>7-54-295</v>
      </c>
      <c r="I297" s="14" t="str">
        <f t="shared" ref="I297:I313" si="11">+D297</f>
        <v>BATERIA LFP LITHIUM DL5.OC (DYNESS)</v>
      </c>
      <c r="J297" s="11" t="s">
        <v>10</v>
      </c>
      <c r="K297" s="44" t="s">
        <v>217</v>
      </c>
      <c r="L297" s="10"/>
    </row>
    <row r="298" spans="1:12" ht="28.8" x14ac:dyDescent="0.3">
      <c r="A298" s="6">
        <f t="shared" si="7"/>
        <v>297</v>
      </c>
      <c r="B298" s="6"/>
      <c r="C298" s="6"/>
      <c r="D298" s="8" t="s">
        <v>241</v>
      </c>
      <c r="E298" s="9">
        <v>7</v>
      </c>
      <c r="F298" s="9">
        <v>35</v>
      </c>
      <c r="G298" s="9">
        <v>296</v>
      </c>
      <c r="H298" s="9" t="str">
        <f t="shared" si="10"/>
        <v>7-35-296</v>
      </c>
      <c r="I298" s="14" t="str">
        <f t="shared" si="11"/>
        <v>INVERSOR HIBRIDO MONOFASICO SUN 12KW AM3 (DEYE)</v>
      </c>
      <c r="J298" s="11" t="s">
        <v>10</v>
      </c>
      <c r="K298" s="44" t="s">
        <v>111</v>
      </c>
      <c r="L298" s="10"/>
    </row>
    <row r="299" spans="1:12" ht="28.8" x14ac:dyDescent="0.3">
      <c r="A299" s="6">
        <f t="shared" si="7"/>
        <v>298</v>
      </c>
      <c r="B299" s="6"/>
      <c r="C299" s="6"/>
      <c r="D299" s="8" t="s">
        <v>371</v>
      </c>
      <c r="E299" s="9">
        <v>16</v>
      </c>
      <c r="F299" s="9">
        <v>55</v>
      </c>
      <c r="G299" s="9">
        <v>297</v>
      </c>
      <c r="H299" s="9" t="str">
        <f t="shared" si="10"/>
        <v>16-55-297</v>
      </c>
      <c r="I299" s="14" t="str">
        <f t="shared" si="11"/>
        <v>MEDIDOR ENERGIA DE CARRIL MODBUS SDM230V MONOFASICO (EASTRON)</v>
      </c>
      <c r="J299" s="11" t="s">
        <v>10</v>
      </c>
      <c r="K299" s="44" t="s">
        <v>111</v>
      </c>
      <c r="L299" s="10"/>
    </row>
    <row r="300" spans="1:12" ht="57.6" x14ac:dyDescent="0.3">
      <c r="A300" s="6">
        <f t="shared" si="7"/>
        <v>299</v>
      </c>
      <c r="B300" s="6"/>
      <c r="C300" s="6"/>
      <c r="D300" s="8" t="s">
        <v>243</v>
      </c>
      <c r="E300" s="9">
        <v>16</v>
      </c>
      <c r="F300" s="9">
        <v>35</v>
      </c>
      <c r="G300" s="9">
        <v>298</v>
      </c>
      <c r="H300" s="9" t="str">
        <f t="shared" si="10"/>
        <v>16-35-298</v>
      </c>
      <c r="I300" s="14" t="str">
        <f t="shared" si="11"/>
        <v>INVERSOR HIBRIDO TRIFASICO 10KW WIT10K HU C/BACKUP INCORPORADO Y DISEÑADO PARA BATERIA DE BAJO VOLTAJE (GROTWATT)</v>
      </c>
      <c r="J300" s="11" t="s">
        <v>10</v>
      </c>
      <c r="K300" s="44" t="s">
        <v>209</v>
      </c>
      <c r="L300" s="10"/>
    </row>
    <row r="301" spans="1:12" ht="28.8" x14ac:dyDescent="0.3">
      <c r="A301" s="6">
        <f t="shared" si="7"/>
        <v>300</v>
      </c>
      <c r="B301" s="6"/>
      <c r="C301" s="6"/>
      <c r="D301" s="8" t="s">
        <v>253</v>
      </c>
      <c r="E301" s="9">
        <v>16</v>
      </c>
      <c r="F301" s="9">
        <v>45</v>
      </c>
      <c r="G301" s="9">
        <v>299</v>
      </c>
      <c r="H301" s="9" t="str">
        <f t="shared" si="10"/>
        <v>16-45-299</v>
      </c>
      <c r="I301" s="14" t="str">
        <f t="shared" si="11"/>
        <v>CAJA ESTANCA (COCHERA) EXTERIOR 8PT (IDE)</v>
      </c>
      <c r="J301" s="46" t="s">
        <v>10</v>
      </c>
      <c r="K301" s="44" t="s">
        <v>111</v>
      </c>
      <c r="L301" s="10"/>
    </row>
    <row r="302" spans="1:12" ht="28.8" x14ac:dyDescent="0.3">
      <c r="A302" s="6">
        <f t="shared" si="7"/>
        <v>301</v>
      </c>
      <c r="B302" s="6"/>
      <c r="C302" s="6"/>
      <c r="D302" s="8" t="s">
        <v>254</v>
      </c>
      <c r="E302" s="9">
        <v>16</v>
      </c>
      <c r="F302" s="9">
        <v>45</v>
      </c>
      <c r="G302" s="9">
        <v>300</v>
      </c>
      <c r="H302" s="9" t="str">
        <f t="shared" si="10"/>
        <v>16-45-300</v>
      </c>
      <c r="I302" s="14" t="str">
        <f t="shared" si="11"/>
        <v>CAJA ESTANCA (COCHERA) EXTERIOR 24PT (IDE)</v>
      </c>
      <c r="J302" s="46" t="s">
        <v>10</v>
      </c>
      <c r="K302" s="44" t="s">
        <v>111</v>
      </c>
      <c r="L302" s="10"/>
    </row>
    <row r="303" spans="1:12" ht="28.8" x14ac:dyDescent="0.3">
      <c r="A303" s="6">
        <f t="shared" si="7"/>
        <v>302</v>
      </c>
      <c r="B303" s="6"/>
      <c r="C303" s="6"/>
      <c r="D303" s="8" t="s">
        <v>255</v>
      </c>
      <c r="E303" s="9">
        <v>16</v>
      </c>
      <c r="F303" s="9">
        <v>45</v>
      </c>
      <c r="G303" s="9">
        <v>301</v>
      </c>
      <c r="H303" s="9" t="str">
        <f t="shared" si="10"/>
        <v>16-45-301</v>
      </c>
      <c r="I303" s="14" t="str">
        <f t="shared" si="11"/>
        <v>CAJA ESTANCA (COCHERA) EXTERIOR 36PT (IDE)</v>
      </c>
      <c r="J303" s="46" t="s">
        <v>10</v>
      </c>
      <c r="K303" s="44" t="s">
        <v>111</v>
      </c>
      <c r="L303" s="10"/>
    </row>
    <row r="304" spans="1:12" ht="28.8" x14ac:dyDescent="0.3">
      <c r="A304" s="6">
        <f t="shared" si="7"/>
        <v>303</v>
      </c>
      <c r="B304" s="6"/>
      <c r="C304" s="6"/>
      <c r="D304" s="8" t="s">
        <v>257</v>
      </c>
      <c r="E304" s="9">
        <v>16</v>
      </c>
      <c r="F304" s="9">
        <v>56</v>
      </c>
      <c r="G304" s="9">
        <v>302</v>
      </c>
      <c r="H304" s="9" t="str">
        <f t="shared" si="10"/>
        <v>16-56-302</v>
      </c>
      <c r="I304" s="14" t="str">
        <f t="shared" si="11"/>
        <v>METER TRIFASICO 230/400Vac (GROWATT)</v>
      </c>
      <c r="J304" s="46" t="s">
        <v>10</v>
      </c>
      <c r="K304" s="44" t="s">
        <v>217</v>
      </c>
      <c r="L304" s="10"/>
    </row>
    <row r="305" spans="1:12" ht="28.8" x14ac:dyDescent="0.3">
      <c r="A305" s="6">
        <f t="shared" si="7"/>
        <v>304</v>
      </c>
      <c r="B305" s="6"/>
      <c r="C305" s="6"/>
      <c r="D305" s="8" t="s">
        <v>258</v>
      </c>
      <c r="E305" s="9">
        <v>16</v>
      </c>
      <c r="F305" s="9">
        <v>56</v>
      </c>
      <c r="G305" s="9">
        <v>303</v>
      </c>
      <c r="H305" s="9" t="str">
        <f t="shared" si="10"/>
        <v>16-56-303</v>
      </c>
      <c r="I305" s="14" t="str">
        <f t="shared" si="11"/>
        <v>METER MONOFASICO 230/161-276Vac (GROWATT)</v>
      </c>
      <c r="J305" s="46" t="s">
        <v>10</v>
      </c>
      <c r="K305" s="44" t="s">
        <v>217</v>
      </c>
      <c r="L305" s="10"/>
    </row>
    <row r="306" spans="1:12" ht="28.8" x14ac:dyDescent="0.3">
      <c r="A306" s="6">
        <f t="shared" si="7"/>
        <v>305</v>
      </c>
      <c r="B306" s="6"/>
      <c r="C306" s="6"/>
      <c r="D306" s="8" t="s">
        <v>259</v>
      </c>
      <c r="E306" s="9">
        <v>16</v>
      </c>
      <c r="F306" s="9">
        <v>45</v>
      </c>
      <c r="G306" s="9">
        <v>304</v>
      </c>
      <c r="H306" s="9" t="str">
        <f t="shared" si="10"/>
        <v>16-45-304</v>
      </c>
      <c r="I306" s="14" t="str">
        <f t="shared" si="11"/>
        <v>CAJA DE ESTANCA 197X260X100 EV231 (IDE)</v>
      </c>
      <c r="J306" s="46" t="s">
        <v>10</v>
      </c>
      <c r="K306" s="44" t="s">
        <v>111</v>
      </c>
      <c r="L306" s="10"/>
    </row>
    <row r="307" spans="1:12" ht="28.8" x14ac:dyDescent="0.3">
      <c r="A307" s="6">
        <f t="shared" si="7"/>
        <v>306</v>
      </c>
      <c r="B307" s="6"/>
      <c r="C307" s="6"/>
      <c r="D307" s="8" t="s">
        <v>260</v>
      </c>
      <c r="E307" s="9">
        <v>16</v>
      </c>
      <c r="F307" s="9">
        <v>45</v>
      </c>
      <c r="G307" s="9">
        <v>305</v>
      </c>
      <c r="H307" s="9" t="str">
        <f t="shared" si="10"/>
        <v>16-45-305</v>
      </c>
      <c r="I307" s="14" t="str">
        <f t="shared" si="11"/>
        <v>CAJA DE ESTANCA 167X191X100 EV171 (IDE)</v>
      </c>
      <c r="J307" s="46" t="s">
        <v>10</v>
      </c>
      <c r="K307" s="44" t="s">
        <v>111</v>
      </c>
      <c r="L307" s="10"/>
    </row>
    <row r="308" spans="1:12" ht="28.8" x14ac:dyDescent="0.3">
      <c r="A308" s="6">
        <f t="shared" si="7"/>
        <v>307</v>
      </c>
      <c r="B308" s="6"/>
      <c r="C308" s="6"/>
      <c r="D308" s="8" t="s">
        <v>262</v>
      </c>
      <c r="E308" s="9">
        <v>9</v>
      </c>
      <c r="F308" s="9">
        <v>32</v>
      </c>
      <c r="G308" s="9">
        <v>306</v>
      </c>
      <c r="H308" s="9" t="str">
        <f t="shared" si="10"/>
        <v>9-32-306</v>
      </c>
      <c r="I308" s="14" t="str">
        <f t="shared" si="11"/>
        <v>CURVA PVC M-40 GRIS TIPO B</v>
      </c>
      <c r="J308" s="46" t="s">
        <v>10</v>
      </c>
      <c r="K308" s="44" t="s">
        <v>111</v>
      </c>
      <c r="L308" s="10"/>
    </row>
    <row r="309" spans="1:12" ht="28.8" x14ac:dyDescent="0.3">
      <c r="A309" s="6">
        <f t="shared" si="7"/>
        <v>308</v>
      </c>
      <c r="B309" s="6"/>
      <c r="C309" s="6"/>
      <c r="D309" s="8" t="s">
        <v>263</v>
      </c>
      <c r="E309" s="9">
        <v>9</v>
      </c>
      <c r="F309" s="9">
        <v>32</v>
      </c>
      <c r="G309" s="9">
        <v>307</v>
      </c>
      <c r="H309" s="9" t="str">
        <f t="shared" si="10"/>
        <v>9-32-307</v>
      </c>
      <c r="I309" s="14" t="str">
        <f t="shared" si="11"/>
        <v>CURVA PVC DN-20 GRIS (PEMSA)</v>
      </c>
      <c r="J309" s="46" t="s">
        <v>10</v>
      </c>
      <c r="K309" s="44" t="s">
        <v>111</v>
      </c>
      <c r="L309" s="10"/>
    </row>
    <row r="310" spans="1:12" ht="28.8" x14ac:dyDescent="0.3">
      <c r="A310" s="6">
        <f t="shared" si="7"/>
        <v>309</v>
      </c>
      <c r="B310" s="6"/>
      <c r="C310" s="6"/>
      <c r="D310" s="8" t="s">
        <v>264</v>
      </c>
      <c r="E310" s="9">
        <v>9</v>
      </c>
      <c r="F310" s="9">
        <v>32</v>
      </c>
      <c r="G310" s="9">
        <v>308</v>
      </c>
      <c r="H310" s="9" t="str">
        <f t="shared" si="10"/>
        <v>9-32-308</v>
      </c>
      <c r="I310" s="14" t="str">
        <f t="shared" si="11"/>
        <v>CURVA PVC M-32 GRIS</v>
      </c>
      <c r="J310" s="46" t="s">
        <v>10</v>
      </c>
      <c r="K310" s="44" t="s">
        <v>111</v>
      </c>
      <c r="L310" s="10"/>
    </row>
    <row r="311" spans="1:12" ht="50.4" customHeight="1" x14ac:dyDescent="0.3">
      <c r="A311" s="6">
        <f t="shared" si="7"/>
        <v>310</v>
      </c>
      <c r="B311" s="6"/>
      <c r="C311" s="6"/>
      <c r="D311" s="8" t="s">
        <v>293</v>
      </c>
      <c r="E311" s="9">
        <v>16</v>
      </c>
      <c r="F311" s="9">
        <v>51</v>
      </c>
      <c r="G311" s="9">
        <v>309</v>
      </c>
      <c r="H311" s="9" t="str">
        <f t="shared" si="10"/>
        <v>16-51-309</v>
      </c>
      <c r="I311" s="14" t="str">
        <f t="shared" si="11"/>
        <v>LIMITADOR/SOBRETENSIONES MONOFASICO EPS1 C/2 - 275-40 (MAXGE)</v>
      </c>
      <c r="J311" s="46" t="s">
        <v>10</v>
      </c>
      <c r="K311" s="44" t="s">
        <v>111</v>
      </c>
      <c r="L311" s="10"/>
    </row>
    <row r="312" spans="1:12" ht="43.2" x14ac:dyDescent="0.3">
      <c r="A312" s="6">
        <f t="shared" si="7"/>
        <v>311</v>
      </c>
      <c r="B312" s="6"/>
      <c r="C312" s="6"/>
      <c r="D312" s="8" t="s">
        <v>294</v>
      </c>
      <c r="E312" s="9">
        <v>16</v>
      </c>
      <c r="F312" s="9">
        <v>51</v>
      </c>
      <c r="G312" s="9">
        <v>310</v>
      </c>
      <c r="H312" s="9" t="str">
        <f t="shared" si="10"/>
        <v>16-51-310</v>
      </c>
      <c r="I312" s="14" t="str">
        <f t="shared" si="11"/>
        <v>LIMITADOR/SOBRETENSIONES CORRIENTE CONTINUA 2P/40HA 2.5KV (APARELEC)</v>
      </c>
      <c r="J312" s="46" t="s">
        <v>10</v>
      </c>
      <c r="K312" s="44" t="s">
        <v>111</v>
      </c>
      <c r="L312" s="10"/>
    </row>
    <row r="313" spans="1:12" ht="28.8" x14ac:dyDescent="0.3">
      <c r="A313" s="6">
        <f t="shared" si="7"/>
        <v>312</v>
      </c>
      <c r="B313" s="6"/>
      <c r="C313" s="6"/>
      <c r="D313" s="8" t="s">
        <v>266</v>
      </c>
      <c r="E313" s="9">
        <v>16</v>
      </c>
      <c r="F313" s="9">
        <v>57</v>
      </c>
      <c r="G313" s="9">
        <v>311</v>
      </c>
      <c r="H313" s="9" t="str">
        <f t="shared" si="10"/>
        <v>16-57-311</v>
      </c>
      <c r="I313" s="14" t="str">
        <f t="shared" si="11"/>
        <v>PROTECTOR ALTA TENSION FV1250/3S 1500V DC 5.2KV (TOSCANO VIGIVOLT)</v>
      </c>
      <c r="J313" s="46" t="s">
        <v>10</v>
      </c>
      <c r="K313" s="44" t="s">
        <v>111</v>
      </c>
      <c r="L313" s="10"/>
    </row>
    <row r="314" spans="1:12" ht="43.2" x14ac:dyDescent="0.3">
      <c r="A314" s="6">
        <f t="shared" si="7"/>
        <v>313</v>
      </c>
      <c r="B314" s="6"/>
      <c r="C314" s="6"/>
      <c r="D314" s="8" t="s">
        <v>268</v>
      </c>
      <c r="E314" s="9">
        <v>16</v>
      </c>
      <c r="F314" s="9">
        <v>58</v>
      </c>
      <c r="G314" s="9">
        <v>312</v>
      </c>
      <c r="H314" s="9" t="str">
        <f t="shared" ref="H314:H348" si="12">CONCATENATE(E314,"-",F314,"-",G314)</f>
        <v>16-58-312</v>
      </c>
      <c r="I314" s="14" t="str">
        <f t="shared" ref="I314:I348" si="13">+D314</f>
        <v>INTERRUPTOR DIFERENCIAL PROTECTOR PERSONA CONTRA DESCARGAS RX3 40A (LEGRAND)</v>
      </c>
      <c r="J314" s="46" t="s">
        <v>10</v>
      </c>
      <c r="K314" s="44" t="s">
        <v>111</v>
      </c>
      <c r="L314" s="10"/>
    </row>
    <row r="315" spans="1:12" ht="43.2" x14ac:dyDescent="0.3">
      <c r="A315" s="6">
        <f t="shared" si="7"/>
        <v>314</v>
      </c>
      <c r="B315" s="6"/>
      <c r="C315" s="6"/>
      <c r="D315" s="8" t="s">
        <v>269</v>
      </c>
      <c r="E315" s="9">
        <v>16</v>
      </c>
      <c r="F315" s="9">
        <v>58</v>
      </c>
      <c r="G315" s="9">
        <v>313</v>
      </c>
      <c r="H315" s="9" t="str">
        <f t="shared" si="12"/>
        <v>16-58-313</v>
      </c>
      <c r="I315" s="14" t="str">
        <f t="shared" si="13"/>
        <v>INTERRUPTOR DIFERENCIAL PROTECTOR PERSONA CONTRA DESCARGAS CDC 748m 40A (HAGER)</v>
      </c>
      <c r="J315" s="46" t="s">
        <v>10</v>
      </c>
      <c r="K315" s="44" t="s">
        <v>111</v>
      </c>
      <c r="L315" s="10"/>
    </row>
    <row r="316" spans="1:12" ht="28.8" x14ac:dyDescent="0.3">
      <c r="A316" s="6">
        <f t="shared" si="7"/>
        <v>315</v>
      </c>
      <c r="B316" s="6"/>
      <c r="C316" s="6"/>
      <c r="D316" s="8" t="s">
        <v>270</v>
      </c>
      <c r="E316" s="9">
        <v>16</v>
      </c>
      <c r="F316" s="9">
        <v>50</v>
      </c>
      <c r="G316" s="9">
        <v>314</v>
      </c>
      <c r="H316" s="9" t="str">
        <f t="shared" si="12"/>
        <v>16-50-314</v>
      </c>
      <c r="I316" s="14" t="str">
        <f t="shared" si="13"/>
        <v>FUSIBLE MG10PV32A (MAXGE)</v>
      </c>
      <c r="J316" s="46" t="s">
        <v>10</v>
      </c>
      <c r="K316" s="44" t="s">
        <v>111</v>
      </c>
      <c r="L316" s="10"/>
    </row>
    <row r="317" spans="1:12" ht="28.8" x14ac:dyDescent="0.3">
      <c r="A317" s="6">
        <f t="shared" si="7"/>
        <v>316</v>
      </c>
      <c r="B317" s="6"/>
      <c r="C317" s="6"/>
      <c r="D317" s="8" t="s">
        <v>273</v>
      </c>
      <c r="E317" s="9">
        <v>10</v>
      </c>
      <c r="F317" s="9">
        <v>37</v>
      </c>
      <c r="G317" s="9">
        <v>315</v>
      </c>
      <c r="H317" s="9" t="str">
        <f t="shared" si="12"/>
        <v>10-37-315</v>
      </c>
      <c r="I317" s="14" t="str">
        <f t="shared" si="13"/>
        <v>SOPORTE FINAL NEGRO</v>
      </c>
      <c r="J317" s="46" t="s">
        <v>10</v>
      </c>
      <c r="K317" s="44" t="s">
        <v>122</v>
      </c>
      <c r="L317" s="10"/>
    </row>
    <row r="318" spans="1:12" ht="28.8" x14ac:dyDescent="0.3">
      <c r="A318" s="6">
        <f t="shared" si="7"/>
        <v>317</v>
      </c>
      <c r="B318" s="6"/>
      <c r="C318" s="6"/>
      <c r="D318" s="8" t="s">
        <v>274</v>
      </c>
      <c r="E318" s="9">
        <v>10</v>
      </c>
      <c r="F318" s="9">
        <v>37</v>
      </c>
      <c r="G318" s="9">
        <v>316</v>
      </c>
      <c r="H318" s="9" t="str">
        <f t="shared" si="12"/>
        <v>10-37-316</v>
      </c>
      <c r="I318" s="14" t="str">
        <f t="shared" si="13"/>
        <v>SOPORTE FINAL GRIS</v>
      </c>
      <c r="J318" s="46" t="s">
        <v>10</v>
      </c>
      <c r="K318" s="44" t="s">
        <v>122</v>
      </c>
      <c r="L318" s="10"/>
    </row>
    <row r="319" spans="1:12" ht="28.8" x14ac:dyDescent="0.3">
      <c r="A319" s="6">
        <f t="shared" si="7"/>
        <v>318</v>
      </c>
      <c r="B319" s="6"/>
      <c r="C319" s="6"/>
      <c r="D319" s="8" t="s">
        <v>275</v>
      </c>
      <c r="E319" s="9">
        <v>16</v>
      </c>
      <c r="F319" s="9">
        <v>45</v>
      </c>
      <c r="G319" s="9">
        <v>317</v>
      </c>
      <c r="H319" s="9" t="str">
        <f t="shared" si="12"/>
        <v>16-45-317</v>
      </c>
      <c r="I319" s="14" t="str">
        <f t="shared" si="13"/>
        <v>CAJA DISTRIBUCION INTERIOR 8 ELEM. (SOLERA)</v>
      </c>
      <c r="J319" s="46" t="s">
        <v>10</v>
      </c>
      <c r="K319" s="44" t="s">
        <v>111</v>
      </c>
      <c r="L319" s="10"/>
    </row>
    <row r="320" spans="1:12" ht="28.8" x14ac:dyDescent="0.3">
      <c r="A320" s="6">
        <f t="shared" si="7"/>
        <v>319</v>
      </c>
      <c r="B320" s="6"/>
      <c r="C320" s="6"/>
      <c r="D320" s="8" t="s">
        <v>276</v>
      </c>
      <c r="E320" s="9">
        <v>16</v>
      </c>
      <c r="F320" s="9">
        <v>47</v>
      </c>
      <c r="G320" s="9">
        <v>318</v>
      </c>
      <c r="H320" s="9" t="str">
        <f t="shared" si="12"/>
        <v>16-47-318</v>
      </c>
      <c r="I320" s="14" t="str">
        <f t="shared" si="13"/>
        <v>DIFERENCIAL EPR2A040030 2P-40A-30mA (MAXGE)</v>
      </c>
      <c r="J320" s="11" t="s">
        <v>10</v>
      </c>
      <c r="K320" s="44" t="s">
        <v>111</v>
      </c>
      <c r="L320" s="10"/>
    </row>
    <row r="321" spans="1:12" ht="28.8" x14ac:dyDescent="0.3">
      <c r="A321" s="6">
        <f t="shared" si="7"/>
        <v>320</v>
      </c>
      <c r="B321" s="6"/>
      <c r="C321" s="6"/>
      <c r="D321" s="8" t="s">
        <v>277</v>
      </c>
      <c r="E321" s="9">
        <v>16</v>
      </c>
      <c r="F321" s="9">
        <v>52</v>
      </c>
      <c r="G321" s="9">
        <v>319</v>
      </c>
      <c r="H321" s="9" t="str">
        <f t="shared" si="12"/>
        <v>16-52-319</v>
      </c>
      <c r="I321" s="14" t="str">
        <f t="shared" si="13"/>
        <v>TERMICO EPBE63M1NC25 1P+N C25 (MAXGE)</v>
      </c>
      <c r="J321" s="11" t="s">
        <v>10</v>
      </c>
      <c r="K321" s="44" t="s">
        <v>111</v>
      </c>
      <c r="L321" s="10"/>
    </row>
    <row r="322" spans="1:12" ht="28.8" x14ac:dyDescent="0.3">
      <c r="A322" s="6">
        <f t="shared" si="7"/>
        <v>321</v>
      </c>
      <c r="B322" s="6"/>
      <c r="C322" s="6"/>
      <c r="D322" s="8" t="s">
        <v>278</v>
      </c>
      <c r="E322" s="9">
        <v>16</v>
      </c>
      <c r="F322" s="9">
        <v>31</v>
      </c>
      <c r="G322" s="9">
        <v>320</v>
      </c>
      <c r="H322" s="9" t="str">
        <f t="shared" si="12"/>
        <v>16-31-320</v>
      </c>
      <c r="I322" s="14" t="str">
        <f t="shared" si="13"/>
        <v xml:space="preserve">JUEGO CABLE PARA BATERIA DE LITIO B4850 </v>
      </c>
      <c r="J322" s="11" t="s">
        <v>10</v>
      </c>
      <c r="K322" s="44"/>
      <c r="L322" s="10"/>
    </row>
    <row r="323" spans="1:12" ht="43.2" x14ac:dyDescent="0.3">
      <c r="A323" s="6">
        <f t="shared" si="7"/>
        <v>322</v>
      </c>
      <c r="B323" s="6"/>
      <c r="C323" s="6"/>
      <c r="D323" s="8" t="s">
        <v>279</v>
      </c>
      <c r="E323" s="9">
        <v>8</v>
      </c>
      <c r="F323" s="9">
        <v>27</v>
      </c>
      <c r="G323" s="9">
        <v>321</v>
      </c>
      <c r="H323" s="9" t="str">
        <f t="shared" si="12"/>
        <v>8-27-321</v>
      </c>
      <c r="I323" s="14" t="str">
        <f t="shared" si="13"/>
        <v>TORNILLO AUTOTALADRANTE CON C/HEXAGONAL - R/PARCIAL - ARANDELA CAUCHO 6X120mm  A/GALV.</v>
      </c>
      <c r="J323" s="11" t="s">
        <v>10</v>
      </c>
      <c r="K323" s="44" t="s">
        <v>59</v>
      </c>
      <c r="L323" s="10"/>
    </row>
    <row r="324" spans="1:12" ht="28.8" x14ac:dyDescent="0.3">
      <c r="A324" s="6">
        <f t="shared" si="7"/>
        <v>323</v>
      </c>
      <c r="B324" s="6"/>
      <c r="C324" s="6"/>
      <c r="D324" s="8" t="s">
        <v>280</v>
      </c>
      <c r="E324" s="9">
        <v>16</v>
      </c>
      <c r="F324" s="9">
        <v>59</v>
      </c>
      <c r="G324" s="9">
        <v>322</v>
      </c>
      <c r="H324" s="9" t="str">
        <f t="shared" si="12"/>
        <v>16-59-322</v>
      </c>
      <c r="I324" s="14" t="str">
        <f t="shared" si="13"/>
        <v>CLAVIJA CAUCHO NEGRA 10/16A</v>
      </c>
      <c r="J324" s="11" t="s">
        <v>10</v>
      </c>
      <c r="K324" s="44" t="s">
        <v>111</v>
      </c>
      <c r="L324" s="10"/>
    </row>
    <row r="325" spans="1:12" ht="28.8" x14ac:dyDescent="0.3">
      <c r="A325" s="6">
        <f t="shared" si="7"/>
        <v>324</v>
      </c>
      <c r="B325" s="6"/>
      <c r="C325" s="6"/>
      <c r="D325" s="8" t="s">
        <v>462</v>
      </c>
      <c r="E325" s="9">
        <v>7</v>
      </c>
      <c r="F325" s="9">
        <v>54</v>
      </c>
      <c r="G325" s="9">
        <v>323</v>
      </c>
      <c r="H325" s="9" t="str">
        <f t="shared" si="12"/>
        <v>7-54-323</v>
      </c>
      <c r="I325" s="14" t="str">
        <f t="shared" si="13"/>
        <v>BATERIA LPF LITHIUM B3 48V 3.6kWh (DYNESS)</v>
      </c>
      <c r="J325" s="11" t="s">
        <v>10</v>
      </c>
      <c r="K325" s="44" t="s">
        <v>217</v>
      </c>
      <c r="L325" s="10"/>
    </row>
    <row r="326" spans="1:12" ht="28.8" x14ac:dyDescent="0.3">
      <c r="A326" s="6">
        <f t="shared" si="7"/>
        <v>325</v>
      </c>
      <c r="B326" s="6"/>
      <c r="C326" s="6"/>
      <c r="D326" s="8" t="s">
        <v>313</v>
      </c>
      <c r="E326" s="9">
        <v>16</v>
      </c>
      <c r="F326" s="9">
        <v>60</v>
      </c>
      <c r="G326" s="9">
        <v>324</v>
      </c>
      <c r="H326" s="9" t="str">
        <f t="shared" si="12"/>
        <v>16-60-324</v>
      </c>
      <c r="I326" s="14" t="str">
        <f t="shared" si="13"/>
        <v>REGLETA CONEXIÓN ELECTRICA 35mm NEGRA X12</v>
      </c>
      <c r="J326" s="11" t="s">
        <v>10</v>
      </c>
      <c r="K326" s="44" t="s">
        <v>111</v>
      </c>
      <c r="L326" s="10"/>
    </row>
    <row r="327" spans="1:12" ht="28.8" x14ac:dyDescent="0.3">
      <c r="A327" s="6">
        <f t="shared" si="7"/>
        <v>326</v>
      </c>
      <c r="B327" s="6"/>
      <c r="C327" s="6"/>
      <c r="D327" s="8" t="s">
        <v>314</v>
      </c>
      <c r="E327" s="9">
        <v>16</v>
      </c>
      <c r="F327" s="9">
        <v>60</v>
      </c>
      <c r="G327" s="9">
        <v>325</v>
      </c>
      <c r="H327" s="9" t="str">
        <f t="shared" si="12"/>
        <v>16-60-325</v>
      </c>
      <c r="I327" s="14" t="str">
        <f t="shared" si="13"/>
        <v>REGLETA CONEXIÓN ELECTRICA 16mm NEGRA X12</v>
      </c>
      <c r="J327" s="11" t="s">
        <v>10</v>
      </c>
      <c r="K327" s="44" t="s">
        <v>111</v>
      </c>
      <c r="L327" s="10"/>
    </row>
    <row r="328" spans="1:12" ht="28.8" x14ac:dyDescent="0.3">
      <c r="A328" s="6">
        <f t="shared" si="7"/>
        <v>327</v>
      </c>
      <c r="B328" s="6"/>
      <c r="C328" s="6"/>
      <c r="D328" s="8" t="s">
        <v>283</v>
      </c>
      <c r="E328" s="9">
        <v>4</v>
      </c>
      <c r="F328" s="9">
        <v>15</v>
      </c>
      <c r="G328" s="9">
        <v>326</v>
      </c>
      <c r="H328" s="9" t="str">
        <f t="shared" si="12"/>
        <v>4-15-326</v>
      </c>
      <c r="I328" s="14" t="str">
        <f t="shared" si="13"/>
        <v>BARRA PERFORADA PARA REFUERZO 27x18x2MT GALV.</v>
      </c>
      <c r="J328" s="11" t="s">
        <v>10</v>
      </c>
      <c r="K328" s="44" t="s">
        <v>180</v>
      </c>
      <c r="L328" s="10"/>
    </row>
    <row r="329" spans="1:12" ht="28.8" x14ac:dyDescent="0.3">
      <c r="A329" s="6">
        <f t="shared" si="7"/>
        <v>328</v>
      </c>
      <c r="B329" s="6"/>
      <c r="C329" s="6"/>
      <c r="D329" s="8" t="s">
        <v>285</v>
      </c>
      <c r="E329" s="9">
        <v>7</v>
      </c>
      <c r="F329" s="9">
        <v>35</v>
      </c>
      <c r="G329" s="9">
        <v>327</v>
      </c>
      <c r="H329" s="9" t="str">
        <f t="shared" si="12"/>
        <v>7-35-327</v>
      </c>
      <c r="I329" s="14" t="str">
        <f t="shared" si="13"/>
        <v xml:space="preserve">INVERSOR 48/5000/70-50-230V MULTIPLUS (VICTROM ENERGY)  </v>
      </c>
      <c r="J329" s="11" t="s">
        <v>10</v>
      </c>
      <c r="K329" s="44"/>
      <c r="L329" s="10"/>
    </row>
    <row r="330" spans="1:12" ht="28.8" x14ac:dyDescent="0.3">
      <c r="A330" s="6">
        <f t="shared" si="7"/>
        <v>329</v>
      </c>
      <c r="B330" s="6"/>
      <c r="C330" s="6"/>
      <c r="D330" s="8" t="s">
        <v>286</v>
      </c>
      <c r="E330" s="9">
        <v>16</v>
      </c>
      <c r="F330" s="9">
        <v>53</v>
      </c>
      <c r="G330" s="9">
        <v>328</v>
      </c>
      <c r="H330" s="9" t="str">
        <f t="shared" si="12"/>
        <v>16-53-328</v>
      </c>
      <c r="I330" s="14" t="str">
        <f t="shared" si="13"/>
        <v>PINCHO DE COMUNICACIÓN WIFI SHINErfsTICK- X  BLANCO (GROWATT)</v>
      </c>
      <c r="J330" s="11" t="s">
        <v>10</v>
      </c>
      <c r="K330" s="44" t="s">
        <v>217</v>
      </c>
      <c r="L330" s="10"/>
    </row>
    <row r="331" spans="1:12" ht="28.8" x14ac:dyDescent="0.3">
      <c r="A331" s="6">
        <f t="shared" si="7"/>
        <v>330</v>
      </c>
      <c r="B331" s="6"/>
      <c r="C331" s="6"/>
      <c r="D331" s="8" t="s">
        <v>287</v>
      </c>
      <c r="E331" s="9">
        <v>10</v>
      </c>
      <c r="F331" s="9">
        <v>42</v>
      </c>
      <c r="G331" s="9">
        <v>329</v>
      </c>
      <c r="H331" s="9" t="str">
        <f t="shared" si="12"/>
        <v>10-42-329</v>
      </c>
      <c r="I331" s="14" t="str">
        <f t="shared" si="13"/>
        <v>PATA ALUMINIO PARA ESTRUCTURA PLACA SOLAR VELA ANGULO 15º</v>
      </c>
      <c r="J331" s="11" t="s">
        <v>10</v>
      </c>
      <c r="K331" s="44" t="s">
        <v>122</v>
      </c>
      <c r="L331" s="10"/>
    </row>
    <row r="332" spans="1:12" ht="28.8" x14ac:dyDescent="0.3">
      <c r="A332" s="6">
        <f t="shared" si="7"/>
        <v>331</v>
      </c>
      <c r="B332" s="6"/>
      <c r="C332" s="6"/>
      <c r="D332" s="8" t="s">
        <v>288</v>
      </c>
      <c r="E332" s="9">
        <v>10</v>
      </c>
      <c r="F332" s="9">
        <v>37</v>
      </c>
      <c r="G332" s="9">
        <v>330</v>
      </c>
      <c r="H332" s="9" t="str">
        <f t="shared" si="12"/>
        <v>10-37-330</v>
      </c>
      <c r="I332" s="14" t="str">
        <f t="shared" si="13"/>
        <v>SOPORTE EN L ALUMINIO GRIS</v>
      </c>
      <c r="J332" s="11" t="s">
        <v>10</v>
      </c>
      <c r="K332" s="44" t="s">
        <v>122</v>
      </c>
      <c r="L332" s="10"/>
    </row>
    <row r="333" spans="1:12" ht="28.8" x14ac:dyDescent="0.3">
      <c r="A333" s="6">
        <f t="shared" si="7"/>
        <v>332</v>
      </c>
      <c r="B333" s="6"/>
      <c r="C333" s="6"/>
      <c r="D333" s="8" t="s">
        <v>289</v>
      </c>
      <c r="E333" s="9">
        <v>16</v>
      </c>
      <c r="F333" s="9">
        <v>61</v>
      </c>
      <c r="G333" s="9">
        <v>331</v>
      </c>
      <c r="H333" s="9" t="str">
        <f t="shared" si="12"/>
        <v>16-61-331</v>
      </c>
      <c r="I333" s="14" t="str">
        <f t="shared" si="13"/>
        <v>CONECTOR FOTOVOLTAICO HEMBRA M4 NEGRO</v>
      </c>
      <c r="J333" s="11" t="s">
        <v>10</v>
      </c>
      <c r="K333" s="44" t="s">
        <v>111</v>
      </c>
      <c r="L333" s="10"/>
    </row>
    <row r="334" spans="1:12" ht="28.8" x14ac:dyDescent="0.3">
      <c r="A334" s="6">
        <f t="shared" si="7"/>
        <v>333</v>
      </c>
      <c r="B334" s="6"/>
      <c r="C334" s="6"/>
      <c r="D334" s="8" t="s">
        <v>290</v>
      </c>
      <c r="E334" s="9">
        <v>16</v>
      </c>
      <c r="F334" s="9">
        <v>61</v>
      </c>
      <c r="G334" s="9">
        <v>332</v>
      </c>
      <c r="H334" s="9" t="str">
        <f t="shared" si="12"/>
        <v>16-61-332</v>
      </c>
      <c r="I334" s="14" t="str">
        <f t="shared" si="13"/>
        <v>CONECTOR FOTOVOLTAICO MACHO M4 NEGRO</v>
      </c>
      <c r="J334" s="11" t="s">
        <v>10</v>
      </c>
      <c r="K334" s="44" t="s">
        <v>111</v>
      </c>
      <c r="L334" s="10"/>
    </row>
    <row r="335" spans="1:12" ht="30" customHeight="1" x14ac:dyDescent="0.3">
      <c r="A335" s="6">
        <f t="shared" si="7"/>
        <v>334</v>
      </c>
      <c r="B335" s="6"/>
      <c r="C335" s="6"/>
      <c r="D335" s="8" t="s">
        <v>295</v>
      </c>
      <c r="E335" s="9">
        <v>16</v>
      </c>
      <c r="F335" s="9">
        <v>51</v>
      </c>
      <c r="G335" s="9">
        <v>333</v>
      </c>
      <c r="H335" s="9" t="str">
        <f t="shared" si="12"/>
        <v>16-51-333</v>
      </c>
      <c r="I335" s="14" t="str">
        <f t="shared" si="13"/>
        <v>LIMITADOR/SOBRETENSIONES TRIFASICO 3SU1 20/40kA-400V 4P (SASSIN)</v>
      </c>
      <c r="J335" s="11" t="s">
        <v>10</v>
      </c>
      <c r="K335" s="44" t="s">
        <v>111</v>
      </c>
      <c r="L335" s="10"/>
    </row>
    <row r="336" spans="1:12" ht="28.8" x14ac:dyDescent="0.3">
      <c r="A336" s="6">
        <f t="shared" si="7"/>
        <v>335</v>
      </c>
      <c r="B336" s="6"/>
      <c r="C336" s="6"/>
      <c r="D336" s="8" t="s">
        <v>296</v>
      </c>
      <c r="E336" s="9">
        <v>13</v>
      </c>
      <c r="F336" s="9">
        <v>23</v>
      </c>
      <c r="G336" s="9">
        <v>334</v>
      </c>
      <c r="H336" s="9" t="str">
        <f t="shared" si="12"/>
        <v>13-23-334</v>
      </c>
      <c r="I336" s="14" t="str">
        <f t="shared" si="13"/>
        <v>CINTA GRIS AISLANTE PVC 19MM</v>
      </c>
      <c r="J336" s="11" t="s">
        <v>10</v>
      </c>
      <c r="K336" s="44" t="s">
        <v>111</v>
      </c>
      <c r="L336" s="10"/>
    </row>
    <row r="337" spans="1:12" ht="28.8" x14ac:dyDescent="0.3">
      <c r="A337" s="6">
        <f t="shared" si="7"/>
        <v>336</v>
      </c>
      <c r="B337" s="6"/>
      <c r="C337" s="6"/>
      <c r="D337" s="8" t="s">
        <v>297</v>
      </c>
      <c r="E337" s="9">
        <v>13</v>
      </c>
      <c r="F337" s="9">
        <v>23</v>
      </c>
      <c r="G337" s="9">
        <v>335</v>
      </c>
      <c r="H337" s="9" t="str">
        <f t="shared" si="12"/>
        <v>13-23-335</v>
      </c>
      <c r="I337" s="14" t="str">
        <f t="shared" si="13"/>
        <v>CINTA MARRON AISLANTE PVC 19MM</v>
      </c>
      <c r="J337" s="11" t="s">
        <v>10</v>
      </c>
      <c r="K337" s="44" t="s">
        <v>111</v>
      </c>
      <c r="L337" s="10"/>
    </row>
    <row r="338" spans="1:12" ht="28.8" x14ac:dyDescent="0.3">
      <c r="A338" s="6">
        <f t="shared" si="7"/>
        <v>337</v>
      </c>
      <c r="B338" s="6"/>
      <c r="C338" s="6"/>
      <c r="D338" s="8" t="s">
        <v>298</v>
      </c>
      <c r="E338" s="9">
        <v>16</v>
      </c>
      <c r="F338" s="9">
        <v>50</v>
      </c>
      <c r="G338" s="9">
        <v>336</v>
      </c>
      <c r="H338" s="9" t="str">
        <f t="shared" si="12"/>
        <v>16-50-336</v>
      </c>
      <c r="I338" s="14" t="str">
        <f t="shared" si="13"/>
        <v>FUSIBLE 20A</v>
      </c>
      <c r="J338" s="11" t="s">
        <v>10</v>
      </c>
      <c r="K338" s="44" t="s">
        <v>111</v>
      </c>
      <c r="L338" s="10"/>
    </row>
    <row r="339" spans="1:12" ht="43.2" x14ac:dyDescent="0.3">
      <c r="A339" s="6">
        <f t="shared" si="7"/>
        <v>338</v>
      </c>
      <c r="B339" s="6"/>
      <c r="C339" s="6"/>
      <c r="D339" s="8" t="s">
        <v>299</v>
      </c>
      <c r="E339" s="9">
        <v>16</v>
      </c>
      <c r="F339" s="9">
        <v>47</v>
      </c>
      <c r="G339" s="9">
        <v>337</v>
      </c>
      <c r="H339" s="9" t="str">
        <f t="shared" si="12"/>
        <v>16-47-337</v>
      </c>
      <c r="I339" s="14" t="str">
        <f t="shared" si="13"/>
        <v>DIFERENCIAL TRIFASICO EPR4C063300 (AC TYPE) 4P-63A-300mA AC 10KA (MAXGE)</v>
      </c>
      <c r="J339" s="11" t="s">
        <v>10</v>
      </c>
      <c r="K339" s="44" t="s">
        <v>111</v>
      </c>
      <c r="L339" s="10"/>
    </row>
    <row r="340" spans="1:12" ht="28.8" x14ac:dyDescent="0.3">
      <c r="A340" s="6">
        <f t="shared" si="7"/>
        <v>339</v>
      </c>
      <c r="B340" s="6"/>
      <c r="C340" s="6"/>
      <c r="D340" s="8" t="s">
        <v>300</v>
      </c>
      <c r="E340" s="9">
        <v>16</v>
      </c>
      <c r="F340" s="9">
        <v>47</v>
      </c>
      <c r="G340" s="9">
        <v>338</v>
      </c>
      <c r="H340" s="9" t="str">
        <f t="shared" si="12"/>
        <v>16-47-338</v>
      </c>
      <c r="I340" s="14" t="str">
        <f t="shared" si="13"/>
        <v>DIFERENCIAL TRIFASICO EPR4A040030 4P-40A-30mA (MAXGE)</v>
      </c>
      <c r="J340" s="11" t="s">
        <v>10</v>
      </c>
      <c r="K340" s="44" t="s">
        <v>111</v>
      </c>
      <c r="L340" s="10"/>
    </row>
    <row r="341" spans="1:12" ht="28.8" x14ac:dyDescent="0.3">
      <c r="A341" s="6">
        <f t="shared" si="7"/>
        <v>340</v>
      </c>
      <c r="B341" s="6"/>
      <c r="C341" s="6"/>
      <c r="D341" s="8" t="s">
        <v>303</v>
      </c>
      <c r="E341" s="9">
        <v>16</v>
      </c>
      <c r="F341" s="9">
        <v>52</v>
      </c>
      <c r="G341" s="9">
        <v>339</v>
      </c>
      <c r="H341" s="9" t="str">
        <f t="shared" si="12"/>
        <v>16-52-339</v>
      </c>
      <c r="I341" s="14" t="str">
        <f t="shared" si="13"/>
        <v>TERMICO TRIFASICO EPB63MC25 4P-C25  (MAXGE)</v>
      </c>
      <c r="J341" s="11" t="s">
        <v>10</v>
      </c>
      <c r="K341" s="44" t="s">
        <v>111</v>
      </c>
      <c r="L341" s="10"/>
    </row>
    <row r="342" spans="1:12" ht="28.8" x14ac:dyDescent="0.3">
      <c r="A342" s="6">
        <f t="shared" si="7"/>
        <v>341</v>
      </c>
      <c r="B342" s="6"/>
      <c r="C342" s="6"/>
      <c r="D342" s="8" t="s">
        <v>302</v>
      </c>
      <c r="E342" s="9">
        <v>16</v>
      </c>
      <c r="F342" s="9">
        <v>52</v>
      </c>
      <c r="G342" s="9">
        <v>340</v>
      </c>
      <c r="H342" s="9" t="str">
        <f t="shared" si="12"/>
        <v>16-52-340</v>
      </c>
      <c r="I342" s="14" t="str">
        <f t="shared" si="13"/>
        <v>TERMICO TRIFASICO EPB63M4C20 4P-C20  (MAXGE)</v>
      </c>
      <c r="J342" s="11" t="s">
        <v>10</v>
      </c>
      <c r="K342" s="44" t="s">
        <v>111</v>
      </c>
      <c r="L342" s="10"/>
    </row>
    <row r="343" spans="1:12" ht="28.8" x14ac:dyDescent="0.3">
      <c r="A343" s="6">
        <f t="shared" si="7"/>
        <v>342</v>
      </c>
      <c r="B343" s="6"/>
      <c r="C343" s="6"/>
      <c r="D343" s="8" t="s">
        <v>301</v>
      </c>
      <c r="E343" s="9">
        <v>16</v>
      </c>
      <c r="F343" s="9">
        <v>52</v>
      </c>
      <c r="G343" s="9">
        <v>341</v>
      </c>
      <c r="H343" s="9" t="str">
        <f t="shared" si="12"/>
        <v>16-52-341</v>
      </c>
      <c r="I343" s="14" t="str">
        <f t="shared" si="13"/>
        <v>TERMICO TRIFASICO EPB63M4C16 4P-C16  (MAXGE)</v>
      </c>
      <c r="J343" s="11" t="s">
        <v>10</v>
      </c>
      <c r="K343" s="44" t="s">
        <v>111</v>
      </c>
      <c r="L343" s="10"/>
    </row>
    <row r="344" spans="1:12" ht="28.8" x14ac:dyDescent="0.3">
      <c r="A344" s="6">
        <f t="shared" si="7"/>
        <v>343</v>
      </c>
      <c r="B344" s="6"/>
      <c r="C344" s="6"/>
      <c r="D344" s="8" t="s">
        <v>305</v>
      </c>
      <c r="E344" s="9">
        <v>16</v>
      </c>
      <c r="F344" s="9">
        <v>62</v>
      </c>
      <c r="G344" s="9">
        <v>342</v>
      </c>
      <c r="H344" s="9" t="str">
        <f t="shared" si="12"/>
        <v>16-62-342</v>
      </c>
      <c r="I344" s="14" t="str">
        <f t="shared" si="13"/>
        <v>MAGNETO 4P-25A</v>
      </c>
      <c r="J344" s="11" t="s">
        <v>10</v>
      </c>
      <c r="K344" s="44" t="s">
        <v>111</v>
      </c>
      <c r="L344" s="10"/>
    </row>
    <row r="345" spans="1:12" ht="28.8" x14ac:dyDescent="0.3">
      <c r="A345" s="6">
        <f t="shared" si="7"/>
        <v>344</v>
      </c>
      <c r="B345" s="6"/>
      <c r="C345" s="6"/>
      <c r="D345" s="8" t="s">
        <v>306</v>
      </c>
      <c r="E345" s="9">
        <v>16</v>
      </c>
      <c r="F345" s="9">
        <v>52</v>
      </c>
      <c r="G345" s="9">
        <v>343</v>
      </c>
      <c r="H345" s="9" t="str">
        <f t="shared" si="12"/>
        <v>16-52-343</v>
      </c>
      <c r="I345" s="14" t="str">
        <f t="shared" si="13"/>
        <v>TERMICO EPBE63M1NC20 1P+N C20 (MAXGE)</v>
      </c>
      <c r="J345" s="11" t="s">
        <v>10</v>
      </c>
      <c r="K345" s="44" t="s">
        <v>111</v>
      </c>
      <c r="L345" s="10"/>
    </row>
    <row r="346" spans="1:12" ht="28.8" x14ac:dyDescent="0.3">
      <c r="A346" s="6">
        <f t="shared" si="7"/>
        <v>345</v>
      </c>
      <c r="B346" s="6"/>
      <c r="C346" s="6"/>
      <c r="D346" s="8" t="s">
        <v>307</v>
      </c>
      <c r="E346" s="9">
        <v>16</v>
      </c>
      <c r="F346" s="9">
        <v>56</v>
      </c>
      <c r="G346" s="9">
        <v>344</v>
      </c>
      <c r="H346" s="9" t="str">
        <f t="shared" si="12"/>
        <v>16-56-344</v>
      </c>
      <c r="I346" s="14" t="str">
        <f t="shared" si="13"/>
        <v>METER TRIFASICO DTSU666 230/400Vac (CHINT)</v>
      </c>
      <c r="J346" s="11" t="s">
        <v>10</v>
      </c>
      <c r="K346" s="44" t="s">
        <v>111</v>
      </c>
      <c r="L346" s="10"/>
    </row>
    <row r="347" spans="1:12" ht="28.8" x14ac:dyDescent="0.3">
      <c r="A347" s="6">
        <f t="shared" si="7"/>
        <v>346</v>
      </c>
      <c r="B347" s="6"/>
      <c r="C347" s="6"/>
      <c r="D347" s="8" t="s">
        <v>308</v>
      </c>
      <c r="E347" s="9">
        <v>16</v>
      </c>
      <c r="F347" s="9">
        <v>56</v>
      </c>
      <c r="G347" s="9">
        <v>345</v>
      </c>
      <c r="H347" s="9" t="str">
        <f t="shared" si="12"/>
        <v>16-56-345</v>
      </c>
      <c r="I347" s="14" t="str">
        <f t="shared" si="13"/>
        <v>METER TRIFASICO SDM630 V2 MID 230/400Vac (STROMZAHLER)</v>
      </c>
      <c r="J347" s="11" t="s">
        <v>10</v>
      </c>
      <c r="K347" s="44" t="s">
        <v>111</v>
      </c>
      <c r="L347" s="10"/>
    </row>
    <row r="348" spans="1:12" ht="28.8" x14ac:dyDescent="0.3">
      <c r="A348" s="6">
        <f t="shared" si="7"/>
        <v>347</v>
      </c>
      <c r="B348" s="6"/>
      <c r="C348" s="6"/>
      <c r="D348" s="8" t="s">
        <v>317</v>
      </c>
      <c r="E348" s="9">
        <v>16</v>
      </c>
      <c r="F348" s="9">
        <v>16</v>
      </c>
      <c r="G348" s="9">
        <v>346</v>
      </c>
      <c r="H348" s="9" t="str">
        <f t="shared" si="12"/>
        <v>16-16-346</v>
      </c>
      <c r="I348" s="14" t="str">
        <f t="shared" si="13"/>
        <v>REGLETA CONEXIÓN ELECTRICA 10mm NEGRA X12</v>
      </c>
      <c r="J348" s="11" t="s">
        <v>10</v>
      </c>
      <c r="K348" s="44" t="s">
        <v>59</v>
      </c>
      <c r="L348" s="10"/>
    </row>
    <row r="349" spans="1:12" ht="28.8" x14ac:dyDescent="0.3">
      <c r="A349" s="6">
        <f t="shared" si="7"/>
        <v>348</v>
      </c>
      <c r="B349" s="6"/>
      <c r="C349" s="6"/>
      <c r="D349" s="8" t="s">
        <v>318</v>
      </c>
      <c r="E349" s="9">
        <v>16</v>
      </c>
      <c r="F349" s="9">
        <v>16</v>
      </c>
      <c r="G349" s="9">
        <v>347</v>
      </c>
      <c r="H349" s="9" t="str">
        <f t="shared" ref="H349:H357" si="14">CONCATENATE(E349,"-",F349,"-",G349)</f>
        <v>16-16-347</v>
      </c>
      <c r="I349" s="14" t="str">
        <f t="shared" ref="I349:I357" si="15">+D349</f>
        <v>REGLETA CONEXIÓN ELECTRICA 6mm NEGRA X12</v>
      </c>
      <c r="J349" s="11" t="s">
        <v>10</v>
      </c>
      <c r="K349" s="44" t="s">
        <v>59</v>
      </c>
      <c r="L349" s="10"/>
    </row>
    <row r="350" spans="1:12" ht="28.8" x14ac:dyDescent="0.3">
      <c r="A350" s="6">
        <f t="shared" si="7"/>
        <v>349</v>
      </c>
      <c r="B350" s="6"/>
      <c r="C350" s="6"/>
      <c r="D350" s="8" t="s">
        <v>319</v>
      </c>
      <c r="E350" s="9">
        <v>16</v>
      </c>
      <c r="F350" s="9">
        <v>16</v>
      </c>
      <c r="G350" s="9">
        <v>348</v>
      </c>
      <c r="H350" s="9" t="str">
        <f t="shared" si="14"/>
        <v>16-16-348</v>
      </c>
      <c r="I350" s="14" t="str">
        <f t="shared" si="15"/>
        <v>REGLETA CONEXIÓN ELECTRICA 25mm NEGRA X12</v>
      </c>
      <c r="J350" s="11" t="s">
        <v>10</v>
      </c>
      <c r="K350" s="44" t="s">
        <v>59</v>
      </c>
      <c r="L350" s="10"/>
    </row>
    <row r="351" spans="1:12" ht="28.8" x14ac:dyDescent="0.3">
      <c r="A351" s="6">
        <f t="shared" si="7"/>
        <v>350</v>
      </c>
      <c r="B351" s="6"/>
      <c r="C351" s="6"/>
      <c r="D351" s="8" t="s">
        <v>337</v>
      </c>
      <c r="E351" s="9">
        <v>16</v>
      </c>
      <c r="F351" s="9">
        <v>47</v>
      </c>
      <c r="G351" s="9">
        <v>349</v>
      </c>
      <c r="H351" s="9" t="str">
        <f t="shared" si="14"/>
        <v>16-47-349</v>
      </c>
      <c r="I351" s="14" t="str">
        <f t="shared" si="15"/>
        <v>DIFERENCIAL TRIFASICO TIPO A/C 4P-40A-30mA (AEG)</v>
      </c>
      <c r="J351" s="11" t="s">
        <v>10</v>
      </c>
      <c r="K351" s="44" t="s">
        <v>111</v>
      </c>
      <c r="L351" s="10"/>
    </row>
    <row r="352" spans="1:12" ht="28.8" x14ac:dyDescent="0.3">
      <c r="A352" s="6">
        <f t="shared" si="7"/>
        <v>351</v>
      </c>
      <c r="B352" s="6"/>
      <c r="C352" s="6"/>
      <c r="D352" s="8" t="s">
        <v>320</v>
      </c>
      <c r="E352" s="9">
        <v>16</v>
      </c>
      <c r="F352" s="9">
        <v>52</v>
      </c>
      <c r="G352" s="9">
        <v>350</v>
      </c>
      <c r="H352" s="9" t="str">
        <f t="shared" si="14"/>
        <v>16-52-350</v>
      </c>
      <c r="I352" s="14" t="str">
        <f t="shared" si="15"/>
        <v>TERMICO EPBE63M1NC20 1P+N C20A 6KA (MAXGE)</v>
      </c>
      <c r="J352" s="11" t="s">
        <v>10</v>
      </c>
      <c r="K352" s="44" t="s">
        <v>111</v>
      </c>
      <c r="L352" s="10"/>
    </row>
    <row r="353" spans="1:12" ht="28.8" x14ac:dyDescent="0.3">
      <c r="A353" s="6">
        <f t="shared" si="7"/>
        <v>352</v>
      </c>
      <c r="B353" s="6"/>
      <c r="C353" s="6"/>
      <c r="D353" s="8" t="s">
        <v>336</v>
      </c>
      <c r="E353" s="9">
        <v>16</v>
      </c>
      <c r="F353" s="9">
        <v>52</v>
      </c>
      <c r="G353" s="9">
        <v>351</v>
      </c>
      <c r="H353" s="9" t="str">
        <f t="shared" si="14"/>
        <v>16-52-351</v>
      </c>
      <c r="I353" s="14" t="str">
        <f t="shared" si="15"/>
        <v>TERMICO LIMITADOR ICP-M C32 20A (MERLIN GERIN)</v>
      </c>
      <c r="J353" s="11" t="s">
        <v>10</v>
      </c>
      <c r="K353" s="44" t="s">
        <v>111</v>
      </c>
      <c r="L353" s="10"/>
    </row>
    <row r="354" spans="1:12" ht="28.8" x14ac:dyDescent="0.3">
      <c r="A354" s="6">
        <f t="shared" si="7"/>
        <v>353</v>
      </c>
      <c r="B354" s="6"/>
      <c r="C354" s="6"/>
      <c r="D354" s="8" t="s">
        <v>321</v>
      </c>
      <c r="E354" s="9">
        <v>16</v>
      </c>
      <c r="F354" s="9">
        <v>52</v>
      </c>
      <c r="G354" s="9">
        <v>352</v>
      </c>
      <c r="H354" s="9" t="str">
        <f t="shared" si="14"/>
        <v>16-52-352</v>
      </c>
      <c r="I354" s="14" t="str">
        <f t="shared" si="15"/>
        <v>TERMICO NDT C20 (CRADY)</v>
      </c>
      <c r="J354" s="11" t="s">
        <v>10</v>
      </c>
      <c r="K354" s="44" t="s">
        <v>111</v>
      </c>
      <c r="L354" s="10"/>
    </row>
    <row r="355" spans="1:12" ht="28.8" x14ac:dyDescent="0.3">
      <c r="A355" s="6">
        <f t="shared" si="7"/>
        <v>354</v>
      </c>
      <c r="B355" s="6"/>
      <c r="C355" s="6"/>
      <c r="D355" s="8" t="s">
        <v>322</v>
      </c>
      <c r="E355" s="9">
        <v>16</v>
      </c>
      <c r="F355" s="9">
        <v>52</v>
      </c>
      <c r="G355" s="9">
        <v>353</v>
      </c>
      <c r="H355" s="9" t="str">
        <f t="shared" si="14"/>
        <v>16-52-353</v>
      </c>
      <c r="I355" s="14" t="str">
        <f t="shared" si="15"/>
        <v>TERMICO RX3 C20 (LEGRAND)</v>
      </c>
      <c r="J355" s="11" t="s">
        <v>10</v>
      </c>
      <c r="K355" s="44" t="s">
        <v>111</v>
      </c>
      <c r="L355" s="10"/>
    </row>
    <row r="356" spans="1:12" ht="28.8" x14ac:dyDescent="0.3">
      <c r="A356" s="6">
        <f t="shared" si="7"/>
        <v>355</v>
      </c>
      <c r="B356" s="6"/>
      <c r="C356" s="6"/>
      <c r="D356" s="8" t="s">
        <v>323</v>
      </c>
      <c r="E356" s="9">
        <v>16</v>
      </c>
      <c r="F356" s="9">
        <v>52</v>
      </c>
      <c r="G356" s="9">
        <v>354</v>
      </c>
      <c r="H356" s="9" t="str">
        <f t="shared" si="14"/>
        <v>16-52-354</v>
      </c>
      <c r="I356" s="14" t="str">
        <f t="shared" si="15"/>
        <v>TERMICO RX3 C25 (LEGRAND)</v>
      </c>
      <c r="J356" s="11" t="s">
        <v>10</v>
      </c>
      <c r="K356" s="44" t="s">
        <v>111</v>
      </c>
      <c r="L356" s="10"/>
    </row>
    <row r="357" spans="1:12" ht="28.8" x14ac:dyDescent="0.3">
      <c r="A357" s="6">
        <f t="shared" si="7"/>
        <v>356</v>
      </c>
      <c r="B357" s="6"/>
      <c r="C357" s="6"/>
      <c r="D357" s="8" t="s">
        <v>324</v>
      </c>
      <c r="E357" s="9">
        <v>16</v>
      </c>
      <c r="F357" s="9">
        <v>52</v>
      </c>
      <c r="G357" s="9">
        <v>355</v>
      </c>
      <c r="H357" s="9" t="str">
        <f t="shared" si="14"/>
        <v>16-52-355</v>
      </c>
      <c r="I357" s="14" t="str">
        <f t="shared" si="15"/>
        <v>TERMICO TRIFASICO EP64 - C16  (GE)</v>
      </c>
      <c r="J357" s="11" t="s">
        <v>10</v>
      </c>
      <c r="K357" s="44" t="s">
        <v>111</v>
      </c>
      <c r="L357" s="10"/>
    </row>
    <row r="358" spans="1:12" ht="28.8" x14ac:dyDescent="0.3">
      <c r="A358" s="6">
        <f t="shared" si="7"/>
        <v>357</v>
      </c>
      <c r="B358" s="6"/>
      <c r="C358" s="6"/>
      <c r="D358" s="8" t="s">
        <v>325</v>
      </c>
      <c r="E358" s="9">
        <v>16</v>
      </c>
      <c r="F358" s="9">
        <v>52</v>
      </c>
      <c r="G358" s="9">
        <v>356</v>
      </c>
      <c r="H358" s="9" t="str">
        <f t="shared" ref="H358:H365" si="16">CONCATENATE(E358,"-",F358,"-",G358)</f>
        <v>16-52-356</v>
      </c>
      <c r="I358" s="14" t="str">
        <f t="shared" ref="I358:I365" si="17">+D358</f>
        <v>TERMICO TRIFASICO EP64 - C20  (GE)</v>
      </c>
      <c r="J358" s="11" t="s">
        <v>10</v>
      </c>
      <c r="K358" s="44" t="s">
        <v>111</v>
      </c>
      <c r="L358" s="10"/>
    </row>
    <row r="359" spans="1:12" ht="43.2" x14ac:dyDescent="0.3">
      <c r="A359" s="6">
        <f t="shared" si="7"/>
        <v>358</v>
      </c>
      <c r="B359" s="6"/>
      <c r="C359" s="6"/>
      <c r="D359" s="8" t="s">
        <v>326</v>
      </c>
      <c r="E359" s="9">
        <v>16</v>
      </c>
      <c r="F359" s="9">
        <v>63</v>
      </c>
      <c r="G359" s="9">
        <v>357</v>
      </c>
      <c r="H359" s="9" t="str">
        <f t="shared" si="16"/>
        <v>16-63-357</v>
      </c>
      <c r="I359" s="14" t="str">
        <f t="shared" si="17"/>
        <v>TORO IDAL CURRENT TRANSFORMER 100A:50mA For MULTIPLUS-II (VICTRON ENERGY)</v>
      </c>
      <c r="J359" s="11" t="s">
        <v>10</v>
      </c>
      <c r="K359" s="44"/>
      <c r="L359" s="10"/>
    </row>
    <row r="360" spans="1:12" x14ac:dyDescent="0.3">
      <c r="A360" s="6">
        <f t="shared" si="7"/>
        <v>359</v>
      </c>
      <c r="B360" s="6"/>
      <c r="C360" s="6"/>
      <c r="D360" s="8" t="s">
        <v>330</v>
      </c>
      <c r="E360" s="9">
        <v>8</v>
      </c>
      <c r="F360" s="9">
        <v>64</v>
      </c>
      <c r="G360" s="9">
        <v>358</v>
      </c>
      <c r="H360" s="9" t="str">
        <f t="shared" si="16"/>
        <v>8-64-358</v>
      </c>
      <c r="I360" s="14" t="str">
        <f t="shared" si="17"/>
        <v>BARILLA ROSCADA M8 A/GALV X1000</v>
      </c>
      <c r="J360" s="11" t="s">
        <v>10</v>
      </c>
      <c r="K360" s="44" t="s">
        <v>59</v>
      </c>
      <c r="L360" s="10"/>
    </row>
    <row r="361" spans="1:12" x14ac:dyDescent="0.3">
      <c r="A361" s="6">
        <f t="shared" si="7"/>
        <v>360</v>
      </c>
      <c r="B361" s="6"/>
      <c r="C361" s="6"/>
      <c r="D361" s="8" t="s">
        <v>468</v>
      </c>
      <c r="E361" s="9">
        <v>16</v>
      </c>
      <c r="F361" s="9">
        <v>52</v>
      </c>
      <c r="G361" s="9">
        <v>359</v>
      </c>
      <c r="H361" s="9" t="str">
        <f t="shared" si="16"/>
        <v>16-52-359</v>
      </c>
      <c r="I361" s="14" t="str">
        <f t="shared" si="17"/>
        <v>TERMICO MONOFASICO 230V C16</v>
      </c>
      <c r="J361" s="11" t="s">
        <v>10</v>
      </c>
      <c r="K361" s="44"/>
      <c r="L361" s="10"/>
    </row>
    <row r="362" spans="1:12" ht="28.8" x14ac:dyDescent="0.3">
      <c r="A362" s="6">
        <f t="shared" si="7"/>
        <v>361</v>
      </c>
      <c r="B362" s="6"/>
      <c r="C362" s="6"/>
      <c r="D362" s="8" t="s">
        <v>340</v>
      </c>
      <c r="E362" s="9">
        <v>16</v>
      </c>
      <c r="F362" s="9">
        <v>63</v>
      </c>
      <c r="G362" s="9">
        <v>360</v>
      </c>
      <c r="H362" s="9" t="str">
        <f t="shared" si="16"/>
        <v>16-63-360</v>
      </c>
      <c r="I362" s="14" t="str">
        <f t="shared" si="17"/>
        <v>TORO IDAL MONOFASICO 100A/5mA (HUAWEI)</v>
      </c>
      <c r="J362" s="11" t="s">
        <v>10</v>
      </c>
      <c r="K362" s="44"/>
      <c r="L362" s="10"/>
    </row>
    <row r="363" spans="1:12" ht="28.8" x14ac:dyDescent="0.3">
      <c r="A363" s="6">
        <f t="shared" si="7"/>
        <v>362</v>
      </c>
      <c r="B363" s="6"/>
      <c r="C363" s="6"/>
      <c r="D363" s="8" t="s">
        <v>341</v>
      </c>
      <c r="E363" s="9">
        <v>16</v>
      </c>
      <c r="F363" s="9">
        <v>63</v>
      </c>
      <c r="G363" s="9">
        <v>361</v>
      </c>
      <c r="H363" s="9" t="str">
        <f t="shared" si="16"/>
        <v>16-63-361</v>
      </c>
      <c r="I363" s="14" t="str">
        <f t="shared" si="17"/>
        <v>TORO IDAL TRIFASICO 250A/5mA (HUAWEI)</v>
      </c>
      <c r="J363" s="11" t="s">
        <v>10</v>
      </c>
      <c r="K363" s="44"/>
      <c r="L363" s="10"/>
    </row>
    <row r="364" spans="1:12" x14ac:dyDescent="0.3">
      <c r="A364" s="6">
        <f t="shared" si="7"/>
        <v>363</v>
      </c>
      <c r="B364" s="6"/>
      <c r="C364" s="6"/>
      <c r="D364" s="8" t="s">
        <v>342</v>
      </c>
      <c r="E364" s="9">
        <v>16</v>
      </c>
      <c r="F364" s="9">
        <v>63</v>
      </c>
      <c r="G364" s="9">
        <v>362</v>
      </c>
      <c r="H364" s="9" t="str">
        <f t="shared" si="16"/>
        <v>16-63-362</v>
      </c>
      <c r="I364" s="14" t="str">
        <f t="shared" si="17"/>
        <v>TORO IDAL 100A/50mA</v>
      </c>
      <c r="J364" s="11" t="s">
        <v>10</v>
      </c>
      <c r="K364" s="44"/>
      <c r="L364" s="10"/>
    </row>
    <row r="365" spans="1:12" x14ac:dyDescent="0.3">
      <c r="A365" s="6">
        <f t="shared" si="7"/>
        <v>364</v>
      </c>
      <c r="B365" s="6"/>
      <c r="C365" s="6"/>
      <c r="D365" s="8" t="s">
        <v>343</v>
      </c>
      <c r="E365" s="9">
        <v>16</v>
      </c>
      <c r="F365" s="9">
        <v>63</v>
      </c>
      <c r="G365" s="9">
        <v>363</v>
      </c>
      <c r="H365" s="9" t="str">
        <f t="shared" si="16"/>
        <v>16-63-363</v>
      </c>
      <c r="I365" s="14" t="str">
        <f t="shared" si="17"/>
        <v>TORO IDAL 100A/40mA</v>
      </c>
      <c r="J365" s="11" t="s">
        <v>10</v>
      </c>
      <c r="K365" s="44"/>
      <c r="L365" s="10"/>
    </row>
    <row r="366" spans="1:12" x14ac:dyDescent="0.3">
      <c r="A366" s="6">
        <f t="shared" si="7"/>
        <v>365</v>
      </c>
      <c r="B366" s="6"/>
      <c r="C366" s="6"/>
      <c r="D366" s="8" t="s">
        <v>344</v>
      </c>
      <c r="E366" s="9">
        <v>16</v>
      </c>
      <c r="F366" s="9">
        <v>63</v>
      </c>
      <c r="G366" s="9">
        <v>364</v>
      </c>
      <c r="H366" s="9" t="str">
        <f t="shared" ref="H366:H371" si="18">CONCATENATE(E366,"-",F366,"-",G366)</f>
        <v>16-63-364</v>
      </c>
      <c r="I366" s="14" t="str">
        <f t="shared" ref="I366:I371" si="19">+D366</f>
        <v>TORO IDAL 250A/5A (LOVATO)</v>
      </c>
      <c r="J366" s="11" t="s">
        <v>10</v>
      </c>
      <c r="K366" s="44"/>
      <c r="L366" s="10"/>
    </row>
    <row r="367" spans="1:12" x14ac:dyDescent="0.3">
      <c r="A367" s="6">
        <f t="shared" si="7"/>
        <v>366</v>
      </c>
      <c r="B367" s="6"/>
      <c r="C367" s="6"/>
      <c r="D367" s="8" t="s">
        <v>345</v>
      </c>
      <c r="E367" s="9">
        <v>16</v>
      </c>
      <c r="F367" s="9">
        <v>63</v>
      </c>
      <c r="G367" s="9">
        <v>365</v>
      </c>
      <c r="H367" s="9" t="str">
        <f t="shared" si="18"/>
        <v>16-63-365</v>
      </c>
      <c r="I367" s="14" t="str">
        <f t="shared" si="19"/>
        <v>TORO IDAL 200A/5A (LOVATO)</v>
      </c>
      <c r="J367" s="11" t="s">
        <v>10</v>
      </c>
      <c r="K367" s="44"/>
      <c r="L367" s="10"/>
    </row>
    <row r="368" spans="1:12" x14ac:dyDescent="0.3">
      <c r="A368" s="6">
        <f t="shared" si="7"/>
        <v>367</v>
      </c>
      <c r="B368" s="6"/>
      <c r="C368" s="6"/>
      <c r="D368" s="8" t="s">
        <v>346</v>
      </c>
      <c r="E368" s="9">
        <v>16</v>
      </c>
      <c r="F368" s="9">
        <v>63</v>
      </c>
      <c r="G368" s="9">
        <v>366</v>
      </c>
      <c r="H368" s="9" t="str">
        <f t="shared" si="18"/>
        <v>16-63-366</v>
      </c>
      <c r="I368" s="14" t="str">
        <f t="shared" si="19"/>
        <v>TORO IDAL 400A/5A (SACI)</v>
      </c>
      <c r="J368" s="11" t="s">
        <v>10</v>
      </c>
      <c r="K368" s="44"/>
      <c r="L368" s="10"/>
    </row>
    <row r="369" spans="1:12" x14ac:dyDescent="0.3">
      <c r="A369" s="6">
        <f t="shared" si="7"/>
        <v>368</v>
      </c>
      <c r="B369" s="6"/>
      <c r="C369" s="6"/>
      <c r="D369" s="8" t="s">
        <v>347</v>
      </c>
      <c r="E369" s="9">
        <v>16</v>
      </c>
      <c r="F369" s="9">
        <v>63</v>
      </c>
      <c r="G369" s="9">
        <v>367</v>
      </c>
      <c r="H369" s="9" t="str">
        <f t="shared" si="18"/>
        <v>16-63-367</v>
      </c>
      <c r="I369" s="14" t="str">
        <f t="shared" si="19"/>
        <v>TORO IDAL 600A/5A (SACI)</v>
      </c>
      <c r="J369" s="11" t="s">
        <v>10</v>
      </c>
      <c r="K369" s="44"/>
      <c r="L369" s="10"/>
    </row>
    <row r="370" spans="1:12" ht="28.8" x14ac:dyDescent="0.3">
      <c r="A370" s="6">
        <f t="shared" si="7"/>
        <v>369</v>
      </c>
      <c r="B370" s="6"/>
      <c r="C370" s="6"/>
      <c r="D370" s="8" t="s">
        <v>348</v>
      </c>
      <c r="E370" s="9">
        <v>16</v>
      </c>
      <c r="F370" s="9">
        <v>63</v>
      </c>
      <c r="G370" s="9">
        <v>368</v>
      </c>
      <c r="H370" s="9" t="str">
        <f t="shared" si="18"/>
        <v>16-63-368</v>
      </c>
      <c r="I370" s="14" t="str">
        <f t="shared" si="19"/>
        <v>TORO IDAL CT-100 P/MICROINVERSORES (ENPHASE)</v>
      </c>
      <c r="J370" s="11" t="s">
        <v>10</v>
      </c>
      <c r="K370" s="44"/>
      <c r="L370" s="10"/>
    </row>
    <row r="371" spans="1:12" x14ac:dyDescent="0.3">
      <c r="A371" s="6">
        <f t="shared" si="7"/>
        <v>370</v>
      </c>
      <c r="B371" s="6"/>
      <c r="C371" s="6"/>
      <c r="D371" s="8" t="s">
        <v>352</v>
      </c>
      <c r="E371" s="9">
        <v>16</v>
      </c>
      <c r="F371" s="9">
        <v>33</v>
      </c>
      <c r="G371" s="9">
        <v>369</v>
      </c>
      <c r="H371" s="9" t="str">
        <f t="shared" si="18"/>
        <v>16-33-369</v>
      </c>
      <c r="I371" s="14" t="str">
        <f t="shared" si="19"/>
        <v>OPTIMIZADOR TS4-A-O (TIGO)</v>
      </c>
      <c r="J371" s="11" t="s">
        <v>10</v>
      </c>
      <c r="K371" s="44"/>
      <c r="L371" s="10"/>
    </row>
    <row r="372" spans="1:12" x14ac:dyDescent="0.3">
      <c r="A372" s="6">
        <f>+A371+1</f>
        <v>371</v>
      </c>
      <c r="B372" s="6"/>
      <c r="C372" s="6"/>
      <c r="D372" s="8" t="s">
        <v>354</v>
      </c>
      <c r="E372" s="9">
        <v>16</v>
      </c>
      <c r="F372" s="9">
        <v>65</v>
      </c>
      <c r="G372" s="9">
        <f>+G371+1</f>
        <v>370</v>
      </c>
      <c r="H372" s="9" t="str">
        <f t="shared" ref="H372:H431" si="20">CONCATENATE(E372,"-",F372,"-",G372)</f>
        <v>16-65-370</v>
      </c>
      <c r="I372" s="14" t="str">
        <f t="shared" ref="I372:I431" si="21">+D372</f>
        <v>ANTENA LSW-3 (IGEN)</v>
      </c>
      <c r="J372" s="11" t="s">
        <v>10</v>
      </c>
      <c r="K372" s="44"/>
      <c r="L372" s="10"/>
    </row>
    <row r="373" spans="1:12" x14ac:dyDescent="0.3">
      <c r="A373" s="6">
        <f t="shared" ref="A373:A436" si="22">+A372+1</f>
        <v>372</v>
      </c>
      <c r="B373" s="6"/>
      <c r="C373" s="6"/>
      <c r="D373" s="8" t="s">
        <v>356</v>
      </c>
      <c r="E373" s="9">
        <v>16</v>
      </c>
      <c r="F373" s="9">
        <v>55</v>
      </c>
      <c r="G373" s="9">
        <f t="shared" ref="G373:G387" si="23">+G372+1</f>
        <v>371</v>
      </c>
      <c r="H373" s="9" t="str">
        <f t="shared" si="20"/>
        <v>16-55-371</v>
      </c>
      <c r="I373" s="14" t="str">
        <f t="shared" si="21"/>
        <v>MEDIDOR ESM1-EQX (SALICRU)</v>
      </c>
      <c r="J373" s="11" t="s">
        <v>10</v>
      </c>
      <c r="K373" s="44"/>
      <c r="L373" s="10"/>
    </row>
    <row r="374" spans="1:12" x14ac:dyDescent="0.3">
      <c r="A374" s="6">
        <f t="shared" si="22"/>
        <v>373</v>
      </c>
      <c r="B374" s="6"/>
      <c r="C374" s="6"/>
      <c r="D374" s="8" t="s">
        <v>357</v>
      </c>
      <c r="E374" s="9">
        <v>16</v>
      </c>
      <c r="F374" s="9">
        <v>13</v>
      </c>
      <c r="G374" s="9">
        <f t="shared" si="23"/>
        <v>372</v>
      </c>
      <c r="H374" s="9" t="str">
        <f t="shared" si="20"/>
        <v>16-13-372</v>
      </c>
      <c r="I374" s="14" t="str">
        <f t="shared" si="21"/>
        <v>KIT CABLE BATERIA ARK</v>
      </c>
      <c r="J374" s="11" t="s">
        <v>10</v>
      </c>
      <c r="K374" s="44"/>
      <c r="L374" s="10"/>
    </row>
    <row r="375" spans="1:12" x14ac:dyDescent="0.3">
      <c r="A375" s="6">
        <f t="shared" si="22"/>
        <v>374</v>
      </c>
      <c r="B375" s="6"/>
      <c r="C375" s="6"/>
      <c r="D375" s="8" t="s">
        <v>358</v>
      </c>
      <c r="E375" s="9">
        <v>16</v>
      </c>
      <c r="F375" s="9">
        <v>63</v>
      </c>
      <c r="G375" s="9">
        <f t="shared" si="23"/>
        <v>373</v>
      </c>
      <c r="H375" s="9" t="str">
        <f t="shared" si="20"/>
        <v>16-63-373</v>
      </c>
      <c r="I375" s="14" t="str">
        <f t="shared" si="21"/>
        <v>TORO IDAL 90A SPH (LEM)</v>
      </c>
      <c r="J375" s="11" t="s">
        <v>10</v>
      </c>
      <c r="K375" s="44"/>
      <c r="L375" s="10"/>
    </row>
    <row r="376" spans="1:12" ht="28.8" x14ac:dyDescent="0.3">
      <c r="A376" s="6">
        <f t="shared" si="22"/>
        <v>375</v>
      </c>
      <c r="B376" s="6"/>
      <c r="C376" s="6"/>
      <c r="D376" s="8" t="s">
        <v>363</v>
      </c>
      <c r="E376" s="9">
        <v>16</v>
      </c>
      <c r="F376" s="9">
        <v>55</v>
      </c>
      <c r="G376" s="9">
        <f t="shared" si="23"/>
        <v>374</v>
      </c>
      <c r="H376" s="9" t="str">
        <f t="shared" si="20"/>
        <v>16-55-374</v>
      </c>
      <c r="I376" s="14" t="str">
        <f t="shared" si="21"/>
        <v>MEDIDOR FRONIUS SMART METER TRIFASICO M/INDIRECTA</v>
      </c>
      <c r="J376" s="11" t="s">
        <v>10</v>
      </c>
      <c r="K376" s="44"/>
      <c r="L376" s="10"/>
    </row>
    <row r="377" spans="1:12" ht="28.8" x14ac:dyDescent="0.3">
      <c r="A377" s="6">
        <f t="shared" si="22"/>
        <v>376</v>
      </c>
      <c r="B377" s="6"/>
      <c r="C377" s="6"/>
      <c r="D377" s="8" t="s">
        <v>364</v>
      </c>
      <c r="E377" s="9">
        <v>16</v>
      </c>
      <c r="F377" s="9">
        <v>55</v>
      </c>
      <c r="G377" s="9">
        <f t="shared" si="23"/>
        <v>375</v>
      </c>
      <c r="H377" s="9" t="str">
        <f t="shared" si="20"/>
        <v>16-55-375</v>
      </c>
      <c r="I377" s="14" t="str">
        <f t="shared" si="21"/>
        <v>MEDIDOR FRONIUS 63A-1 MONOFASICO M/DIRECTA</v>
      </c>
      <c r="J377" s="11" t="s">
        <v>10</v>
      </c>
      <c r="K377" s="44"/>
      <c r="L377" s="10"/>
    </row>
    <row r="378" spans="1:12" ht="28.8" x14ac:dyDescent="0.3">
      <c r="A378" s="6">
        <f t="shared" si="22"/>
        <v>377</v>
      </c>
      <c r="B378" s="6"/>
      <c r="C378" s="6"/>
      <c r="D378" s="8" t="s">
        <v>365</v>
      </c>
      <c r="E378" s="9">
        <v>16</v>
      </c>
      <c r="F378" s="9">
        <v>55</v>
      </c>
      <c r="G378" s="9">
        <f t="shared" si="23"/>
        <v>376</v>
      </c>
      <c r="H378" s="9" t="str">
        <f t="shared" si="20"/>
        <v>16-55-376</v>
      </c>
      <c r="I378" s="14" t="str">
        <f t="shared" si="21"/>
        <v>MEDIDOR FRONIUS 63A TRIFASICO M/DIRECTA</v>
      </c>
      <c r="J378" s="11" t="s">
        <v>10</v>
      </c>
      <c r="K378" s="44"/>
      <c r="L378" s="10"/>
    </row>
    <row r="379" spans="1:12" ht="33" customHeight="1" x14ac:dyDescent="0.3">
      <c r="A379" s="6">
        <f t="shared" si="22"/>
        <v>378</v>
      </c>
      <c r="B379" s="6"/>
      <c r="C379" s="6"/>
      <c r="D379" s="8" t="s">
        <v>360</v>
      </c>
      <c r="E379" s="9">
        <v>16</v>
      </c>
      <c r="F379" s="9">
        <v>66</v>
      </c>
      <c r="G379" s="9">
        <f t="shared" si="23"/>
        <v>377</v>
      </c>
      <c r="H379" s="9" t="str">
        <f t="shared" si="20"/>
        <v>16-66-377</v>
      </c>
      <c r="I379" s="14" t="str">
        <f t="shared" si="21"/>
        <v>RELED DE RED Q-RELAY 3P-INT (ENPHASE)</v>
      </c>
      <c r="J379" s="11" t="s">
        <v>10</v>
      </c>
      <c r="K379" s="44"/>
      <c r="L379" s="10"/>
    </row>
    <row r="380" spans="1:12" ht="28.8" x14ac:dyDescent="0.3">
      <c r="A380" s="6">
        <f t="shared" si="22"/>
        <v>379</v>
      </c>
      <c r="B380" s="6"/>
      <c r="C380" s="6"/>
      <c r="D380" s="8" t="s">
        <v>361</v>
      </c>
      <c r="E380" s="9">
        <v>16</v>
      </c>
      <c r="F380" s="9">
        <v>13</v>
      </c>
      <c r="G380" s="9">
        <f t="shared" si="23"/>
        <v>378</v>
      </c>
      <c r="H380" s="9" t="str">
        <f t="shared" si="20"/>
        <v>16-13-378</v>
      </c>
      <c r="I380" s="14" t="str">
        <f t="shared" si="21"/>
        <v>KIT MEDIDOR TORO IDAL M/INDIRECTA (CHINT)</v>
      </c>
      <c r="J380" s="11" t="s">
        <v>10</v>
      </c>
      <c r="K380" s="44"/>
      <c r="L380" s="10"/>
    </row>
    <row r="381" spans="1:12" ht="28.8" x14ac:dyDescent="0.3">
      <c r="A381" s="6">
        <f t="shared" si="22"/>
        <v>380</v>
      </c>
      <c r="B381" s="6"/>
      <c r="C381" s="6"/>
      <c r="D381" s="8" t="s">
        <v>362</v>
      </c>
      <c r="E381" s="9">
        <v>16</v>
      </c>
      <c r="F381" s="9">
        <v>55</v>
      </c>
      <c r="G381" s="9">
        <f t="shared" si="23"/>
        <v>379</v>
      </c>
      <c r="H381" s="9" t="str">
        <f t="shared" si="20"/>
        <v>16-55-379</v>
      </c>
      <c r="I381" s="14" t="str">
        <f t="shared" si="21"/>
        <v>MEDIDOR MONOFASICO M/INDIRECTA (CHINT)</v>
      </c>
      <c r="J381" s="11" t="s">
        <v>10</v>
      </c>
      <c r="K381" s="44"/>
      <c r="L381" s="10"/>
    </row>
    <row r="382" spans="1:12" ht="28.8" x14ac:dyDescent="0.3">
      <c r="A382" s="6">
        <f t="shared" si="22"/>
        <v>381</v>
      </c>
      <c r="B382" s="6"/>
      <c r="C382" s="6"/>
      <c r="D382" s="8" t="s">
        <v>373</v>
      </c>
      <c r="E382" s="9">
        <v>16</v>
      </c>
      <c r="F382" s="9">
        <v>50</v>
      </c>
      <c r="G382" s="9">
        <f t="shared" si="23"/>
        <v>380</v>
      </c>
      <c r="H382" s="9" t="str">
        <f t="shared" si="20"/>
        <v>16-50-380</v>
      </c>
      <c r="I382" s="14" t="str">
        <f t="shared" si="21"/>
        <v>FUSIBLE 25A</v>
      </c>
      <c r="J382" s="11" t="s">
        <v>10</v>
      </c>
      <c r="K382" s="44" t="s">
        <v>111</v>
      </c>
      <c r="L382" s="10"/>
    </row>
    <row r="383" spans="1:12" ht="28.8" x14ac:dyDescent="0.3">
      <c r="A383" s="6">
        <f t="shared" si="22"/>
        <v>382</v>
      </c>
      <c r="B383" s="6"/>
      <c r="C383" s="6"/>
      <c r="D383" s="8" t="s">
        <v>375</v>
      </c>
      <c r="E383" s="9">
        <v>13</v>
      </c>
      <c r="F383" s="9">
        <v>67</v>
      </c>
      <c r="G383" s="9">
        <f t="shared" si="23"/>
        <v>381</v>
      </c>
      <c r="H383" s="9" t="str">
        <f t="shared" si="20"/>
        <v>13-67-381</v>
      </c>
      <c r="I383" s="14" t="str">
        <f t="shared" si="21"/>
        <v>CANALETA PLASTICA 40X40</v>
      </c>
      <c r="J383" s="11" t="s">
        <v>10</v>
      </c>
      <c r="K383" s="44" t="s">
        <v>111</v>
      </c>
      <c r="L383" s="10"/>
    </row>
    <row r="384" spans="1:12" ht="28.8" x14ac:dyDescent="0.3">
      <c r="A384" s="6">
        <f t="shared" si="22"/>
        <v>383</v>
      </c>
      <c r="B384" s="6"/>
      <c r="C384" s="6"/>
      <c r="D384" s="8" t="s">
        <v>376</v>
      </c>
      <c r="E384" s="9">
        <v>13</v>
      </c>
      <c r="F384" s="9">
        <v>67</v>
      </c>
      <c r="G384" s="9">
        <f t="shared" si="23"/>
        <v>382</v>
      </c>
      <c r="H384" s="9" t="str">
        <f t="shared" si="20"/>
        <v>13-67-382</v>
      </c>
      <c r="I384" s="14" t="str">
        <f t="shared" si="21"/>
        <v>CANALETA PLASTICA 60X40</v>
      </c>
      <c r="J384" s="11" t="s">
        <v>10</v>
      </c>
      <c r="K384" s="44" t="s">
        <v>111</v>
      </c>
      <c r="L384" s="10"/>
    </row>
    <row r="385" spans="1:12" x14ac:dyDescent="0.3">
      <c r="A385" s="6">
        <f t="shared" si="22"/>
        <v>384</v>
      </c>
      <c r="B385" s="6"/>
      <c r="C385" s="6"/>
      <c r="D385" s="8" t="s">
        <v>377</v>
      </c>
      <c r="E385" s="9">
        <v>16</v>
      </c>
      <c r="F385" s="9">
        <v>45</v>
      </c>
      <c r="G385" s="9">
        <f t="shared" si="23"/>
        <v>383</v>
      </c>
      <c r="H385" s="9" t="str">
        <f t="shared" si="20"/>
        <v>16-45-383</v>
      </c>
      <c r="I385" s="14" t="str">
        <f t="shared" si="21"/>
        <v xml:space="preserve">CAJA BLANCA P/BATERIA (DYNNES) </v>
      </c>
      <c r="J385" s="11" t="s">
        <v>10</v>
      </c>
      <c r="K385" s="44" t="s">
        <v>217</v>
      </c>
      <c r="L385" s="10"/>
    </row>
    <row r="386" spans="1:12" ht="28.8" x14ac:dyDescent="0.3">
      <c r="A386" s="6">
        <f t="shared" si="22"/>
        <v>385</v>
      </c>
      <c r="B386" s="6"/>
      <c r="C386" s="6"/>
      <c r="D386" s="8" t="s">
        <v>379</v>
      </c>
      <c r="E386" s="9">
        <v>7</v>
      </c>
      <c r="F386" s="9">
        <v>68</v>
      </c>
      <c r="G386" s="9">
        <f t="shared" si="23"/>
        <v>384</v>
      </c>
      <c r="H386" s="9" t="str">
        <f t="shared" si="20"/>
        <v>7-68-384</v>
      </c>
      <c r="I386" s="14" t="str">
        <f t="shared" si="21"/>
        <v>TECHO SIN ENVOLVENTE FWE12FT FONCOIL D/AGUA (DAIKIN)</v>
      </c>
      <c r="J386" s="11" t="s">
        <v>10</v>
      </c>
      <c r="K386" s="44" t="s">
        <v>380</v>
      </c>
      <c r="L386" s="10"/>
    </row>
    <row r="387" spans="1:12" ht="28.8" x14ac:dyDescent="0.3">
      <c r="A387" s="6">
        <f t="shared" si="22"/>
        <v>386</v>
      </c>
      <c r="B387" s="6"/>
      <c r="C387" s="6"/>
      <c r="D387" s="8" t="s">
        <v>382</v>
      </c>
      <c r="E387" s="9">
        <v>16</v>
      </c>
      <c r="F387" s="9">
        <v>69</v>
      </c>
      <c r="G387" s="9">
        <f t="shared" si="23"/>
        <v>385</v>
      </c>
      <c r="H387" s="9" t="str">
        <f t="shared" si="20"/>
        <v>16-69-385</v>
      </c>
      <c r="I387" s="14" t="str">
        <f t="shared" si="21"/>
        <v>TERMOSTATO ELECTRONICO FWEC1A FANCOIL (DAIKIN)</v>
      </c>
      <c r="J387" s="11" t="s">
        <v>10</v>
      </c>
      <c r="K387" s="44" t="s">
        <v>380</v>
      </c>
      <c r="L387" s="10"/>
    </row>
    <row r="388" spans="1:12" ht="28.8" x14ac:dyDescent="0.3">
      <c r="A388" s="6">
        <f t="shared" si="22"/>
        <v>387</v>
      </c>
      <c r="B388" s="6"/>
      <c r="C388" s="6"/>
      <c r="D388" s="8" t="s">
        <v>384</v>
      </c>
      <c r="E388" s="9">
        <v>16</v>
      </c>
      <c r="F388" s="9">
        <v>10</v>
      </c>
      <c r="G388" s="9">
        <v>386</v>
      </c>
      <c r="H388" s="9" t="str">
        <f t="shared" si="20"/>
        <v>16-10-386</v>
      </c>
      <c r="I388" s="14" t="str">
        <f t="shared" si="21"/>
        <v>VALVULA 3 VIAS 3/4 M-M 313134 P/FANCOIS (WATTS)</v>
      </c>
      <c r="J388" s="11" t="s">
        <v>10</v>
      </c>
      <c r="K388" s="44" t="s">
        <v>380</v>
      </c>
      <c r="L388" s="10"/>
    </row>
    <row r="389" spans="1:12" ht="28.8" x14ac:dyDescent="0.3">
      <c r="A389" s="6">
        <f t="shared" si="22"/>
        <v>388</v>
      </c>
      <c r="B389" s="6"/>
      <c r="C389" s="6"/>
      <c r="D389" s="8" t="s">
        <v>386</v>
      </c>
      <c r="E389" s="9">
        <v>16</v>
      </c>
      <c r="F389" s="9">
        <v>70</v>
      </c>
      <c r="G389" s="9">
        <v>387</v>
      </c>
      <c r="H389" s="9" t="str">
        <f t="shared" si="20"/>
        <v>16-70-387</v>
      </c>
      <c r="I389" s="14" t="str">
        <f t="shared" si="21"/>
        <v>ACTUADOR 230V PARA V/FANCOIL 22CX230NC2 (WATTS)</v>
      </c>
      <c r="J389" s="11" t="s">
        <v>10</v>
      </c>
      <c r="K389" s="44" t="s">
        <v>380</v>
      </c>
      <c r="L389" s="10"/>
    </row>
    <row r="390" spans="1:12" ht="61.2" customHeight="1" x14ac:dyDescent="0.3">
      <c r="A390" s="6">
        <f t="shared" si="22"/>
        <v>389</v>
      </c>
      <c r="B390" s="6"/>
      <c r="C390" s="6"/>
      <c r="D390" s="8" t="s">
        <v>387</v>
      </c>
      <c r="E390" s="9">
        <v>8</v>
      </c>
      <c r="F390" s="9">
        <v>27</v>
      </c>
      <c r="G390" s="9">
        <v>388</v>
      </c>
      <c r="H390" s="9" t="str">
        <f t="shared" si="20"/>
        <v>8-27-388</v>
      </c>
      <c r="I390" s="14" t="str">
        <f t="shared" si="21"/>
        <v>TORNILLO A/GALVANIZADO CON C/HEZAGONAL, R/COMPLETA, C/ARANDELA Y AUTOTALADRANTE 6.3X35</v>
      </c>
      <c r="J390" s="11" t="s">
        <v>10</v>
      </c>
      <c r="K390" s="44" t="s">
        <v>59</v>
      </c>
      <c r="L390" s="10"/>
    </row>
    <row r="391" spans="1:12" x14ac:dyDescent="0.3">
      <c r="A391" s="6">
        <f t="shared" si="22"/>
        <v>390</v>
      </c>
      <c r="B391" s="6"/>
      <c r="C391" s="6"/>
      <c r="D391" s="8" t="s">
        <v>390</v>
      </c>
      <c r="E391" s="9">
        <v>18</v>
      </c>
      <c r="F391" s="9">
        <v>71</v>
      </c>
      <c r="G391" s="9">
        <v>389</v>
      </c>
      <c r="H391" s="9" t="str">
        <f t="shared" si="20"/>
        <v>18-71-389</v>
      </c>
      <c r="I391" s="14" t="str">
        <f t="shared" si="21"/>
        <v>BROCA HELICOIDAL CONICA 8,5mm</v>
      </c>
      <c r="J391" s="11" t="s">
        <v>10</v>
      </c>
      <c r="K391" s="44" t="s">
        <v>59</v>
      </c>
      <c r="L391" s="10"/>
    </row>
    <row r="392" spans="1:12" x14ac:dyDescent="0.3">
      <c r="A392" s="6">
        <f t="shared" si="22"/>
        <v>391</v>
      </c>
      <c r="B392" s="6"/>
      <c r="C392" s="6"/>
      <c r="D392" s="8" t="s">
        <v>391</v>
      </c>
      <c r="E392" s="9">
        <v>13</v>
      </c>
      <c r="F392" s="9">
        <v>67</v>
      </c>
      <c r="G392" s="9">
        <v>390</v>
      </c>
      <c r="H392" s="9" t="str">
        <f t="shared" si="20"/>
        <v>13-67-390</v>
      </c>
      <c r="I392" s="14" t="str">
        <f t="shared" si="21"/>
        <v>CANALETA PLASTICA 60X60</v>
      </c>
      <c r="J392" s="11" t="s">
        <v>10</v>
      </c>
      <c r="K392" s="44" t="s">
        <v>392</v>
      </c>
      <c r="L392" s="10"/>
    </row>
    <row r="393" spans="1:12" ht="28.8" x14ac:dyDescent="0.3">
      <c r="A393" s="6">
        <f t="shared" si="22"/>
        <v>392</v>
      </c>
      <c r="B393" s="6"/>
      <c r="C393" s="6"/>
      <c r="D393" s="8" t="s">
        <v>394</v>
      </c>
      <c r="E393" s="9">
        <v>16</v>
      </c>
      <c r="F393" s="9">
        <v>72</v>
      </c>
      <c r="G393" s="9">
        <v>391</v>
      </c>
      <c r="H393" s="9" t="str">
        <f t="shared" si="20"/>
        <v>16-72-391</v>
      </c>
      <c r="I393" s="14" t="str">
        <f t="shared" si="21"/>
        <v>RESISTENCIA D/ENCENDIDO 260W 1B-20X15X6-0 (2016)</v>
      </c>
      <c r="J393" s="11" t="s">
        <v>10</v>
      </c>
      <c r="K393" s="44" t="s">
        <v>395</v>
      </c>
      <c r="L393" s="10"/>
    </row>
    <row r="394" spans="1:12" x14ac:dyDescent="0.3">
      <c r="A394" s="6">
        <f t="shared" si="22"/>
        <v>393</v>
      </c>
      <c r="B394" s="6"/>
      <c r="C394" s="6"/>
      <c r="D394" s="8" t="s">
        <v>396</v>
      </c>
      <c r="E394" s="9">
        <v>16</v>
      </c>
      <c r="F394" s="9">
        <v>73</v>
      </c>
      <c r="G394" s="9">
        <v>392</v>
      </c>
      <c r="H394" s="9" t="str">
        <f t="shared" si="20"/>
        <v>16-73-392</v>
      </c>
      <c r="I394" s="14" t="str">
        <f t="shared" si="21"/>
        <v>CRISTAL PARA PUERTA EAM/EH/MV</v>
      </c>
      <c r="J394" s="11" t="s">
        <v>10</v>
      </c>
      <c r="K394" s="44" t="s">
        <v>395</v>
      </c>
      <c r="L394" s="10"/>
    </row>
    <row r="395" spans="1:12" ht="28.8" x14ac:dyDescent="0.3">
      <c r="A395" s="6">
        <f t="shared" si="22"/>
        <v>394</v>
      </c>
      <c r="B395" s="6"/>
      <c r="C395" s="6"/>
      <c r="D395" s="8" t="s">
        <v>398</v>
      </c>
      <c r="E395" s="9">
        <v>7</v>
      </c>
      <c r="F395" s="9">
        <v>26</v>
      </c>
      <c r="G395" s="9">
        <v>393</v>
      </c>
      <c r="H395" s="9" t="str">
        <f t="shared" si="20"/>
        <v>7-26-393</v>
      </c>
      <c r="I395" s="14" t="str">
        <f t="shared" si="21"/>
        <v>ESTACION DE CARGA THOR 22AS-S GROWATT</v>
      </c>
      <c r="J395" s="11" t="s">
        <v>10</v>
      </c>
      <c r="K395" s="44" t="s">
        <v>217</v>
      </c>
      <c r="L395" s="10"/>
    </row>
    <row r="396" spans="1:12" ht="43.2" x14ac:dyDescent="0.3">
      <c r="A396" s="6">
        <f t="shared" si="22"/>
        <v>395</v>
      </c>
      <c r="B396" s="6"/>
      <c r="C396" s="6"/>
      <c r="D396" s="8" t="s">
        <v>402</v>
      </c>
      <c r="E396" s="9">
        <v>6</v>
      </c>
      <c r="F396" s="9">
        <v>74</v>
      </c>
      <c r="G396" s="9">
        <v>394</v>
      </c>
      <c r="H396" s="9" t="str">
        <f t="shared" si="20"/>
        <v>6-74-394</v>
      </c>
      <c r="I396" s="14" t="str">
        <f t="shared" si="21"/>
        <v>REPUESTO LUNA LUMIX FUNDIDA T/GRANDE 135X95mm (SML111-02) (SOLAR)</v>
      </c>
      <c r="J396" s="11" t="s">
        <v>10</v>
      </c>
      <c r="K396" s="44" t="s">
        <v>400</v>
      </c>
      <c r="L396" s="10"/>
    </row>
    <row r="397" spans="1:12" ht="28.8" x14ac:dyDescent="0.3">
      <c r="A397" s="6">
        <f t="shared" si="22"/>
        <v>396</v>
      </c>
      <c r="B397" s="6"/>
      <c r="C397" s="6"/>
      <c r="D397" s="8" t="s">
        <v>401</v>
      </c>
      <c r="E397" s="9">
        <v>7</v>
      </c>
      <c r="F397" s="9">
        <v>75</v>
      </c>
      <c r="G397" s="9">
        <v>395</v>
      </c>
      <c r="H397" s="9" t="str">
        <f t="shared" si="20"/>
        <v>7-75-395</v>
      </c>
      <c r="I397" s="14" t="str">
        <f t="shared" si="21"/>
        <v>REPUESTO VENTILADOR TANGENCIAL DCHA (BOCA304X40mm) Ꝋ rotor 60mm)</v>
      </c>
      <c r="J397" s="11" t="s">
        <v>10</v>
      </c>
      <c r="K397" s="44" t="s">
        <v>400</v>
      </c>
      <c r="L397" s="10"/>
    </row>
    <row r="398" spans="1:12" ht="28.8" x14ac:dyDescent="0.3">
      <c r="A398" s="6">
        <f t="shared" si="22"/>
        <v>397</v>
      </c>
      <c r="B398" s="6"/>
      <c r="C398" s="6"/>
      <c r="D398" s="8" t="s">
        <v>404</v>
      </c>
      <c r="E398" s="9">
        <v>16</v>
      </c>
      <c r="F398" s="9">
        <v>31</v>
      </c>
      <c r="G398" s="9">
        <v>396</v>
      </c>
      <c r="H398" s="9" t="str">
        <f t="shared" si="20"/>
        <v>16-31-396</v>
      </c>
      <c r="I398" s="14" t="str">
        <f t="shared" si="21"/>
        <v>REPUESTO CABLE FIAT 1.5mm TARJETA-DISPLAY 16 PINES</v>
      </c>
      <c r="J398" s="11" t="s">
        <v>10</v>
      </c>
      <c r="K398" s="44" t="s">
        <v>400</v>
      </c>
      <c r="L398" s="10"/>
    </row>
    <row r="399" spans="1:12" ht="28.8" x14ac:dyDescent="0.3">
      <c r="A399" s="6">
        <f t="shared" si="22"/>
        <v>398</v>
      </c>
      <c r="B399" s="6"/>
      <c r="C399" s="6"/>
      <c r="D399" s="8" t="s">
        <v>406</v>
      </c>
      <c r="E399" s="9">
        <v>16</v>
      </c>
      <c r="F399" s="9">
        <v>76</v>
      </c>
      <c r="G399" s="9">
        <v>397</v>
      </c>
      <c r="H399" s="9" t="str">
        <f t="shared" si="20"/>
        <v>16-76-397</v>
      </c>
      <c r="I399" s="14" t="str">
        <f t="shared" si="21"/>
        <v>RACK MURAL S.ABI1260 12U 635X600X600mm</v>
      </c>
      <c r="J399" s="11" t="s">
        <v>10</v>
      </c>
      <c r="K399" s="44" t="s">
        <v>209</v>
      </c>
      <c r="L399" s="10"/>
    </row>
    <row r="400" spans="1:12" ht="28.8" x14ac:dyDescent="0.3">
      <c r="A400" s="6">
        <f t="shared" si="22"/>
        <v>399</v>
      </c>
      <c r="B400" s="6"/>
      <c r="C400" s="6"/>
      <c r="D400" s="8" t="s">
        <v>407</v>
      </c>
      <c r="E400" s="9">
        <v>18</v>
      </c>
      <c r="F400" s="9">
        <v>77</v>
      </c>
      <c r="G400" s="9">
        <v>398</v>
      </c>
      <c r="H400" s="9" t="str">
        <f t="shared" si="20"/>
        <v>18-77-398</v>
      </c>
      <c r="I400" s="14" t="str">
        <f t="shared" si="21"/>
        <v>PINZA AMPERIMETRICA SMART PA420MINIKPS</v>
      </c>
      <c r="J400" s="11" t="s">
        <v>10</v>
      </c>
      <c r="K400" s="44" t="s">
        <v>409</v>
      </c>
      <c r="L400" s="10"/>
    </row>
    <row r="401" spans="1:12" ht="28.8" x14ac:dyDescent="0.3">
      <c r="A401" s="6">
        <f t="shared" si="22"/>
        <v>400</v>
      </c>
      <c r="B401" s="6"/>
      <c r="C401" s="6"/>
      <c r="D401" s="8" t="s">
        <v>410</v>
      </c>
      <c r="E401" s="9">
        <v>7</v>
      </c>
      <c r="F401" s="9">
        <v>78</v>
      </c>
      <c r="G401" s="9">
        <v>399</v>
      </c>
      <c r="H401" s="9" t="str">
        <f t="shared" si="20"/>
        <v>7-78-399</v>
      </c>
      <c r="I401" s="14" t="str">
        <f t="shared" si="21"/>
        <v>ACUMULADOR AEROTERMICO HTW-AT-200SR290A</v>
      </c>
      <c r="J401" s="11" t="s">
        <v>10</v>
      </c>
      <c r="K401" s="44" t="s">
        <v>411</v>
      </c>
      <c r="L401" s="10"/>
    </row>
    <row r="402" spans="1:12" ht="28.8" x14ac:dyDescent="0.3">
      <c r="A402" s="6">
        <f t="shared" si="22"/>
        <v>401</v>
      </c>
      <c r="B402" s="6"/>
      <c r="C402" s="6"/>
      <c r="D402" s="8" t="s">
        <v>413</v>
      </c>
      <c r="E402" s="9">
        <v>7</v>
      </c>
      <c r="F402" s="9">
        <v>79</v>
      </c>
      <c r="G402" s="9">
        <v>400</v>
      </c>
      <c r="H402" s="9" t="str">
        <f t="shared" si="20"/>
        <v>7-79-400</v>
      </c>
      <c r="I402" s="14" t="str">
        <f t="shared" si="21"/>
        <v>DESCALCIFICADOR KINETICO ESSENTIAL 11lts</v>
      </c>
      <c r="J402" s="11" t="s">
        <v>10</v>
      </c>
      <c r="K402" s="44" t="s">
        <v>380</v>
      </c>
      <c r="L402" s="10"/>
    </row>
    <row r="403" spans="1:12" ht="28.8" x14ac:dyDescent="0.3">
      <c r="A403" s="6">
        <f t="shared" si="22"/>
        <v>402</v>
      </c>
      <c r="B403" s="6"/>
      <c r="C403" s="6"/>
      <c r="D403" s="8" t="s">
        <v>416</v>
      </c>
      <c r="E403" s="9">
        <v>7</v>
      </c>
      <c r="F403" s="9">
        <v>80</v>
      </c>
      <c r="G403" s="9">
        <v>401</v>
      </c>
      <c r="H403" s="9" t="str">
        <f t="shared" si="20"/>
        <v>7-80-401</v>
      </c>
      <c r="I403" s="14" t="str">
        <f t="shared" si="21"/>
        <v>CHIMENEA NETFLAME 10KW CANALIZABLE</v>
      </c>
      <c r="J403" s="11" t="s">
        <v>10</v>
      </c>
      <c r="K403" s="44" t="s">
        <v>395</v>
      </c>
      <c r="L403" s="10"/>
    </row>
    <row r="404" spans="1:12" ht="28.8" x14ac:dyDescent="0.3">
      <c r="A404" s="6">
        <f t="shared" si="22"/>
        <v>403</v>
      </c>
      <c r="B404" s="6"/>
      <c r="C404" s="6"/>
      <c r="D404" s="8" t="s">
        <v>450</v>
      </c>
      <c r="E404" s="9">
        <v>16</v>
      </c>
      <c r="F404" s="9">
        <v>13</v>
      </c>
      <c r="G404" s="9">
        <v>402</v>
      </c>
      <c r="H404" s="9" t="str">
        <f t="shared" si="20"/>
        <v>16-13-402</v>
      </c>
      <c r="I404" s="14" t="str">
        <f t="shared" si="21"/>
        <v>KIT CABLE M4 H/M AIKO 610WP (LATIGUILLO)</v>
      </c>
      <c r="J404" s="11" t="s">
        <v>10</v>
      </c>
      <c r="K404" s="44" t="s">
        <v>417</v>
      </c>
      <c r="L404" s="10"/>
    </row>
    <row r="405" spans="1:12" ht="28.8" x14ac:dyDescent="0.3">
      <c r="A405" s="6">
        <f t="shared" si="22"/>
        <v>404</v>
      </c>
      <c r="B405" s="6"/>
      <c r="C405" s="6"/>
      <c r="D405" s="8" t="s">
        <v>420</v>
      </c>
      <c r="E405" s="9">
        <v>12</v>
      </c>
      <c r="F405" s="9">
        <v>38</v>
      </c>
      <c r="G405" s="9">
        <v>403</v>
      </c>
      <c r="H405" s="9" t="str">
        <f t="shared" si="20"/>
        <v>12-38-403</v>
      </c>
      <c r="I405" s="14" t="str">
        <f t="shared" si="21"/>
        <v>MODULO PLACA SOLAR AIKO-A610-MAH72MW</v>
      </c>
      <c r="J405" s="11" t="s">
        <v>10</v>
      </c>
      <c r="K405" s="44" t="s">
        <v>417</v>
      </c>
      <c r="L405" s="10"/>
    </row>
    <row r="406" spans="1:12" ht="28.8" x14ac:dyDescent="0.3">
      <c r="A406" s="6">
        <f t="shared" si="22"/>
        <v>405</v>
      </c>
      <c r="B406" s="6"/>
      <c r="C406" s="6"/>
      <c r="D406" s="8" t="s">
        <v>421</v>
      </c>
      <c r="E406" s="9">
        <v>7</v>
      </c>
      <c r="F406" s="9">
        <v>54</v>
      </c>
      <c r="G406" s="9">
        <v>404</v>
      </c>
      <c r="H406" s="9" t="str">
        <f t="shared" si="20"/>
        <v>7-54-404</v>
      </c>
      <c r="I406" s="14" t="str">
        <f t="shared" si="21"/>
        <v>BATERIA RECARGABLE LITHIUM DL10 POWERBOX G2 (DYNESS)</v>
      </c>
      <c r="J406" s="11" t="s">
        <v>10</v>
      </c>
      <c r="K406" s="44" t="s">
        <v>217</v>
      </c>
      <c r="L406" s="10"/>
    </row>
    <row r="407" spans="1:12" x14ac:dyDescent="0.3">
      <c r="A407" s="6">
        <f t="shared" si="22"/>
        <v>406</v>
      </c>
      <c r="B407" s="6"/>
      <c r="C407" s="6"/>
      <c r="D407" s="8" t="s">
        <v>423</v>
      </c>
      <c r="E407" s="9">
        <v>19</v>
      </c>
      <c r="F407" s="9">
        <v>81</v>
      </c>
      <c r="G407" s="9">
        <v>405</v>
      </c>
      <c r="H407" s="9" t="str">
        <f t="shared" si="20"/>
        <v>19-81-405</v>
      </c>
      <c r="I407" s="14" t="str">
        <f t="shared" si="21"/>
        <v>GUANTE PRO NEGRO T-9</v>
      </c>
      <c r="J407" s="11" t="s">
        <v>426</v>
      </c>
      <c r="K407" s="44" t="s">
        <v>59</v>
      </c>
      <c r="L407" s="10"/>
    </row>
    <row r="408" spans="1:12" ht="28.8" x14ac:dyDescent="0.3">
      <c r="A408" s="6">
        <f t="shared" si="22"/>
        <v>407</v>
      </c>
      <c r="B408" s="6"/>
      <c r="C408" s="6"/>
      <c r="D408" s="8" t="s">
        <v>427</v>
      </c>
      <c r="E408" s="9">
        <v>7</v>
      </c>
      <c r="F408" s="9">
        <v>82</v>
      </c>
      <c r="G408" s="9">
        <v>406</v>
      </c>
      <c r="H408" s="9" t="str">
        <f t="shared" si="20"/>
        <v>7-82-406</v>
      </c>
      <c r="I408" s="14" t="str">
        <f t="shared" si="21"/>
        <v>AIRE ACONDICIONADO COMPLETO SPLIT D/PARED SU12H6 (SUNECO)</v>
      </c>
      <c r="J408" s="11" t="s">
        <v>10</v>
      </c>
      <c r="K408" s="44" t="s">
        <v>380</v>
      </c>
      <c r="L408" s="10"/>
    </row>
    <row r="409" spans="1:12" ht="43.2" x14ac:dyDescent="0.3">
      <c r="A409" s="6">
        <f t="shared" si="22"/>
        <v>408</v>
      </c>
      <c r="B409" s="6"/>
      <c r="C409" s="6"/>
      <c r="D409" s="8" t="s">
        <v>433</v>
      </c>
      <c r="E409" s="9">
        <v>8</v>
      </c>
      <c r="F409" s="9">
        <v>27</v>
      </c>
      <c r="G409" s="9">
        <v>407</v>
      </c>
      <c r="H409" s="9" t="str">
        <f t="shared" si="20"/>
        <v>8-27-407</v>
      </c>
      <c r="I409" s="14" t="str">
        <f t="shared" si="21"/>
        <v>TORNILLO AUTOTALADRANTE CON C/HEXAGONAL - R/PARCIAL - ARANDELA CAUCHO 3X90mm  A/GALV.</v>
      </c>
      <c r="J409" s="11" t="s">
        <v>10</v>
      </c>
      <c r="K409" s="44" t="s">
        <v>434</v>
      </c>
      <c r="L409" s="10"/>
    </row>
    <row r="410" spans="1:12" ht="28.8" x14ac:dyDescent="0.3">
      <c r="A410" s="6">
        <f t="shared" si="22"/>
        <v>409</v>
      </c>
      <c r="B410" s="6"/>
      <c r="C410" s="6"/>
      <c r="D410" s="8" t="s">
        <v>435</v>
      </c>
      <c r="E410" s="9">
        <v>16</v>
      </c>
      <c r="F410" s="9">
        <v>4</v>
      </c>
      <c r="G410" s="9">
        <v>408</v>
      </c>
      <c r="H410" s="9" t="str">
        <f t="shared" si="20"/>
        <v>16-4-408</v>
      </c>
      <c r="I410" s="14" t="str">
        <f t="shared" si="21"/>
        <v>ABRAZADERA ESPECIAL P/TUBO PVC 32mm</v>
      </c>
      <c r="J410" s="11" t="s">
        <v>10</v>
      </c>
      <c r="K410" s="44" t="s">
        <v>392</v>
      </c>
      <c r="L410" s="10"/>
    </row>
    <row r="411" spans="1:12" x14ac:dyDescent="0.3">
      <c r="A411" s="6">
        <f t="shared" si="22"/>
        <v>410</v>
      </c>
      <c r="B411" s="6"/>
      <c r="C411" s="6"/>
      <c r="D411" s="8" t="s">
        <v>438</v>
      </c>
      <c r="E411" s="9">
        <v>20</v>
      </c>
      <c r="F411" s="9">
        <v>83</v>
      </c>
      <c r="G411" s="9">
        <v>409</v>
      </c>
      <c r="H411" s="9" t="str">
        <f t="shared" si="20"/>
        <v>20-83-409</v>
      </c>
      <c r="I411" s="14" t="str">
        <f t="shared" si="21"/>
        <v>TAMIZ NYLON 16X85</v>
      </c>
      <c r="J411" s="11" t="s">
        <v>10</v>
      </c>
      <c r="K411" s="44" t="s">
        <v>59</v>
      </c>
      <c r="L411" s="10"/>
    </row>
    <row r="412" spans="1:12" ht="57.6" x14ac:dyDescent="0.3">
      <c r="A412" s="6">
        <f t="shared" si="22"/>
        <v>411</v>
      </c>
      <c r="B412" s="6"/>
      <c r="C412" s="6"/>
      <c r="D412" s="8" t="s">
        <v>439</v>
      </c>
      <c r="E412" s="9">
        <v>16</v>
      </c>
      <c r="F412" s="9">
        <v>35</v>
      </c>
      <c r="G412" s="9">
        <v>410</v>
      </c>
      <c r="H412" s="9" t="str">
        <f t="shared" si="20"/>
        <v>16-35-410</v>
      </c>
      <c r="I412" s="14" t="str">
        <f t="shared" si="21"/>
        <v>INVERSOR C/RED TRIFASICO 10KTL3-HU 10KW SUPPLY C/BACKUP INCORPORADO Y PREPARADO PARA BATERIA APX (GROTWATT)</v>
      </c>
      <c r="J412" s="11" t="s">
        <v>10</v>
      </c>
      <c r="K412" s="44" t="s">
        <v>209</v>
      </c>
      <c r="L412" s="10"/>
    </row>
    <row r="413" spans="1:12" ht="28.8" x14ac:dyDescent="0.3">
      <c r="A413" s="6">
        <f t="shared" si="22"/>
        <v>412</v>
      </c>
      <c r="B413" s="6"/>
      <c r="C413" s="6"/>
      <c r="D413" s="8" t="s">
        <v>441</v>
      </c>
      <c r="E413" s="9">
        <v>21</v>
      </c>
      <c r="F413" s="9">
        <v>84</v>
      </c>
      <c r="G413" s="9">
        <v>411</v>
      </c>
      <c r="H413" s="9" t="str">
        <f t="shared" si="20"/>
        <v>21-84-411</v>
      </c>
      <c r="I413" s="14" t="str">
        <f t="shared" si="21"/>
        <v>PAPEL BLANCO BOBLE CAPA PARA LIMPIEZA 2.5 KG</v>
      </c>
      <c r="J413" s="11" t="s">
        <v>10</v>
      </c>
      <c r="K413" s="44" t="s">
        <v>59</v>
      </c>
      <c r="L413" s="10"/>
    </row>
    <row r="414" spans="1:12" ht="26.4" customHeight="1" x14ac:dyDescent="0.3">
      <c r="A414" s="6">
        <f t="shared" si="22"/>
        <v>413</v>
      </c>
      <c r="B414" s="6"/>
      <c r="C414" s="6"/>
      <c r="D414" s="8" t="s">
        <v>444</v>
      </c>
      <c r="E414" s="9">
        <v>16</v>
      </c>
      <c r="F414" s="9">
        <v>31</v>
      </c>
      <c r="G414" s="9">
        <v>412</v>
      </c>
      <c r="H414" s="9" t="str">
        <f t="shared" si="20"/>
        <v>16-31-412</v>
      </c>
      <c r="I414" s="14" t="str">
        <f t="shared" si="21"/>
        <v>CABLE UTP RJ45 1.8m (VICTRON ENERGY)</v>
      </c>
      <c r="J414" s="11" t="s">
        <v>10</v>
      </c>
      <c r="K414" s="44" t="s">
        <v>217</v>
      </c>
      <c r="L414" s="10"/>
    </row>
    <row r="415" spans="1:12" ht="28.8" x14ac:dyDescent="0.3">
      <c r="A415" s="6">
        <f t="shared" si="22"/>
        <v>414</v>
      </c>
      <c r="B415" s="6"/>
      <c r="C415" s="6"/>
      <c r="D415" s="8" t="s">
        <v>445</v>
      </c>
      <c r="E415" s="9">
        <v>7</v>
      </c>
      <c r="F415" s="9">
        <v>85</v>
      </c>
      <c r="G415" s="9">
        <v>413</v>
      </c>
      <c r="H415" s="9" t="str">
        <f t="shared" si="20"/>
        <v>7-85-413</v>
      </c>
      <c r="I415" s="14" t="str">
        <f t="shared" si="21"/>
        <v>UNIDAD EXTERIOR DE BAMBA DE CALOR WH-UD12HE5 (PANASONIC)</v>
      </c>
      <c r="J415" s="11" t="s">
        <v>10</v>
      </c>
      <c r="K415" s="44" t="s">
        <v>380</v>
      </c>
      <c r="L415" s="10"/>
    </row>
    <row r="416" spans="1:12" ht="28.8" x14ac:dyDescent="0.3">
      <c r="A416" s="6">
        <f t="shared" si="22"/>
        <v>415</v>
      </c>
      <c r="B416" s="6"/>
      <c r="C416" s="6"/>
      <c r="D416" s="8" t="s">
        <v>447</v>
      </c>
      <c r="E416" s="9">
        <v>16</v>
      </c>
      <c r="F416" s="9">
        <v>69</v>
      </c>
      <c r="G416" s="9">
        <v>414</v>
      </c>
      <c r="H416" s="9" t="str">
        <f t="shared" si="20"/>
        <v>16-69-414</v>
      </c>
      <c r="I416" s="14" t="str">
        <f t="shared" si="21"/>
        <v>TERMOSTATO ELECTRONICO ROOM ECO-FACIL-RADIO (MUNDO CONTROL)</v>
      </c>
      <c r="J416" s="11" t="s">
        <v>10</v>
      </c>
      <c r="K416" s="44"/>
      <c r="L416" s="10"/>
    </row>
    <row r="417" spans="1:12" ht="25.2" customHeight="1" x14ac:dyDescent="0.3">
      <c r="A417" s="6">
        <f t="shared" si="22"/>
        <v>416</v>
      </c>
      <c r="B417" s="6"/>
      <c r="C417" s="6"/>
      <c r="D417" s="8" t="s">
        <v>449</v>
      </c>
      <c r="E417" s="9">
        <v>16</v>
      </c>
      <c r="F417" s="9">
        <v>86</v>
      </c>
      <c r="G417" s="9">
        <v>415</v>
      </c>
      <c r="H417" s="9" t="str">
        <f t="shared" si="20"/>
        <v>16-86-415</v>
      </c>
      <c r="I417" s="14" t="str">
        <f t="shared" si="21"/>
        <v>SOPORTE EN L PARA BANDEJA ELECTRICA</v>
      </c>
      <c r="J417" s="11" t="s">
        <v>10</v>
      </c>
      <c r="K417" s="44"/>
      <c r="L417" s="10"/>
    </row>
    <row r="418" spans="1:12" ht="28.8" x14ac:dyDescent="0.3">
      <c r="A418" s="6">
        <f t="shared" si="22"/>
        <v>417</v>
      </c>
      <c r="B418" s="6"/>
      <c r="C418" s="6"/>
      <c r="D418" s="8" t="s">
        <v>451</v>
      </c>
      <c r="E418" s="9">
        <v>16</v>
      </c>
      <c r="F418" s="9">
        <v>56</v>
      </c>
      <c r="G418" s="9">
        <v>416</v>
      </c>
      <c r="H418" s="9" t="str">
        <f t="shared" si="20"/>
        <v>16-56-416</v>
      </c>
      <c r="I418" s="14" t="str">
        <f t="shared" si="21"/>
        <v>METER TRIFASICO 230/400Vac C/BOBINA INCORPORADA(GROWATT)</v>
      </c>
      <c r="J418" s="11" t="s">
        <v>10</v>
      </c>
      <c r="K418" s="44" t="s">
        <v>217</v>
      </c>
      <c r="L418" s="10"/>
    </row>
    <row r="419" spans="1:12" ht="27" customHeight="1" x14ac:dyDescent="0.3">
      <c r="A419" s="6">
        <f t="shared" si="22"/>
        <v>418</v>
      </c>
      <c r="B419" s="6"/>
      <c r="C419" s="6"/>
      <c r="D419" s="8" t="s">
        <v>453</v>
      </c>
      <c r="E419" s="9">
        <v>16</v>
      </c>
      <c r="F419" s="9">
        <v>31</v>
      </c>
      <c r="G419" s="9">
        <v>417</v>
      </c>
      <c r="H419" s="9" t="str">
        <f t="shared" si="20"/>
        <v>16-31-417</v>
      </c>
      <c r="I419" s="14" t="str">
        <f t="shared" si="21"/>
        <v>CABLE DE COMUNICACIÓN VE.Can to  CAN-bus BMS Type A 5m (VICTRON ENERGY)</v>
      </c>
      <c r="J419" s="11" t="s">
        <v>10</v>
      </c>
      <c r="K419" s="44" t="s">
        <v>217</v>
      </c>
      <c r="L419" s="10"/>
    </row>
    <row r="420" spans="1:12" ht="28.8" x14ac:dyDescent="0.3">
      <c r="A420" s="6">
        <f t="shared" si="22"/>
        <v>419</v>
      </c>
      <c r="B420" s="6"/>
      <c r="C420" s="6" t="s">
        <v>9</v>
      </c>
      <c r="D420" s="8" t="s">
        <v>455</v>
      </c>
      <c r="E420" s="9">
        <v>16</v>
      </c>
      <c r="F420" s="9">
        <v>87</v>
      </c>
      <c r="G420" s="9">
        <v>418</v>
      </c>
      <c r="H420" s="9" t="str">
        <f t="shared" si="20"/>
        <v>16-87-418</v>
      </c>
      <c r="I420" s="14" t="str">
        <f t="shared" si="21"/>
        <v>MODULO DE DISTRIBUCION LYNX POWER M10 (VICTRON ENERGY)</v>
      </c>
      <c r="J420" s="11" t="s">
        <v>10</v>
      </c>
      <c r="K420" s="44" t="s">
        <v>217</v>
      </c>
      <c r="L420" s="10"/>
    </row>
    <row r="421" spans="1:12" ht="28.8" x14ac:dyDescent="0.3">
      <c r="A421" s="6">
        <f t="shared" si="22"/>
        <v>420</v>
      </c>
      <c r="B421" s="6"/>
      <c r="C421" s="6"/>
      <c r="D421" s="8" t="s">
        <v>458</v>
      </c>
      <c r="E421" s="9">
        <v>16</v>
      </c>
      <c r="F421" s="9">
        <v>31</v>
      </c>
      <c r="G421" s="9">
        <v>419</v>
      </c>
      <c r="H421" s="9" t="str">
        <f t="shared" si="20"/>
        <v>16-31-419</v>
      </c>
      <c r="I421" s="14" t="str">
        <f t="shared" si="21"/>
        <v>CABLE DE COMUNICACIÓN INTERFAZ VE DIRECTA A USB (VICTRON ENERGY)</v>
      </c>
      <c r="J421" s="11" t="s">
        <v>10</v>
      </c>
      <c r="K421" s="44" t="s">
        <v>217</v>
      </c>
      <c r="L421" s="10"/>
    </row>
    <row r="422" spans="1:12" ht="28.8" x14ac:dyDescent="0.3">
      <c r="A422" s="6">
        <f t="shared" si="22"/>
        <v>421</v>
      </c>
      <c r="B422" s="6"/>
      <c r="C422" s="6"/>
      <c r="D422" s="8" t="s">
        <v>460</v>
      </c>
      <c r="E422" s="9">
        <v>7</v>
      </c>
      <c r="F422" s="9">
        <v>54</v>
      </c>
      <c r="G422" s="9">
        <v>420</v>
      </c>
      <c r="H422" s="9" t="str">
        <f t="shared" si="20"/>
        <v>7-54-420</v>
      </c>
      <c r="I422" s="14" t="str">
        <f t="shared" si="21"/>
        <v>BATERIA SWITCH ON/OF 275A/48V M10 (VICTRON ENERGI)</v>
      </c>
      <c r="J422" s="11" t="s">
        <v>10</v>
      </c>
      <c r="K422" s="44" t="s">
        <v>217</v>
      </c>
      <c r="L422" s="10"/>
    </row>
    <row r="423" spans="1:12" ht="28.8" x14ac:dyDescent="0.3">
      <c r="A423" s="6">
        <f t="shared" si="22"/>
        <v>422</v>
      </c>
      <c r="B423" s="6"/>
      <c r="C423" s="6"/>
      <c r="D423" s="8" t="s">
        <v>485</v>
      </c>
      <c r="E423" s="9">
        <v>9</v>
      </c>
      <c r="F423" s="9">
        <v>2</v>
      </c>
      <c r="G423" s="9">
        <v>421</v>
      </c>
      <c r="H423" s="9" t="str">
        <f t="shared" si="20"/>
        <v>9-2-421</v>
      </c>
      <c r="I423" s="14" t="str">
        <f t="shared" si="21"/>
        <v>TUBO ELECTRICO PVC 32mm - 3mt(AISCAN)</v>
      </c>
      <c r="J423" s="11" t="s">
        <v>10</v>
      </c>
      <c r="K423" s="44" t="s">
        <v>392</v>
      </c>
      <c r="L423" s="10"/>
    </row>
    <row r="424" spans="1:12" ht="28.8" x14ac:dyDescent="0.3">
      <c r="A424" s="6">
        <f t="shared" si="22"/>
        <v>423</v>
      </c>
      <c r="B424" s="6"/>
      <c r="C424" s="6"/>
      <c r="D424" s="8" t="s">
        <v>489</v>
      </c>
      <c r="E424" s="9">
        <v>7</v>
      </c>
      <c r="F424" s="9">
        <v>38</v>
      </c>
      <c r="G424" s="9">
        <v>422</v>
      </c>
      <c r="H424" s="9" t="str">
        <f t="shared" si="20"/>
        <v>7-38-422</v>
      </c>
      <c r="I424" s="14" t="str">
        <f t="shared" si="21"/>
        <v>PLACA SOLAR PS595M8GFH-24/TNH 595W (PHONO)</v>
      </c>
      <c r="J424" s="11" t="s">
        <v>10</v>
      </c>
      <c r="K424" s="44"/>
      <c r="L424" s="10"/>
    </row>
    <row r="425" spans="1:12" ht="28.8" x14ac:dyDescent="0.3">
      <c r="A425" s="6">
        <f t="shared" si="22"/>
        <v>424</v>
      </c>
      <c r="B425" s="6"/>
      <c r="C425" s="6"/>
      <c r="D425" s="8" t="s">
        <v>491</v>
      </c>
      <c r="E425" s="9">
        <v>7</v>
      </c>
      <c r="F425" s="9">
        <v>54</v>
      </c>
      <c r="G425" s="9">
        <v>423</v>
      </c>
      <c r="H425" s="9" t="str">
        <f t="shared" si="20"/>
        <v>7-54-423</v>
      </c>
      <c r="I425" s="14" t="str">
        <f t="shared" si="21"/>
        <v>BATERIA LFP LITHIUM DL5.OC RACK (DYNESS)</v>
      </c>
      <c r="J425" s="11" t="s">
        <v>10</v>
      </c>
      <c r="K425" s="44" t="s">
        <v>217</v>
      </c>
      <c r="L425" s="10"/>
    </row>
    <row r="426" spans="1:12" x14ac:dyDescent="0.3">
      <c r="A426" s="6">
        <f t="shared" si="22"/>
        <v>425</v>
      </c>
      <c r="B426" s="6"/>
      <c r="C426" s="6"/>
      <c r="D426" s="8"/>
      <c r="E426" s="9"/>
      <c r="F426" s="9"/>
      <c r="G426" s="9"/>
      <c r="H426" s="9" t="str">
        <f t="shared" si="20"/>
        <v>--</v>
      </c>
      <c r="I426" s="14">
        <f t="shared" si="21"/>
        <v>0</v>
      </c>
      <c r="J426" s="11"/>
      <c r="K426" s="44"/>
      <c r="L426" s="10"/>
    </row>
    <row r="427" spans="1:12" x14ac:dyDescent="0.3">
      <c r="A427" s="6">
        <f t="shared" si="22"/>
        <v>426</v>
      </c>
      <c r="B427" s="6"/>
      <c r="C427" s="6"/>
      <c r="D427" s="8"/>
      <c r="E427" s="9"/>
      <c r="F427" s="9"/>
      <c r="G427" s="9"/>
      <c r="H427" s="9" t="str">
        <f t="shared" si="20"/>
        <v>--</v>
      </c>
      <c r="I427" s="14">
        <f t="shared" si="21"/>
        <v>0</v>
      </c>
      <c r="J427" s="11"/>
      <c r="K427" s="44"/>
      <c r="L427" s="10"/>
    </row>
    <row r="428" spans="1:12" x14ac:dyDescent="0.3">
      <c r="A428" s="6">
        <f t="shared" si="22"/>
        <v>427</v>
      </c>
      <c r="B428" s="6"/>
      <c r="C428" s="6"/>
      <c r="D428" s="8"/>
      <c r="E428" s="9"/>
      <c r="F428" s="9"/>
      <c r="G428" s="9"/>
      <c r="H428" s="9" t="str">
        <f t="shared" si="20"/>
        <v>--</v>
      </c>
      <c r="I428" s="14">
        <f t="shared" si="21"/>
        <v>0</v>
      </c>
      <c r="J428" s="11"/>
      <c r="K428" s="44"/>
      <c r="L428" s="10"/>
    </row>
    <row r="429" spans="1:12" x14ac:dyDescent="0.3">
      <c r="A429" s="6">
        <f t="shared" si="22"/>
        <v>428</v>
      </c>
      <c r="B429" s="6"/>
      <c r="C429" s="6"/>
      <c r="D429" s="8"/>
      <c r="E429" s="9"/>
      <c r="F429" s="9"/>
      <c r="G429" s="9"/>
      <c r="H429" s="9" t="str">
        <f t="shared" si="20"/>
        <v>--</v>
      </c>
      <c r="I429" s="14">
        <f t="shared" si="21"/>
        <v>0</v>
      </c>
      <c r="J429" s="11"/>
      <c r="K429" s="44"/>
      <c r="L429" s="10"/>
    </row>
    <row r="430" spans="1:12" x14ac:dyDescent="0.3">
      <c r="A430" s="6">
        <f t="shared" si="22"/>
        <v>429</v>
      </c>
      <c r="B430" s="6"/>
      <c r="C430" s="6"/>
      <c r="D430" s="8"/>
      <c r="E430" s="9"/>
      <c r="F430" s="9"/>
      <c r="G430" s="9"/>
      <c r="H430" s="9" t="str">
        <f t="shared" si="20"/>
        <v>--</v>
      </c>
      <c r="I430" s="14">
        <f t="shared" si="21"/>
        <v>0</v>
      </c>
      <c r="J430" s="11"/>
      <c r="K430" s="44"/>
      <c r="L430" s="10"/>
    </row>
    <row r="431" spans="1:12" x14ac:dyDescent="0.3">
      <c r="A431" s="6">
        <f t="shared" si="22"/>
        <v>430</v>
      </c>
      <c r="B431" s="6"/>
      <c r="C431" s="6"/>
      <c r="D431" s="8"/>
      <c r="E431" s="9"/>
      <c r="F431" s="9"/>
      <c r="G431" s="9"/>
      <c r="H431" s="9" t="str">
        <f t="shared" si="20"/>
        <v>--</v>
      </c>
      <c r="I431" s="14">
        <f t="shared" si="21"/>
        <v>0</v>
      </c>
      <c r="J431" s="11"/>
      <c r="K431" s="44"/>
      <c r="L431" s="10"/>
    </row>
    <row r="432" spans="1:12" x14ac:dyDescent="0.3">
      <c r="A432" s="6">
        <f t="shared" si="22"/>
        <v>431</v>
      </c>
      <c r="B432" s="6"/>
      <c r="C432" s="6"/>
      <c r="D432" s="8"/>
      <c r="E432" s="9"/>
      <c r="F432" s="9"/>
      <c r="G432" s="9"/>
      <c r="H432" s="9" t="str">
        <f t="shared" ref="H432:H463" si="24">CONCATENATE(E432,"-",F432,"-",G432)</f>
        <v>--</v>
      </c>
      <c r="I432" s="14">
        <f t="shared" ref="I432:I463" si="25">+D432</f>
        <v>0</v>
      </c>
      <c r="J432" s="11"/>
      <c r="K432" s="44"/>
      <c r="L432" s="10"/>
    </row>
    <row r="433" spans="1:12" x14ac:dyDescent="0.3">
      <c r="A433" s="6">
        <f t="shared" si="22"/>
        <v>432</v>
      </c>
      <c r="B433" s="6"/>
      <c r="C433" s="6"/>
      <c r="D433" s="8"/>
      <c r="E433" s="9"/>
      <c r="F433" s="9"/>
      <c r="G433" s="9"/>
      <c r="H433" s="9" t="str">
        <f t="shared" si="24"/>
        <v>--</v>
      </c>
      <c r="I433" s="14">
        <f t="shared" si="25"/>
        <v>0</v>
      </c>
      <c r="J433" s="11"/>
      <c r="K433" s="44"/>
      <c r="L433" s="10"/>
    </row>
    <row r="434" spans="1:12" x14ac:dyDescent="0.3">
      <c r="A434" s="6">
        <f t="shared" si="22"/>
        <v>433</v>
      </c>
      <c r="B434" s="6"/>
      <c r="C434" s="6"/>
      <c r="D434" s="8"/>
      <c r="E434" s="9"/>
      <c r="F434" s="9"/>
      <c r="G434" s="9"/>
      <c r="H434" s="9" t="str">
        <f t="shared" si="24"/>
        <v>--</v>
      </c>
      <c r="I434" s="14">
        <f t="shared" si="25"/>
        <v>0</v>
      </c>
      <c r="J434" s="11"/>
      <c r="K434" s="44"/>
      <c r="L434" s="10"/>
    </row>
    <row r="435" spans="1:12" x14ac:dyDescent="0.3">
      <c r="A435" s="6">
        <f t="shared" si="22"/>
        <v>434</v>
      </c>
      <c r="B435" s="6"/>
      <c r="C435" s="6"/>
      <c r="D435" s="8"/>
      <c r="E435" s="9"/>
      <c r="F435" s="9"/>
      <c r="G435" s="9"/>
      <c r="H435" s="9" t="str">
        <f t="shared" si="24"/>
        <v>--</v>
      </c>
      <c r="I435" s="14">
        <f t="shared" si="25"/>
        <v>0</v>
      </c>
      <c r="J435" s="11"/>
      <c r="K435" s="44"/>
      <c r="L435" s="10"/>
    </row>
    <row r="436" spans="1:12" x14ac:dyDescent="0.3">
      <c r="A436" s="6">
        <f t="shared" si="22"/>
        <v>435</v>
      </c>
      <c r="B436" s="6"/>
      <c r="C436" s="6"/>
      <c r="D436" s="8"/>
      <c r="E436" s="9"/>
      <c r="F436" s="9"/>
      <c r="G436" s="9"/>
      <c r="H436" s="9" t="str">
        <f t="shared" si="24"/>
        <v>--</v>
      </c>
      <c r="I436" s="14">
        <f t="shared" si="25"/>
        <v>0</v>
      </c>
      <c r="J436" s="11"/>
      <c r="K436" s="44"/>
      <c r="L436" s="10"/>
    </row>
    <row r="437" spans="1:12" x14ac:dyDescent="0.3">
      <c r="A437" s="6">
        <f t="shared" ref="A437:A500" si="26">+A436+1</f>
        <v>436</v>
      </c>
      <c r="B437" s="6"/>
      <c r="C437" s="6"/>
      <c r="D437" s="8"/>
      <c r="E437" s="9"/>
      <c r="F437" s="9"/>
      <c r="G437" s="9"/>
      <c r="H437" s="9" t="str">
        <f t="shared" si="24"/>
        <v>--</v>
      </c>
      <c r="I437" s="14">
        <f t="shared" si="25"/>
        <v>0</v>
      </c>
      <c r="J437" s="11"/>
      <c r="K437" s="44"/>
      <c r="L437" s="10"/>
    </row>
    <row r="438" spans="1:12" x14ac:dyDescent="0.3">
      <c r="A438" s="6">
        <f t="shared" si="26"/>
        <v>437</v>
      </c>
      <c r="B438" s="6"/>
      <c r="C438" s="6"/>
      <c r="D438" s="8"/>
      <c r="E438" s="9"/>
      <c r="F438" s="9"/>
      <c r="G438" s="9"/>
      <c r="H438" s="9" t="str">
        <f t="shared" si="24"/>
        <v>--</v>
      </c>
      <c r="I438" s="14">
        <f t="shared" si="25"/>
        <v>0</v>
      </c>
      <c r="J438" s="11"/>
      <c r="K438" s="44"/>
      <c r="L438" s="10"/>
    </row>
    <row r="439" spans="1:12" x14ac:dyDescent="0.3">
      <c r="A439" s="6">
        <f t="shared" si="26"/>
        <v>438</v>
      </c>
      <c r="B439" s="6"/>
      <c r="C439" s="6"/>
      <c r="D439" s="8"/>
      <c r="E439" s="9"/>
      <c r="F439" s="9"/>
      <c r="G439" s="9"/>
      <c r="H439" s="9" t="str">
        <f t="shared" si="24"/>
        <v>--</v>
      </c>
      <c r="I439" s="14">
        <f t="shared" si="25"/>
        <v>0</v>
      </c>
      <c r="J439" s="11"/>
      <c r="K439" s="44"/>
      <c r="L439" s="10"/>
    </row>
    <row r="440" spans="1:12" x14ac:dyDescent="0.3">
      <c r="A440" s="6">
        <f t="shared" si="26"/>
        <v>439</v>
      </c>
      <c r="B440" s="6"/>
      <c r="C440" s="6"/>
      <c r="D440" s="8"/>
      <c r="E440" s="9"/>
      <c r="F440" s="9"/>
      <c r="G440" s="9"/>
      <c r="H440" s="9" t="str">
        <f t="shared" si="24"/>
        <v>--</v>
      </c>
      <c r="I440" s="14">
        <f t="shared" si="25"/>
        <v>0</v>
      </c>
      <c r="J440" s="11"/>
      <c r="K440" s="44"/>
      <c r="L440" s="10"/>
    </row>
    <row r="441" spans="1:12" x14ac:dyDescent="0.3">
      <c r="A441" s="6">
        <f t="shared" si="26"/>
        <v>440</v>
      </c>
      <c r="B441" s="6"/>
      <c r="C441" s="6"/>
      <c r="D441" s="8"/>
      <c r="E441" s="9"/>
      <c r="F441" s="9"/>
      <c r="G441" s="9"/>
      <c r="H441" s="9" t="str">
        <f t="shared" si="24"/>
        <v>--</v>
      </c>
      <c r="I441" s="14">
        <f t="shared" si="25"/>
        <v>0</v>
      </c>
      <c r="J441" s="11"/>
      <c r="K441" s="44"/>
      <c r="L441" s="10"/>
    </row>
    <row r="442" spans="1:12" x14ac:dyDescent="0.3">
      <c r="A442" s="6">
        <f t="shared" si="26"/>
        <v>441</v>
      </c>
      <c r="B442" s="6"/>
      <c r="C442" s="6"/>
      <c r="D442" s="8"/>
      <c r="E442" s="9"/>
      <c r="F442" s="9"/>
      <c r="G442" s="9"/>
      <c r="H442" s="9" t="str">
        <f t="shared" si="24"/>
        <v>--</v>
      </c>
      <c r="I442" s="14">
        <f t="shared" si="25"/>
        <v>0</v>
      </c>
      <c r="J442" s="11"/>
      <c r="K442" s="44"/>
      <c r="L442" s="10"/>
    </row>
    <row r="443" spans="1:12" x14ac:dyDescent="0.3">
      <c r="A443" s="6">
        <f t="shared" si="26"/>
        <v>442</v>
      </c>
      <c r="B443" s="6"/>
      <c r="C443" s="6"/>
      <c r="D443" s="8"/>
      <c r="E443" s="9"/>
      <c r="F443" s="9"/>
      <c r="G443" s="9"/>
      <c r="H443" s="9" t="str">
        <f t="shared" si="24"/>
        <v>--</v>
      </c>
      <c r="I443" s="14">
        <f t="shared" si="25"/>
        <v>0</v>
      </c>
      <c r="J443" s="11"/>
      <c r="K443" s="44"/>
      <c r="L443" s="10"/>
    </row>
    <row r="444" spans="1:12" x14ac:dyDescent="0.3">
      <c r="A444" s="6">
        <f t="shared" si="26"/>
        <v>443</v>
      </c>
      <c r="B444" s="6"/>
      <c r="C444" s="6"/>
      <c r="D444" s="8"/>
      <c r="E444" s="9"/>
      <c r="F444" s="9"/>
      <c r="G444" s="9"/>
      <c r="H444" s="9" t="str">
        <f t="shared" si="24"/>
        <v>--</v>
      </c>
      <c r="I444" s="14">
        <f t="shared" si="25"/>
        <v>0</v>
      </c>
      <c r="J444" s="11"/>
      <c r="K444" s="44"/>
      <c r="L444" s="10"/>
    </row>
    <row r="445" spans="1:12" x14ac:dyDescent="0.3">
      <c r="A445" s="6">
        <f t="shared" si="26"/>
        <v>444</v>
      </c>
      <c r="B445" s="6"/>
      <c r="C445" s="6"/>
      <c r="D445" s="8"/>
      <c r="E445" s="9"/>
      <c r="F445" s="9"/>
      <c r="G445" s="9"/>
      <c r="H445" s="9" t="str">
        <f t="shared" si="24"/>
        <v>--</v>
      </c>
      <c r="I445" s="14">
        <f t="shared" si="25"/>
        <v>0</v>
      </c>
      <c r="J445" s="11"/>
      <c r="K445" s="44"/>
      <c r="L445" s="10"/>
    </row>
    <row r="446" spans="1:12" x14ac:dyDescent="0.3">
      <c r="A446" s="6">
        <f t="shared" si="26"/>
        <v>445</v>
      </c>
      <c r="B446" s="6"/>
      <c r="C446" s="6"/>
      <c r="D446" s="8"/>
      <c r="E446" s="9"/>
      <c r="F446" s="9"/>
      <c r="G446" s="9"/>
      <c r="H446" s="9" t="str">
        <f t="shared" si="24"/>
        <v>--</v>
      </c>
      <c r="I446" s="14">
        <f t="shared" si="25"/>
        <v>0</v>
      </c>
      <c r="J446" s="11"/>
      <c r="K446" s="44"/>
      <c r="L446" s="10"/>
    </row>
    <row r="447" spans="1:12" x14ac:dyDescent="0.3">
      <c r="A447" s="6">
        <f t="shared" si="26"/>
        <v>446</v>
      </c>
      <c r="B447" s="6"/>
      <c r="C447" s="6"/>
      <c r="D447" s="8"/>
      <c r="E447" s="9"/>
      <c r="F447" s="9"/>
      <c r="G447" s="9"/>
      <c r="H447" s="9" t="str">
        <f t="shared" si="24"/>
        <v>--</v>
      </c>
      <c r="I447" s="14">
        <f t="shared" si="25"/>
        <v>0</v>
      </c>
      <c r="J447" s="11"/>
      <c r="K447" s="44"/>
      <c r="L447" s="10"/>
    </row>
    <row r="448" spans="1:12" x14ac:dyDescent="0.3">
      <c r="A448" s="6">
        <f t="shared" si="26"/>
        <v>447</v>
      </c>
      <c r="B448" s="6"/>
      <c r="C448" s="6"/>
      <c r="D448" s="8"/>
      <c r="E448" s="9"/>
      <c r="F448" s="9"/>
      <c r="G448" s="9"/>
      <c r="H448" s="9" t="str">
        <f t="shared" si="24"/>
        <v>--</v>
      </c>
      <c r="I448" s="14">
        <f t="shared" si="25"/>
        <v>0</v>
      </c>
      <c r="J448" s="11"/>
      <c r="K448" s="44"/>
      <c r="L448" s="10"/>
    </row>
    <row r="449" spans="1:12" x14ac:dyDescent="0.3">
      <c r="A449" s="6">
        <f t="shared" si="26"/>
        <v>448</v>
      </c>
      <c r="B449" s="6"/>
      <c r="C449" s="6"/>
      <c r="D449" s="8"/>
      <c r="E449" s="9"/>
      <c r="F449" s="9"/>
      <c r="G449" s="9"/>
      <c r="H449" s="9" t="str">
        <f t="shared" si="24"/>
        <v>--</v>
      </c>
      <c r="I449" s="14">
        <f t="shared" si="25"/>
        <v>0</v>
      </c>
      <c r="J449" s="11"/>
      <c r="K449" s="44"/>
      <c r="L449" s="10"/>
    </row>
    <row r="450" spans="1:12" x14ac:dyDescent="0.3">
      <c r="A450" s="6">
        <f t="shared" si="26"/>
        <v>449</v>
      </c>
      <c r="B450" s="6"/>
      <c r="C450" s="6"/>
      <c r="D450" s="8"/>
      <c r="E450" s="9"/>
      <c r="F450" s="9"/>
      <c r="G450" s="9"/>
      <c r="H450" s="9" t="str">
        <f t="shared" si="24"/>
        <v>--</v>
      </c>
      <c r="I450" s="14">
        <f t="shared" si="25"/>
        <v>0</v>
      </c>
      <c r="J450" s="11"/>
      <c r="K450" s="44"/>
      <c r="L450" s="10"/>
    </row>
    <row r="451" spans="1:12" x14ac:dyDescent="0.3">
      <c r="A451" s="6">
        <f t="shared" si="26"/>
        <v>450</v>
      </c>
      <c r="B451" s="6"/>
      <c r="C451" s="6"/>
      <c r="D451" s="8"/>
      <c r="E451" s="9"/>
      <c r="F451" s="9"/>
      <c r="G451" s="9"/>
      <c r="H451" s="9" t="str">
        <f t="shared" si="24"/>
        <v>--</v>
      </c>
      <c r="I451" s="14">
        <f t="shared" si="25"/>
        <v>0</v>
      </c>
      <c r="J451" s="11"/>
      <c r="K451" s="44"/>
      <c r="L451" s="10"/>
    </row>
    <row r="452" spans="1:12" x14ac:dyDescent="0.3">
      <c r="A452" s="6">
        <f t="shared" si="26"/>
        <v>451</v>
      </c>
      <c r="B452" s="6"/>
      <c r="C452" s="6"/>
      <c r="D452" s="8"/>
      <c r="E452" s="9"/>
      <c r="F452" s="9"/>
      <c r="G452" s="9"/>
      <c r="H452" s="9" t="str">
        <f t="shared" si="24"/>
        <v>--</v>
      </c>
      <c r="I452" s="14">
        <f t="shared" si="25"/>
        <v>0</v>
      </c>
      <c r="J452" s="11"/>
      <c r="K452" s="44"/>
      <c r="L452" s="10"/>
    </row>
    <row r="453" spans="1:12" x14ac:dyDescent="0.3">
      <c r="A453" s="6">
        <f t="shared" si="26"/>
        <v>452</v>
      </c>
      <c r="B453" s="6"/>
      <c r="C453" s="6"/>
      <c r="D453" s="8"/>
      <c r="E453" s="9"/>
      <c r="F453" s="9"/>
      <c r="G453" s="9"/>
      <c r="H453" s="9" t="str">
        <f t="shared" si="24"/>
        <v>--</v>
      </c>
      <c r="I453" s="14">
        <f t="shared" si="25"/>
        <v>0</v>
      </c>
      <c r="J453" s="11"/>
      <c r="K453" s="44"/>
      <c r="L453" s="10"/>
    </row>
    <row r="454" spans="1:12" x14ac:dyDescent="0.3">
      <c r="A454" s="6">
        <f t="shared" si="26"/>
        <v>453</v>
      </c>
      <c r="B454" s="6"/>
      <c r="C454" s="6"/>
      <c r="D454" s="8"/>
      <c r="E454" s="9"/>
      <c r="F454" s="9"/>
      <c r="G454" s="9"/>
      <c r="H454" s="9" t="str">
        <f t="shared" si="24"/>
        <v>--</v>
      </c>
      <c r="I454" s="14">
        <f t="shared" si="25"/>
        <v>0</v>
      </c>
      <c r="J454" s="11"/>
      <c r="K454" s="44"/>
      <c r="L454" s="10"/>
    </row>
    <row r="455" spans="1:12" x14ac:dyDescent="0.3">
      <c r="A455" s="6">
        <f t="shared" si="26"/>
        <v>454</v>
      </c>
      <c r="B455" s="6"/>
      <c r="C455" s="6"/>
      <c r="D455" s="8"/>
      <c r="E455" s="9"/>
      <c r="F455" s="9"/>
      <c r="G455" s="9"/>
      <c r="H455" s="9" t="str">
        <f t="shared" si="24"/>
        <v>--</v>
      </c>
      <c r="I455" s="14">
        <f t="shared" si="25"/>
        <v>0</v>
      </c>
      <c r="J455" s="11"/>
      <c r="K455" s="44"/>
      <c r="L455" s="10"/>
    </row>
    <row r="456" spans="1:12" x14ac:dyDescent="0.3">
      <c r="A456" s="6">
        <f t="shared" si="26"/>
        <v>455</v>
      </c>
      <c r="B456" s="6"/>
      <c r="C456" s="6"/>
      <c r="D456" s="8"/>
      <c r="E456" s="9"/>
      <c r="F456" s="9"/>
      <c r="G456" s="9"/>
      <c r="H456" s="9" t="str">
        <f t="shared" si="24"/>
        <v>--</v>
      </c>
      <c r="I456" s="14">
        <f t="shared" si="25"/>
        <v>0</v>
      </c>
      <c r="J456" s="11"/>
      <c r="K456" s="44"/>
      <c r="L456" s="10"/>
    </row>
    <row r="457" spans="1:12" x14ac:dyDescent="0.3">
      <c r="A457" s="6">
        <f t="shared" si="26"/>
        <v>456</v>
      </c>
      <c r="B457" s="6"/>
      <c r="C457" s="6"/>
      <c r="D457" s="8"/>
      <c r="E457" s="9"/>
      <c r="F457" s="9"/>
      <c r="G457" s="9"/>
      <c r="H457" s="9" t="str">
        <f t="shared" si="24"/>
        <v>--</v>
      </c>
      <c r="I457" s="14">
        <f t="shared" si="25"/>
        <v>0</v>
      </c>
      <c r="J457" s="11"/>
      <c r="K457" s="44"/>
      <c r="L457" s="10"/>
    </row>
    <row r="458" spans="1:12" x14ac:dyDescent="0.3">
      <c r="A458" s="6">
        <f t="shared" si="26"/>
        <v>457</v>
      </c>
      <c r="B458" s="6"/>
      <c r="C458" s="6"/>
      <c r="D458" s="8"/>
      <c r="E458" s="9"/>
      <c r="F458" s="9"/>
      <c r="G458" s="9"/>
      <c r="H458" s="9" t="str">
        <f t="shared" si="24"/>
        <v>--</v>
      </c>
      <c r="I458" s="14">
        <f t="shared" si="25"/>
        <v>0</v>
      </c>
      <c r="J458" s="11"/>
      <c r="K458" s="44"/>
      <c r="L458" s="10"/>
    </row>
    <row r="459" spans="1:12" x14ac:dyDescent="0.3">
      <c r="A459" s="6">
        <f t="shared" si="26"/>
        <v>458</v>
      </c>
      <c r="B459" s="6"/>
      <c r="C459" s="6"/>
      <c r="D459" s="8"/>
      <c r="E459" s="9"/>
      <c r="F459" s="9"/>
      <c r="G459" s="9"/>
      <c r="H459" s="9" t="str">
        <f t="shared" si="24"/>
        <v>--</v>
      </c>
      <c r="I459" s="14">
        <f t="shared" si="25"/>
        <v>0</v>
      </c>
      <c r="J459" s="11"/>
      <c r="K459" s="44"/>
      <c r="L459" s="10"/>
    </row>
    <row r="460" spans="1:12" x14ac:dyDescent="0.3">
      <c r="A460" s="6">
        <f t="shared" si="26"/>
        <v>459</v>
      </c>
      <c r="B460" s="6"/>
      <c r="C460" s="6"/>
      <c r="D460" s="8"/>
      <c r="E460" s="9"/>
      <c r="F460" s="9"/>
      <c r="G460" s="9"/>
      <c r="H460" s="9" t="str">
        <f t="shared" si="24"/>
        <v>--</v>
      </c>
      <c r="I460" s="14">
        <f t="shared" si="25"/>
        <v>0</v>
      </c>
      <c r="J460" s="11"/>
      <c r="K460" s="44"/>
      <c r="L460" s="10"/>
    </row>
    <row r="461" spans="1:12" x14ac:dyDescent="0.3">
      <c r="A461" s="6">
        <f t="shared" si="26"/>
        <v>460</v>
      </c>
      <c r="B461" s="6"/>
      <c r="C461" s="6"/>
      <c r="D461" s="8"/>
      <c r="E461" s="9"/>
      <c r="F461" s="9"/>
      <c r="G461" s="9"/>
      <c r="H461" s="9" t="str">
        <f t="shared" si="24"/>
        <v>--</v>
      </c>
      <c r="I461" s="14">
        <f t="shared" si="25"/>
        <v>0</v>
      </c>
      <c r="J461" s="11"/>
      <c r="K461" s="44"/>
      <c r="L461" s="10"/>
    </row>
    <row r="462" spans="1:12" x14ac:dyDescent="0.3">
      <c r="A462" s="6">
        <f t="shared" si="26"/>
        <v>461</v>
      </c>
      <c r="B462" s="6"/>
      <c r="C462" s="6"/>
      <c r="D462" s="8"/>
      <c r="E462" s="9"/>
      <c r="F462" s="9"/>
      <c r="G462" s="9"/>
      <c r="H462" s="9" t="str">
        <f t="shared" si="24"/>
        <v>--</v>
      </c>
      <c r="I462" s="14">
        <f t="shared" si="25"/>
        <v>0</v>
      </c>
      <c r="J462" s="11"/>
      <c r="K462" s="44"/>
      <c r="L462" s="10"/>
    </row>
    <row r="463" spans="1:12" x14ac:dyDescent="0.3">
      <c r="A463" s="6">
        <f t="shared" si="26"/>
        <v>462</v>
      </c>
      <c r="B463" s="6"/>
      <c r="C463" s="6"/>
      <c r="D463" s="8"/>
      <c r="E463" s="9"/>
      <c r="F463" s="9"/>
      <c r="G463" s="9"/>
      <c r="H463" s="9" t="str">
        <f t="shared" si="24"/>
        <v>--</v>
      </c>
      <c r="I463" s="14">
        <f t="shared" si="25"/>
        <v>0</v>
      </c>
      <c r="J463" s="11"/>
      <c r="K463" s="44"/>
      <c r="L463" s="10"/>
    </row>
    <row r="464" spans="1:12" x14ac:dyDescent="0.3">
      <c r="A464" s="6">
        <f t="shared" si="26"/>
        <v>463</v>
      </c>
      <c r="B464" s="6"/>
      <c r="C464" s="6"/>
      <c r="D464" s="8"/>
      <c r="E464" s="9"/>
      <c r="F464" s="9"/>
      <c r="G464" s="9"/>
      <c r="H464" s="9" t="str">
        <f t="shared" ref="H464:H491" si="27">CONCATENATE(E464,"-",F464,"-",G464)</f>
        <v>--</v>
      </c>
      <c r="I464" s="14">
        <f t="shared" ref="I464:I491" si="28">+D464</f>
        <v>0</v>
      </c>
      <c r="J464" s="11"/>
      <c r="K464" s="44"/>
      <c r="L464" s="10"/>
    </row>
    <row r="465" spans="1:12" x14ac:dyDescent="0.3">
      <c r="A465" s="6">
        <f t="shared" si="26"/>
        <v>464</v>
      </c>
      <c r="B465" s="6"/>
      <c r="C465" s="6"/>
      <c r="D465" s="8"/>
      <c r="E465" s="9"/>
      <c r="F465" s="9"/>
      <c r="G465" s="9"/>
      <c r="H465" s="9" t="str">
        <f t="shared" si="27"/>
        <v>--</v>
      </c>
      <c r="I465" s="14">
        <f t="shared" si="28"/>
        <v>0</v>
      </c>
      <c r="J465" s="11"/>
      <c r="K465" s="44"/>
      <c r="L465" s="10"/>
    </row>
    <row r="466" spans="1:12" x14ac:dyDescent="0.3">
      <c r="A466" s="6">
        <f t="shared" si="26"/>
        <v>465</v>
      </c>
      <c r="B466" s="6"/>
      <c r="C466" s="6"/>
      <c r="D466" s="8"/>
      <c r="E466" s="9"/>
      <c r="F466" s="9"/>
      <c r="G466" s="9"/>
      <c r="H466" s="9" t="str">
        <f t="shared" si="27"/>
        <v>--</v>
      </c>
      <c r="I466" s="14">
        <f t="shared" si="28"/>
        <v>0</v>
      </c>
      <c r="J466" s="11"/>
      <c r="K466" s="44"/>
      <c r="L466" s="10"/>
    </row>
    <row r="467" spans="1:12" x14ac:dyDescent="0.3">
      <c r="A467" s="6">
        <f t="shared" si="26"/>
        <v>466</v>
      </c>
      <c r="B467" s="6"/>
      <c r="C467" s="6"/>
      <c r="D467" s="8"/>
      <c r="E467" s="9"/>
      <c r="F467" s="9"/>
      <c r="G467" s="9"/>
      <c r="H467" s="9" t="str">
        <f t="shared" si="27"/>
        <v>--</v>
      </c>
      <c r="I467" s="14">
        <f t="shared" si="28"/>
        <v>0</v>
      </c>
      <c r="J467" s="11"/>
      <c r="K467" s="44"/>
      <c r="L467" s="10"/>
    </row>
    <row r="468" spans="1:12" x14ac:dyDescent="0.3">
      <c r="A468" s="6">
        <f t="shared" si="26"/>
        <v>467</v>
      </c>
      <c r="B468" s="6"/>
      <c r="C468" s="6"/>
      <c r="D468" s="8"/>
      <c r="E468" s="9"/>
      <c r="F468" s="9"/>
      <c r="G468" s="9"/>
      <c r="H468" s="9" t="str">
        <f t="shared" si="27"/>
        <v>--</v>
      </c>
      <c r="I468" s="14">
        <f t="shared" si="28"/>
        <v>0</v>
      </c>
      <c r="J468" s="11"/>
      <c r="K468" s="44"/>
      <c r="L468" s="10"/>
    </row>
    <row r="469" spans="1:12" x14ac:dyDescent="0.3">
      <c r="A469" s="6">
        <f t="shared" si="26"/>
        <v>468</v>
      </c>
      <c r="B469" s="6"/>
      <c r="C469" s="6"/>
      <c r="D469" s="8"/>
      <c r="E469" s="9"/>
      <c r="F469" s="9"/>
      <c r="G469" s="9"/>
      <c r="H469" s="9" t="str">
        <f t="shared" si="27"/>
        <v>--</v>
      </c>
      <c r="I469" s="14">
        <f t="shared" si="28"/>
        <v>0</v>
      </c>
      <c r="J469" s="11"/>
      <c r="K469" s="44"/>
      <c r="L469" s="10"/>
    </row>
    <row r="470" spans="1:12" x14ac:dyDescent="0.3">
      <c r="A470" s="6">
        <f t="shared" si="26"/>
        <v>469</v>
      </c>
      <c r="B470" s="6"/>
      <c r="C470" s="6"/>
      <c r="D470" s="8"/>
      <c r="E470" s="9"/>
      <c r="F470" s="9"/>
      <c r="G470" s="9"/>
      <c r="H470" s="9" t="str">
        <f t="shared" si="27"/>
        <v>--</v>
      </c>
      <c r="I470" s="14">
        <f t="shared" si="28"/>
        <v>0</v>
      </c>
      <c r="J470" s="11"/>
      <c r="K470" s="44"/>
      <c r="L470" s="10"/>
    </row>
    <row r="471" spans="1:12" x14ac:dyDescent="0.3">
      <c r="A471" s="6">
        <f t="shared" si="26"/>
        <v>470</v>
      </c>
      <c r="B471" s="6"/>
      <c r="C471" s="6"/>
      <c r="D471" s="8"/>
      <c r="E471" s="9"/>
      <c r="F471" s="9"/>
      <c r="G471" s="9"/>
      <c r="H471" s="9" t="str">
        <f t="shared" si="27"/>
        <v>--</v>
      </c>
      <c r="I471" s="14">
        <f t="shared" si="28"/>
        <v>0</v>
      </c>
      <c r="J471" s="11"/>
      <c r="K471" s="44"/>
      <c r="L471" s="10"/>
    </row>
    <row r="472" spans="1:12" x14ac:dyDescent="0.3">
      <c r="A472" s="6">
        <f t="shared" si="26"/>
        <v>471</v>
      </c>
      <c r="B472" s="6"/>
      <c r="C472" s="6"/>
      <c r="D472" s="8"/>
      <c r="E472" s="9"/>
      <c r="F472" s="9"/>
      <c r="G472" s="9"/>
      <c r="H472" s="9" t="str">
        <f t="shared" si="27"/>
        <v>--</v>
      </c>
      <c r="I472" s="14">
        <f t="shared" si="28"/>
        <v>0</v>
      </c>
      <c r="J472" s="11"/>
      <c r="K472" s="44"/>
      <c r="L472" s="10"/>
    </row>
    <row r="473" spans="1:12" x14ac:dyDescent="0.3">
      <c r="A473" s="6">
        <f t="shared" si="26"/>
        <v>472</v>
      </c>
      <c r="B473" s="6"/>
      <c r="C473" s="6"/>
      <c r="D473" s="8"/>
      <c r="E473" s="9"/>
      <c r="F473" s="9"/>
      <c r="G473" s="9"/>
      <c r="H473" s="9" t="str">
        <f t="shared" si="27"/>
        <v>--</v>
      </c>
      <c r="I473" s="14">
        <f t="shared" si="28"/>
        <v>0</v>
      </c>
      <c r="J473" s="11"/>
      <c r="K473" s="44"/>
      <c r="L473" s="10"/>
    </row>
    <row r="474" spans="1:12" x14ac:dyDescent="0.3">
      <c r="A474" s="6">
        <f t="shared" si="26"/>
        <v>473</v>
      </c>
      <c r="B474" s="6"/>
      <c r="C474" s="6"/>
      <c r="D474" s="8"/>
      <c r="E474" s="9"/>
      <c r="F474" s="9"/>
      <c r="G474" s="9"/>
      <c r="H474" s="9" t="str">
        <f t="shared" si="27"/>
        <v>--</v>
      </c>
      <c r="I474" s="14">
        <f t="shared" si="28"/>
        <v>0</v>
      </c>
      <c r="J474" s="11"/>
      <c r="K474" s="44"/>
      <c r="L474" s="10"/>
    </row>
    <row r="475" spans="1:12" x14ac:dyDescent="0.3">
      <c r="A475" s="6">
        <f t="shared" si="26"/>
        <v>474</v>
      </c>
      <c r="B475" s="6"/>
      <c r="C475" s="6"/>
      <c r="D475" s="8"/>
      <c r="E475" s="9"/>
      <c r="F475" s="9"/>
      <c r="G475" s="9"/>
      <c r="H475" s="9" t="str">
        <f t="shared" si="27"/>
        <v>--</v>
      </c>
      <c r="I475" s="14">
        <f t="shared" si="28"/>
        <v>0</v>
      </c>
      <c r="J475" s="11"/>
      <c r="K475" s="44"/>
      <c r="L475" s="10"/>
    </row>
    <row r="476" spans="1:12" x14ac:dyDescent="0.3">
      <c r="A476" s="6">
        <f t="shared" si="26"/>
        <v>475</v>
      </c>
      <c r="B476" s="6"/>
      <c r="C476" s="6"/>
      <c r="D476" s="8"/>
      <c r="E476" s="9"/>
      <c r="F476" s="9"/>
      <c r="G476" s="9"/>
      <c r="H476" s="9" t="str">
        <f t="shared" si="27"/>
        <v>--</v>
      </c>
      <c r="I476" s="14">
        <f t="shared" si="28"/>
        <v>0</v>
      </c>
      <c r="J476" s="11"/>
      <c r="K476" s="44"/>
      <c r="L476" s="10"/>
    </row>
    <row r="477" spans="1:12" x14ac:dyDescent="0.3">
      <c r="A477" s="6">
        <f t="shared" si="26"/>
        <v>476</v>
      </c>
      <c r="B477" s="6"/>
      <c r="C477" s="6"/>
      <c r="D477" s="8"/>
      <c r="E477" s="9"/>
      <c r="F477" s="9"/>
      <c r="G477" s="9"/>
      <c r="H477" s="9" t="str">
        <f t="shared" si="27"/>
        <v>--</v>
      </c>
      <c r="I477" s="14">
        <f t="shared" si="28"/>
        <v>0</v>
      </c>
      <c r="J477" s="11"/>
      <c r="K477" s="44"/>
      <c r="L477" s="10"/>
    </row>
    <row r="478" spans="1:12" x14ac:dyDescent="0.3">
      <c r="A478" s="6">
        <f t="shared" si="26"/>
        <v>477</v>
      </c>
      <c r="B478" s="6"/>
      <c r="C478" s="6"/>
      <c r="D478" s="8"/>
      <c r="E478" s="9"/>
      <c r="F478" s="9"/>
      <c r="G478" s="9"/>
      <c r="H478" s="9" t="str">
        <f t="shared" si="27"/>
        <v>--</v>
      </c>
      <c r="I478" s="14">
        <f t="shared" si="28"/>
        <v>0</v>
      </c>
      <c r="J478" s="11"/>
      <c r="K478" s="44"/>
      <c r="L478" s="10"/>
    </row>
    <row r="479" spans="1:12" x14ac:dyDescent="0.3">
      <c r="A479" s="6">
        <f t="shared" si="26"/>
        <v>478</v>
      </c>
      <c r="B479" s="6"/>
      <c r="C479" s="6"/>
      <c r="D479" s="8"/>
      <c r="E479" s="9"/>
      <c r="F479" s="9"/>
      <c r="G479" s="9"/>
      <c r="H479" s="9" t="str">
        <f t="shared" si="27"/>
        <v>--</v>
      </c>
      <c r="I479" s="14">
        <f t="shared" si="28"/>
        <v>0</v>
      </c>
      <c r="J479" s="11"/>
      <c r="K479" s="44"/>
      <c r="L479" s="10"/>
    </row>
    <row r="480" spans="1:12" x14ac:dyDescent="0.3">
      <c r="A480" s="6">
        <f t="shared" si="26"/>
        <v>479</v>
      </c>
      <c r="B480" s="6"/>
      <c r="C480" s="6"/>
      <c r="D480" s="8"/>
      <c r="E480" s="9"/>
      <c r="F480" s="9"/>
      <c r="G480" s="9"/>
      <c r="H480" s="9" t="str">
        <f t="shared" si="27"/>
        <v>--</v>
      </c>
      <c r="I480" s="14">
        <f t="shared" si="28"/>
        <v>0</v>
      </c>
      <c r="J480" s="11"/>
      <c r="K480" s="44"/>
      <c r="L480" s="10"/>
    </row>
    <row r="481" spans="1:12" x14ac:dyDescent="0.3">
      <c r="A481" s="6">
        <f t="shared" si="26"/>
        <v>480</v>
      </c>
      <c r="B481" s="6"/>
      <c r="C481" s="6"/>
      <c r="D481" s="8"/>
      <c r="E481" s="9"/>
      <c r="F481" s="9"/>
      <c r="G481" s="9"/>
      <c r="H481" s="9" t="str">
        <f t="shared" si="27"/>
        <v>--</v>
      </c>
      <c r="I481" s="14">
        <f t="shared" si="28"/>
        <v>0</v>
      </c>
      <c r="J481" s="11"/>
      <c r="K481" s="44"/>
      <c r="L481" s="10"/>
    </row>
    <row r="482" spans="1:12" x14ac:dyDescent="0.3">
      <c r="A482" s="6">
        <f t="shared" si="26"/>
        <v>481</v>
      </c>
      <c r="B482" s="6"/>
      <c r="C482" s="6"/>
      <c r="D482" s="8"/>
      <c r="E482" s="9"/>
      <c r="F482" s="9"/>
      <c r="G482" s="9"/>
      <c r="H482" s="9" t="str">
        <f t="shared" si="27"/>
        <v>--</v>
      </c>
      <c r="I482" s="14">
        <f t="shared" si="28"/>
        <v>0</v>
      </c>
      <c r="J482" s="11"/>
      <c r="K482" s="44"/>
      <c r="L482" s="10"/>
    </row>
    <row r="483" spans="1:12" x14ac:dyDescent="0.3">
      <c r="A483" s="6">
        <f t="shared" si="26"/>
        <v>482</v>
      </c>
      <c r="B483" s="6"/>
      <c r="C483" s="6"/>
      <c r="D483" s="8"/>
      <c r="E483" s="9"/>
      <c r="F483" s="9"/>
      <c r="G483" s="9"/>
      <c r="H483" s="9" t="str">
        <f t="shared" si="27"/>
        <v>--</v>
      </c>
      <c r="I483" s="14">
        <f t="shared" si="28"/>
        <v>0</v>
      </c>
      <c r="J483" s="11"/>
      <c r="K483" s="44"/>
      <c r="L483" s="10"/>
    </row>
    <row r="484" spans="1:12" x14ac:dyDescent="0.3">
      <c r="A484" s="6">
        <f t="shared" si="26"/>
        <v>483</v>
      </c>
      <c r="B484" s="6"/>
      <c r="C484" s="6"/>
      <c r="D484" s="8"/>
      <c r="E484" s="9"/>
      <c r="F484" s="9"/>
      <c r="G484" s="9"/>
      <c r="H484" s="9" t="str">
        <f t="shared" si="27"/>
        <v>--</v>
      </c>
      <c r="I484" s="14">
        <f t="shared" si="28"/>
        <v>0</v>
      </c>
      <c r="J484" s="11"/>
      <c r="K484" s="44"/>
      <c r="L484" s="10"/>
    </row>
    <row r="485" spans="1:12" x14ac:dyDescent="0.3">
      <c r="A485" s="6">
        <f t="shared" si="26"/>
        <v>484</v>
      </c>
      <c r="B485" s="6"/>
      <c r="C485" s="6"/>
      <c r="D485" s="8"/>
      <c r="E485" s="9"/>
      <c r="F485" s="9"/>
      <c r="G485" s="9"/>
      <c r="H485" s="9" t="str">
        <f t="shared" si="27"/>
        <v>--</v>
      </c>
      <c r="I485" s="14">
        <f t="shared" si="28"/>
        <v>0</v>
      </c>
      <c r="J485" s="11"/>
      <c r="K485" s="44"/>
      <c r="L485" s="10"/>
    </row>
    <row r="486" spans="1:12" x14ac:dyDescent="0.3">
      <c r="A486" s="6">
        <f t="shared" si="26"/>
        <v>485</v>
      </c>
      <c r="B486" s="6"/>
      <c r="C486" s="6"/>
      <c r="D486" s="8"/>
      <c r="E486" s="9"/>
      <c r="F486" s="9"/>
      <c r="G486" s="9"/>
      <c r="H486" s="9" t="str">
        <f t="shared" si="27"/>
        <v>--</v>
      </c>
      <c r="I486" s="14">
        <f t="shared" si="28"/>
        <v>0</v>
      </c>
      <c r="J486" s="11"/>
      <c r="K486" s="44"/>
      <c r="L486" s="10"/>
    </row>
    <row r="487" spans="1:12" x14ac:dyDescent="0.3">
      <c r="A487" s="6">
        <f t="shared" si="26"/>
        <v>486</v>
      </c>
      <c r="B487" s="6"/>
      <c r="C487" s="6"/>
      <c r="D487" s="8"/>
      <c r="E487" s="9"/>
      <c r="F487" s="9"/>
      <c r="G487" s="9"/>
      <c r="H487" s="9" t="str">
        <f t="shared" si="27"/>
        <v>--</v>
      </c>
      <c r="I487" s="14">
        <f t="shared" si="28"/>
        <v>0</v>
      </c>
      <c r="J487" s="11"/>
      <c r="K487" s="44"/>
      <c r="L487" s="10"/>
    </row>
    <row r="488" spans="1:12" x14ac:dyDescent="0.3">
      <c r="A488" s="6">
        <f t="shared" si="26"/>
        <v>487</v>
      </c>
      <c r="B488" s="6"/>
      <c r="C488" s="6"/>
      <c r="D488" s="8"/>
      <c r="E488" s="9"/>
      <c r="F488" s="9"/>
      <c r="G488" s="9"/>
      <c r="H488" s="9" t="str">
        <f t="shared" si="27"/>
        <v>--</v>
      </c>
      <c r="I488" s="14">
        <f t="shared" si="28"/>
        <v>0</v>
      </c>
      <c r="J488" s="11"/>
      <c r="K488" s="44"/>
      <c r="L488" s="10"/>
    </row>
    <row r="489" spans="1:12" x14ac:dyDescent="0.3">
      <c r="A489" s="6">
        <f t="shared" si="26"/>
        <v>488</v>
      </c>
      <c r="B489" s="6"/>
      <c r="C489" s="6"/>
      <c r="D489" s="8"/>
      <c r="E489" s="9"/>
      <c r="F489" s="9"/>
      <c r="G489" s="9"/>
      <c r="H489" s="9" t="str">
        <f t="shared" si="27"/>
        <v>--</v>
      </c>
      <c r="I489" s="14">
        <f t="shared" si="28"/>
        <v>0</v>
      </c>
      <c r="J489" s="11"/>
      <c r="K489" s="44"/>
      <c r="L489" s="10"/>
    </row>
    <row r="490" spans="1:12" x14ac:dyDescent="0.3">
      <c r="A490" s="6">
        <f t="shared" si="26"/>
        <v>489</v>
      </c>
      <c r="B490" s="6"/>
      <c r="C490" s="6"/>
      <c r="D490" s="8"/>
      <c r="E490" s="9"/>
      <c r="F490" s="9"/>
      <c r="G490" s="9"/>
      <c r="H490" s="9" t="str">
        <f t="shared" si="27"/>
        <v>--</v>
      </c>
      <c r="I490" s="14">
        <f t="shared" si="28"/>
        <v>0</v>
      </c>
      <c r="J490" s="11"/>
      <c r="K490" s="44"/>
      <c r="L490" s="10"/>
    </row>
    <row r="491" spans="1:12" x14ac:dyDescent="0.3">
      <c r="A491" s="6">
        <f t="shared" si="26"/>
        <v>490</v>
      </c>
      <c r="B491" s="6"/>
      <c r="C491" s="6"/>
      <c r="D491" s="8"/>
      <c r="E491" s="9"/>
      <c r="F491" s="9"/>
      <c r="G491" s="9"/>
      <c r="H491" s="9" t="str">
        <f t="shared" si="27"/>
        <v>--</v>
      </c>
      <c r="I491" s="14">
        <f t="shared" si="28"/>
        <v>0</v>
      </c>
      <c r="J491" s="11"/>
      <c r="K491" s="44"/>
      <c r="L491" s="10"/>
    </row>
    <row r="492" spans="1:12" x14ac:dyDescent="0.3">
      <c r="A492" s="6">
        <f t="shared" si="26"/>
        <v>491</v>
      </c>
      <c r="B492" s="6"/>
      <c r="C492" s="6"/>
      <c r="D492" s="8"/>
      <c r="E492" s="9"/>
      <c r="F492" s="9"/>
      <c r="G492" s="9"/>
      <c r="H492" s="9" t="str">
        <f t="shared" ref="H492:H551" si="29">CONCATENATE(E492,"-",F492,"-",G492)</f>
        <v>--</v>
      </c>
      <c r="I492" s="14">
        <f t="shared" ref="I492:I551" si="30">+D492</f>
        <v>0</v>
      </c>
      <c r="J492" s="11"/>
      <c r="K492" s="44"/>
      <c r="L492" s="10"/>
    </row>
    <row r="493" spans="1:12" x14ac:dyDescent="0.3">
      <c r="A493" s="6">
        <f t="shared" si="26"/>
        <v>492</v>
      </c>
      <c r="B493" s="6"/>
      <c r="C493" s="6"/>
      <c r="D493" s="8"/>
      <c r="E493" s="9"/>
      <c r="F493" s="9"/>
      <c r="G493" s="9"/>
      <c r="H493" s="9" t="str">
        <f t="shared" si="29"/>
        <v>--</v>
      </c>
      <c r="I493" s="14">
        <f t="shared" si="30"/>
        <v>0</v>
      </c>
      <c r="J493" s="11"/>
      <c r="K493" s="44"/>
      <c r="L493" s="10"/>
    </row>
    <row r="494" spans="1:12" x14ac:dyDescent="0.3">
      <c r="A494" s="6">
        <f t="shared" si="26"/>
        <v>493</v>
      </c>
      <c r="B494" s="6"/>
      <c r="C494" s="6"/>
      <c r="D494" s="8"/>
      <c r="E494" s="9"/>
      <c r="F494" s="9"/>
      <c r="G494" s="9"/>
      <c r="H494" s="9" t="str">
        <f t="shared" si="29"/>
        <v>--</v>
      </c>
      <c r="I494" s="14">
        <f t="shared" si="30"/>
        <v>0</v>
      </c>
      <c r="J494" s="11"/>
      <c r="K494" s="44"/>
      <c r="L494" s="10"/>
    </row>
    <row r="495" spans="1:12" x14ac:dyDescent="0.3">
      <c r="A495" s="6">
        <f t="shared" si="26"/>
        <v>494</v>
      </c>
      <c r="B495" s="6"/>
      <c r="C495" s="6"/>
      <c r="D495" s="8"/>
      <c r="E495" s="9"/>
      <c r="F495" s="9"/>
      <c r="G495" s="9"/>
      <c r="H495" s="9" t="str">
        <f t="shared" si="29"/>
        <v>--</v>
      </c>
      <c r="I495" s="14">
        <f t="shared" si="30"/>
        <v>0</v>
      </c>
      <c r="J495" s="11"/>
      <c r="K495" s="44"/>
      <c r="L495" s="10"/>
    </row>
    <row r="496" spans="1:12" x14ac:dyDescent="0.3">
      <c r="A496" s="6">
        <f t="shared" si="26"/>
        <v>495</v>
      </c>
      <c r="B496" s="6"/>
      <c r="C496" s="6"/>
      <c r="D496" s="8"/>
      <c r="E496" s="9"/>
      <c r="F496" s="9"/>
      <c r="G496" s="9"/>
      <c r="H496" s="9" t="str">
        <f t="shared" si="29"/>
        <v>--</v>
      </c>
      <c r="I496" s="14">
        <f t="shared" si="30"/>
        <v>0</v>
      </c>
      <c r="J496" s="11"/>
      <c r="K496" s="44"/>
      <c r="L496" s="10"/>
    </row>
    <row r="497" spans="1:12" x14ac:dyDescent="0.3">
      <c r="A497" s="6">
        <f t="shared" si="26"/>
        <v>496</v>
      </c>
      <c r="B497" s="6"/>
      <c r="C497" s="6"/>
      <c r="D497" s="8"/>
      <c r="E497" s="9"/>
      <c r="F497" s="9"/>
      <c r="G497" s="9"/>
      <c r="H497" s="9" t="str">
        <f t="shared" si="29"/>
        <v>--</v>
      </c>
      <c r="I497" s="14">
        <f t="shared" si="30"/>
        <v>0</v>
      </c>
      <c r="J497" s="11"/>
      <c r="K497" s="44"/>
      <c r="L497" s="10"/>
    </row>
    <row r="498" spans="1:12" x14ac:dyDescent="0.3">
      <c r="A498" s="6">
        <f t="shared" si="26"/>
        <v>497</v>
      </c>
      <c r="B498" s="6"/>
      <c r="C498" s="6"/>
      <c r="D498" s="8"/>
      <c r="E498" s="9"/>
      <c r="F498" s="9"/>
      <c r="G498" s="9"/>
      <c r="H498" s="9" t="str">
        <f t="shared" si="29"/>
        <v>--</v>
      </c>
      <c r="I498" s="14">
        <f t="shared" si="30"/>
        <v>0</v>
      </c>
      <c r="J498" s="11"/>
      <c r="K498" s="44"/>
      <c r="L498" s="10"/>
    </row>
    <row r="499" spans="1:12" x14ac:dyDescent="0.3">
      <c r="A499" s="6">
        <f t="shared" si="26"/>
        <v>498</v>
      </c>
      <c r="B499" s="6"/>
      <c r="C499" s="6"/>
      <c r="D499" s="8"/>
      <c r="E499" s="9"/>
      <c r="F499" s="9"/>
      <c r="G499" s="9"/>
      <c r="H499" s="9" t="str">
        <f t="shared" si="29"/>
        <v>--</v>
      </c>
      <c r="I499" s="14">
        <f t="shared" si="30"/>
        <v>0</v>
      </c>
      <c r="J499" s="11"/>
      <c r="K499" s="44"/>
      <c r="L499" s="10"/>
    </row>
    <row r="500" spans="1:12" x14ac:dyDescent="0.3">
      <c r="A500" s="6">
        <f t="shared" si="26"/>
        <v>499</v>
      </c>
      <c r="B500" s="6"/>
      <c r="C500" s="6"/>
      <c r="D500" s="8"/>
      <c r="E500" s="9"/>
      <c r="F500" s="9"/>
      <c r="G500" s="9"/>
      <c r="H500" s="9" t="str">
        <f t="shared" si="29"/>
        <v>--</v>
      </c>
      <c r="I500" s="14">
        <f t="shared" si="30"/>
        <v>0</v>
      </c>
      <c r="J500" s="11"/>
      <c r="K500" s="44"/>
      <c r="L500" s="10"/>
    </row>
    <row r="501" spans="1:12" x14ac:dyDescent="0.3">
      <c r="A501" s="6">
        <f t="shared" ref="A501:A564" si="31">+A500+1</f>
        <v>500</v>
      </c>
      <c r="B501" s="6"/>
      <c r="C501" s="6"/>
      <c r="D501" s="8"/>
      <c r="E501" s="9"/>
      <c r="F501" s="9"/>
      <c r="G501" s="9"/>
      <c r="H501" s="9" t="str">
        <f t="shared" si="29"/>
        <v>--</v>
      </c>
      <c r="I501" s="14">
        <f t="shared" si="30"/>
        <v>0</v>
      </c>
      <c r="J501" s="11"/>
      <c r="K501" s="44"/>
      <c r="L501" s="10"/>
    </row>
    <row r="502" spans="1:12" x14ac:dyDescent="0.3">
      <c r="A502" s="6">
        <f t="shared" si="31"/>
        <v>501</v>
      </c>
      <c r="B502" s="6"/>
      <c r="C502" s="6"/>
      <c r="D502" s="8"/>
      <c r="E502" s="9"/>
      <c r="F502" s="9"/>
      <c r="G502" s="9"/>
      <c r="H502" s="9" t="str">
        <f t="shared" si="29"/>
        <v>--</v>
      </c>
      <c r="I502" s="14">
        <f t="shared" si="30"/>
        <v>0</v>
      </c>
      <c r="J502" s="11"/>
      <c r="K502" s="44"/>
      <c r="L502" s="10"/>
    </row>
    <row r="503" spans="1:12" x14ac:dyDescent="0.3">
      <c r="A503" s="6">
        <f t="shared" si="31"/>
        <v>502</v>
      </c>
      <c r="B503" s="6"/>
      <c r="C503" s="6"/>
      <c r="D503" s="8"/>
      <c r="E503" s="9"/>
      <c r="F503" s="9"/>
      <c r="G503" s="9"/>
      <c r="H503" s="9" t="str">
        <f t="shared" si="29"/>
        <v>--</v>
      </c>
      <c r="I503" s="14">
        <f t="shared" si="30"/>
        <v>0</v>
      </c>
      <c r="J503" s="11"/>
      <c r="K503" s="44"/>
      <c r="L503" s="10"/>
    </row>
    <row r="504" spans="1:12" x14ac:dyDescent="0.3">
      <c r="A504" s="6">
        <f t="shared" si="31"/>
        <v>503</v>
      </c>
      <c r="B504" s="6"/>
      <c r="C504" s="6"/>
      <c r="D504" s="8"/>
      <c r="E504" s="9"/>
      <c r="F504" s="9"/>
      <c r="G504" s="9"/>
      <c r="H504" s="9" t="str">
        <f t="shared" si="29"/>
        <v>--</v>
      </c>
      <c r="I504" s="14">
        <f t="shared" si="30"/>
        <v>0</v>
      </c>
      <c r="J504" s="11"/>
      <c r="K504" s="44"/>
      <c r="L504" s="10"/>
    </row>
    <row r="505" spans="1:12" x14ac:dyDescent="0.3">
      <c r="A505" s="6">
        <f t="shared" si="31"/>
        <v>504</v>
      </c>
      <c r="B505" s="6"/>
      <c r="C505" s="6"/>
      <c r="D505" s="8"/>
      <c r="E505" s="9"/>
      <c r="F505" s="9"/>
      <c r="G505" s="9"/>
      <c r="H505" s="9" t="str">
        <f t="shared" si="29"/>
        <v>--</v>
      </c>
      <c r="I505" s="14">
        <f t="shared" si="30"/>
        <v>0</v>
      </c>
      <c r="J505" s="11"/>
      <c r="K505" s="44"/>
      <c r="L505" s="10"/>
    </row>
    <row r="506" spans="1:12" x14ac:dyDescent="0.3">
      <c r="A506" s="6">
        <f t="shared" si="31"/>
        <v>505</v>
      </c>
      <c r="B506" s="6"/>
      <c r="C506" s="6"/>
      <c r="D506" s="8"/>
      <c r="E506" s="9"/>
      <c r="F506" s="9"/>
      <c r="G506" s="9"/>
      <c r="H506" s="9" t="str">
        <f t="shared" si="29"/>
        <v>--</v>
      </c>
      <c r="I506" s="14">
        <f t="shared" si="30"/>
        <v>0</v>
      </c>
      <c r="J506" s="11"/>
      <c r="K506" s="44"/>
      <c r="L506" s="10"/>
    </row>
    <row r="507" spans="1:12" x14ac:dyDescent="0.3">
      <c r="A507" s="6">
        <f t="shared" si="31"/>
        <v>506</v>
      </c>
      <c r="B507" s="6"/>
      <c r="C507" s="6"/>
      <c r="D507" s="8"/>
      <c r="E507" s="9"/>
      <c r="F507" s="9"/>
      <c r="G507" s="9"/>
      <c r="H507" s="9" t="str">
        <f t="shared" si="29"/>
        <v>--</v>
      </c>
      <c r="I507" s="14">
        <f t="shared" si="30"/>
        <v>0</v>
      </c>
      <c r="J507" s="11"/>
      <c r="K507" s="44"/>
      <c r="L507" s="10"/>
    </row>
    <row r="508" spans="1:12" x14ac:dyDescent="0.3">
      <c r="A508" s="6">
        <f t="shared" si="31"/>
        <v>507</v>
      </c>
      <c r="B508" s="6"/>
      <c r="C508" s="6"/>
      <c r="D508" s="8"/>
      <c r="E508" s="9"/>
      <c r="F508" s="9"/>
      <c r="G508" s="9"/>
      <c r="H508" s="9" t="str">
        <f t="shared" si="29"/>
        <v>--</v>
      </c>
      <c r="I508" s="14">
        <f t="shared" si="30"/>
        <v>0</v>
      </c>
      <c r="J508" s="11"/>
      <c r="K508" s="44"/>
      <c r="L508" s="10"/>
    </row>
    <row r="509" spans="1:12" x14ac:dyDescent="0.3">
      <c r="A509" s="6">
        <f t="shared" si="31"/>
        <v>508</v>
      </c>
      <c r="B509" s="6"/>
      <c r="C509" s="6"/>
      <c r="D509" s="8"/>
      <c r="E509" s="9"/>
      <c r="F509" s="9"/>
      <c r="G509" s="9"/>
      <c r="H509" s="9" t="str">
        <f t="shared" si="29"/>
        <v>--</v>
      </c>
      <c r="I509" s="14">
        <f t="shared" si="30"/>
        <v>0</v>
      </c>
      <c r="J509" s="11"/>
      <c r="K509" s="44"/>
      <c r="L509" s="10"/>
    </row>
    <row r="510" spans="1:12" x14ac:dyDescent="0.3">
      <c r="A510" s="6">
        <f t="shared" si="31"/>
        <v>509</v>
      </c>
      <c r="B510" s="6"/>
      <c r="C510" s="6"/>
      <c r="D510" s="8"/>
      <c r="E510" s="9"/>
      <c r="F510" s="9"/>
      <c r="G510" s="9"/>
      <c r="H510" s="9" t="str">
        <f t="shared" si="29"/>
        <v>--</v>
      </c>
      <c r="I510" s="14">
        <f t="shared" si="30"/>
        <v>0</v>
      </c>
      <c r="J510" s="11"/>
      <c r="K510" s="44"/>
      <c r="L510" s="10"/>
    </row>
    <row r="511" spans="1:12" x14ac:dyDescent="0.3">
      <c r="A511" s="6">
        <f t="shared" si="31"/>
        <v>510</v>
      </c>
      <c r="B511" s="6"/>
      <c r="C511" s="6"/>
      <c r="D511" s="8"/>
      <c r="E511" s="9"/>
      <c r="F511" s="9"/>
      <c r="G511" s="9"/>
      <c r="H511" s="9" t="str">
        <f t="shared" si="29"/>
        <v>--</v>
      </c>
      <c r="I511" s="14">
        <f t="shared" si="30"/>
        <v>0</v>
      </c>
      <c r="J511" s="11"/>
      <c r="K511" s="44"/>
      <c r="L511" s="10"/>
    </row>
    <row r="512" spans="1:12" x14ac:dyDescent="0.3">
      <c r="A512" s="6">
        <f t="shared" si="31"/>
        <v>511</v>
      </c>
      <c r="B512" s="6"/>
      <c r="C512" s="6"/>
      <c r="D512" s="8"/>
      <c r="E512" s="9"/>
      <c r="F512" s="9"/>
      <c r="G512" s="9"/>
      <c r="H512" s="9" t="str">
        <f t="shared" si="29"/>
        <v>--</v>
      </c>
      <c r="I512" s="14">
        <f t="shared" si="30"/>
        <v>0</v>
      </c>
      <c r="J512" s="11"/>
      <c r="K512" s="44"/>
      <c r="L512" s="10"/>
    </row>
    <row r="513" spans="1:12" x14ac:dyDescent="0.3">
      <c r="A513" s="6">
        <f t="shared" si="31"/>
        <v>512</v>
      </c>
      <c r="B513" s="6"/>
      <c r="C513" s="6"/>
      <c r="D513" s="8"/>
      <c r="E513" s="9"/>
      <c r="F513" s="9"/>
      <c r="G513" s="9"/>
      <c r="H513" s="9" t="str">
        <f t="shared" si="29"/>
        <v>--</v>
      </c>
      <c r="I513" s="14">
        <f t="shared" si="30"/>
        <v>0</v>
      </c>
      <c r="J513" s="11"/>
      <c r="K513" s="44"/>
      <c r="L513" s="10"/>
    </row>
    <row r="514" spans="1:12" x14ac:dyDescent="0.3">
      <c r="A514" s="6">
        <f t="shared" si="31"/>
        <v>513</v>
      </c>
      <c r="B514" s="6"/>
      <c r="C514" s="6"/>
      <c r="D514" s="8"/>
      <c r="E514" s="9"/>
      <c r="F514" s="9"/>
      <c r="G514" s="9"/>
      <c r="H514" s="9" t="str">
        <f t="shared" si="29"/>
        <v>--</v>
      </c>
      <c r="I514" s="14">
        <f t="shared" si="30"/>
        <v>0</v>
      </c>
      <c r="J514" s="11"/>
      <c r="K514" s="44"/>
      <c r="L514" s="10"/>
    </row>
    <row r="515" spans="1:12" x14ac:dyDescent="0.3">
      <c r="A515" s="6">
        <f t="shared" si="31"/>
        <v>514</v>
      </c>
      <c r="B515" s="6"/>
      <c r="C515" s="6"/>
      <c r="D515" s="8"/>
      <c r="E515" s="9"/>
      <c r="F515" s="9"/>
      <c r="G515" s="9"/>
      <c r="H515" s="9" t="str">
        <f t="shared" si="29"/>
        <v>--</v>
      </c>
      <c r="I515" s="14">
        <f t="shared" si="30"/>
        <v>0</v>
      </c>
      <c r="J515" s="11"/>
      <c r="K515" s="44"/>
      <c r="L515" s="10"/>
    </row>
    <row r="516" spans="1:12" x14ac:dyDescent="0.3">
      <c r="A516" s="6">
        <f t="shared" si="31"/>
        <v>515</v>
      </c>
      <c r="B516" s="6"/>
      <c r="C516" s="6"/>
      <c r="D516" s="8"/>
      <c r="E516" s="9"/>
      <c r="F516" s="9"/>
      <c r="G516" s="9"/>
      <c r="H516" s="9" t="str">
        <f t="shared" si="29"/>
        <v>--</v>
      </c>
      <c r="I516" s="14">
        <f t="shared" si="30"/>
        <v>0</v>
      </c>
      <c r="J516" s="11"/>
      <c r="K516" s="44"/>
      <c r="L516" s="10"/>
    </row>
    <row r="517" spans="1:12" x14ac:dyDescent="0.3">
      <c r="A517" s="6">
        <f t="shared" si="31"/>
        <v>516</v>
      </c>
      <c r="B517" s="6"/>
      <c r="C517" s="6"/>
      <c r="D517" s="8"/>
      <c r="E517" s="9"/>
      <c r="F517" s="9"/>
      <c r="G517" s="9"/>
      <c r="H517" s="9" t="str">
        <f t="shared" si="29"/>
        <v>--</v>
      </c>
      <c r="I517" s="14">
        <f t="shared" si="30"/>
        <v>0</v>
      </c>
      <c r="J517" s="11"/>
      <c r="K517" s="44"/>
      <c r="L517" s="10"/>
    </row>
    <row r="518" spans="1:12" x14ac:dyDescent="0.3">
      <c r="A518" s="6">
        <f t="shared" si="31"/>
        <v>517</v>
      </c>
      <c r="B518" s="6"/>
      <c r="C518" s="6"/>
      <c r="D518" s="8"/>
      <c r="E518" s="9"/>
      <c r="F518" s="9"/>
      <c r="G518" s="9"/>
      <c r="H518" s="9" t="str">
        <f t="shared" si="29"/>
        <v>--</v>
      </c>
      <c r="I518" s="14">
        <f t="shared" si="30"/>
        <v>0</v>
      </c>
      <c r="J518" s="11"/>
      <c r="K518" s="44"/>
      <c r="L518" s="10"/>
    </row>
    <row r="519" spans="1:12" x14ac:dyDescent="0.3">
      <c r="A519" s="6">
        <f t="shared" si="31"/>
        <v>518</v>
      </c>
      <c r="B519" s="6"/>
      <c r="C519" s="6"/>
      <c r="D519" s="8"/>
      <c r="E519" s="9"/>
      <c r="F519" s="9"/>
      <c r="G519" s="9"/>
      <c r="H519" s="9" t="str">
        <f t="shared" si="29"/>
        <v>--</v>
      </c>
      <c r="I519" s="14">
        <f t="shared" si="30"/>
        <v>0</v>
      </c>
      <c r="J519" s="11"/>
      <c r="K519" s="44"/>
      <c r="L519" s="10"/>
    </row>
    <row r="520" spans="1:12" x14ac:dyDescent="0.3">
      <c r="A520" s="6">
        <f t="shared" si="31"/>
        <v>519</v>
      </c>
      <c r="B520" s="6"/>
      <c r="C520" s="6"/>
      <c r="D520" s="8"/>
      <c r="E520" s="9"/>
      <c r="F520" s="9"/>
      <c r="G520" s="9"/>
      <c r="H520" s="9" t="str">
        <f t="shared" si="29"/>
        <v>--</v>
      </c>
      <c r="I520" s="14">
        <f t="shared" si="30"/>
        <v>0</v>
      </c>
      <c r="J520" s="11"/>
      <c r="K520" s="44"/>
      <c r="L520" s="10"/>
    </row>
    <row r="521" spans="1:12" x14ac:dyDescent="0.3">
      <c r="A521" s="6">
        <f t="shared" si="31"/>
        <v>520</v>
      </c>
      <c r="B521" s="6"/>
      <c r="C521" s="6"/>
      <c r="D521" s="8"/>
      <c r="E521" s="9"/>
      <c r="F521" s="9"/>
      <c r="G521" s="9"/>
      <c r="H521" s="9" t="str">
        <f t="shared" si="29"/>
        <v>--</v>
      </c>
      <c r="I521" s="14">
        <f t="shared" si="30"/>
        <v>0</v>
      </c>
      <c r="J521" s="11"/>
      <c r="K521" s="44"/>
      <c r="L521" s="10"/>
    </row>
    <row r="522" spans="1:12" x14ac:dyDescent="0.3">
      <c r="A522" s="6">
        <f t="shared" si="31"/>
        <v>521</v>
      </c>
      <c r="B522" s="6"/>
      <c r="C522" s="6"/>
      <c r="D522" s="8"/>
      <c r="E522" s="9"/>
      <c r="F522" s="9"/>
      <c r="G522" s="9"/>
      <c r="H522" s="9" t="str">
        <f t="shared" si="29"/>
        <v>--</v>
      </c>
      <c r="I522" s="14">
        <f t="shared" si="30"/>
        <v>0</v>
      </c>
      <c r="J522" s="11"/>
      <c r="K522" s="44"/>
      <c r="L522" s="10"/>
    </row>
    <row r="523" spans="1:12" x14ac:dyDescent="0.3">
      <c r="A523" s="6">
        <f t="shared" si="31"/>
        <v>522</v>
      </c>
      <c r="B523" s="6"/>
      <c r="C523" s="6"/>
      <c r="D523" s="8"/>
      <c r="E523" s="9"/>
      <c r="F523" s="9"/>
      <c r="G523" s="9"/>
      <c r="H523" s="9" t="str">
        <f t="shared" si="29"/>
        <v>--</v>
      </c>
      <c r="I523" s="14">
        <f t="shared" si="30"/>
        <v>0</v>
      </c>
      <c r="J523" s="11"/>
      <c r="K523" s="44"/>
      <c r="L523" s="10"/>
    </row>
    <row r="524" spans="1:12" x14ac:dyDescent="0.3">
      <c r="A524" s="6">
        <f t="shared" si="31"/>
        <v>523</v>
      </c>
      <c r="B524" s="6"/>
      <c r="C524" s="6"/>
      <c r="D524" s="8"/>
      <c r="E524" s="9"/>
      <c r="F524" s="9"/>
      <c r="G524" s="9"/>
      <c r="H524" s="9" t="str">
        <f t="shared" si="29"/>
        <v>--</v>
      </c>
      <c r="I524" s="14">
        <f t="shared" si="30"/>
        <v>0</v>
      </c>
      <c r="J524" s="11"/>
      <c r="K524" s="44"/>
      <c r="L524" s="10"/>
    </row>
    <row r="525" spans="1:12" x14ac:dyDescent="0.3">
      <c r="A525" s="6">
        <f t="shared" si="31"/>
        <v>524</v>
      </c>
      <c r="B525" s="6"/>
      <c r="C525" s="6"/>
      <c r="D525" s="8"/>
      <c r="E525" s="9"/>
      <c r="F525" s="9"/>
      <c r="G525" s="9"/>
      <c r="H525" s="9" t="str">
        <f t="shared" si="29"/>
        <v>--</v>
      </c>
      <c r="I525" s="14">
        <f t="shared" si="30"/>
        <v>0</v>
      </c>
      <c r="J525" s="11"/>
      <c r="K525" s="44"/>
      <c r="L525" s="10"/>
    </row>
    <row r="526" spans="1:12" x14ac:dyDescent="0.3">
      <c r="A526" s="6">
        <f t="shared" si="31"/>
        <v>525</v>
      </c>
      <c r="B526" s="6"/>
      <c r="C526" s="6"/>
      <c r="D526" s="8"/>
      <c r="E526" s="9"/>
      <c r="F526" s="9"/>
      <c r="G526" s="9"/>
      <c r="H526" s="9" t="str">
        <f t="shared" si="29"/>
        <v>--</v>
      </c>
      <c r="I526" s="14">
        <f t="shared" si="30"/>
        <v>0</v>
      </c>
      <c r="J526" s="11"/>
      <c r="K526" s="44"/>
      <c r="L526" s="10"/>
    </row>
    <row r="527" spans="1:12" x14ac:dyDescent="0.3">
      <c r="A527" s="6">
        <f t="shared" si="31"/>
        <v>526</v>
      </c>
      <c r="B527" s="6"/>
      <c r="C527" s="6"/>
      <c r="D527" s="8"/>
      <c r="E527" s="9"/>
      <c r="F527" s="9"/>
      <c r="G527" s="9"/>
      <c r="H527" s="9" t="str">
        <f t="shared" si="29"/>
        <v>--</v>
      </c>
      <c r="I527" s="14">
        <f t="shared" si="30"/>
        <v>0</v>
      </c>
      <c r="J527" s="11"/>
      <c r="K527" s="44"/>
      <c r="L527" s="10"/>
    </row>
    <row r="528" spans="1:12" x14ac:dyDescent="0.3">
      <c r="A528" s="6">
        <f t="shared" si="31"/>
        <v>527</v>
      </c>
      <c r="B528" s="6"/>
      <c r="C528" s="6"/>
      <c r="D528" s="8"/>
      <c r="E528" s="9"/>
      <c r="F528" s="9"/>
      <c r="G528" s="9"/>
      <c r="H528" s="9" t="str">
        <f t="shared" si="29"/>
        <v>--</v>
      </c>
      <c r="I528" s="14">
        <f t="shared" si="30"/>
        <v>0</v>
      </c>
      <c r="J528" s="11"/>
      <c r="K528" s="44"/>
      <c r="L528" s="10"/>
    </row>
    <row r="529" spans="1:12" x14ac:dyDescent="0.3">
      <c r="A529" s="6">
        <f t="shared" si="31"/>
        <v>528</v>
      </c>
      <c r="B529" s="6"/>
      <c r="C529" s="6"/>
      <c r="D529" s="8"/>
      <c r="E529" s="9"/>
      <c r="F529" s="9"/>
      <c r="G529" s="9"/>
      <c r="H529" s="9" t="str">
        <f t="shared" si="29"/>
        <v>--</v>
      </c>
      <c r="I529" s="14">
        <f t="shared" si="30"/>
        <v>0</v>
      </c>
      <c r="J529" s="11"/>
      <c r="K529" s="44"/>
      <c r="L529" s="10"/>
    </row>
    <row r="530" spans="1:12" x14ac:dyDescent="0.3">
      <c r="A530" s="6">
        <f t="shared" si="31"/>
        <v>529</v>
      </c>
      <c r="B530" s="6"/>
      <c r="C530" s="6"/>
      <c r="D530" s="8"/>
      <c r="E530" s="9"/>
      <c r="F530" s="9"/>
      <c r="G530" s="9"/>
      <c r="H530" s="9" t="str">
        <f t="shared" si="29"/>
        <v>--</v>
      </c>
      <c r="I530" s="14">
        <f t="shared" si="30"/>
        <v>0</v>
      </c>
      <c r="J530" s="11"/>
      <c r="K530" s="44"/>
      <c r="L530" s="10"/>
    </row>
    <row r="531" spans="1:12" x14ac:dyDescent="0.3">
      <c r="A531" s="6">
        <f t="shared" si="31"/>
        <v>530</v>
      </c>
      <c r="B531" s="6"/>
      <c r="C531" s="6"/>
      <c r="D531" s="8"/>
      <c r="E531" s="9"/>
      <c r="F531" s="9"/>
      <c r="G531" s="9"/>
      <c r="H531" s="9" t="str">
        <f t="shared" si="29"/>
        <v>--</v>
      </c>
      <c r="I531" s="14">
        <f t="shared" si="30"/>
        <v>0</v>
      </c>
      <c r="J531" s="11"/>
      <c r="K531" s="44"/>
      <c r="L531" s="10"/>
    </row>
    <row r="532" spans="1:12" x14ac:dyDescent="0.3">
      <c r="A532" s="6">
        <f t="shared" si="31"/>
        <v>531</v>
      </c>
      <c r="B532" s="6"/>
      <c r="C532" s="6"/>
      <c r="D532" s="8"/>
      <c r="E532" s="9"/>
      <c r="F532" s="9"/>
      <c r="G532" s="9"/>
      <c r="H532" s="9" t="str">
        <f t="shared" si="29"/>
        <v>--</v>
      </c>
      <c r="I532" s="14">
        <f t="shared" si="30"/>
        <v>0</v>
      </c>
      <c r="J532" s="11"/>
      <c r="K532" s="44"/>
      <c r="L532" s="10"/>
    </row>
    <row r="533" spans="1:12" x14ac:dyDescent="0.3">
      <c r="A533" s="6">
        <f t="shared" si="31"/>
        <v>532</v>
      </c>
      <c r="B533" s="6"/>
      <c r="C533" s="6"/>
      <c r="D533" s="8"/>
      <c r="E533" s="9"/>
      <c r="F533" s="9"/>
      <c r="G533" s="9"/>
      <c r="H533" s="9" t="str">
        <f t="shared" si="29"/>
        <v>--</v>
      </c>
      <c r="I533" s="14">
        <f t="shared" si="30"/>
        <v>0</v>
      </c>
      <c r="J533" s="11"/>
      <c r="K533" s="44"/>
      <c r="L533" s="10"/>
    </row>
    <row r="534" spans="1:12" x14ac:dyDescent="0.3">
      <c r="A534" s="6">
        <f t="shared" si="31"/>
        <v>533</v>
      </c>
      <c r="B534" s="6"/>
      <c r="C534" s="6"/>
      <c r="D534" s="8"/>
      <c r="E534" s="9"/>
      <c r="F534" s="9"/>
      <c r="G534" s="9"/>
      <c r="H534" s="9" t="str">
        <f t="shared" si="29"/>
        <v>--</v>
      </c>
      <c r="I534" s="14">
        <f t="shared" si="30"/>
        <v>0</v>
      </c>
      <c r="J534" s="11"/>
      <c r="K534" s="44"/>
      <c r="L534" s="10"/>
    </row>
    <row r="535" spans="1:12" x14ac:dyDescent="0.3">
      <c r="A535" s="6">
        <f t="shared" si="31"/>
        <v>534</v>
      </c>
      <c r="B535" s="6"/>
      <c r="C535" s="6"/>
      <c r="D535" s="8"/>
      <c r="E535" s="9"/>
      <c r="F535" s="9"/>
      <c r="G535" s="9"/>
      <c r="H535" s="9" t="str">
        <f t="shared" si="29"/>
        <v>--</v>
      </c>
      <c r="I535" s="14">
        <f t="shared" si="30"/>
        <v>0</v>
      </c>
      <c r="J535" s="11"/>
      <c r="K535" s="44"/>
      <c r="L535" s="10"/>
    </row>
    <row r="536" spans="1:12" x14ac:dyDescent="0.3">
      <c r="A536" s="6">
        <f t="shared" si="31"/>
        <v>535</v>
      </c>
      <c r="B536" s="6"/>
      <c r="C536" s="6"/>
      <c r="D536" s="8"/>
      <c r="E536" s="9"/>
      <c r="F536" s="9"/>
      <c r="G536" s="9"/>
      <c r="H536" s="9" t="str">
        <f t="shared" si="29"/>
        <v>--</v>
      </c>
      <c r="I536" s="14">
        <f t="shared" si="30"/>
        <v>0</v>
      </c>
      <c r="J536" s="11"/>
      <c r="K536" s="44"/>
      <c r="L536" s="10"/>
    </row>
    <row r="537" spans="1:12" x14ac:dyDescent="0.3">
      <c r="A537" s="6">
        <f t="shared" si="31"/>
        <v>536</v>
      </c>
      <c r="B537" s="6"/>
      <c r="C537" s="6"/>
      <c r="D537" s="8"/>
      <c r="E537" s="9"/>
      <c r="F537" s="9"/>
      <c r="G537" s="9"/>
      <c r="H537" s="9" t="str">
        <f t="shared" si="29"/>
        <v>--</v>
      </c>
      <c r="I537" s="14">
        <f t="shared" si="30"/>
        <v>0</v>
      </c>
      <c r="J537" s="11"/>
      <c r="K537" s="44"/>
      <c r="L537" s="10"/>
    </row>
    <row r="538" spans="1:12" x14ac:dyDescent="0.3">
      <c r="A538" s="6">
        <f t="shared" si="31"/>
        <v>537</v>
      </c>
      <c r="B538" s="6"/>
      <c r="C538" s="6"/>
      <c r="D538" s="8"/>
      <c r="E538" s="9"/>
      <c r="F538" s="9"/>
      <c r="G538" s="9"/>
      <c r="H538" s="9" t="str">
        <f t="shared" si="29"/>
        <v>--</v>
      </c>
      <c r="I538" s="14">
        <f t="shared" si="30"/>
        <v>0</v>
      </c>
      <c r="J538" s="11"/>
      <c r="K538" s="44"/>
      <c r="L538" s="10"/>
    </row>
    <row r="539" spans="1:12" x14ac:dyDescent="0.3">
      <c r="A539" s="6">
        <f t="shared" si="31"/>
        <v>538</v>
      </c>
      <c r="B539" s="6"/>
      <c r="C539" s="6"/>
      <c r="D539" s="8"/>
      <c r="E539" s="9"/>
      <c r="F539" s="9"/>
      <c r="G539" s="9"/>
      <c r="H539" s="9" t="str">
        <f t="shared" si="29"/>
        <v>--</v>
      </c>
      <c r="I539" s="14">
        <f t="shared" si="30"/>
        <v>0</v>
      </c>
      <c r="J539" s="11"/>
      <c r="K539" s="44"/>
      <c r="L539" s="10"/>
    </row>
    <row r="540" spans="1:12" x14ac:dyDescent="0.3">
      <c r="A540" s="6">
        <f t="shared" si="31"/>
        <v>539</v>
      </c>
      <c r="B540" s="6"/>
      <c r="C540" s="6"/>
      <c r="D540" s="8"/>
      <c r="E540" s="9"/>
      <c r="F540" s="9"/>
      <c r="G540" s="9"/>
      <c r="H540" s="9" t="str">
        <f t="shared" si="29"/>
        <v>--</v>
      </c>
      <c r="I540" s="14">
        <f t="shared" si="30"/>
        <v>0</v>
      </c>
      <c r="J540" s="11"/>
      <c r="K540" s="44"/>
      <c r="L540" s="10"/>
    </row>
    <row r="541" spans="1:12" x14ac:dyDescent="0.3">
      <c r="A541" s="6">
        <f t="shared" si="31"/>
        <v>540</v>
      </c>
      <c r="B541" s="6"/>
      <c r="C541" s="6"/>
      <c r="D541" s="8"/>
      <c r="E541" s="9"/>
      <c r="F541" s="9"/>
      <c r="G541" s="9"/>
      <c r="H541" s="9" t="str">
        <f t="shared" si="29"/>
        <v>--</v>
      </c>
      <c r="I541" s="14">
        <f t="shared" si="30"/>
        <v>0</v>
      </c>
      <c r="J541" s="11"/>
      <c r="K541" s="44"/>
      <c r="L541" s="10"/>
    </row>
    <row r="542" spans="1:12" x14ac:dyDescent="0.3">
      <c r="A542" s="6">
        <f t="shared" si="31"/>
        <v>541</v>
      </c>
      <c r="B542" s="6"/>
      <c r="C542" s="6"/>
      <c r="D542" s="8"/>
      <c r="E542" s="9"/>
      <c r="F542" s="9"/>
      <c r="G542" s="9"/>
      <c r="H542" s="9" t="str">
        <f t="shared" si="29"/>
        <v>--</v>
      </c>
      <c r="I542" s="14">
        <f t="shared" si="30"/>
        <v>0</v>
      </c>
      <c r="J542" s="11"/>
      <c r="K542" s="44"/>
      <c r="L542" s="10"/>
    </row>
    <row r="543" spans="1:12" x14ac:dyDescent="0.3">
      <c r="A543" s="6">
        <f t="shared" si="31"/>
        <v>542</v>
      </c>
      <c r="B543" s="6"/>
      <c r="C543" s="6"/>
      <c r="D543" s="8"/>
      <c r="E543" s="9"/>
      <c r="F543" s="9"/>
      <c r="G543" s="9"/>
      <c r="H543" s="9" t="str">
        <f t="shared" si="29"/>
        <v>--</v>
      </c>
      <c r="I543" s="14">
        <f t="shared" si="30"/>
        <v>0</v>
      </c>
      <c r="J543" s="11"/>
      <c r="K543" s="44"/>
      <c r="L543" s="10"/>
    </row>
    <row r="544" spans="1:12" x14ac:dyDescent="0.3">
      <c r="A544" s="6">
        <f t="shared" si="31"/>
        <v>543</v>
      </c>
      <c r="B544" s="6"/>
      <c r="C544" s="6"/>
      <c r="D544" s="8"/>
      <c r="E544" s="9"/>
      <c r="F544" s="9"/>
      <c r="G544" s="9"/>
      <c r="H544" s="9" t="str">
        <f t="shared" si="29"/>
        <v>--</v>
      </c>
      <c r="I544" s="14">
        <f t="shared" si="30"/>
        <v>0</v>
      </c>
      <c r="J544" s="11"/>
      <c r="K544" s="44"/>
      <c r="L544" s="10"/>
    </row>
    <row r="545" spans="1:12" x14ac:dyDescent="0.3">
      <c r="A545" s="6">
        <f t="shared" si="31"/>
        <v>544</v>
      </c>
      <c r="B545" s="6"/>
      <c r="C545" s="6"/>
      <c r="D545" s="8"/>
      <c r="E545" s="9"/>
      <c r="F545" s="9"/>
      <c r="G545" s="9"/>
      <c r="H545" s="9" t="str">
        <f t="shared" si="29"/>
        <v>--</v>
      </c>
      <c r="I545" s="14">
        <f t="shared" si="30"/>
        <v>0</v>
      </c>
      <c r="J545" s="11"/>
      <c r="K545" s="44"/>
      <c r="L545" s="10"/>
    </row>
    <row r="546" spans="1:12" x14ac:dyDescent="0.3">
      <c r="A546" s="6">
        <f t="shared" si="31"/>
        <v>545</v>
      </c>
      <c r="B546" s="6"/>
      <c r="C546" s="6"/>
      <c r="D546" s="8"/>
      <c r="E546" s="9"/>
      <c r="F546" s="9"/>
      <c r="G546" s="9"/>
      <c r="H546" s="9" t="str">
        <f t="shared" si="29"/>
        <v>--</v>
      </c>
      <c r="I546" s="14">
        <f t="shared" si="30"/>
        <v>0</v>
      </c>
      <c r="J546" s="11"/>
      <c r="K546" s="44"/>
      <c r="L546" s="10"/>
    </row>
    <row r="547" spans="1:12" x14ac:dyDescent="0.3">
      <c r="A547" s="6">
        <f t="shared" si="31"/>
        <v>546</v>
      </c>
      <c r="B547" s="6"/>
      <c r="C547" s="6"/>
      <c r="D547" s="8"/>
      <c r="E547" s="9"/>
      <c r="F547" s="9"/>
      <c r="G547" s="9"/>
      <c r="H547" s="9" t="str">
        <f t="shared" si="29"/>
        <v>--</v>
      </c>
      <c r="I547" s="14">
        <f t="shared" si="30"/>
        <v>0</v>
      </c>
      <c r="J547" s="11"/>
      <c r="K547" s="44"/>
      <c r="L547" s="10"/>
    </row>
    <row r="548" spans="1:12" x14ac:dyDescent="0.3">
      <c r="A548" s="6">
        <f t="shared" si="31"/>
        <v>547</v>
      </c>
      <c r="B548" s="6"/>
      <c r="C548" s="6"/>
      <c r="D548" s="8"/>
      <c r="E548" s="9"/>
      <c r="F548" s="9"/>
      <c r="G548" s="9"/>
      <c r="H548" s="9" t="str">
        <f t="shared" si="29"/>
        <v>--</v>
      </c>
      <c r="I548" s="14">
        <f t="shared" si="30"/>
        <v>0</v>
      </c>
      <c r="J548" s="11"/>
      <c r="K548" s="44"/>
      <c r="L548" s="10"/>
    </row>
    <row r="549" spans="1:12" x14ac:dyDescent="0.3">
      <c r="A549" s="6">
        <f t="shared" si="31"/>
        <v>548</v>
      </c>
      <c r="B549" s="6"/>
      <c r="C549" s="6"/>
      <c r="D549" s="8"/>
      <c r="E549" s="9"/>
      <c r="F549" s="9"/>
      <c r="G549" s="9"/>
      <c r="H549" s="9" t="str">
        <f t="shared" si="29"/>
        <v>--</v>
      </c>
      <c r="I549" s="14">
        <f t="shared" si="30"/>
        <v>0</v>
      </c>
      <c r="J549" s="11"/>
      <c r="K549" s="44"/>
      <c r="L549" s="10"/>
    </row>
    <row r="550" spans="1:12" x14ac:dyDescent="0.3">
      <c r="A550" s="6">
        <f t="shared" si="31"/>
        <v>549</v>
      </c>
      <c r="B550" s="6"/>
      <c r="C550" s="6"/>
      <c r="D550" s="8"/>
      <c r="E550" s="9"/>
      <c r="F550" s="9"/>
      <c r="G550" s="9"/>
      <c r="H550" s="9" t="str">
        <f t="shared" si="29"/>
        <v>--</v>
      </c>
      <c r="I550" s="14">
        <f t="shared" si="30"/>
        <v>0</v>
      </c>
      <c r="J550" s="11"/>
      <c r="K550" s="44"/>
      <c r="L550" s="10"/>
    </row>
    <row r="551" spans="1:12" x14ac:dyDescent="0.3">
      <c r="A551" s="6">
        <f t="shared" si="31"/>
        <v>550</v>
      </c>
      <c r="B551" s="6"/>
      <c r="C551" s="6"/>
      <c r="D551" s="8"/>
      <c r="E551" s="9"/>
      <c r="F551" s="9"/>
      <c r="G551" s="9"/>
      <c r="H551" s="9" t="str">
        <f t="shared" si="29"/>
        <v>--</v>
      </c>
      <c r="I551" s="14">
        <f t="shared" si="30"/>
        <v>0</v>
      </c>
      <c r="J551" s="11"/>
      <c r="K551" s="44"/>
      <c r="L551" s="10"/>
    </row>
    <row r="552" spans="1:12" x14ac:dyDescent="0.3">
      <c r="A552" s="6">
        <f t="shared" si="31"/>
        <v>551</v>
      </c>
      <c r="B552" s="6"/>
      <c r="C552" s="6"/>
      <c r="D552" s="8"/>
      <c r="E552" s="9"/>
      <c r="F552" s="9"/>
      <c r="G552" s="9"/>
      <c r="H552" s="9" t="str">
        <f t="shared" ref="H552:H563" si="32">CONCATENATE(E552,"-",F552,"-",G552)</f>
        <v>--</v>
      </c>
      <c r="I552" s="14">
        <f t="shared" ref="I552:I563" si="33">+D552</f>
        <v>0</v>
      </c>
      <c r="J552" s="11"/>
      <c r="K552" s="44"/>
      <c r="L552" s="10"/>
    </row>
    <row r="553" spans="1:12" x14ac:dyDescent="0.3">
      <c r="A553" s="6">
        <f t="shared" si="31"/>
        <v>552</v>
      </c>
      <c r="B553" s="6"/>
      <c r="C553" s="6"/>
      <c r="D553" s="8"/>
      <c r="E553" s="9"/>
      <c r="F553" s="9"/>
      <c r="G553" s="9"/>
      <c r="H553" s="9" t="str">
        <f t="shared" si="32"/>
        <v>--</v>
      </c>
      <c r="I553" s="14">
        <f t="shared" si="33"/>
        <v>0</v>
      </c>
      <c r="J553" s="11"/>
      <c r="K553" s="44"/>
      <c r="L553" s="10"/>
    </row>
    <row r="554" spans="1:12" x14ac:dyDescent="0.3">
      <c r="A554" s="6">
        <f t="shared" si="31"/>
        <v>553</v>
      </c>
      <c r="B554" s="6"/>
      <c r="C554" s="6"/>
      <c r="D554" s="8"/>
      <c r="E554" s="9"/>
      <c r="F554" s="9"/>
      <c r="G554" s="9"/>
      <c r="H554" s="9" t="str">
        <f t="shared" si="32"/>
        <v>--</v>
      </c>
      <c r="I554" s="14">
        <f t="shared" si="33"/>
        <v>0</v>
      </c>
      <c r="J554" s="11"/>
      <c r="K554" s="44"/>
      <c r="L554" s="10"/>
    </row>
    <row r="555" spans="1:12" x14ac:dyDescent="0.3">
      <c r="A555" s="6">
        <f t="shared" si="31"/>
        <v>554</v>
      </c>
      <c r="B555" s="6"/>
      <c r="C555" s="6"/>
      <c r="D555" s="8"/>
      <c r="E555" s="9"/>
      <c r="F555" s="9"/>
      <c r="G555" s="9"/>
      <c r="H555" s="9" t="str">
        <f t="shared" si="32"/>
        <v>--</v>
      </c>
      <c r="I555" s="14">
        <f t="shared" si="33"/>
        <v>0</v>
      </c>
      <c r="J555" s="11"/>
      <c r="K555" s="44"/>
      <c r="L555" s="10"/>
    </row>
    <row r="556" spans="1:12" x14ac:dyDescent="0.3">
      <c r="A556" s="6">
        <f t="shared" si="31"/>
        <v>555</v>
      </c>
      <c r="B556" s="6"/>
      <c r="C556" s="6"/>
      <c r="D556" s="8"/>
      <c r="E556" s="9"/>
      <c r="F556" s="9"/>
      <c r="G556" s="9"/>
      <c r="H556" s="9" t="str">
        <f t="shared" si="32"/>
        <v>--</v>
      </c>
      <c r="I556" s="14">
        <f t="shared" si="33"/>
        <v>0</v>
      </c>
      <c r="J556" s="11"/>
      <c r="K556" s="44"/>
      <c r="L556" s="10"/>
    </row>
    <row r="557" spans="1:12" x14ac:dyDescent="0.3">
      <c r="A557" s="6">
        <f t="shared" si="31"/>
        <v>556</v>
      </c>
      <c r="B557" s="6"/>
      <c r="C557" s="6"/>
      <c r="D557" s="8"/>
      <c r="E557" s="9"/>
      <c r="F557" s="9"/>
      <c r="G557" s="9"/>
      <c r="H557" s="9" t="str">
        <f t="shared" si="32"/>
        <v>--</v>
      </c>
      <c r="I557" s="14">
        <f t="shared" si="33"/>
        <v>0</v>
      </c>
      <c r="J557" s="11"/>
      <c r="K557" s="44"/>
      <c r="L557" s="10"/>
    </row>
    <row r="558" spans="1:12" x14ac:dyDescent="0.3">
      <c r="A558" s="6">
        <f t="shared" si="31"/>
        <v>557</v>
      </c>
      <c r="B558" s="6"/>
      <c r="C558" s="6"/>
      <c r="D558" s="8"/>
      <c r="E558" s="9"/>
      <c r="F558" s="9"/>
      <c r="G558" s="9"/>
      <c r="H558" s="9" t="str">
        <f t="shared" si="32"/>
        <v>--</v>
      </c>
      <c r="I558" s="14">
        <f t="shared" si="33"/>
        <v>0</v>
      </c>
      <c r="J558" s="11"/>
      <c r="K558" s="44"/>
      <c r="L558" s="10"/>
    </row>
    <row r="559" spans="1:12" x14ac:dyDescent="0.3">
      <c r="A559" s="6">
        <f t="shared" si="31"/>
        <v>558</v>
      </c>
      <c r="B559" s="6"/>
      <c r="C559" s="6"/>
      <c r="D559" s="8"/>
      <c r="E559" s="9"/>
      <c r="F559" s="9"/>
      <c r="G559" s="9"/>
      <c r="H559" s="9" t="str">
        <f t="shared" si="32"/>
        <v>--</v>
      </c>
      <c r="I559" s="14">
        <f t="shared" si="33"/>
        <v>0</v>
      </c>
      <c r="J559" s="11"/>
      <c r="K559" s="44"/>
      <c r="L559" s="10"/>
    </row>
    <row r="560" spans="1:12" x14ac:dyDescent="0.3">
      <c r="A560" s="6">
        <f t="shared" si="31"/>
        <v>559</v>
      </c>
      <c r="B560" s="6"/>
      <c r="C560" s="6"/>
      <c r="D560" s="8"/>
      <c r="E560" s="9"/>
      <c r="F560" s="9"/>
      <c r="G560" s="9"/>
      <c r="H560" s="9" t="str">
        <f t="shared" si="32"/>
        <v>--</v>
      </c>
      <c r="I560" s="14">
        <f t="shared" si="33"/>
        <v>0</v>
      </c>
      <c r="J560" s="11"/>
      <c r="K560" s="44"/>
      <c r="L560" s="10"/>
    </row>
    <row r="561" spans="1:12" x14ac:dyDescent="0.3">
      <c r="A561" s="6">
        <f t="shared" si="31"/>
        <v>560</v>
      </c>
      <c r="B561" s="6"/>
      <c r="C561" s="6"/>
      <c r="D561" s="8"/>
      <c r="E561" s="9"/>
      <c r="F561" s="9"/>
      <c r="G561" s="9"/>
      <c r="H561" s="9" t="str">
        <f t="shared" si="32"/>
        <v>--</v>
      </c>
      <c r="I561" s="14">
        <f t="shared" si="33"/>
        <v>0</v>
      </c>
      <c r="J561" s="11"/>
      <c r="K561" s="44"/>
      <c r="L561" s="10"/>
    </row>
    <row r="562" spans="1:12" x14ac:dyDescent="0.3">
      <c r="A562" s="6">
        <f t="shared" si="31"/>
        <v>561</v>
      </c>
      <c r="B562" s="6"/>
      <c r="C562" s="6"/>
      <c r="D562" s="8"/>
      <c r="E562" s="9"/>
      <c r="F562" s="9"/>
      <c r="G562" s="9"/>
      <c r="H562" s="9" t="str">
        <f t="shared" si="32"/>
        <v>--</v>
      </c>
      <c r="I562" s="14">
        <f t="shared" si="33"/>
        <v>0</v>
      </c>
      <c r="J562" s="11"/>
      <c r="K562" s="44"/>
      <c r="L562" s="10"/>
    </row>
    <row r="563" spans="1:12" x14ac:dyDescent="0.3">
      <c r="A563" s="6">
        <f t="shared" si="31"/>
        <v>562</v>
      </c>
      <c r="B563" s="6"/>
      <c r="C563" s="6"/>
      <c r="D563" s="8"/>
      <c r="E563" s="9"/>
      <c r="F563" s="9"/>
      <c r="G563" s="9"/>
      <c r="H563" s="9" t="str">
        <f t="shared" si="32"/>
        <v>--</v>
      </c>
      <c r="I563" s="14">
        <f t="shared" si="33"/>
        <v>0</v>
      </c>
      <c r="J563" s="11"/>
      <c r="K563" s="44"/>
      <c r="L563" s="10"/>
    </row>
    <row r="564" spans="1:12" x14ac:dyDescent="0.3">
      <c r="A564" s="6">
        <f t="shared" si="31"/>
        <v>563</v>
      </c>
      <c r="B564" s="6"/>
      <c r="C564" s="6"/>
      <c r="D564" s="8"/>
      <c r="E564" s="9"/>
      <c r="F564" s="9"/>
      <c r="G564" s="9"/>
      <c r="H564" s="9" t="str">
        <f t="shared" ref="H564:H575" si="34">CONCATENATE(E564,"-",F564,"-",G564)</f>
        <v>--</v>
      </c>
      <c r="I564" s="14">
        <f t="shared" ref="I564:I575" si="35">+D564</f>
        <v>0</v>
      </c>
      <c r="J564" s="11"/>
      <c r="K564" s="44"/>
      <c r="L564" s="10"/>
    </row>
    <row r="565" spans="1:12" x14ac:dyDescent="0.3">
      <c r="A565" s="6">
        <f t="shared" ref="A565:A613" si="36">+A564+1</f>
        <v>564</v>
      </c>
      <c r="B565" s="6"/>
      <c r="C565" s="6"/>
      <c r="D565" s="8"/>
      <c r="E565" s="9"/>
      <c r="F565" s="9"/>
      <c r="G565" s="9"/>
      <c r="H565" s="9" t="str">
        <f t="shared" si="34"/>
        <v>--</v>
      </c>
      <c r="I565" s="14">
        <f t="shared" si="35"/>
        <v>0</v>
      </c>
      <c r="J565" s="11"/>
      <c r="K565" s="44"/>
      <c r="L565" s="10"/>
    </row>
    <row r="566" spans="1:12" x14ac:dyDescent="0.3">
      <c r="A566" s="6">
        <f t="shared" si="36"/>
        <v>565</v>
      </c>
      <c r="B566" s="6"/>
      <c r="C566" s="6"/>
      <c r="D566" s="8"/>
      <c r="E566" s="9"/>
      <c r="F566" s="9"/>
      <c r="G566" s="9"/>
      <c r="H566" s="9" t="str">
        <f t="shared" si="34"/>
        <v>--</v>
      </c>
      <c r="I566" s="14">
        <f t="shared" si="35"/>
        <v>0</v>
      </c>
      <c r="J566" s="11"/>
      <c r="K566" s="44"/>
      <c r="L566" s="10"/>
    </row>
    <row r="567" spans="1:12" x14ac:dyDescent="0.3">
      <c r="A567" s="6">
        <f t="shared" si="36"/>
        <v>566</v>
      </c>
      <c r="B567" s="6"/>
      <c r="C567" s="6"/>
      <c r="D567" s="8"/>
      <c r="E567" s="9"/>
      <c r="F567" s="9"/>
      <c r="G567" s="9"/>
      <c r="H567" s="9" t="str">
        <f t="shared" si="34"/>
        <v>--</v>
      </c>
      <c r="I567" s="14">
        <f t="shared" si="35"/>
        <v>0</v>
      </c>
      <c r="J567" s="11"/>
      <c r="K567" s="44"/>
      <c r="L567" s="10"/>
    </row>
    <row r="568" spans="1:12" x14ac:dyDescent="0.3">
      <c r="A568" s="6">
        <f t="shared" si="36"/>
        <v>567</v>
      </c>
      <c r="B568" s="6"/>
      <c r="C568" s="6"/>
      <c r="D568" s="8"/>
      <c r="E568" s="9"/>
      <c r="F568" s="9"/>
      <c r="G568" s="9"/>
      <c r="H568" s="9" t="str">
        <f t="shared" si="34"/>
        <v>--</v>
      </c>
      <c r="I568" s="14">
        <f t="shared" si="35"/>
        <v>0</v>
      </c>
      <c r="J568" s="11"/>
      <c r="K568" s="44"/>
      <c r="L568" s="10"/>
    </row>
    <row r="569" spans="1:12" x14ac:dyDescent="0.3">
      <c r="A569" s="6">
        <f t="shared" si="36"/>
        <v>568</v>
      </c>
      <c r="B569" s="6"/>
      <c r="C569" s="6"/>
      <c r="D569" s="8"/>
      <c r="E569" s="9"/>
      <c r="F569" s="9"/>
      <c r="G569" s="9"/>
      <c r="H569" s="9" t="str">
        <f t="shared" si="34"/>
        <v>--</v>
      </c>
      <c r="I569" s="14">
        <f t="shared" si="35"/>
        <v>0</v>
      </c>
      <c r="J569" s="11"/>
      <c r="K569" s="44"/>
      <c r="L569" s="10"/>
    </row>
    <row r="570" spans="1:12" x14ac:dyDescent="0.3">
      <c r="A570" s="6">
        <f t="shared" si="36"/>
        <v>569</v>
      </c>
      <c r="B570" s="6"/>
      <c r="C570" s="6"/>
      <c r="D570" s="8"/>
      <c r="E570" s="9"/>
      <c r="F570" s="9"/>
      <c r="G570" s="9"/>
      <c r="H570" s="9" t="str">
        <f t="shared" si="34"/>
        <v>--</v>
      </c>
      <c r="I570" s="14">
        <f t="shared" si="35"/>
        <v>0</v>
      </c>
      <c r="J570" s="11"/>
      <c r="K570" s="44"/>
      <c r="L570" s="10"/>
    </row>
    <row r="571" spans="1:12" x14ac:dyDescent="0.3">
      <c r="A571" s="6">
        <f t="shared" si="36"/>
        <v>570</v>
      </c>
      <c r="B571" s="6"/>
      <c r="C571" s="6"/>
      <c r="D571" s="8"/>
      <c r="E571" s="9"/>
      <c r="F571" s="9"/>
      <c r="G571" s="9"/>
      <c r="H571" s="9" t="str">
        <f t="shared" si="34"/>
        <v>--</v>
      </c>
      <c r="I571" s="14">
        <f t="shared" si="35"/>
        <v>0</v>
      </c>
      <c r="J571" s="11"/>
      <c r="K571" s="44"/>
      <c r="L571" s="10"/>
    </row>
    <row r="572" spans="1:12" x14ac:dyDescent="0.3">
      <c r="A572" s="6">
        <f t="shared" si="36"/>
        <v>571</v>
      </c>
      <c r="B572" s="6"/>
      <c r="C572" s="6"/>
      <c r="D572" s="8"/>
      <c r="E572" s="9"/>
      <c r="F572" s="9"/>
      <c r="G572" s="9"/>
      <c r="H572" s="9" t="str">
        <f t="shared" si="34"/>
        <v>--</v>
      </c>
      <c r="I572" s="14">
        <f t="shared" si="35"/>
        <v>0</v>
      </c>
      <c r="J572" s="11"/>
      <c r="K572" s="44"/>
      <c r="L572" s="10"/>
    </row>
    <row r="573" spans="1:12" x14ac:dyDescent="0.3">
      <c r="A573" s="6">
        <f t="shared" si="36"/>
        <v>572</v>
      </c>
      <c r="B573" s="6"/>
      <c r="C573" s="6"/>
      <c r="D573" s="8"/>
      <c r="E573" s="9"/>
      <c r="F573" s="9"/>
      <c r="G573" s="9"/>
      <c r="H573" s="9" t="str">
        <f t="shared" si="34"/>
        <v>--</v>
      </c>
      <c r="I573" s="14">
        <f t="shared" si="35"/>
        <v>0</v>
      </c>
      <c r="J573" s="11"/>
      <c r="K573" s="44"/>
      <c r="L573" s="10"/>
    </row>
    <row r="574" spans="1:12" x14ac:dyDescent="0.3">
      <c r="A574" s="6">
        <f t="shared" si="36"/>
        <v>573</v>
      </c>
      <c r="B574" s="6"/>
      <c r="C574" s="6"/>
      <c r="D574" s="8"/>
      <c r="E574" s="9"/>
      <c r="F574" s="9"/>
      <c r="G574" s="9"/>
      <c r="H574" s="9" t="str">
        <f t="shared" si="34"/>
        <v>--</v>
      </c>
      <c r="I574" s="14">
        <f t="shared" si="35"/>
        <v>0</v>
      </c>
      <c r="J574" s="11"/>
      <c r="K574" s="44"/>
      <c r="L574" s="10"/>
    </row>
    <row r="575" spans="1:12" x14ac:dyDescent="0.3">
      <c r="A575" s="6">
        <f t="shared" si="36"/>
        <v>574</v>
      </c>
      <c r="B575" s="6"/>
      <c r="C575" s="6"/>
      <c r="D575" s="8"/>
      <c r="E575" s="9"/>
      <c r="F575" s="9"/>
      <c r="G575" s="9"/>
      <c r="H575" s="9" t="str">
        <f t="shared" si="34"/>
        <v>--</v>
      </c>
      <c r="I575" s="14">
        <f t="shared" si="35"/>
        <v>0</v>
      </c>
      <c r="J575" s="11"/>
      <c r="K575" s="44"/>
      <c r="L575" s="10"/>
    </row>
    <row r="576" spans="1:12" x14ac:dyDescent="0.3">
      <c r="A576" s="6">
        <f t="shared" si="36"/>
        <v>575</v>
      </c>
      <c r="B576" s="6"/>
      <c r="C576" s="6"/>
      <c r="D576" s="8"/>
      <c r="E576" s="9"/>
      <c r="F576" s="9"/>
      <c r="G576" s="9"/>
      <c r="H576" s="9" t="str">
        <f t="shared" ref="H576:H587" si="37">CONCATENATE(E576,"-",F576,"-",G576)</f>
        <v>--</v>
      </c>
      <c r="I576" s="14">
        <f t="shared" ref="I576:I587" si="38">+D576</f>
        <v>0</v>
      </c>
      <c r="J576" s="11"/>
      <c r="K576" s="44"/>
      <c r="L576" s="10"/>
    </row>
    <row r="577" spans="1:12" x14ac:dyDescent="0.3">
      <c r="A577" s="6">
        <f t="shared" si="36"/>
        <v>576</v>
      </c>
      <c r="B577" s="6"/>
      <c r="C577" s="6"/>
      <c r="D577" s="8"/>
      <c r="E577" s="9"/>
      <c r="F577" s="9"/>
      <c r="G577" s="9"/>
      <c r="H577" s="9" t="str">
        <f t="shared" si="37"/>
        <v>--</v>
      </c>
      <c r="I577" s="14">
        <f t="shared" si="38"/>
        <v>0</v>
      </c>
      <c r="J577" s="11"/>
      <c r="K577" s="44"/>
      <c r="L577" s="10"/>
    </row>
    <row r="578" spans="1:12" x14ac:dyDescent="0.3">
      <c r="A578" s="6">
        <f t="shared" si="36"/>
        <v>577</v>
      </c>
      <c r="B578" s="6"/>
      <c r="C578" s="6"/>
      <c r="D578" s="8"/>
      <c r="E578" s="9"/>
      <c r="F578" s="9"/>
      <c r="G578" s="9"/>
      <c r="H578" s="9" t="str">
        <f t="shared" si="37"/>
        <v>--</v>
      </c>
      <c r="I578" s="14">
        <f t="shared" si="38"/>
        <v>0</v>
      </c>
      <c r="J578" s="11"/>
      <c r="K578" s="44"/>
      <c r="L578" s="10"/>
    </row>
    <row r="579" spans="1:12" x14ac:dyDescent="0.3">
      <c r="A579" s="6">
        <f t="shared" si="36"/>
        <v>578</v>
      </c>
      <c r="B579" s="6"/>
      <c r="C579" s="6"/>
      <c r="D579" s="8"/>
      <c r="E579" s="9"/>
      <c r="F579" s="9"/>
      <c r="G579" s="9"/>
      <c r="H579" s="9" t="str">
        <f t="shared" si="37"/>
        <v>--</v>
      </c>
      <c r="I579" s="14">
        <f t="shared" si="38"/>
        <v>0</v>
      </c>
      <c r="J579" s="11"/>
      <c r="K579" s="44"/>
      <c r="L579" s="10"/>
    </row>
    <row r="580" spans="1:12" x14ac:dyDescent="0.3">
      <c r="A580" s="6">
        <f t="shared" si="36"/>
        <v>579</v>
      </c>
      <c r="B580" s="6"/>
      <c r="C580" s="6"/>
      <c r="D580" s="8"/>
      <c r="E580" s="9"/>
      <c r="F580" s="9"/>
      <c r="G580" s="9"/>
      <c r="H580" s="9" t="str">
        <f t="shared" si="37"/>
        <v>--</v>
      </c>
      <c r="I580" s="14">
        <f t="shared" si="38"/>
        <v>0</v>
      </c>
      <c r="J580" s="11"/>
      <c r="K580" s="44"/>
      <c r="L580" s="10"/>
    </row>
    <row r="581" spans="1:12" x14ac:dyDescent="0.3">
      <c r="A581" s="6">
        <f t="shared" si="36"/>
        <v>580</v>
      </c>
      <c r="B581" s="6"/>
      <c r="C581" s="6"/>
      <c r="D581" s="8"/>
      <c r="E581" s="9"/>
      <c r="F581" s="9"/>
      <c r="G581" s="9"/>
      <c r="H581" s="9" t="str">
        <f t="shared" si="37"/>
        <v>--</v>
      </c>
      <c r="I581" s="14">
        <f t="shared" si="38"/>
        <v>0</v>
      </c>
      <c r="J581" s="11"/>
      <c r="K581" s="44"/>
      <c r="L581" s="10"/>
    </row>
    <row r="582" spans="1:12" x14ac:dyDescent="0.3">
      <c r="A582" s="6">
        <f t="shared" si="36"/>
        <v>581</v>
      </c>
      <c r="B582" s="6"/>
      <c r="C582" s="6"/>
      <c r="D582" s="8"/>
      <c r="E582" s="9"/>
      <c r="F582" s="9"/>
      <c r="G582" s="9"/>
      <c r="H582" s="9" t="str">
        <f t="shared" si="37"/>
        <v>--</v>
      </c>
      <c r="I582" s="14">
        <f t="shared" si="38"/>
        <v>0</v>
      </c>
      <c r="J582" s="11"/>
      <c r="K582" s="44"/>
      <c r="L582" s="10"/>
    </row>
    <row r="583" spans="1:12" x14ac:dyDescent="0.3">
      <c r="A583" s="6">
        <f t="shared" si="36"/>
        <v>582</v>
      </c>
      <c r="B583" s="6"/>
      <c r="C583" s="6"/>
      <c r="D583" s="8"/>
      <c r="E583" s="9"/>
      <c r="F583" s="9"/>
      <c r="G583" s="9"/>
      <c r="H583" s="9" t="str">
        <f t="shared" si="37"/>
        <v>--</v>
      </c>
      <c r="I583" s="14">
        <f t="shared" si="38"/>
        <v>0</v>
      </c>
      <c r="J583" s="11"/>
      <c r="K583" s="44"/>
      <c r="L583" s="10"/>
    </row>
    <row r="584" spans="1:12" x14ac:dyDescent="0.3">
      <c r="A584" s="6">
        <f t="shared" si="36"/>
        <v>583</v>
      </c>
      <c r="B584" s="6"/>
      <c r="C584" s="6"/>
      <c r="D584" s="8"/>
      <c r="E584" s="9"/>
      <c r="F584" s="9"/>
      <c r="G584" s="9"/>
      <c r="H584" s="9" t="str">
        <f t="shared" si="37"/>
        <v>--</v>
      </c>
      <c r="I584" s="14">
        <f t="shared" si="38"/>
        <v>0</v>
      </c>
      <c r="J584" s="11"/>
      <c r="K584" s="44"/>
      <c r="L584" s="10"/>
    </row>
    <row r="585" spans="1:12" x14ac:dyDescent="0.3">
      <c r="A585" s="6">
        <f t="shared" si="36"/>
        <v>584</v>
      </c>
      <c r="B585" s="6"/>
      <c r="C585" s="6"/>
      <c r="D585" s="8"/>
      <c r="E585" s="9"/>
      <c r="F585" s="9"/>
      <c r="G585" s="9"/>
      <c r="H585" s="9" t="str">
        <f t="shared" si="37"/>
        <v>--</v>
      </c>
      <c r="I585" s="14">
        <f t="shared" si="38"/>
        <v>0</v>
      </c>
      <c r="J585" s="11"/>
      <c r="K585" s="44"/>
      <c r="L585" s="10"/>
    </row>
    <row r="586" spans="1:12" x14ac:dyDescent="0.3">
      <c r="A586" s="6">
        <f t="shared" si="36"/>
        <v>585</v>
      </c>
      <c r="B586" s="6"/>
      <c r="C586" s="6"/>
      <c r="D586" s="8"/>
      <c r="E586" s="9"/>
      <c r="F586" s="9"/>
      <c r="G586" s="9"/>
      <c r="H586" s="9" t="str">
        <f t="shared" si="37"/>
        <v>--</v>
      </c>
      <c r="I586" s="14">
        <f t="shared" si="38"/>
        <v>0</v>
      </c>
      <c r="J586" s="11"/>
      <c r="K586" s="44"/>
      <c r="L586" s="10"/>
    </row>
    <row r="587" spans="1:12" x14ac:dyDescent="0.3">
      <c r="A587" s="6">
        <f t="shared" si="36"/>
        <v>586</v>
      </c>
      <c r="B587" s="6"/>
      <c r="C587" s="6"/>
      <c r="D587" s="8"/>
      <c r="E587" s="9"/>
      <c r="F587" s="9"/>
      <c r="G587" s="9"/>
      <c r="H587" s="9" t="str">
        <f t="shared" si="37"/>
        <v>--</v>
      </c>
      <c r="I587" s="14">
        <f t="shared" si="38"/>
        <v>0</v>
      </c>
      <c r="J587" s="11"/>
      <c r="K587" s="44"/>
      <c r="L587" s="10"/>
    </row>
    <row r="588" spans="1:12" x14ac:dyDescent="0.3">
      <c r="A588" s="6">
        <f t="shared" si="36"/>
        <v>587</v>
      </c>
      <c r="B588" s="6"/>
      <c r="C588" s="6"/>
      <c r="D588" s="8"/>
      <c r="E588" s="9"/>
      <c r="F588" s="9"/>
      <c r="G588" s="9"/>
      <c r="H588" s="9" t="str">
        <f t="shared" ref="H588:H599" si="39">CONCATENATE(E588,"-",F588,"-",G588)</f>
        <v>--</v>
      </c>
      <c r="I588" s="14">
        <f t="shared" ref="I588:I599" si="40">+D588</f>
        <v>0</v>
      </c>
      <c r="J588" s="11"/>
      <c r="K588" s="44"/>
      <c r="L588" s="10"/>
    </row>
    <row r="589" spans="1:12" x14ac:dyDescent="0.3">
      <c r="A589" s="6">
        <f t="shared" si="36"/>
        <v>588</v>
      </c>
      <c r="B589" s="6"/>
      <c r="C589" s="6"/>
      <c r="D589" s="8"/>
      <c r="E589" s="9"/>
      <c r="F589" s="9"/>
      <c r="G589" s="9"/>
      <c r="H589" s="9" t="str">
        <f t="shared" si="39"/>
        <v>--</v>
      </c>
      <c r="I589" s="14">
        <f t="shared" si="40"/>
        <v>0</v>
      </c>
      <c r="J589" s="11"/>
      <c r="K589" s="44"/>
      <c r="L589" s="10"/>
    </row>
    <row r="590" spans="1:12" x14ac:dyDescent="0.3">
      <c r="A590" s="6">
        <f t="shared" si="36"/>
        <v>589</v>
      </c>
      <c r="B590" s="6"/>
      <c r="C590" s="6"/>
      <c r="D590" s="8"/>
      <c r="E590" s="9"/>
      <c r="F590" s="9"/>
      <c r="G590" s="9"/>
      <c r="H590" s="9" t="str">
        <f t="shared" si="39"/>
        <v>--</v>
      </c>
      <c r="I590" s="14">
        <f t="shared" si="40"/>
        <v>0</v>
      </c>
      <c r="J590" s="11"/>
      <c r="K590" s="44"/>
      <c r="L590" s="10"/>
    </row>
    <row r="591" spans="1:12" x14ac:dyDescent="0.3">
      <c r="A591" s="6">
        <f t="shared" si="36"/>
        <v>590</v>
      </c>
      <c r="B591" s="6"/>
      <c r="C591" s="6"/>
      <c r="D591" s="8"/>
      <c r="E591" s="9"/>
      <c r="F591" s="9"/>
      <c r="G591" s="9"/>
      <c r="H591" s="9" t="str">
        <f t="shared" si="39"/>
        <v>--</v>
      </c>
      <c r="I591" s="14">
        <f t="shared" si="40"/>
        <v>0</v>
      </c>
      <c r="J591" s="11"/>
      <c r="K591" s="44"/>
      <c r="L591" s="10"/>
    </row>
    <row r="592" spans="1:12" x14ac:dyDescent="0.3">
      <c r="A592" s="6">
        <f t="shared" si="36"/>
        <v>591</v>
      </c>
      <c r="B592" s="6"/>
      <c r="C592" s="6"/>
      <c r="D592" s="8"/>
      <c r="E592" s="9"/>
      <c r="F592" s="9"/>
      <c r="G592" s="9"/>
      <c r="H592" s="9" t="str">
        <f t="shared" si="39"/>
        <v>--</v>
      </c>
      <c r="I592" s="14">
        <f t="shared" si="40"/>
        <v>0</v>
      </c>
      <c r="J592" s="11"/>
      <c r="K592" s="44"/>
      <c r="L592" s="10"/>
    </row>
    <row r="593" spans="1:12" x14ac:dyDescent="0.3">
      <c r="A593" s="6">
        <f t="shared" si="36"/>
        <v>592</v>
      </c>
      <c r="B593" s="6"/>
      <c r="C593" s="6"/>
      <c r="D593" s="8"/>
      <c r="E593" s="9"/>
      <c r="F593" s="9"/>
      <c r="G593" s="9"/>
      <c r="H593" s="9" t="str">
        <f t="shared" si="39"/>
        <v>--</v>
      </c>
      <c r="I593" s="14">
        <f t="shared" si="40"/>
        <v>0</v>
      </c>
      <c r="J593" s="11"/>
      <c r="K593" s="44"/>
      <c r="L593" s="10"/>
    </row>
    <row r="594" spans="1:12" x14ac:dyDescent="0.3">
      <c r="A594" s="6">
        <f t="shared" si="36"/>
        <v>593</v>
      </c>
      <c r="B594" s="6"/>
      <c r="C594" s="6"/>
      <c r="D594" s="8"/>
      <c r="E594" s="9"/>
      <c r="F594" s="9"/>
      <c r="G594" s="9"/>
      <c r="H594" s="9" t="str">
        <f t="shared" si="39"/>
        <v>--</v>
      </c>
      <c r="I594" s="14">
        <f t="shared" si="40"/>
        <v>0</v>
      </c>
      <c r="J594" s="11"/>
      <c r="K594" s="44"/>
      <c r="L594" s="10"/>
    </row>
    <row r="595" spans="1:12" x14ac:dyDescent="0.3">
      <c r="A595" s="6">
        <f t="shared" si="36"/>
        <v>594</v>
      </c>
      <c r="B595" s="6"/>
      <c r="C595" s="6"/>
      <c r="D595" s="8"/>
      <c r="E595" s="9"/>
      <c r="F595" s="9"/>
      <c r="G595" s="9"/>
      <c r="H595" s="9" t="str">
        <f t="shared" si="39"/>
        <v>--</v>
      </c>
      <c r="I595" s="14">
        <f t="shared" si="40"/>
        <v>0</v>
      </c>
      <c r="J595" s="11"/>
      <c r="K595" s="44"/>
      <c r="L595" s="10"/>
    </row>
    <row r="596" spans="1:12" x14ac:dyDescent="0.3">
      <c r="A596" s="6">
        <f t="shared" si="36"/>
        <v>595</v>
      </c>
      <c r="B596" s="6"/>
      <c r="C596" s="6"/>
      <c r="D596" s="8"/>
      <c r="E596" s="9"/>
      <c r="F596" s="9"/>
      <c r="G596" s="9"/>
      <c r="H596" s="9" t="str">
        <f t="shared" si="39"/>
        <v>--</v>
      </c>
      <c r="I596" s="14">
        <f t="shared" si="40"/>
        <v>0</v>
      </c>
      <c r="J596" s="11"/>
      <c r="K596" s="44"/>
      <c r="L596" s="10"/>
    </row>
    <row r="597" spans="1:12" x14ac:dyDescent="0.3">
      <c r="A597" s="6">
        <f t="shared" si="36"/>
        <v>596</v>
      </c>
      <c r="B597" s="6"/>
      <c r="C597" s="6"/>
      <c r="D597" s="8"/>
      <c r="E597" s="9"/>
      <c r="F597" s="9"/>
      <c r="G597" s="9"/>
      <c r="H597" s="9" t="str">
        <f t="shared" si="39"/>
        <v>--</v>
      </c>
      <c r="I597" s="14">
        <f t="shared" si="40"/>
        <v>0</v>
      </c>
      <c r="J597" s="11"/>
      <c r="K597" s="44"/>
      <c r="L597" s="10"/>
    </row>
    <row r="598" spans="1:12" x14ac:dyDescent="0.3">
      <c r="A598" s="6">
        <f t="shared" si="36"/>
        <v>597</v>
      </c>
      <c r="B598" s="6"/>
      <c r="C598" s="6"/>
      <c r="D598" s="8"/>
      <c r="E598" s="9"/>
      <c r="F598" s="9"/>
      <c r="G598" s="9"/>
      <c r="H598" s="9" t="str">
        <f t="shared" si="39"/>
        <v>--</v>
      </c>
      <c r="I598" s="14">
        <f t="shared" si="40"/>
        <v>0</v>
      </c>
      <c r="J598" s="11"/>
      <c r="K598" s="44"/>
      <c r="L598" s="10"/>
    </row>
    <row r="599" spans="1:12" x14ac:dyDescent="0.3">
      <c r="A599" s="6">
        <f t="shared" si="36"/>
        <v>598</v>
      </c>
      <c r="B599" s="6"/>
      <c r="C599" s="6"/>
      <c r="D599" s="8"/>
      <c r="E599" s="9"/>
      <c r="F599" s="9"/>
      <c r="G599" s="9"/>
      <c r="H599" s="9" t="str">
        <f t="shared" si="39"/>
        <v>--</v>
      </c>
      <c r="I599" s="14">
        <f t="shared" si="40"/>
        <v>0</v>
      </c>
      <c r="J599" s="11"/>
      <c r="K599" s="44"/>
      <c r="L599" s="10"/>
    </row>
    <row r="600" spans="1:12" x14ac:dyDescent="0.3">
      <c r="A600" s="6">
        <f t="shared" si="36"/>
        <v>599</v>
      </c>
      <c r="B600" s="6"/>
      <c r="C600" s="6"/>
      <c r="D600" s="8"/>
      <c r="E600" s="9"/>
      <c r="F600" s="9"/>
      <c r="G600" s="9"/>
      <c r="H600" s="9" t="str">
        <f t="shared" ref="H600:H613" si="41">CONCATENATE(E600,"-",F600,"-",G600)</f>
        <v>--</v>
      </c>
      <c r="I600" s="14">
        <f t="shared" ref="I600:I612" si="42">+D600</f>
        <v>0</v>
      </c>
      <c r="J600" s="11"/>
      <c r="K600" s="44"/>
      <c r="L600" s="10"/>
    </row>
    <row r="601" spans="1:12" x14ac:dyDescent="0.3">
      <c r="A601" s="6">
        <f t="shared" si="36"/>
        <v>600</v>
      </c>
      <c r="B601" s="6"/>
      <c r="C601" s="6"/>
      <c r="D601" s="8"/>
      <c r="E601" s="9"/>
      <c r="F601" s="9"/>
      <c r="G601" s="9"/>
      <c r="H601" s="9" t="str">
        <f t="shared" si="41"/>
        <v>--</v>
      </c>
      <c r="I601" s="14">
        <f t="shared" si="42"/>
        <v>0</v>
      </c>
      <c r="J601" s="11"/>
      <c r="K601" s="44"/>
      <c r="L601" s="10"/>
    </row>
    <row r="602" spans="1:12" x14ac:dyDescent="0.3">
      <c r="A602" s="6">
        <f t="shared" si="36"/>
        <v>601</v>
      </c>
      <c r="B602" s="6"/>
      <c r="C602" s="6"/>
      <c r="D602" s="8"/>
      <c r="E602" s="9"/>
      <c r="F602" s="9"/>
      <c r="G602" s="9"/>
      <c r="H602" s="9" t="str">
        <f t="shared" si="41"/>
        <v>--</v>
      </c>
      <c r="I602" s="14">
        <f t="shared" si="42"/>
        <v>0</v>
      </c>
      <c r="J602" s="11"/>
      <c r="K602" s="44"/>
      <c r="L602" s="10"/>
    </row>
    <row r="603" spans="1:12" x14ac:dyDescent="0.3">
      <c r="A603" s="6">
        <f t="shared" si="36"/>
        <v>602</v>
      </c>
      <c r="B603" s="6"/>
      <c r="C603" s="6"/>
      <c r="D603" s="8"/>
      <c r="E603" s="9"/>
      <c r="F603" s="9"/>
      <c r="G603" s="9"/>
      <c r="H603" s="9" t="str">
        <f t="shared" si="41"/>
        <v>--</v>
      </c>
      <c r="I603" s="14">
        <f t="shared" si="42"/>
        <v>0</v>
      </c>
      <c r="J603" s="11"/>
      <c r="K603" s="44"/>
      <c r="L603" s="10"/>
    </row>
    <row r="604" spans="1:12" x14ac:dyDescent="0.3">
      <c r="A604" s="6">
        <f t="shared" si="36"/>
        <v>603</v>
      </c>
      <c r="B604" s="6"/>
      <c r="C604" s="6"/>
      <c r="D604" s="8"/>
      <c r="E604" s="9"/>
      <c r="F604" s="9"/>
      <c r="G604" s="9"/>
      <c r="H604" s="9" t="str">
        <f t="shared" si="41"/>
        <v>--</v>
      </c>
      <c r="I604" s="14">
        <f t="shared" si="42"/>
        <v>0</v>
      </c>
      <c r="J604" s="11"/>
      <c r="K604" s="44"/>
      <c r="L604" s="10"/>
    </row>
    <row r="605" spans="1:12" x14ac:dyDescent="0.3">
      <c r="A605" s="6">
        <f t="shared" si="36"/>
        <v>604</v>
      </c>
      <c r="B605" s="6"/>
      <c r="C605" s="6"/>
      <c r="D605" s="8"/>
      <c r="E605" s="9"/>
      <c r="F605" s="9"/>
      <c r="G605" s="9"/>
      <c r="H605" s="9" t="str">
        <f t="shared" si="41"/>
        <v>--</v>
      </c>
      <c r="I605" s="14">
        <f t="shared" si="42"/>
        <v>0</v>
      </c>
      <c r="J605" s="11"/>
      <c r="K605" s="44"/>
      <c r="L605" s="10"/>
    </row>
    <row r="606" spans="1:12" x14ac:dyDescent="0.3">
      <c r="A606" s="6">
        <f t="shared" si="36"/>
        <v>605</v>
      </c>
      <c r="B606" s="6"/>
      <c r="C606" s="6"/>
      <c r="D606" s="8"/>
      <c r="E606" s="9"/>
      <c r="F606" s="9"/>
      <c r="G606" s="9"/>
      <c r="H606" s="9" t="str">
        <f t="shared" si="41"/>
        <v>--</v>
      </c>
      <c r="I606" s="14">
        <f t="shared" si="42"/>
        <v>0</v>
      </c>
      <c r="J606" s="11"/>
      <c r="K606" s="44"/>
      <c r="L606" s="10"/>
    </row>
    <row r="607" spans="1:12" x14ac:dyDescent="0.3">
      <c r="A607" s="6">
        <f t="shared" si="36"/>
        <v>606</v>
      </c>
      <c r="B607" s="6"/>
      <c r="C607" s="6"/>
      <c r="D607" s="8"/>
      <c r="E607" s="9"/>
      <c r="F607" s="9"/>
      <c r="G607" s="9"/>
      <c r="H607" s="9" t="str">
        <f t="shared" si="41"/>
        <v>--</v>
      </c>
      <c r="I607" s="14">
        <f t="shared" si="42"/>
        <v>0</v>
      </c>
      <c r="J607" s="11"/>
      <c r="K607" s="44"/>
      <c r="L607" s="10"/>
    </row>
    <row r="608" spans="1:12" x14ac:dyDescent="0.3">
      <c r="A608" s="6">
        <f t="shared" si="36"/>
        <v>607</v>
      </c>
      <c r="B608" s="6"/>
      <c r="C608" s="6"/>
      <c r="D608" s="8"/>
      <c r="E608" s="9"/>
      <c r="F608" s="9"/>
      <c r="G608" s="9"/>
      <c r="H608" s="9" t="str">
        <f t="shared" si="41"/>
        <v>--</v>
      </c>
      <c r="I608" s="14">
        <f t="shared" si="42"/>
        <v>0</v>
      </c>
      <c r="J608" s="11"/>
      <c r="K608" s="44"/>
      <c r="L608" s="10"/>
    </row>
    <row r="609" spans="1:20" x14ac:dyDescent="0.3">
      <c r="A609" s="6">
        <f t="shared" si="36"/>
        <v>608</v>
      </c>
      <c r="B609" s="6"/>
      <c r="C609" s="6"/>
      <c r="D609" s="8"/>
      <c r="E609" s="9"/>
      <c r="F609" s="9"/>
      <c r="G609" s="9"/>
      <c r="H609" s="9" t="str">
        <f t="shared" si="41"/>
        <v>--</v>
      </c>
      <c r="I609" s="14">
        <f t="shared" si="42"/>
        <v>0</v>
      </c>
      <c r="J609" s="11"/>
      <c r="K609" s="44"/>
      <c r="L609" s="10"/>
    </row>
    <row r="610" spans="1:20" x14ac:dyDescent="0.3">
      <c r="A610" s="6">
        <f t="shared" si="36"/>
        <v>609</v>
      </c>
      <c r="B610" s="6"/>
      <c r="C610" s="6"/>
      <c r="D610" s="8"/>
      <c r="E610" s="9"/>
      <c r="F610" s="9"/>
      <c r="G610" s="9"/>
      <c r="H610" s="9" t="str">
        <f t="shared" si="41"/>
        <v>--</v>
      </c>
      <c r="I610" s="14">
        <f t="shared" si="42"/>
        <v>0</v>
      </c>
      <c r="J610" s="11"/>
      <c r="K610" s="44"/>
      <c r="L610" s="10"/>
    </row>
    <row r="611" spans="1:20" x14ac:dyDescent="0.3">
      <c r="A611" s="6">
        <f t="shared" si="36"/>
        <v>610</v>
      </c>
      <c r="B611" s="6"/>
      <c r="C611" s="6"/>
      <c r="D611" s="8"/>
      <c r="E611" s="9"/>
      <c r="F611" s="9"/>
      <c r="G611" s="9"/>
      <c r="H611" s="9" t="str">
        <f t="shared" si="41"/>
        <v>--</v>
      </c>
      <c r="I611" s="14">
        <f t="shared" si="42"/>
        <v>0</v>
      </c>
      <c r="J611" s="11"/>
      <c r="K611" s="44"/>
      <c r="L611" s="10"/>
    </row>
    <row r="612" spans="1:20" x14ac:dyDescent="0.3">
      <c r="A612" s="6">
        <f t="shared" si="36"/>
        <v>611</v>
      </c>
      <c r="B612" s="6"/>
      <c r="C612" s="6"/>
      <c r="D612" s="8"/>
      <c r="E612" s="9"/>
      <c r="F612" s="9"/>
      <c r="G612" s="9"/>
      <c r="H612" s="9" t="str">
        <f t="shared" si="41"/>
        <v>--</v>
      </c>
      <c r="I612" s="14">
        <f t="shared" si="42"/>
        <v>0</v>
      </c>
      <c r="J612" s="11"/>
      <c r="K612" s="44"/>
      <c r="L612" s="10"/>
    </row>
    <row r="613" spans="1:20" x14ac:dyDescent="0.3">
      <c r="A613" s="6">
        <f t="shared" si="36"/>
        <v>612</v>
      </c>
      <c r="B613" s="6" t="s">
        <v>9</v>
      </c>
      <c r="C613" s="6" t="s">
        <v>9</v>
      </c>
      <c r="D613" s="8" t="s">
        <v>9</v>
      </c>
      <c r="E613" s="9" t="s">
        <v>9</v>
      </c>
      <c r="F613" s="9" t="s">
        <v>9</v>
      </c>
      <c r="G613" s="9" t="s">
        <v>9</v>
      </c>
      <c r="H613" s="9" t="str">
        <f t="shared" si="41"/>
        <v>X-X-X</v>
      </c>
      <c r="I613" s="14" t="s">
        <v>9</v>
      </c>
      <c r="J613" s="11" t="s">
        <v>9</v>
      </c>
      <c r="K613" s="44" t="s">
        <v>9</v>
      </c>
      <c r="L613" s="10" t="s">
        <v>9</v>
      </c>
      <c r="M613" s="12" t="s">
        <v>9</v>
      </c>
      <c r="N613" s="12" t="s">
        <v>9</v>
      </c>
      <c r="O613" s="12" t="s">
        <v>9</v>
      </c>
      <c r="P613" s="12" t="s">
        <v>9</v>
      </c>
      <c r="Q613" s="12" t="s">
        <v>9</v>
      </c>
      <c r="R613" s="12" t="s">
        <v>9</v>
      </c>
      <c r="S613" s="12" t="s">
        <v>9</v>
      </c>
      <c r="T613" s="12" t="s">
        <v>9</v>
      </c>
    </row>
  </sheetData>
  <autoFilter ref="A1:L613" xr:uid="{4F4293C1-ABC8-4DB4-8F2A-B7706529E92C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26AA2-0196-4959-8A37-47734366EEA4}">
  <dimension ref="A1:AJ544"/>
  <sheetViews>
    <sheetView zoomScale="85" zoomScaleNormal="85" workbookViewId="0">
      <pane xSplit="10" ySplit="3" topLeftCell="K327" activePane="bottomRight" state="frozen"/>
      <selection pane="topRight" activeCell="K1" sqref="K1"/>
      <selection pane="bottomLeft" activeCell="A4" sqref="A4"/>
      <selection pane="bottomRight" activeCell="H342" sqref="H342"/>
    </sheetView>
  </sheetViews>
  <sheetFormatPr baseColWidth="10" defaultRowHeight="14.4" x14ac:dyDescent="0.3"/>
  <cols>
    <col min="1" max="1" width="5.88671875" style="1" bestFit="1" customWidth="1"/>
    <col min="2" max="2" width="7.21875" style="1" customWidth="1"/>
    <col min="3" max="3" width="11.33203125" style="1" customWidth="1"/>
    <col min="4" max="4" width="5.6640625" style="1" customWidth="1"/>
    <col min="5" max="5" width="14" style="3" bestFit="1" customWidth="1"/>
    <col min="6" max="6" width="40.5546875" style="2" customWidth="1"/>
    <col min="7" max="7" width="11.5546875" style="32"/>
    <col min="8" max="8" width="7" style="2" customWidth="1"/>
    <col min="9" max="9" width="11.21875" style="34" bestFit="1" customWidth="1"/>
    <col min="10" max="10" width="0.6640625" style="2" customWidth="1"/>
    <col min="11" max="11" width="8" style="2" customWidth="1"/>
    <col min="12" max="12" width="7.5546875" style="68" customWidth="1"/>
    <col min="13" max="13" width="8" style="2" customWidth="1"/>
    <col min="14" max="14" width="7.5546875" style="33" customWidth="1"/>
    <col min="15" max="15" width="8" style="2" customWidth="1"/>
    <col min="16" max="16" width="7.77734375" style="72" customWidth="1"/>
    <col min="17" max="17" width="7" style="2" customWidth="1"/>
    <col min="18" max="18" width="11.21875" style="2" bestFit="1" customWidth="1"/>
    <col min="19" max="19" width="7.5546875" style="2" customWidth="1"/>
    <col min="20" max="20" width="8.21875" style="2" customWidth="1"/>
    <col min="21" max="21" width="0.6640625" style="2" customWidth="1"/>
    <col min="22" max="22" width="8" style="2" hidden="1" customWidth="1"/>
    <col min="23" max="23" width="7.5546875" style="68" hidden="1" customWidth="1"/>
    <col min="24" max="24" width="8" style="2" hidden="1" customWidth="1"/>
    <col min="25" max="25" width="7.5546875" style="33" hidden="1" customWidth="1"/>
    <col min="26" max="26" width="8" style="2" hidden="1" customWidth="1"/>
    <col min="27" max="27" width="7.77734375" style="72" hidden="1" customWidth="1"/>
    <col min="28" max="28" width="7" style="2" hidden="1" customWidth="1"/>
    <col min="29" max="29" width="11.21875" style="2" hidden="1" customWidth="1"/>
    <col min="30" max="30" width="30.6640625" style="1" customWidth="1"/>
    <col min="31" max="31" width="19.109375" style="1" customWidth="1"/>
    <col min="32" max="34" width="11.5546875" style="1"/>
    <col min="35" max="16384" width="11.5546875" style="2"/>
  </cols>
  <sheetData>
    <row r="1" spans="1:34" ht="22.8" customHeight="1" x14ac:dyDescent="0.3">
      <c r="K1" s="122" t="s">
        <v>464</v>
      </c>
      <c r="L1" s="122"/>
      <c r="M1" s="122"/>
      <c r="N1" s="122"/>
      <c r="O1" s="122"/>
      <c r="P1" s="122"/>
      <c r="Q1" s="122"/>
      <c r="R1" s="122"/>
      <c r="S1" s="83"/>
      <c r="T1" s="83"/>
      <c r="V1" s="122" t="s">
        <v>465</v>
      </c>
      <c r="W1" s="122"/>
      <c r="X1" s="122"/>
      <c r="Y1" s="122"/>
      <c r="Z1" s="122"/>
      <c r="AA1" s="122"/>
      <c r="AB1" s="122"/>
      <c r="AC1" s="122"/>
    </row>
    <row r="2" spans="1:34" s="29" customFormat="1" ht="28.8" customHeight="1" x14ac:dyDescent="0.3">
      <c r="A2" s="128" t="s">
        <v>106</v>
      </c>
      <c r="B2" s="129"/>
      <c r="C2" s="130"/>
      <c r="D2" s="131" t="s">
        <v>132</v>
      </c>
      <c r="E2" s="132"/>
      <c r="F2" s="133"/>
      <c r="G2" s="18"/>
      <c r="H2" s="135" t="s">
        <v>53</v>
      </c>
      <c r="I2" s="135"/>
      <c r="J2" s="28"/>
      <c r="K2" s="123" t="s">
        <v>331</v>
      </c>
      <c r="L2" s="123"/>
      <c r="M2" s="124" t="s">
        <v>332</v>
      </c>
      <c r="N2" s="124"/>
      <c r="O2" s="125" t="s">
        <v>61</v>
      </c>
      <c r="P2" s="125"/>
      <c r="Q2" s="126" t="s">
        <v>62</v>
      </c>
      <c r="R2" s="126"/>
      <c r="S2" s="127" t="s">
        <v>466</v>
      </c>
      <c r="T2" s="127"/>
      <c r="U2" s="28"/>
      <c r="V2" s="123" t="s">
        <v>331</v>
      </c>
      <c r="W2" s="123"/>
      <c r="X2" s="124" t="s">
        <v>332</v>
      </c>
      <c r="Y2" s="124"/>
      <c r="Z2" s="125" t="s">
        <v>61</v>
      </c>
      <c r="AA2" s="125"/>
      <c r="AB2" s="126" t="s">
        <v>62</v>
      </c>
      <c r="AC2" s="126"/>
      <c r="AD2" s="24"/>
      <c r="AE2" s="24"/>
      <c r="AF2" s="134" t="s">
        <v>248</v>
      </c>
      <c r="AG2" s="134"/>
      <c r="AH2" s="134"/>
    </row>
    <row r="3" spans="1:34" s="24" customFormat="1" ht="28.8" x14ac:dyDescent="0.3">
      <c r="A3" s="19" t="s">
        <v>11</v>
      </c>
      <c r="B3" s="19" t="s">
        <v>1</v>
      </c>
      <c r="C3" s="19" t="s">
        <v>2</v>
      </c>
      <c r="D3" s="19" t="s">
        <v>3</v>
      </c>
      <c r="E3" s="20" t="s">
        <v>4</v>
      </c>
      <c r="F3" s="19" t="s">
        <v>5</v>
      </c>
      <c r="G3" s="7" t="s">
        <v>6</v>
      </c>
      <c r="H3" s="73" t="s">
        <v>54</v>
      </c>
      <c r="I3" s="21" t="s">
        <v>7</v>
      </c>
      <c r="J3" s="23"/>
      <c r="K3" s="69" t="s">
        <v>334</v>
      </c>
      <c r="L3" s="66" t="s">
        <v>247</v>
      </c>
      <c r="M3" s="58" t="s">
        <v>334</v>
      </c>
      <c r="N3" s="57" t="s">
        <v>247</v>
      </c>
      <c r="O3" s="69" t="s">
        <v>334</v>
      </c>
      <c r="P3" s="66" t="s">
        <v>247</v>
      </c>
      <c r="Q3" s="35" t="s">
        <v>54</v>
      </c>
      <c r="R3" s="22" t="s">
        <v>7</v>
      </c>
      <c r="S3" s="86" t="s">
        <v>54</v>
      </c>
      <c r="T3" s="87" t="s">
        <v>7</v>
      </c>
      <c r="U3" s="23"/>
      <c r="V3" s="69" t="s">
        <v>334</v>
      </c>
      <c r="W3" s="66" t="s">
        <v>247</v>
      </c>
      <c r="X3" s="58" t="s">
        <v>334</v>
      </c>
      <c r="Y3" s="57" t="s">
        <v>247</v>
      </c>
      <c r="Z3" s="69" t="s">
        <v>334</v>
      </c>
      <c r="AA3" s="66" t="s">
        <v>247</v>
      </c>
      <c r="AB3" s="35" t="s">
        <v>54</v>
      </c>
      <c r="AC3" s="22" t="s">
        <v>7</v>
      </c>
      <c r="AD3" s="19" t="s">
        <v>244</v>
      </c>
      <c r="AE3" s="19" t="s">
        <v>469</v>
      </c>
      <c r="AF3" s="47" t="s">
        <v>335</v>
      </c>
      <c r="AG3" s="47" t="s">
        <v>249</v>
      </c>
      <c r="AH3" s="47" t="s">
        <v>250</v>
      </c>
    </row>
    <row r="4" spans="1:34" ht="21.6" customHeight="1" x14ac:dyDescent="0.3">
      <c r="A4" s="65">
        <v>242</v>
      </c>
      <c r="B4" s="25"/>
      <c r="C4" s="25"/>
      <c r="D4" s="25"/>
      <c r="E4" s="30" t="str">
        <f t="shared" ref="E4:E67" si="0">CONCATENATE(B4,"-",C4,"-",D4)</f>
        <v>--</v>
      </c>
      <c r="F4" s="13">
        <f>VLOOKUP(E4,'LISTA ITEMS'!$E$2:$G$875,2,FALSE)</f>
        <v>0</v>
      </c>
      <c r="G4" s="25">
        <f>VLOOKUP(E4,'LISTA ITEMS'!$E$2:$G$875,3,FALSE)</f>
        <v>0</v>
      </c>
      <c r="H4" s="76"/>
      <c r="I4" s="75">
        <v>0</v>
      </c>
      <c r="J4" s="27"/>
      <c r="K4" s="70"/>
      <c r="L4" s="67"/>
      <c r="M4" s="56"/>
      <c r="N4" s="55"/>
      <c r="O4" s="13"/>
      <c r="P4" s="71"/>
      <c r="Q4" s="31"/>
      <c r="R4" s="26">
        <f t="shared" ref="R4:R67" si="1">+I4+L4+N4-P4</f>
        <v>0</v>
      </c>
      <c r="S4" s="85"/>
      <c r="T4" s="84"/>
      <c r="U4" s="27"/>
      <c r="V4" s="70"/>
      <c r="W4" s="67"/>
      <c r="X4" s="56"/>
      <c r="Y4" s="55"/>
      <c r="Z4" s="13"/>
      <c r="AA4" s="71"/>
      <c r="AB4" s="31"/>
      <c r="AC4" s="26">
        <f t="shared" ref="AC4:AC67" si="2">+R4+W4+Y4-AA4</f>
        <v>0</v>
      </c>
      <c r="AD4" s="25"/>
      <c r="AE4" s="25"/>
      <c r="AF4" s="13"/>
      <c r="AG4" s="13"/>
      <c r="AH4" s="13"/>
    </row>
    <row r="5" spans="1:34" ht="21.6" customHeight="1" x14ac:dyDescent="0.3">
      <c r="A5" s="65">
        <v>243</v>
      </c>
      <c r="B5" s="25"/>
      <c r="C5" s="25"/>
      <c r="D5" s="25"/>
      <c r="E5" s="30" t="str">
        <f t="shared" si="0"/>
        <v>--</v>
      </c>
      <c r="F5" s="13">
        <f>VLOOKUP(E5,'LISTA ITEMS'!$E$2:$G$875,2,FALSE)</f>
        <v>0</v>
      </c>
      <c r="G5" s="25">
        <f>VLOOKUP(E5,'LISTA ITEMS'!$E$2:$G$875,3,FALSE)</f>
        <v>0</v>
      </c>
      <c r="H5" s="76"/>
      <c r="I5" s="75">
        <v>0</v>
      </c>
      <c r="J5" s="27"/>
      <c r="K5" s="13"/>
      <c r="L5" s="67"/>
      <c r="M5" s="56"/>
      <c r="N5" s="55"/>
      <c r="O5" s="13"/>
      <c r="P5" s="71"/>
      <c r="Q5" s="31"/>
      <c r="R5" s="26">
        <f t="shared" si="1"/>
        <v>0</v>
      </c>
      <c r="S5" s="85"/>
      <c r="T5" s="84"/>
      <c r="U5" s="27"/>
      <c r="V5" s="13"/>
      <c r="W5" s="67"/>
      <c r="X5" s="56"/>
      <c r="Y5" s="55"/>
      <c r="Z5" s="13"/>
      <c r="AA5" s="71"/>
      <c r="AB5" s="31"/>
      <c r="AC5" s="26">
        <f t="shared" si="2"/>
        <v>0</v>
      </c>
      <c r="AD5" s="25"/>
      <c r="AE5" s="25"/>
      <c r="AF5" s="13"/>
      <c r="AG5" s="13"/>
      <c r="AH5" s="13"/>
    </row>
    <row r="6" spans="1:34" ht="21.6" customHeight="1" x14ac:dyDescent="0.3">
      <c r="A6" s="65">
        <v>244</v>
      </c>
      <c r="B6" s="25"/>
      <c r="C6" s="25"/>
      <c r="D6" s="25"/>
      <c r="E6" s="30" t="str">
        <f t="shared" si="0"/>
        <v>--</v>
      </c>
      <c r="F6" s="13">
        <f>VLOOKUP(E6,'LISTA ITEMS'!$E$2:$G$875,2,FALSE)</f>
        <v>0</v>
      </c>
      <c r="G6" s="25">
        <f>VLOOKUP(E6,'LISTA ITEMS'!$E$2:$G$875,3,FALSE)</f>
        <v>0</v>
      </c>
      <c r="H6" s="76"/>
      <c r="I6" s="75">
        <v>0</v>
      </c>
      <c r="J6" s="27"/>
      <c r="K6" s="13"/>
      <c r="L6" s="67"/>
      <c r="M6" s="56"/>
      <c r="N6" s="55"/>
      <c r="O6" s="13"/>
      <c r="P6" s="71"/>
      <c r="Q6" s="31"/>
      <c r="R6" s="26">
        <f t="shared" si="1"/>
        <v>0</v>
      </c>
      <c r="S6" s="85"/>
      <c r="T6" s="84"/>
      <c r="U6" s="27"/>
      <c r="V6" s="13"/>
      <c r="W6" s="67"/>
      <c r="X6" s="56"/>
      <c r="Y6" s="55"/>
      <c r="Z6" s="13"/>
      <c r="AA6" s="71"/>
      <c r="AB6" s="31"/>
      <c r="AC6" s="26">
        <f t="shared" si="2"/>
        <v>0</v>
      </c>
      <c r="AD6" s="25"/>
      <c r="AE6" s="25"/>
      <c r="AF6" s="13"/>
      <c r="AG6" s="13"/>
      <c r="AH6" s="13"/>
    </row>
    <row r="7" spans="1:34" ht="21.6" customHeight="1" x14ac:dyDescent="0.3">
      <c r="A7" s="65">
        <v>245</v>
      </c>
      <c r="B7" s="25"/>
      <c r="C7" s="25"/>
      <c r="D7" s="25"/>
      <c r="E7" s="30" t="str">
        <f t="shared" si="0"/>
        <v>--</v>
      </c>
      <c r="F7" s="13">
        <f>VLOOKUP(E7,'LISTA ITEMS'!$E$2:$G$875,2,FALSE)</f>
        <v>0</v>
      </c>
      <c r="G7" s="25">
        <f>VLOOKUP(E7,'LISTA ITEMS'!$E$2:$G$875,3,FALSE)</f>
        <v>0</v>
      </c>
      <c r="H7" s="76"/>
      <c r="I7" s="75">
        <v>0</v>
      </c>
      <c r="J7" s="27"/>
      <c r="K7" s="13"/>
      <c r="L7" s="67"/>
      <c r="M7" s="56"/>
      <c r="N7" s="55"/>
      <c r="O7" s="13"/>
      <c r="P7" s="71"/>
      <c r="Q7" s="31"/>
      <c r="R7" s="26">
        <f t="shared" si="1"/>
        <v>0</v>
      </c>
      <c r="S7" s="85"/>
      <c r="T7" s="84"/>
      <c r="U7" s="27"/>
      <c r="V7" s="13"/>
      <c r="W7" s="67"/>
      <c r="X7" s="56"/>
      <c r="Y7" s="55"/>
      <c r="Z7" s="13"/>
      <c r="AA7" s="71"/>
      <c r="AB7" s="31"/>
      <c r="AC7" s="26">
        <f t="shared" si="2"/>
        <v>0</v>
      </c>
      <c r="AD7" s="25"/>
      <c r="AE7" s="25"/>
      <c r="AF7" s="13"/>
      <c r="AG7" s="13"/>
      <c r="AH7" s="13"/>
    </row>
    <row r="8" spans="1:34" ht="21.6" customHeight="1" x14ac:dyDescent="0.3">
      <c r="A8" s="65">
        <v>246</v>
      </c>
      <c r="B8" s="25"/>
      <c r="C8" s="25"/>
      <c r="D8" s="25"/>
      <c r="E8" s="30" t="str">
        <f t="shared" si="0"/>
        <v>--</v>
      </c>
      <c r="F8" s="13">
        <f>VLOOKUP(E8,'LISTA ITEMS'!$E$2:$G$875,2,FALSE)</f>
        <v>0</v>
      </c>
      <c r="G8" s="25">
        <f>VLOOKUP(E8,'LISTA ITEMS'!$E$2:$G$875,3,FALSE)</f>
        <v>0</v>
      </c>
      <c r="H8" s="76"/>
      <c r="I8" s="75">
        <v>0</v>
      </c>
      <c r="J8" s="27"/>
      <c r="K8" s="13"/>
      <c r="L8" s="67"/>
      <c r="M8" s="56"/>
      <c r="N8" s="55"/>
      <c r="O8" s="13"/>
      <c r="P8" s="71"/>
      <c r="Q8" s="31"/>
      <c r="R8" s="26">
        <f t="shared" si="1"/>
        <v>0</v>
      </c>
      <c r="S8" s="85"/>
      <c r="T8" s="84"/>
      <c r="U8" s="27"/>
      <c r="V8" s="13"/>
      <c r="W8" s="67"/>
      <c r="X8" s="56"/>
      <c r="Y8" s="55"/>
      <c r="Z8" s="13"/>
      <c r="AA8" s="71"/>
      <c r="AB8" s="31"/>
      <c r="AC8" s="26">
        <f t="shared" si="2"/>
        <v>0</v>
      </c>
      <c r="AD8" s="25"/>
      <c r="AE8" s="25"/>
      <c r="AF8" s="13"/>
      <c r="AG8" s="13"/>
      <c r="AH8" s="13"/>
    </row>
    <row r="9" spans="1:34" ht="21.6" customHeight="1" x14ac:dyDescent="0.3">
      <c r="A9" s="65">
        <v>247</v>
      </c>
      <c r="B9" s="25"/>
      <c r="C9" s="25"/>
      <c r="D9" s="25"/>
      <c r="E9" s="30" t="str">
        <f t="shared" si="0"/>
        <v>--</v>
      </c>
      <c r="F9" s="13">
        <f>VLOOKUP(E9,'LISTA ITEMS'!$E$2:$G$875,2,FALSE)</f>
        <v>0</v>
      </c>
      <c r="G9" s="25">
        <f>VLOOKUP(E9,'LISTA ITEMS'!$E$2:$G$875,3,FALSE)</f>
        <v>0</v>
      </c>
      <c r="H9" s="76"/>
      <c r="I9" s="75">
        <v>0</v>
      </c>
      <c r="J9" s="27"/>
      <c r="K9" s="13"/>
      <c r="L9" s="67"/>
      <c r="M9" s="56"/>
      <c r="N9" s="55"/>
      <c r="O9" s="13"/>
      <c r="P9" s="71"/>
      <c r="Q9" s="31"/>
      <c r="R9" s="26">
        <f t="shared" si="1"/>
        <v>0</v>
      </c>
      <c r="S9" s="85"/>
      <c r="T9" s="84"/>
      <c r="U9" s="27"/>
      <c r="V9" s="13"/>
      <c r="W9" s="67"/>
      <c r="X9" s="56"/>
      <c r="Y9" s="55"/>
      <c r="Z9" s="13"/>
      <c r="AA9" s="71"/>
      <c r="AB9" s="31"/>
      <c r="AC9" s="26">
        <f t="shared" si="2"/>
        <v>0</v>
      </c>
      <c r="AD9" s="25"/>
      <c r="AE9" s="25"/>
      <c r="AF9" s="13"/>
      <c r="AG9" s="13"/>
      <c r="AH9" s="13"/>
    </row>
    <row r="10" spans="1:34" ht="21.6" customHeight="1" x14ac:dyDescent="0.3">
      <c r="A10" s="65">
        <v>248</v>
      </c>
      <c r="B10" s="25"/>
      <c r="C10" s="25"/>
      <c r="D10" s="25"/>
      <c r="E10" s="30" t="str">
        <f t="shared" si="0"/>
        <v>--</v>
      </c>
      <c r="F10" s="13">
        <f>VLOOKUP(E10,'LISTA ITEMS'!$E$2:$G$875,2,FALSE)</f>
        <v>0</v>
      </c>
      <c r="G10" s="25">
        <f>VLOOKUP(E10,'LISTA ITEMS'!$E$2:$G$875,3,FALSE)</f>
        <v>0</v>
      </c>
      <c r="H10" s="76"/>
      <c r="I10" s="75">
        <v>0</v>
      </c>
      <c r="J10" s="27"/>
      <c r="K10" s="13"/>
      <c r="L10" s="67"/>
      <c r="M10" s="56"/>
      <c r="N10" s="55"/>
      <c r="O10" s="13"/>
      <c r="P10" s="71"/>
      <c r="Q10" s="31"/>
      <c r="R10" s="26">
        <f t="shared" si="1"/>
        <v>0</v>
      </c>
      <c r="S10" s="85"/>
      <c r="T10" s="84"/>
      <c r="U10" s="27"/>
      <c r="V10" s="13"/>
      <c r="W10" s="67"/>
      <c r="X10" s="56"/>
      <c r="Y10" s="55"/>
      <c r="Z10" s="13"/>
      <c r="AA10" s="71"/>
      <c r="AB10" s="31"/>
      <c r="AC10" s="26">
        <f t="shared" si="2"/>
        <v>0</v>
      </c>
      <c r="AD10" s="25"/>
      <c r="AE10" s="25"/>
      <c r="AF10" s="13"/>
      <c r="AG10" s="13"/>
      <c r="AH10" s="13"/>
    </row>
    <row r="11" spans="1:34" ht="21.6" customHeight="1" x14ac:dyDescent="0.3">
      <c r="A11" s="65">
        <v>249</v>
      </c>
      <c r="B11" s="25"/>
      <c r="C11" s="25"/>
      <c r="D11" s="25"/>
      <c r="E11" s="30" t="str">
        <f t="shared" si="0"/>
        <v>--</v>
      </c>
      <c r="F11" s="13">
        <f>VLOOKUP(E11,'LISTA ITEMS'!$E$2:$G$875,2,FALSE)</f>
        <v>0</v>
      </c>
      <c r="G11" s="25">
        <f>VLOOKUP(E11,'LISTA ITEMS'!$E$2:$G$875,3,FALSE)</f>
        <v>0</v>
      </c>
      <c r="H11" s="76"/>
      <c r="I11" s="75">
        <v>0</v>
      </c>
      <c r="J11" s="27"/>
      <c r="K11" s="13"/>
      <c r="L11" s="67"/>
      <c r="M11" s="56"/>
      <c r="N11" s="55"/>
      <c r="O11" s="13"/>
      <c r="P11" s="71"/>
      <c r="Q11" s="31"/>
      <c r="R11" s="26">
        <f t="shared" si="1"/>
        <v>0</v>
      </c>
      <c r="S11" s="85"/>
      <c r="T11" s="84"/>
      <c r="U11" s="27"/>
      <c r="V11" s="13"/>
      <c r="W11" s="67"/>
      <c r="X11" s="56"/>
      <c r="Y11" s="55"/>
      <c r="Z11" s="13"/>
      <c r="AA11" s="71"/>
      <c r="AB11" s="31"/>
      <c r="AC11" s="26">
        <f t="shared" si="2"/>
        <v>0</v>
      </c>
      <c r="AD11" s="25"/>
      <c r="AE11" s="25"/>
      <c r="AF11" s="13"/>
      <c r="AG11" s="13"/>
      <c r="AH11" s="13"/>
    </row>
    <row r="12" spans="1:34" ht="21.6" customHeight="1" x14ac:dyDescent="0.3">
      <c r="A12" s="65">
        <v>250</v>
      </c>
      <c r="B12" s="25"/>
      <c r="C12" s="25"/>
      <c r="D12" s="25"/>
      <c r="E12" s="30" t="str">
        <f t="shared" si="0"/>
        <v>--</v>
      </c>
      <c r="F12" s="13">
        <f>VLOOKUP(E12,'LISTA ITEMS'!$E$2:$G$875,2,FALSE)</f>
        <v>0</v>
      </c>
      <c r="G12" s="25">
        <f>VLOOKUP(E12,'LISTA ITEMS'!$E$2:$G$875,3,FALSE)</f>
        <v>0</v>
      </c>
      <c r="H12" s="76"/>
      <c r="I12" s="75">
        <v>0</v>
      </c>
      <c r="J12" s="27"/>
      <c r="K12" s="13"/>
      <c r="L12" s="67"/>
      <c r="M12" s="56"/>
      <c r="N12" s="55"/>
      <c r="O12" s="13"/>
      <c r="P12" s="71"/>
      <c r="Q12" s="31"/>
      <c r="R12" s="26">
        <f t="shared" si="1"/>
        <v>0</v>
      </c>
      <c r="S12" s="85"/>
      <c r="T12" s="84"/>
      <c r="U12" s="27"/>
      <c r="V12" s="13"/>
      <c r="W12" s="67"/>
      <c r="X12" s="56"/>
      <c r="Y12" s="55"/>
      <c r="Z12" s="13"/>
      <c r="AA12" s="71"/>
      <c r="AB12" s="31"/>
      <c r="AC12" s="26">
        <f t="shared" si="2"/>
        <v>0</v>
      </c>
      <c r="AD12" s="25"/>
      <c r="AE12" s="25"/>
      <c r="AF12" s="13"/>
      <c r="AG12" s="13"/>
      <c r="AH12" s="13"/>
    </row>
    <row r="13" spans="1:34" ht="21.6" customHeight="1" x14ac:dyDescent="0.3">
      <c r="A13" s="65">
        <v>251</v>
      </c>
      <c r="B13" s="25"/>
      <c r="C13" s="25"/>
      <c r="D13" s="25"/>
      <c r="E13" s="30" t="str">
        <f t="shared" si="0"/>
        <v>--</v>
      </c>
      <c r="F13" s="13">
        <f>VLOOKUP(E13,'LISTA ITEMS'!$E$2:$G$875,2,FALSE)</f>
        <v>0</v>
      </c>
      <c r="G13" s="25">
        <f>VLOOKUP(E13,'LISTA ITEMS'!$E$2:$G$875,3,FALSE)</f>
        <v>0</v>
      </c>
      <c r="H13" s="76"/>
      <c r="I13" s="75">
        <v>0</v>
      </c>
      <c r="J13" s="27"/>
      <c r="K13" s="13"/>
      <c r="L13" s="67"/>
      <c r="M13" s="56"/>
      <c r="N13" s="55"/>
      <c r="O13" s="13"/>
      <c r="P13" s="71"/>
      <c r="Q13" s="31"/>
      <c r="R13" s="26">
        <f t="shared" si="1"/>
        <v>0</v>
      </c>
      <c r="S13" s="85"/>
      <c r="T13" s="84"/>
      <c r="U13" s="27"/>
      <c r="V13" s="13"/>
      <c r="W13" s="67"/>
      <c r="X13" s="56"/>
      <c r="Y13" s="55"/>
      <c r="Z13" s="13"/>
      <c r="AA13" s="71"/>
      <c r="AB13" s="31"/>
      <c r="AC13" s="26">
        <f t="shared" si="2"/>
        <v>0</v>
      </c>
      <c r="AD13" s="25"/>
      <c r="AE13" s="25"/>
      <c r="AF13" s="13"/>
      <c r="AG13" s="13"/>
      <c r="AH13" s="13"/>
    </row>
    <row r="14" spans="1:34" ht="21.6" customHeight="1" x14ac:dyDescent="0.3">
      <c r="A14" s="65">
        <v>252</v>
      </c>
      <c r="B14" s="25"/>
      <c r="C14" s="25"/>
      <c r="D14" s="25"/>
      <c r="E14" s="30" t="str">
        <f t="shared" si="0"/>
        <v>--</v>
      </c>
      <c r="F14" s="13">
        <f>VLOOKUP(E14,'LISTA ITEMS'!$E$2:$G$875,2,FALSE)</f>
        <v>0</v>
      </c>
      <c r="G14" s="25">
        <f>VLOOKUP(E14,'LISTA ITEMS'!$E$2:$G$875,3,FALSE)</f>
        <v>0</v>
      </c>
      <c r="H14" s="76"/>
      <c r="I14" s="75">
        <v>0</v>
      </c>
      <c r="J14" s="27"/>
      <c r="K14" s="13"/>
      <c r="L14" s="67"/>
      <c r="M14" s="56"/>
      <c r="N14" s="55"/>
      <c r="O14" s="13"/>
      <c r="P14" s="71"/>
      <c r="Q14" s="31"/>
      <c r="R14" s="26">
        <f t="shared" si="1"/>
        <v>0</v>
      </c>
      <c r="S14" s="85"/>
      <c r="T14" s="84"/>
      <c r="U14" s="27"/>
      <c r="V14" s="13"/>
      <c r="W14" s="67"/>
      <c r="X14" s="56"/>
      <c r="Y14" s="55"/>
      <c r="Z14" s="13"/>
      <c r="AA14" s="71"/>
      <c r="AB14" s="31"/>
      <c r="AC14" s="26">
        <f t="shared" si="2"/>
        <v>0</v>
      </c>
      <c r="AD14" s="25"/>
      <c r="AE14" s="25"/>
      <c r="AF14" s="13"/>
      <c r="AG14" s="13"/>
      <c r="AH14" s="13"/>
    </row>
    <row r="15" spans="1:34" ht="21.6" customHeight="1" x14ac:dyDescent="0.3">
      <c r="A15" s="65">
        <v>253</v>
      </c>
      <c r="B15" s="25"/>
      <c r="C15" s="25"/>
      <c r="D15" s="25"/>
      <c r="E15" s="30" t="str">
        <f t="shared" si="0"/>
        <v>--</v>
      </c>
      <c r="F15" s="13">
        <f>VLOOKUP(E15,'LISTA ITEMS'!$E$2:$G$875,2,FALSE)</f>
        <v>0</v>
      </c>
      <c r="G15" s="25">
        <f>VLOOKUP(E15,'LISTA ITEMS'!$E$2:$G$875,3,FALSE)</f>
        <v>0</v>
      </c>
      <c r="H15" s="76"/>
      <c r="I15" s="75">
        <v>0</v>
      </c>
      <c r="J15" s="27"/>
      <c r="K15" s="13"/>
      <c r="L15" s="67"/>
      <c r="M15" s="56"/>
      <c r="N15" s="55"/>
      <c r="O15" s="13"/>
      <c r="P15" s="71"/>
      <c r="Q15" s="31"/>
      <c r="R15" s="26">
        <f t="shared" si="1"/>
        <v>0</v>
      </c>
      <c r="S15" s="85"/>
      <c r="T15" s="84"/>
      <c r="U15" s="27"/>
      <c r="V15" s="13"/>
      <c r="W15" s="67"/>
      <c r="X15" s="56"/>
      <c r="Y15" s="55"/>
      <c r="Z15" s="13"/>
      <c r="AA15" s="71"/>
      <c r="AB15" s="31"/>
      <c r="AC15" s="26">
        <f t="shared" si="2"/>
        <v>0</v>
      </c>
      <c r="AD15" s="25"/>
      <c r="AE15" s="25"/>
      <c r="AF15" s="13"/>
      <c r="AG15" s="13"/>
      <c r="AH15" s="13"/>
    </row>
    <row r="16" spans="1:34" ht="21.6" customHeight="1" x14ac:dyDescent="0.3">
      <c r="A16" s="65">
        <v>254</v>
      </c>
      <c r="B16" s="25"/>
      <c r="C16" s="25"/>
      <c r="D16" s="25"/>
      <c r="E16" s="30" t="str">
        <f t="shared" si="0"/>
        <v>--</v>
      </c>
      <c r="F16" s="13">
        <f>VLOOKUP(E16,'LISTA ITEMS'!$E$2:$G$875,2,FALSE)</f>
        <v>0</v>
      </c>
      <c r="G16" s="25">
        <f>VLOOKUP(E16,'LISTA ITEMS'!$E$2:$G$875,3,FALSE)</f>
        <v>0</v>
      </c>
      <c r="H16" s="76"/>
      <c r="I16" s="75">
        <v>0</v>
      </c>
      <c r="J16" s="27"/>
      <c r="K16" s="13"/>
      <c r="L16" s="67"/>
      <c r="M16" s="56"/>
      <c r="N16" s="55"/>
      <c r="O16" s="13"/>
      <c r="P16" s="71"/>
      <c r="Q16" s="31"/>
      <c r="R16" s="26">
        <f t="shared" si="1"/>
        <v>0</v>
      </c>
      <c r="S16" s="85"/>
      <c r="T16" s="84"/>
      <c r="U16" s="27"/>
      <c r="V16" s="13"/>
      <c r="W16" s="67"/>
      <c r="X16" s="56"/>
      <c r="Y16" s="55"/>
      <c r="Z16" s="13"/>
      <c r="AA16" s="71"/>
      <c r="AB16" s="31"/>
      <c r="AC16" s="26">
        <f t="shared" si="2"/>
        <v>0</v>
      </c>
      <c r="AD16" s="25"/>
      <c r="AE16" s="25"/>
      <c r="AF16" s="13"/>
      <c r="AG16" s="13"/>
      <c r="AH16" s="13"/>
    </row>
    <row r="17" spans="1:34" ht="21.6" customHeight="1" x14ac:dyDescent="0.3">
      <c r="A17" s="65">
        <v>255</v>
      </c>
      <c r="B17" s="25"/>
      <c r="C17" s="25"/>
      <c r="D17" s="25"/>
      <c r="E17" s="30" t="str">
        <f t="shared" si="0"/>
        <v>--</v>
      </c>
      <c r="F17" s="13">
        <f>VLOOKUP(E17,'LISTA ITEMS'!$E$2:$G$875,2,FALSE)</f>
        <v>0</v>
      </c>
      <c r="G17" s="25">
        <f>VLOOKUP(E17,'LISTA ITEMS'!$E$2:$G$875,3,FALSE)</f>
        <v>0</v>
      </c>
      <c r="H17" s="76"/>
      <c r="I17" s="75">
        <v>0</v>
      </c>
      <c r="J17" s="27"/>
      <c r="K17" s="13"/>
      <c r="L17" s="67"/>
      <c r="M17" s="56"/>
      <c r="N17" s="55"/>
      <c r="O17" s="13"/>
      <c r="P17" s="71"/>
      <c r="Q17" s="31"/>
      <c r="R17" s="26">
        <f t="shared" si="1"/>
        <v>0</v>
      </c>
      <c r="S17" s="85"/>
      <c r="T17" s="84"/>
      <c r="U17" s="27"/>
      <c r="V17" s="13"/>
      <c r="W17" s="67"/>
      <c r="X17" s="56"/>
      <c r="Y17" s="55"/>
      <c r="Z17" s="13"/>
      <c r="AA17" s="71"/>
      <c r="AB17" s="31"/>
      <c r="AC17" s="26">
        <f t="shared" si="2"/>
        <v>0</v>
      </c>
      <c r="AD17" s="25"/>
      <c r="AE17" s="25"/>
      <c r="AF17" s="13"/>
      <c r="AG17" s="13"/>
      <c r="AH17" s="13"/>
    </row>
    <row r="18" spans="1:34" x14ac:dyDescent="0.3">
      <c r="A18" s="65">
        <v>256</v>
      </c>
      <c r="B18" s="25"/>
      <c r="C18" s="25"/>
      <c r="D18" s="25"/>
      <c r="E18" s="30" t="str">
        <f t="shared" si="0"/>
        <v>--</v>
      </c>
      <c r="F18" s="13">
        <f>VLOOKUP(E18,'LISTA ITEMS'!$E$2:$G$875,2,FALSE)</f>
        <v>0</v>
      </c>
      <c r="G18" s="25">
        <f>VLOOKUP(E18,'LISTA ITEMS'!$E$2:$G$875,3,FALSE)</f>
        <v>0</v>
      </c>
      <c r="H18" s="76"/>
      <c r="I18" s="75">
        <v>0</v>
      </c>
      <c r="J18" s="27"/>
      <c r="K18" s="13"/>
      <c r="L18" s="67"/>
      <c r="M18" s="56"/>
      <c r="N18" s="55"/>
      <c r="O18" s="13"/>
      <c r="P18" s="71"/>
      <c r="Q18" s="31"/>
      <c r="R18" s="26">
        <f t="shared" si="1"/>
        <v>0</v>
      </c>
      <c r="S18" s="85"/>
      <c r="T18" s="84"/>
      <c r="U18" s="27"/>
      <c r="V18" s="13"/>
      <c r="W18" s="67"/>
      <c r="X18" s="56"/>
      <c r="Y18" s="55"/>
      <c r="Z18" s="13"/>
      <c r="AA18" s="71"/>
      <c r="AB18" s="31"/>
      <c r="AC18" s="26">
        <f t="shared" si="2"/>
        <v>0</v>
      </c>
      <c r="AD18" s="25"/>
      <c r="AE18" s="25"/>
      <c r="AF18" s="13"/>
      <c r="AG18" s="13"/>
      <c r="AH18" s="13"/>
    </row>
    <row r="19" spans="1:34" x14ac:dyDescent="0.3">
      <c r="A19" s="65">
        <v>257</v>
      </c>
      <c r="B19" s="25"/>
      <c r="C19" s="25"/>
      <c r="D19" s="25"/>
      <c r="E19" s="30" t="str">
        <f t="shared" si="0"/>
        <v>--</v>
      </c>
      <c r="F19" s="13">
        <f>VLOOKUP(E19,'LISTA ITEMS'!$E$2:$G$875,2,FALSE)</f>
        <v>0</v>
      </c>
      <c r="G19" s="25">
        <f>VLOOKUP(E19,'LISTA ITEMS'!$E$2:$G$875,3,FALSE)</f>
        <v>0</v>
      </c>
      <c r="H19" s="76"/>
      <c r="I19" s="75">
        <v>0</v>
      </c>
      <c r="J19" s="27"/>
      <c r="K19" s="13"/>
      <c r="L19" s="67"/>
      <c r="M19" s="56"/>
      <c r="N19" s="55"/>
      <c r="O19" s="13"/>
      <c r="P19" s="71"/>
      <c r="Q19" s="31"/>
      <c r="R19" s="26">
        <f t="shared" si="1"/>
        <v>0</v>
      </c>
      <c r="S19" s="85"/>
      <c r="T19" s="84"/>
      <c r="U19" s="27"/>
      <c r="V19" s="13"/>
      <c r="W19" s="67"/>
      <c r="X19" s="56"/>
      <c r="Y19" s="55"/>
      <c r="Z19" s="13"/>
      <c r="AA19" s="71"/>
      <c r="AB19" s="31"/>
      <c r="AC19" s="26">
        <f t="shared" si="2"/>
        <v>0</v>
      </c>
      <c r="AD19" s="25"/>
      <c r="AE19" s="25"/>
      <c r="AF19" s="13"/>
      <c r="AG19" s="13"/>
      <c r="AH19" s="13"/>
    </row>
    <row r="20" spans="1:34" x14ac:dyDescent="0.3">
      <c r="A20" s="65">
        <v>258</v>
      </c>
      <c r="B20" s="25"/>
      <c r="C20" s="25"/>
      <c r="D20" s="25"/>
      <c r="E20" s="30" t="str">
        <f t="shared" si="0"/>
        <v>--</v>
      </c>
      <c r="F20" s="13">
        <f>VLOOKUP(E20,'LISTA ITEMS'!$E$2:$G$875,2,FALSE)</f>
        <v>0</v>
      </c>
      <c r="G20" s="25">
        <f>VLOOKUP(E20,'LISTA ITEMS'!$E$2:$G$875,3,FALSE)</f>
        <v>0</v>
      </c>
      <c r="H20" s="76"/>
      <c r="I20" s="75">
        <v>0</v>
      </c>
      <c r="J20" s="27"/>
      <c r="K20" s="13"/>
      <c r="L20" s="67"/>
      <c r="M20" s="56"/>
      <c r="N20" s="55"/>
      <c r="O20" s="13"/>
      <c r="P20" s="71"/>
      <c r="Q20" s="31"/>
      <c r="R20" s="26">
        <f t="shared" si="1"/>
        <v>0</v>
      </c>
      <c r="S20" s="85"/>
      <c r="T20" s="84"/>
      <c r="U20" s="27"/>
      <c r="V20" s="13"/>
      <c r="W20" s="67"/>
      <c r="X20" s="56"/>
      <c r="Y20" s="55"/>
      <c r="Z20" s="13"/>
      <c r="AA20" s="71"/>
      <c r="AB20" s="31"/>
      <c r="AC20" s="26">
        <f t="shared" si="2"/>
        <v>0</v>
      </c>
      <c r="AD20" s="25"/>
      <c r="AE20" s="25"/>
      <c r="AF20" s="13"/>
      <c r="AG20" s="13"/>
      <c r="AH20" s="13"/>
    </row>
    <row r="21" spans="1:34" x14ac:dyDescent="0.3">
      <c r="A21" s="65">
        <v>259</v>
      </c>
      <c r="B21" s="25"/>
      <c r="C21" s="25"/>
      <c r="D21" s="25"/>
      <c r="E21" s="30" t="str">
        <f t="shared" si="0"/>
        <v>--</v>
      </c>
      <c r="F21" s="13">
        <f>VLOOKUP(E21,'LISTA ITEMS'!$E$2:$G$875,2,FALSE)</f>
        <v>0</v>
      </c>
      <c r="G21" s="25">
        <f>VLOOKUP(E21,'LISTA ITEMS'!$E$2:$G$875,3,FALSE)</f>
        <v>0</v>
      </c>
      <c r="H21" s="76"/>
      <c r="I21" s="75">
        <v>0</v>
      </c>
      <c r="J21" s="27"/>
      <c r="K21" s="13"/>
      <c r="L21" s="67"/>
      <c r="M21" s="56"/>
      <c r="N21" s="55"/>
      <c r="O21" s="13"/>
      <c r="P21" s="71"/>
      <c r="Q21" s="31"/>
      <c r="R21" s="26">
        <f t="shared" si="1"/>
        <v>0</v>
      </c>
      <c r="S21" s="85"/>
      <c r="T21" s="84"/>
      <c r="U21" s="27"/>
      <c r="V21" s="13"/>
      <c r="W21" s="67"/>
      <c r="X21" s="56"/>
      <c r="Y21" s="55"/>
      <c r="Z21" s="13"/>
      <c r="AA21" s="71"/>
      <c r="AB21" s="31"/>
      <c r="AC21" s="26">
        <f t="shared" si="2"/>
        <v>0</v>
      </c>
      <c r="AD21" s="25"/>
      <c r="AE21" s="25"/>
      <c r="AF21" s="13"/>
      <c r="AG21" s="13"/>
      <c r="AH21" s="13"/>
    </row>
    <row r="22" spans="1:34" x14ac:dyDescent="0.3">
      <c r="A22" s="65">
        <v>260</v>
      </c>
      <c r="B22" s="25"/>
      <c r="C22" s="25"/>
      <c r="D22" s="25"/>
      <c r="E22" s="30" t="str">
        <f t="shared" si="0"/>
        <v>--</v>
      </c>
      <c r="F22" s="13">
        <f>VLOOKUP(E22,'LISTA ITEMS'!$E$2:$G$875,2,FALSE)</f>
        <v>0</v>
      </c>
      <c r="G22" s="25">
        <f>VLOOKUP(E22,'LISTA ITEMS'!$E$2:$G$875,3,FALSE)</f>
        <v>0</v>
      </c>
      <c r="H22" s="76"/>
      <c r="I22" s="75">
        <v>0</v>
      </c>
      <c r="J22" s="27"/>
      <c r="K22" s="13"/>
      <c r="L22" s="67"/>
      <c r="M22" s="56"/>
      <c r="N22" s="55"/>
      <c r="O22" s="13"/>
      <c r="P22" s="71"/>
      <c r="Q22" s="31"/>
      <c r="R22" s="26">
        <f t="shared" si="1"/>
        <v>0</v>
      </c>
      <c r="S22" s="85"/>
      <c r="T22" s="84"/>
      <c r="U22" s="27"/>
      <c r="V22" s="13"/>
      <c r="W22" s="67"/>
      <c r="X22" s="56"/>
      <c r="Y22" s="55"/>
      <c r="Z22" s="13"/>
      <c r="AA22" s="71"/>
      <c r="AB22" s="31"/>
      <c r="AC22" s="26">
        <f t="shared" si="2"/>
        <v>0</v>
      </c>
      <c r="AD22" s="25"/>
      <c r="AE22" s="25"/>
      <c r="AF22" s="13"/>
      <c r="AG22" s="13"/>
      <c r="AH22" s="13"/>
    </row>
    <row r="23" spans="1:34" x14ac:dyDescent="0.3">
      <c r="A23" s="65">
        <v>261</v>
      </c>
      <c r="B23" s="25"/>
      <c r="C23" s="25"/>
      <c r="D23" s="25"/>
      <c r="E23" s="30" t="str">
        <f t="shared" si="0"/>
        <v>--</v>
      </c>
      <c r="F23" s="13">
        <f>VLOOKUP(E23,'LISTA ITEMS'!$E$2:$G$875,2,FALSE)</f>
        <v>0</v>
      </c>
      <c r="G23" s="25">
        <f>VLOOKUP(E23,'LISTA ITEMS'!$E$2:$G$875,3,FALSE)</f>
        <v>0</v>
      </c>
      <c r="H23" s="76"/>
      <c r="I23" s="75">
        <v>0</v>
      </c>
      <c r="J23" s="27"/>
      <c r="K23" s="13"/>
      <c r="L23" s="67"/>
      <c r="M23" s="56"/>
      <c r="N23" s="55"/>
      <c r="O23" s="13"/>
      <c r="P23" s="71"/>
      <c r="Q23" s="31"/>
      <c r="R23" s="26">
        <f t="shared" si="1"/>
        <v>0</v>
      </c>
      <c r="S23" s="85"/>
      <c r="T23" s="84"/>
      <c r="U23" s="27"/>
      <c r="V23" s="13"/>
      <c r="W23" s="67"/>
      <c r="X23" s="56"/>
      <c r="Y23" s="55"/>
      <c r="Z23" s="13"/>
      <c r="AA23" s="71"/>
      <c r="AB23" s="31"/>
      <c r="AC23" s="26">
        <f t="shared" si="2"/>
        <v>0</v>
      </c>
      <c r="AD23" s="25"/>
      <c r="AE23" s="25"/>
      <c r="AF23" s="13"/>
      <c r="AG23" s="13"/>
      <c r="AH23" s="13"/>
    </row>
    <row r="24" spans="1:34" ht="19.2" customHeight="1" x14ac:dyDescent="0.3">
      <c r="A24" s="65">
        <v>262</v>
      </c>
      <c r="B24" s="25"/>
      <c r="C24" s="25"/>
      <c r="D24" s="25"/>
      <c r="E24" s="30" t="str">
        <f t="shared" si="0"/>
        <v>--</v>
      </c>
      <c r="F24" s="13">
        <f>VLOOKUP(E24,'LISTA ITEMS'!$E$2:$G$875,2,FALSE)</f>
        <v>0</v>
      </c>
      <c r="G24" s="25">
        <f>VLOOKUP(E24,'LISTA ITEMS'!$E$2:$G$875,3,FALSE)</f>
        <v>0</v>
      </c>
      <c r="H24" s="76"/>
      <c r="I24" s="75">
        <v>0</v>
      </c>
      <c r="J24" s="27"/>
      <c r="K24" s="13"/>
      <c r="L24" s="67"/>
      <c r="M24" s="56"/>
      <c r="N24" s="55"/>
      <c r="O24" s="13"/>
      <c r="P24" s="71"/>
      <c r="Q24" s="31"/>
      <c r="R24" s="26">
        <f t="shared" si="1"/>
        <v>0</v>
      </c>
      <c r="S24" s="85"/>
      <c r="T24" s="84"/>
      <c r="U24" s="27"/>
      <c r="V24" s="13"/>
      <c r="W24" s="67"/>
      <c r="X24" s="56"/>
      <c r="Y24" s="55"/>
      <c r="Z24" s="13"/>
      <c r="AA24" s="71"/>
      <c r="AB24" s="31"/>
      <c r="AC24" s="26">
        <f t="shared" si="2"/>
        <v>0</v>
      </c>
      <c r="AD24" s="25"/>
      <c r="AE24" s="25"/>
      <c r="AF24" s="13"/>
      <c r="AG24" s="13"/>
      <c r="AH24" s="13"/>
    </row>
    <row r="25" spans="1:34" ht="19.2" customHeight="1" x14ac:dyDescent="0.3">
      <c r="A25" s="65">
        <v>263</v>
      </c>
      <c r="B25" s="25"/>
      <c r="C25" s="25"/>
      <c r="D25" s="25"/>
      <c r="E25" s="30" t="str">
        <f t="shared" si="0"/>
        <v>--</v>
      </c>
      <c r="F25" s="13">
        <f>VLOOKUP(E25,'LISTA ITEMS'!$E$2:$G$875,2,FALSE)</f>
        <v>0</v>
      </c>
      <c r="G25" s="25">
        <f>VLOOKUP(E25,'LISTA ITEMS'!$E$2:$G$875,3,FALSE)</f>
        <v>0</v>
      </c>
      <c r="H25" s="76"/>
      <c r="I25" s="75">
        <v>0</v>
      </c>
      <c r="J25" s="27"/>
      <c r="K25" s="13"/>
      <c r="L25" s="67"/>
      <c r="M25" s="56"/>
      <c r="N25" s="55"/>
      <c r="O25" s="13"/>
      <c r="P25" s="71"/>
      <c r="Q25" s="31"/>
      <c r="R25" s="26">
        <f t="shared" si="1"/>
        <v>0</v>
      </c>
      <c r="S25" s="85"/>
      <c r="T25" s="84"/>
      <c r="U25" s="27"/>
      <c r="V25" s="13"/>
      <c r="W25" s="67"/>
      <c r="X25" s="56"/>
      <c r="Y25" s="55"/>
      <c r="Z25" s="13"/>
      <c r="AA25" s="71"/>
      <c r="AB25" s="31"/>
      <c r="AC25" s="26">
        <f t="shared" si="2"/>
        <v>0</v>
      </c>
      <c r="AD25" s="25"/>
      <c r="AE25" s="25"/>
      <c r="AF25" s="13"/>
      <c r="AG25" s="13"/>
      <c r="AH25" s="13"/>
    </row>
    <row r="26" spans="1:34" x14ac:dyDescent="0.3">
      <c r="A26" s="65">
        <v>264</v>
      </c>
      <c r="B26" s="25"/>
      <c r="C26" s="25"/>
      <c r="D26" s="25"/>
      <c r="E26" s="30" t="str">
        <f t="shared" si="0"/>
        <v>--</v>
      </c>
      <c r="F26" s="13">
        <f>VLOOKUP(E26,'LISTA ITEMS'!$E$2:$G$875,2,FALSE)</f>
        <v>0</v>
      </c>
      <c r="G26" s="25">
        <f>VLOOKUP(E26,'LISTA ITEMS'!$E$2:$G$875,3,FALSE)</f>
        <v>0</v>
      </c>
      <c r="H26" s="76"/>
      <c r="I26" s="75">
        <v>0</v>
      </c>
      <c r="J26" s="27"/>
      <c r="K26" s="13"/>
      <c r="L26" s="67"/>
      <c r="M26" s="56"/>
      <c r="N26" s="55"/>
      <c r="O26" s="13"/>
      <c r="P26" s="71"/>
      <c r="Q26" s="31"/>
      <c r="R26" s="26">
        <f t="shared" si="1"/>
        <v>0</v>
      </c>
      <c r="S26" s="85"/>
      <c r="T26" s="84"/>
      <c r="U26" s="27"/>
      <c r="V26" s="13"/>
      <c r="W26" s="67"/>
      <c r="X26" s="56"/>
      <c r="Y26" s="55"/>
      <c r="Z26" s="13"/>
      <c r="AA26" s="71"/>
      <c r="AB26" s="31"/>
      <c r="AC26" s="26">
        <f t="shared" si="2"/>
        <v>0</v>
      </c>
      <c r="AD26" s="25"/>
      <c r="AE26" s="25"/>
      <c r="AF26" s="13"/>
      <c r="AG26" s="13"/>
      <c r="AH26" s="13"/>
    </row>
    <row r="27" spans="1:34" x14ac:dyDescent="0.3">
      <c r="A27" s="65">
        <v>265</v>
      </c>
      <c r="B27" s="25"/>
      <c r="C27" s="25"/>
      <c r="D27" s="25"/>
      <c r="E27" s="30" t="str">
        <f t="shared" si="0"/>
        <v>--</v>
      </c>
      <c r="F27" s="13">
        <f>VLOOKUP(E27,'LISTA ITEMS'!$E$2:$G$875,2,FALSE)</f>
        <v>0</v>
      </c>
      <c r="G27" s="25">
        <f>VLOOKUP(E27,'LISTA ITEMS'!$E$2:$G$875,3,FALSE)</f>
        <v>0</v>
      </c>
      <c r="H27" s="76"/>
      <c r="I27" s="75">
        <v>0</v>
      </c>
      <c r="J27" s="27"/>
      <c r="K27" s="13"/>
      <c r="L27" s="67"/>
      <c r="M27" s="56"/>
      <c r="N27" s="55"/>
      <c r="O27" s="13"/>
      <c r="P27" s="71"/>
      <c r="Q27" s="31"/>
      <c r="R27" s="26">
        <f t="shared" si="1"/>
        <v>0</v>
      </c>
      <c r="S27" s="85"/>
      <c r="T27" s="84"/>
      <c r="U27" s="27"/>
      <c r="V27" s="13"/>
      <c r="W27" s="67"/>
      <c r="X27" s="56"/>
      <c r="Y27" s="55"/>
      <c r="Z27" s="13"/>
      <c r="AA27" s="71"/>
      <c r="AB27" s="31"/>
      <c r="AC27" s="26">
        <f t="shared" si="2"/>
        <v>0</v>
      </c>
      <c r="AD27" s="25"/>
      <c r="AE27" s="25"/>
      <c r="AF27" s="13"/>
      <c r="AG27" s="13"/>
      <c r="AH27" s="13"/>
    </row>
    <row r="28" spans="1:34" x14ac:dyDescent="0.3">
      <c r="A28" s="65">
        <v>266</v>
      </c>
      <c r="B28" s="25"/>
      <c r="C28" s="25"/>
      <c r="D28" s="25"/>
      <c r="E28" s="30" t="str">
        <f t="shared" si="0"/>
        <v>--</v>
      </c>
      <c r="F28" s="13">
        <f>VLOOKUP(E28,'LISTA ITEMS'!$E$2:$G$875,2,FALSE)</f>
        <v>0</v>
      </c>
      <c r="G28" s="25">
        <f>VLOOKUP(E28,'LISTA ITEMS'!$E$2:$G$875,3,FALSE)</f>
        <v>0</v>
      </c>
      <c r="H28" s="76"/>
      <c r="I28" s="75">
        <v>0</v>
      </c>
      <c r="J28" s="27"/>
      <c r="K28" s="13"/>
      <c r="L28" s="67"/>
      <c r="M28" s="56"/>
      <c r="N28" s="55"/>
      <c r="O28" s="13"/>
      <c r="P28" s="71"/>
      <c r="Q28" s="31"/>
      <c r="R28" s="26">
        <f t="shared" si="1"/>
        <v>0</v>
      </c>
      <c r="S28" s="85"/>
      <c r="T28" s="84"/>
      <c r="U28" s="27"/>
      <c r="V28" s="13"/>
      <c r="W28" s="67"/>
      <c r="X28" s="56"/>
      <c r="Y28" s="55"/>
      <c r="Z28" s="13"/>
      <c r="AA28" s="71"/>
      <c r="AB28" s="31"/>
      <c r="AC28" s="26">
        <f t="shared" si="2"/>
        <v>0</v>
      </c>
      <c r="AD28" s="25"/>
      <c r="AE28" s="25"/>
      <c r="AF28" s="13"/>
      <c r="AG28" s="13"/>
      <c r="AH28" s="13"/>
    </row>
    <row r="29" spans="1:34" x14ac:dyDescent="0.3">
      <c r="A29" s="65">
        <v>267</v>
      </c>
      <c r="B29" s="25"/>
      <c r="C29" s="25"/>
      <c r="D29" s="25"/>
      <c r="E29" s="30" t="str">
        <f t="shared" si="0"/>
        <v>--</v>
      </c>
      <c r="F29" s="13">
        <f>VLOOKUP(E29,'LISTA ITEMS'!$E$2:$G$875,2,FALSE)</f>
        <v>0</v>
      </c>
      <c r="G29" s="25">
        <f>VLOOKUP(E29,'LISTA ITEMS'!$E$2:$G$875,3,FALSE)</f>
        <v>0</v>
      </c>
      <c r="H29" s="76"/>
      <c r="I29" s="75">
        <v>0</v>
      </c>
      <c r="J29" s="27"/>
      <c r="K29" s="13"/>
      <c r="L29" s="67"/>
      <c r="M29" s="56"/>
      <c r="N29" s="55"/>
      <c r="O29" s="13"/>
      <c r="P29" s="71"/>
      <c r="Q29" s="31"/>
      <c r="R29" s="26">
        <f t="shared" si="1"/>
        <v>0</v>
      </c>
      <c r="S29" s="85"/>
      <c r="T29" s="84"/>
      <c r="U29" s="27"/>
      <c r="V29" s="13"/>
      <c r="W29" s="67"/>
      <c r="X29" s="56"/>
      <c r="Y29" s="55"/>
      <c r="Z29" s="13"/>
      <c r="AA29" s="71"/>
      <c r="AB29" s="31"/>
      <c r="AC29" s="26">
        <f t="shared" si="2"/>
        <v>0</v>
      </c>
      <c r="AD29" s="25"/>
      <c r="AE29" s="25"/>
      <c r="AF29" s="13"/>
      <c r="AG29" s="13"/>
      <c r="AH29" s="13"/>
    </row>
    <row r="30" spans="1:34" x14ac:dyDescent="0.3">
      <c r="A30" s="65">
        <v>268</v>
      </c>
      <c r="B30" s="25"/>
      <c r="C30" s="25"/>
      <c r="D30" s="25"/>
      <c r="E30" s="30" t="str">
        <f t="shared" si="0"/>
        <v>--</v>
      </c>
      <c r="F30" s="13">
        <f>VLOOKUP(E30,'LISTA ITEMS'!$E$2:$G$875,2,FALSE)</f>
        <v>0</v>
      </c>
      <c r="G30" s="25">
        <f>VLOOKUP(E30,'LISTA ITEMS'!$E$2:$G$875,3,FALSE)</f>
        <v>0</v>
      </c>
      <c r="H30" s="76"/>
      <c r="I30" s="75">
        <v>0</v>
      </c>
      <c r="J30" s="27"/>
      <c r="K30" s="13"/>
      <c r="L30" s="67"/>
      <c r="M30" s="56"/>
      <c r="N30" s="55"/>
      <c r="O30" s="13"/>
      <c r="P30" s="71"/>
      <c r="Q30" s="31"/>
      <c r="R30" s="26">
        <f t="shared" si="1"/>
        <v>0</v>
      </c>
      <c r="S30" s="85"/>
      <c r="T30" s="84"/>
      <c r="U30" s="27"/>
      <c r="V30" s="13"/>
      <c r="W30" s="67"/>
      <c r="X30" s="56"/>
      <c r="Y30" s="55"/>
      <c r="Z30" s="13"/>
      <c r="AA30" s="71"/>
      <c r="AB30" s="31"/>
      <c r="AC30" s="26">
        <f t="shared" si="2"/>
        <v>0</v>
      </c>
      <c r="AD30" s="25"/>
      <c r="AE30" s="25"/>
      <c r="AF30" s="13"/>
      <c r="AG30" s="13"/>
      <c r="AH30" s="13"/>
    </row>
    <row r="31" spans="1:34" ht="31.2" customHeight="1" x14ac:dyDescent="0.3">
      <c r="A31" s="65">
        <v>269</v>
      </c>
      <c r="B31" s="25"/>
      <c r="C31" s="25"/>
      <c r="D31" s="25"/>
      <c r="E31" s="30" t="str">
        <f t="shared" si="0"/>
        <v>--</v>
      </c>
      <c r="F31" s="13">
        <f>VLOOKUP(E31,'LISTA ITEMS'!$E$2:$G$875,2,FALSE)</f>
        <v>0</v>
      </c>
      <c r="G31" s="25">
        <f>VLOOKUP(E31,'LISTA ITEMS'!$E$2:$G$875,3,FALSE)</f>
        <v>0</v>
      </c>
      <c r="H31" s="76"/>
      <c r="I31" s="75">
        <v>0</v>
      </c>
      <c r="J31" s="27"/>
      <c r="K31" s="13"/>
      <c r="L31" s="67"/>
      <c r="M31" s="56"/>
      <c r="N31" s="55"/>
      <c r="O31" s="13"/>
      <c r="P31" s="71"/>
      <c r="Q31" s="31"/>
      <c r="R31" s="26">
        <f t="shared" si="1"/>
        <v>0</v>
      </c>
      <c r="S31" s="85"/>
      <c r="T31" s="84"/>
      <c r="U31" s="27"/>
      <c r="V31" s="13"/>
      <c r="W31" s="67"/>
      <c r="X31" s="56"/>
      <c r="Y31" s="55"/>
      <c r="Z31" s="13"/>
      <c r="AA31" s="71"/>
      <c r="AB31" s="31"/>
      <c r="AC31" s="26">
        <f t="shared" si="2"/>
        <v>0</v>
      </c>
      <c r="AD31" s="25"/>
      <c r="AE31" s="25"/>
      <c r="AF31" s="13"/>
      <c r="AG31" s="13"/>
      <c r="AH31" s="13"/>
    </row>
    <row r="32" spans="1:34" x14ac:dyDescent="0.3">
      <c r="A32" s="65">
        <v>270</v>
      </c>
      <c r="B32" s="25"/>
      <c r="C32" s="25"/>
      <c r="D32" s="25"/>
      <c r="E32" s="30" t="str">
        <f t="shared" si="0"/>
        <v>--</v>
      </c>
      <c r="F32" s="13">
        <f>VLOOKUP(E32,'LISTA ITEMS'!$E$2:$G$875,2,FALSE)</f>
        <v>0</v>
      </c>
      <c r="G32" s="25">
        <f>VLOOKUP(E32,'LISTA ITEMS'!$E$2:$G$875,3,FALSE)</f>
        <v>0</v>
      </c>
      <c r="H32" s="76"/>
      <c r="I32" s="75">
        <v>0</v>
      </c>
      <c r="J32" s="27"/>
      <c r="K32" s="13"/>
      <c r="L32" s="67"/>
      <c r="M32" s="56"/>
      <c r="N32" s="55"/>
      <c r="O32" s="13"/>
      <c r="P32" s="71"/>
      <c r="Q32" s="31"/>
      <c r="R32" s="26">
        <f t="shared" si="1"/>
        <v>0</v>
      </c>
      <c r="S32" s="85"/>
      <c r="T32" s="84"/>
      <c r="U32" s="27"/>
      <c r="V32" s="13"/>
      <c r="W32" s="67"/>
      <c r="X32" s="56"/>
      <c r="Y32" s="55"/>
      <c r="Z32" s="13"/>
      <c r="AA32" s="71"/>
      <c r="AB32" s="31"/>
      <c r="AC32" s="26">
        <f t="shared" si="2"/>
        <v>0</v>
      </c>
      <c r="AD32" s="25"/>
      <c r="AE32" s="25"/>
      <c r="AF32" s="13"/>
      <c r="AG32" s="13"/>
      <c r="AH32" s="13"/>
    </row>
    <row r="33" spans="1:35" x14ac:dyDescent="0.3">
      <c r="A33" s="65">
        <v>271</v>
      </c>
      <c r="B33" s="25"/>
      <c r="C33" s="25"/>
      <c r="D33" s="25"/>
      <c r="E33" s="30" t="str">
        <f t="shared" si="0"/>
        <v>--</v>
      </c>
      <c r="F33" s="13">
        <f>VLOOKUP(E33,'LISTA ITEMS'!$E$2:$G$875,2,FALSE)</f>
        <v>0</v>
      </c>
      <c r="G33" s="25">
        <f>VLOOKUP(E33,'LISTA ITEMS'!$E$2:$G$875,3,FALSE)</f>
        <v>0</v>
      </c>
      <c r="H33" s="76"/>
      <c r="I33" s="75">
        <v>0</v>
      </c>
      <c r="J33" s="27"/>
      <c r="K33" s="13"/>
      <c r="L33" s="67"/>
      <c r="M33" s="56"/>
      <c r="N33" s="55"/>
      <c r="O33" s="13"/>
      <c r="P33" s="71"/>
      <c r="Q33" s="31"/>
      <c r="R33" s="26">
        <f t="shared" si="1"/>
        <v>0</v>
      </c>
      <c r="S33" s="85"/>
      <c r="T33" s="84"/>
      <c r="U33" s="27"/>
      <c r="V33" s="13"/>
      <c r="W33" s="67"/>
      <c r="X33" s="56"/>
      <c r="Y33" s="55"/>
      <c r="Z33" s="13"/>
      <c r="AA33" s="71"/>
      <c r="AB33" s="31"/>
      <c r="AC33" s="26">
        <f t="shared" si="2"/>
        <v>0</v>
      </c>
      <c r="AD33" s="25"/>
      <c r="AE33" s="25"/>
      <c r="AF33" s="13"/>
      <c r="AG33" s="13"/>
      <c r="AH33" s="13"/>
    </row>
    <row r="34" spans="1:35" x14ac:dyDescent="0.3">
      <c r="A34" s="65">
        <v>272</v>
      </c>
      <c r="B34" s="25"/>
      <c r="C34" s="25"/>
      <c r="D34" s="25"/>
      <c r="E34" s="30" t="str">
        <f t="shared" si="0"/>
        <v>--</v>
      </c>
      <c r="F34" s="13">
        <f>VLOOKUP(E34,'LISTA ITEMS'!$E$2:$G$875,2,FALSE)</f>
        <v>0</v>
      </c>
      <c r="G34" s="25">
        <f>VLOOKUP(E34,'LISTA ITEMS'!$E$2:$G$875,3,FALSE)</f>
        <v>0</v>
      </c>
      <c r="H34" s="76"/>
      <c r="I34" s="75">
        <v>0</v>
      </c>
      <c r="J34" s="27"/>
      <c r="K34" s="13"/>
      <c r="L34" s="67"/>
      <c r="M34" s="56"/>
      <c r="N34" s="55"/>
      <c r="O34" s="13"/>
      <c r="P34" s="71"/>
      <c r="Q34" s="31"/>
      <c r="R34" s="26">
        <f t="shared" si="1"/>
        <v>0</v>
      </c>
      <c r="S34" s="85"/>
      <c r="T34" s="84"/>
      <c r="U34" s="27"/>
      <c r="V34" s="13"/>
      <c r="W34" s="67"/>
      <c r="X34" s="56"/>
      <c r="Y34" s="55"/>
      <c r="Z34" s="13"/>
      <c r="AA34" s="71"/>
      <c r="AB34" s="31"/>
      <c r="AC34" s="26">
        <f t="shared" si="2"/>
        <v>0</v>
      </c>
      <c r="AD34" s="25"/>
      <c r="AE34" s="25"/>
      <c r="AF34" s="13"/>
      <c r="AG34" s="13"/>
      <c r="AH34" s="13"/>
      <c r="AI34" s="2" t="s">
        <v>467</v>
      </c>
    </row>
    <row r="35" spans="1:35" ht="21" customHeight="1" x14ac:dyDescent="0.3">
      <c r="A35" s="65">
        <v>273</v>
      </c>
      <c r="B35" s="25"/>
      <c r="C35" s="25"/>
      <c r="D35" s="25"/>
      <c r="E35" s="30" t="str">
        <f t="shared" si="0"/>
        <v>--</v>
      </c>
      <c r="F35" s="13">
        <f>VLOOKUP(E35,'LISTA ITEMS'!$E$2:$G$875,2,FALSE)</f>
        <v>0</v>
      </c>
      <c r="G35" s="25">
        <f>VLOOKUP(E35,'LISTA ITEMS'!$E$2:$G$875,3,FALSE)</f>
        <v>0</v>
      </c>
      <c r="H35" s="76"/>
      <c r="I35" s="75">
        <v>0</v>
      </c>
      <c r="J35" s="27"/>
      <c r="K35" s="13"/>
      <c r="L35" s="67"/>
      <c r="M35" s="56"/>
      <c r="N35" s="55"/>
      <c r="O35" s="13"/>
      <c r="P35" s="71"/>
      <c r="Q35" s="31"/>
      <c r="R35" s="26">
        <f t="shared" si="1"/>
        <v>0</v>
      </c>
      <c r="S35" s="85"/>
      <c r="T35" s="84"/>
      <c r="U35" s="27"/>
      <c r="V35" s="13"/>
      <c r="W35" s="67"/>
      <c r="X35" s="56"/>
      <c r="Y35" s="55"/>
      <c r="Z35" s="13"/>
      <c r="AA35" s="71"/>
      <c r="AB35" s="31"/>
      <c r="AC35" s="26">
        <f t="shared" si="2"/>
        <v>0</v>
      </c>
      <c r="AD35" s="25"/>
      <c r="AE35" s="25"/>
      <c r="AF35" s="13"/>
      <c r="AG35" s="13"/>
      <c r="AH35" s="13"/>
      <c r="AI35" s="2" t="s">
        <v>467</v>
      </c>
    </row>
    <row r="36" spans="1:35" ht="21" customHeight="1" x14ac:dyDescent="0.3">
      <c r="A36" s="65">
        <v>274</v>
      </c>
      <c r="B36" s="25"/>
      <c r="C36" s="25"/>
      <c r="D36" s="25"/>
      <c r="E36" s="30" t="str">
        <f t="shared" si="0"/>
        <v>--</v>
      </c>
      <c r="F36" s="13">
        <f>VLOOKUP(E36,'LISTA ITEMS'!$E$2:$G$875,2,FALSE)</f>
        <v>0</v>
      </c>
      <c r="G36" s="25">
        <f>VLOOKUP(E36,'LISTA ITEMS'!$E$2:$G$875,3,FALSE)</f>
        <v>0</v>
      </c>
      <c r="H36" s="76"/>
      <c r="I36" s="75">
        <v>0</v>
      </c>
      <c r="J36" s="27"/>
      <c r="K36" s="13"/>
      <c r="L36" s="67"/>
      <c r="M36" s="56"/>
      <c r="N36" s="55"/>
      <c r="O36" s="13"/>
      <c r="P36" s="71"/>
      <c r="Q36" s="31"/>
      <c r="R36" s="26">
        <f t="shared" si="1"/>
        <v>0</v>
      </c>
      <c r="S36" s="85"/>
      <c r="T36" s="84"/>
      <c r="U36" s="27"/>
      <c r="V36" s="13"/>
      <c r="W36" s="67"/>
      <c r="X36" s="56"/>
      <c r="Y36" s="55"/>
      <c r="Z36" s="13"/>
      <c r="AA36" s="71"/>
      <c r="AB36" s="31"/>
      <c r="AC36" s="26">
        <f t="shared" si="2"/>
        <v>0</v>
      </c>
      <c r="AD36" s="25"/>
      <c r="AE36" s="25"/>
      <c r="AF36" s="13"/>
      <c r="AG36" s="13"/>
      <c r="AH36" s="13"/>
      <c r="AI36" s="2" t="s">
        <v>467</v>
      </c>
    </row>
    <row r="37" spans="1:35" ht="21" customHeight="1" x14ac:dyDescent="0.3">
      <c r="A37" s="65">
        <v>275</v>
      </c>
      <c r="B37" s="25"/>
      <c r="C37" s="25"/>
      <c r="D37" s="25"/>
      <c r="E37" s="30" t="str">
        <f t="shared" si="0"/>
        <v>--</v>
      </c>
      <c r="F37" s="13">
        <f>VLOOKUP(E37,'LISTA ITEMS'!$E$2:$G$875,2,FALSE)</f>
        <v>0</v>
      </c>
      <c r="G37" s="25">
        <f>VLOOKUP(E37,'LISTA ITEMS'!$E$2:$G$875,3,FALSE)</f>
        <v>0</v>
      </c>
      <c r="H37" s="76"/>
      <c r="I37" s="75">
        <v>0</v>
      </c>
      <c r="J37" s="27"/>
      <c r="K37" s="13"/>
      <c r="L37" s="67"/>
      <c r="M37" s="56"/>
      <c r="N37" s="55"/>
      <c r="O37" s="13"/>
      <c r="P37" s="71"/>
      <c r="Q37" s="31"/>
      <c r="R37" s="26">
        <f t="shared" si="1"/>
        <v>0</v>
      </c>
      <c r="S37" s="85"/>
      <c r="T37" s="84"/>
      <c r="U37" s="27"/>
      <c r="V37" s="13"/>
      <c r="W37" s="67"/>
      <c r="X37" s="56"/>
      <c r="Y37" s="55"/>
      <c r="Z37" s="13"/>
      <c r="AA37" s="71"/>
      <c r="AB37" s="31"/>
      <c r="AC37" s="26">
        <f t="shared" si="2"/>
        <v>0</v>
      </c>
      <c r="AD37" s="25"/>
      <c r="AE37" s="25"/>
      <c r="AF37" s="13"/>
      <c r="AG37" s="13"/>
      <c r="AH37" s="13"/>
      <c r="AI37" s="2" t="s">
        <v>467</v>
      </c>
    </row>
    <row r="38" spans="1:35" ht="21" customHeight="1" x14ac:dyDescent="0.3">
      <c r="A38" s="65">
        <v>276</v>
      </c>
      <c r="B38" s="25"/>
      <c r="C38" s="25"/>
      <c r="D38" s="25"/>
      <c r="E38" s="30" t="str">
        <f t="shared" si="0"/>
        <v>--</v>
      </c>
      <c r="F38" s="13">
        <f>VLOOKUP(E38,'LISTA ITEMS'!$E$2:$G$875,2,FALSE)</f>
        <v>0</v>
      </c>
      <c r="G38" s="25">
        <f>VLOOKUP(E38,'LISTA ITEMS'!$E$2:$G$875,3,FALSE)</f>
        <v>0</v>
      </c>
      <c r="H38" s="76"/>
      <c r="I38" s="75">
        <v>0</v>
      </c>
      <c r="J38" s="27"/>
      <c r="K38" s="13"/>
      <c r="L38" s="67"/>
      <c r="M38" s="56"/>
      <c r="N38" s="55"/>
      <c r="O38" s="13"/>
      <c r="P38" s="71"/>
      <c r="Q38" s="31"/>
      <c r="R38" s="26">
        <f t="shared" si="1"/>
        <v>0</v>
      </c>
      <c r="S38" s="85"/>
      <c r="T38" s="84"/>
      <c r="U38" s="27"/>
      <c r="V38" s="13"/>
      <c r="W38" s="67"/>
      <c r="X38" s="56"/>
      <c r="Y38" s="55"/>
      <c r="Z38" s="13"/>
      <c r="AA38" s="71"/>
      <c r="AB38" s="31"/>
      <c r="AC38" s="26">
        <f t="shared" si="2"/>
        <v>0</v>
      </c>
      <c r="AD38" s="25"/>
      <c r="AE38" s="25"/>
      <c r="AF38" s="13"/>
      <c r="AG38" s="13"/>
      <c r="AH38" s="13"/>
      <c r="AI38" s="2" t="s">
        <v>467</v>
      </c>
    </row>
    <row r="39" spans="1:35" ht="21" customHeight="1" x14ac:dyDescent="0.3">
      <c r="A39" s="65">
        <v>277</v>
      </c>
      <c r="B39" s="25"/>
      <c r="C39" s="25"/>
      <c r="D39" s="25"/>
      <c r="E39" s="30" t="str">
        <f t="shared" si="0"/>
        <v>--</v>
      </c>
      <c r="F39" s="13">
        <f>VLOOKUP(E39,'LISTA ITEMS'!$E$2:$G$875,2,FALSE)</f>
        <v>0</v>
      </c>
      <c r="G39" s="25">
        <f>VLOOKUP(E39,'LISTA ITEMS'!$E$2:$G$875,3,FALSE)</f>
        <v>0</v>
      </c>
      <c r="H39" s="76"/>
      <c r="I39" s="75">
        <v>0</v>
      </c>
      <c r="J39" s="27"/>
      <c r="K39" s="13"/>
      <c r="L39" s="67"/>
      <c r="M39" s="56"/>
      <c r="N39" s="55"/>
      <c r="O39" s="13"/>
      <c r="P39" s="71"/>
      <c r="Q39" s="31"/>
      <c r="R39" s="26">
        <f t="shared" si="1"/>
        <v>0</v>
      </c>
      <c r="S39" s="85"/>
      <c r="T39" s="84"/>
      <c r="U39" s="27"/>
      <c r="V39" s="13"/>
      <c r="W39" s="67"/>
      <c r="X39" s="56"/>
      <c r="Y39" s="55"/>
      <c r="Z39" s="13"/>
      <c r="AA39" s="71"/>
      <c r="AB39" s="31"/>
      <c r="AC39" s="26">
        <f t="shared" si="2"/>
        <v>0</v>
      </c>
      <c r="AD39" s="25"/>
      <c r="AE39" s="25"/>
      <c r="AF39" s="13"/>
      <c r="AG39" s="13"/>
      <c r="AH39" s="13"/>
      <c r="AI39" s="2" t="s">
        <v>467</v>
      </c>
    </row>
    <row r="40" spans="1:35" ht="21" customHeight="1" x14ac:dyDescent="0.3">
      <c r="A40" s="65">
        <v>278</v>
      </c>
      <c r="B40" s="25"/>
      <c r="C40" s="25"/>
      <c r="D40" s="25"/>
      <c r="E40" s="30" t="str">
        <f t="shared" si="0"/>
        <v>--</v>
      </c>
      <c r="F40" s="13">
        <f>VLOOKUP(E40,'LISTA ITEMS'!$E$2:$G$875,2,FALSE)</f>
        <v>0</v>
      </c>
      <c r="G40" s="25">
        <f>VLOOKUP(E40,'LISTA ITEMS'!$E$2:$G$875,3,FALSE)</f>
        <v>0</v>
      </c>
      <c r="H40" s="76"/>
      <c r="I40" s="75">
        <v>0</v>
      </c>
      <c r="J40" s="27"/>
      <c r="K40" s="13"/>
      <c r="L40" s="67"/>
      <c r="M40" s="56"/>
      <c r="N40" s="55"/>
      <c r="O40" s="13"/>
      <c r="P40" s="71"/>
      <c r="Q40" s="31"/>
      <c r="R40" s="26">
        <f t="shared" si="1"/>
        <v>0</v>
      </c>
      <c r="S40" s="85"/>
      <c r="T40" s="84"/>
      <c r="U40" s="27"/>
      <c r="V40" s="13"/>
      <c r="W40" s="67"/>
      <c r="X40" s="56"/>
      <c r="Y40" s="55"/>
      <c r="Z40" s="13"/>
      <c r="AA40" s="71"/>
      <c r="AB40" s="31"/>
      <c r="AC40" s="26">
        <f t="shared" si="2"/>
        <v>0</v>
      </c>
      <c r="AD40" s="25"/>
      <c r="AE40" s="25"/>
      <c r="AF40" s="13"/>
      <c r="AG40" s="13"/>
      <c r="AH40" s="13"/>
      <c r="AI40" s="2" t="s">
        <v>467</v>
      </c>
    </row>
    <row r="41" spans="1:35" ht="21" customHeight="1" x14ac:dyDescent="0.3">
      <c r="A41" s="65">
        <v>279</v>
      </c>
      <c r="B41" s="25"/>
      <c r="C41" s="25"/>
      <c r="D41" s="25"/>
      <c r="E41" s="30" t="str">
        <f t="shared" si="0"/>
        <v>--</v>
      </c>
      <c r="F41" s="13">
        <f>VLOOKUP(E41,'LISTA ITEMS'!$E$2:$G$875,2,FALSE)</f>
        <v>0</v>
      </c>
      <c r="G41" s="25">
        <f>VLOOKUP(E41,'LISTA ITEMS'!$E$2:$G$875,3,FALSE)</f>
        <v>0</v>
      </c>
      <c r="H41" s="76"/>
      <c r="I41" s="75">
        <v>0</v>
      </c>
      <c r="J41" s="27"/>
      <c r="K41" s="13"/>
      <c r="L41" s="67"/>
      <c r="M41" s="56"/>
      <c r="N41" s="55"/>
      <c r="O41" s="13"/>
      <c r="P41" s="71"/>
      <c r="Q41" s="31"/>
      <c r="R41" s="26">
        <f t="shared" si="1"/>
        <v>0</v>
      </c>
      <c r="S41" s="85"/>
      <c r="T41" s="84"/>
      <c r="U41" s="27"/>
      <c r="V41" s="13"/>
      <c r="W41" s="67"/>
      <c r="X41" s="56"/>
      <c r="Y41" s="55"/>
      <c r="Z41" s="13"/>
      <c r="AA41" s="71"/>
      <c r="AB41" s="31"/>
      <c r="AC41" s="26">
        <f t="shared" si="2"/>
        <v>0</v>
      </c>
      <c r="AD41" s="25"/>
      <c r="AE41" s="25"/>
      <c r="AF41" s="13"/>
      <c r="AG41" s="13"/>
      <c r="AH41" s="13"/>
      <c r="AI41" s="2" t="s">
        <v>467</v>
      </c>
    </row>
    <row r="42" spans="1:35" ht="21" customHeight="1" x14ac:dyDescent="0.3">
      <c r="A42" s="65">
        <v>280</v>
      </c>
      <c r="B42" s="25"/>
      <c r="C42" s="25"/>
      <c r="D42" s="25"/>
      <c r="E42" s="30" t="str">
        <f t="shared" si="0"/>
        <v>--</v>
      </c>
      <c r="F42" s="13">
        <f>VLOOKUP(E42,'LISTA ITEMS'!$E$2:$G$875,2,FALSE)</f>
        <v>0</v>
      </c>
      <c r="G42" s="25">
        <f>VLOOKUP(E42,'LISTA ITEMS'!$E$2:$G$875,3,FALSE)</f>
        <v>0</v>
      </c>
      <c r="H42" s="76"/>
      <c r="I42" s="75">
        <v>0</v>
      </c>
      <c r="J42" s="27"/>
      <c r="K42" s="13"/>
      <c r="L42" s="67"/>
      <c r="M42" s="56"/>
      <c r="N42" s="55"/>
      <c r="O42" s="13"/>
      <c r="P42" s="71"/>
      <c r="Q42" s="31"/>
      <c r="R42" s="26">
        <f t="shared" si="1"/>
        <v>0</v>
      </c>
      <c r="S42" s="85"/>
      <c r="T42" s="84"/>
      <c r="U42" s="27"/>
      <c r="V42" s="13"/>
      <c r="W42" s="67"/>
      <c r="X42" s="56"/>
      <c r="Y42" s="55"/>
      <c r="Z42" s="13"/>
      <c r="AA42" s="71"/>
      <c r="AB42" s="31"/>
      <c r="AC42" s="26">
        <f t="shared" si="2"/>
        <v>0</v>
      </c>
      <c r="AD42" s="25"/>
      <c r="AE42" s="25"/>
      <c r="AF42" s="13"/>
      <c r="AG42" s="13"/>
      <c r="AH42" s="13"/>
      <c r="AI42" s="2" t="s">
        <v>467</v>
      </c>
    </row>
    <row r="43" spans="1:35" ht="21" customHeight="1" x14ac:dyDescent="0.3">
      <c r="A43" s="65">
        <v>281</v>
      </c>
      <c r="B43" s="25"/>
      <c r="C43" s="25"/>
      <c r="D43" s="25"/>
      <c r="E43" s="30" t="str">
        <f t="shared" si="0"/>
        <v>--</v>
      </c>
      <c r="F43" s="13">
        <f>VLOOKUP(E43,'LISTA ITEMS'!$E$2:$G$875,2,FALSE)</f>
        <v>0</v>
      </c>
      <c r="G43" s="25">
        <f>VLOOKUP(E43,'LISTA ITEMS'!$E$2:$G$875,3,FALSE)</f>
        <v>0</v>
      </c>
      <c r="H43" s="76"/>
      <c r="I43" s="75">
        <v>0</v>
      </c>
      <c r="J43" s="27"/>
      <c r="K43" s="13"/>
      <c r="L43" s="67"/>
      <c r="M43" s="56"/>
      <c r="N43" s="55"/>
      <c r="O43" s="13"/>
      <c r="P43" s="71"/>
      <c r="Q43" s="31"/>
      <c r="R43" s="26">
        <f t="shared" si="1"/>
        <v>0</v>
      </c>
      <c r="S43" s="85"/>
      <c r="T43" s="84"/>
      <c r="U43" s="27"/>
      <c r="V43" s="13"/>
      <c r="W43" s="67"/>
      <c r="X43" s="56"/>
      <c r="Y43" s="55"/>
      <c r="Z43" s="13"/>
      <c r="AA43" s="71"/>
      <c r="AB43" s="31"/>
      <c r="AC43" s="26">
        <f t="shared" si="2"/>
        <v>0</v>
      </c>
      <c r="AD43" s="25"/>
      <c r="AE43" s="25"/>
      <c r="AF43" s="13"/>
      <c r="AG43" s="13"/>
      <c r="AH43" s="13"/>
      <c r="AI43" s="2" t="s">
        <v>467</v>
      </c>
    </row>
    <row r="44" spans="1:35" ht="21" customHeight="1" x14ac:dyDescent="0.3">
      <c r="A44" s="65">
        <v>282</v>
      </c>
      <c r="B44" s="25"/>
      <c r="C44" s="25"/>
      <c r="D44" s="25"/>
      <c r="E44" s="30" t="str">
        <f t="shared" si="0"/>
        <v>--</v>
      </c>
      <c r="F44" s="13">
        <f>VLOOKUP(E44,'LISTA ITEMS'!$E$2:$G$875,2,FALSE)</f>
        <v>0</v>
      </c>
      <c r="G44" s="25">
        <f>VLOOKUP(E44,'LISTA ITEMS'!$E$2:$G$875,3,FALSE)</f>
        <v>0</v>
      </c>
      <c r="H44" s="76"/>
      <c r="I44" s="75">
        <v>0</v>
      </c>
      <c r="J44" s="27"/>
      <c r="K44" s="13"/>
      <c r="L44" s="67"/>
      <c r="M44" s="56"/>
      <c r="N44" s="55"/>
      <c r="O44" s="13"/>
      <c r="P44" s="71"/>
      <c r="Q44" s="31"/>
      <c r="R44" s="26">
        <f t="shared" si="1"/>
        <v>0</v>
      </c>
      <c r="S44" s="85"/>
      <c r="T44" s="84"/>
      <c r="U44" s="27"/>
      <c r="V44" s="13"/>
      <c r="W44" s="67"/>
      <c r="X44" s="56"/>
      <c r="Y44" s="55"/>
      <c r="Z44" s="13"/>
      <c r="AA44" s="71"/>
      <c r="AB44" s="31"/>
      <c r="AC44" s="26">
        <f t="shared" si="2"/>
        <v>0</v>
      </c>
      <c r="AD44" s="25"/>
      <c r="AE44" s="25"/>
      <c r="AF44" s="13"/>
      <c r="AG44" s="13"/>
      <c r="AH44" s="13"/>
      <c r="AI44" s="2" t="s">
        <v>467</v>
      </c>
    </row>
    <row r="45" spans="1:35" ht="21" customHeight="1" x14ac:dyDescent="0.3">
      <c r="A45" s="65">
        <v>283</v>
      </c>
      <c r="B45" s="25"/>
      <c r="C45" s="25"/>
      <c r="D45" s="25"/>
      <c r="E45" s="30" t="str">
        <f t="shared" si="0"/>
        <v>--</v>
      </c>
      <c r="F45" s="13">
        <f>VLOOKUP(E45,'LISTA ITEMS'!$E$2:$G$875,2,FALSE)</f>
        <v>0</v>
      </c>
      <c r="G45" s="25">
        <f>VLOOKUP(E45,'LISTA ITEMS'!$E$2:$G$875,3,FALSE)</f>
        <v>0</v>
      </c>
      <c r="H45" s="76"/>
      <c r="I45" s="75">
        <v>0</v>
      </c>
      <c r="J45" s="27"/>
      <c r="K45" s="13"/>
      <c r="L45" s="67"/>
      <c r="M45" s="56"/>
      <c r="N45" s="55"/>
      <c r="O45" s="13"/>
      <c r="P45" s="71"/>
      <c r="Q45" s="31"/>
      <c r="R45" s="26">
        <f t="shared" si="1"/>
        <v>0</v>
      </c>
      <c r="S45" s="85"/>
      <c r="T45" s="84"/>
      <c r="U45" s="27"/>
      <c r="V45" s="13"/>
      <c r="W45" s="67"/>
      <c r="X45" s="56"/>
      <c r="Y45" s="55"/>
      <c r="Z45" s="13"/>
      <c r="AA45" s="71"/>
      <c r="AB45" s="31"/>
      <c r="AC45" s="26">
        <f t="shared" si="2"/>
        <v>0</v>
      </c>
      <c r="AD45" s="25"/>
      <c r="AE45" s="25"/>
      <c r="AF45" s="13"/>
      <c r="AG45" s="13"/>
      <c r="AH45" s="13"/>
      <c r="AI45" s="2" t="s">
        <v>467</v>
      </c>
    </row>
    <row r="46" spans="1:35" ht="21" customHeight="1" x14ac:dyDescent="0.3">
      <c r="A46" s="65">
        <v>284</v>
      </c>
      <c r="B46" s="25"/>
      <c r="C46" s="25"/>
      <c r="D46" s="25"/>
      <c r="E46" s="30" t="str">
        <f t="shared" si="0"/>
        <v>--</v>
      </c>
      <c r="F46" s="13">
        <f>VLOOKUP(E46,'LISTA ITEMS'!$E$2:$G$875,2,FALSE)</f>
        <v>0</v>
      </c>
      <c r="G46" s="25">
        <f>VLOOKUP(E46,'LISTA ITEMS'!$E$2:$G$875,3,FALSE)</f>
        <v>0</v>
      </c>
      <c r="H46" s="76"/>
      <c r="I46" s="75">
        <v>0</v>
      </c>
      <c r="J46" s="27"/>
      <c r="K46" s="13"/>
      <c r="L46" s="67"/>
      <c r="M46" s="56"/>
      <c r="N46" s="55"/>
      <c r="O46" s="13"/>
      <c r="P46" s="71"/>
      <c r="Q46" s="31"/>
      <c r="R46" s="26">
        <f t="shared" si="1"/>
        <v>0</v>
      </c>
      <c r="S46" s="85"/>
      <c r="T46" s="84"/>
      <c r="U46" s="27"/>
      <c r="V46" s="13"/>
      <c r="W46" s="67"/>
      <c r="X46" s="56"/>
      <c r="Y46" s="55"/>
      <c r="Z46" s="13"/>
      <c r="AA46" s="71"/>
      <c r="AB46" s="31"/>
      <c r="AC46" s="26">
        <f t="shared" si="2"/>
        <v>0</v>
      </c>
      <c r="AD46" s="25"/>
      <c r="AE46" s="25"/>
      <c r="AF46" s="13"/>
      <c r="AG46" s="13"/>
      <c r="AH46" s="13"/>
      <c r="AI46" s="2" t="s">
        <v>467</v>
      </c>
    </row>
    <row r="47" spans="1:35" ht="21" customHeight="1" x14ac:dyDescent="0.3">
      <c r="A47" s="65">
        <v>285</v>
      </c>
      <c r="B47" s="25"/>
      <c r="C47" s="25"/>
      <c r="D47" s="25"/>
      <c r="E47" s="30" t="str">
        <f t="shared" si="0"/>
        <v>--</v>
      </c>
      <c r="F47" s="13">
        <f>VLOOKUP(E47,'LISTA ITEMS'!$E$2:$G$875,2,FALSE)</f>
        <v>0</v>
      </c>
      <c r="G47" s="25">
        <f>VLOOKUP(E47,'LISTA ITEMS'!$E$2:$G$875,3,FALSE)</f>
        <v>0</v>
      </c>
      <c r="H47" s="76"/>
      <c r="I47" s="75">
        <v>0</v>
      </c>
      <c r="J47" s="27"/>
      <c r="K47" s="13"/>
      <c r="L47" s="67"/>
      <c r="M47" s="56"/>
      <c r="N47" s="55"/>
      <c r="O47" s="13"/>
      <c r="P47" s="71"/>
      <c r="Q47" s="31"/>
      <c r="R47" s="26">
        <f t="shared" si="1"/>
        <v>0</v>
      </c>
      <c r="S47" s="85"/>
      <c r="T47" s="84"/>
      <c r="U47" s="27"/>
      <c r="V47" s="13"/>
      <c r="W47" s="67"/>
      <c r="X47" s="56"/>
      <c r="Y47" s="55"/>
      <c r="Z47" s="13"/>
      <c r="AA47" s="71"/>
      <c r="AB47" s="31"/>
      <c r="AC47" s="26">
        <f t="shared" si="2"/>
        <v>0</v>
      </c>
      <c r="AD47" s="25"/>
      <c r="AE47" s="25"/>
      <c r="AF47" s="13"/>
      <c r="AG47" s="13"/>
      <c r="AH47" s="13"/>
      <c r="AI47" s="2" t="s">
        <v>467</v>
      </c>
    </row>
    <row r="48" spans="1:35" ht="21" customHeight="1" x14ac:dyDescent="0.3">
      <c r="A48" s="65">
        <v>286</v>
      </c>
      <c r="B48" s="25"/>
      <c r="C48" s="25"/>
      <c r="D48" s="25"/>
      <c r="E48" s="30" t="str">
        <f t="shared" si="0"/>
        <v>--</v>
      </c>
      <c r="F48" s="13">
        <f>VLOOKUP(E48,'LISTA ITEMS'!$E$2:$G$875,2,FALSE)</f>
        <v>0</v>
      </c>
      <c r="G48" s="25">
        <f>VLOOKUP(E48,'LISTA ITEMS'!$E$2:$G$875,3,FALSE)</f>
        <v>0</v>
      </c>
      <c r="H48" s="76"/>
      <c r="I48" s="75">
        <v>0</v>
      </c>
      <c r="J48" s="27"/>
      <c r="K48" s="13"/>
      <c r="L48" s="67"/>
      <c r="M48" s="56"/>
      <c r="N48" s="55"/>
      <c r="O48" s="13"/>
      <c r="P48" s="71"/>
      <c r="Q48" s="31"/>
      <c r="R48" s="26">
        <f t="shared" si="1"/>
        <v>0</v>
      </c>
      <c r="S48" s="85"/>
      <c r="T48" s="84"/>
      <c r="U48" s="27"/>
      <c r="V48" s="13"/>
      <c r="W48" s="67"/>
      <c r="X48" s="56"/>
      <c r="Y48" s="55"/>
      <c r="Z48" s="13"/>
      <c r="AA48" s="71"/>
      <c r="AB48" s="31"/>
      <c r="AC48" s="26">
        <f t="shared" si="2"/>
        <v>0</v>
      </c>
      <c r="AD48" s="25"/>
      <c r="AE48" s="25"/>
      <c r="AF48" s="13"/>
      <c r="AG48" s="13"/>
      <c r="AH48" s="13"/>
    </row>
    <row r="49" spans="1:34" ht="21" customHeight="1" x14ac:dyDescent="0.3">
      <c r="A49" s="65">
        <v>287</v>
      </c>
      <c r="B49" s="25"/>
      <c r="C49" s="25"/>
      <c r="D49" s="25"/>
      <c r="E49" s="30" t="str">
        <f t="shared" si="0"/>
        <v>--</v>
      </c>
      <c r="F49" s="13">
        <f>VLOOKUP(E49,'LISTA ITEMS'!$E$2:$G$875,2,FALSE)</f>
        <v>0</v>
      </c>
      <c r="G49" s="25">
        <f>VLOOKUP(E49,'LISTA ITEMS'!$E$2:$G$875,3,FALSE)</f>
        <v>0</v>
      </c>
      <c r="H49" s="76"/>
      <c r="I49" s="75">
        <v>0</v>
      </c>
      <c r="J49" s="27"/>
      <c r="K49" s="13"/>
      <c r="L49" s="67"/>
      <c r="M49" s="56"/>
      <c r="N49" s="55"/>
      <c r="O49" s="13"/>
      <c r="P49" s="71"/>
      <c r="Q49" s="31"/>
      <c r="R49" s="26">
        <f t="shared" si="1"/>
        <v>0</v>
      </c>
      <c r="S49" s="85"/>
      <c r="T49" s="84"/>
      <c r="U49" s="27"/>
      <c r="V49" s="13"/>
      <c r="W49" s="67"/>
      <c r="X49" s="56"/>
      <c r="Y49" s="55"/>
      <c r="Z49" s="13"/>
      <c r="AA49" s="71"/>
      <c r="AB49" s="31"/>
      <c r="AC49" s="26">
        <f t="shared" si="2"/>
        <v>0</v>
      </c>
      <c r="AD49" s="25"/>
      <c r="AE49" s="25"/>
      <c r="AF49" s="13"/>
      <c r="AG49" s="13"/>
      <c r="AH49" s="13"/>
    </row>
    <row r="50" spans="1:34" ht="21" customHeight="1" x14ac:dyDescent="0.3">
      <c r="A50" s="65">
        <v>288</v>
      </c>
      <c r="B50" s="25"/>
      <c r="C50" s="25"/>
      <c r="D50" s="25"/>
      <c r="E50" s="30" t="str">
        <f t="shared" si="0"/>
        <v>--</v>
      </c>
      <c r="F50" s="13">
        <f>VLOOKUP(E50,'LISTA ITEMS'!$E$2:$G$875,2,FALSE)</f>
        <v>0</v>
      </c>
      <c r="G50" s="25">
        <f>VLOOKUP(E50,'LISTA ITEMS'!$E$2:$G$875,3,FALSE)</f>
        <v>0</v>
      </c>
      <c r="H50" s="76"/>
      <c r="I50" s="75">
        <v>0</v>
      </c>
      <c r="J50" s="27"/>
      <c r="K50" s="13"/>
      <c r="L50" s="67"/>
      <c r="M50" s="56"/>
      <c r="N50" s="55"/>
      <c r="O50" s="13"/>
      <c r="P50" s="71"/>
      <c r="Q50" s="31"/>
      <c r="R50" s="26">
        <f t="shared" si="1"/>
        <v>0</v>
      </c>
      <c r="S50" s="85"/>
      <c r="T50" s="84"/>
      <c r="U50" s="27"/>
      <c r="V50" s="13"/>
      <c r="W50" s="67"/>
      <c r="X50" s="56"/>
      <c r="Y50" s="55"/>
      <c r="Z50" s="13"/>
      <c r="AA50" s="71"/>
      <c r="AB50" s="31"/>
      <c r="AC50" s="26">
        <f t="shared" si="2"/>
        <v>0</v>
      </c>
      <c r="AD50" s="25"/>
      <c r="AE50" s="25"/>
      <c r="AF50" s="13"/>
      <c r="AG50" s="13"/>
      <c r="AH50" s="13"/>
    </row>
    <row r="51" spans="1:34" ht="21" customHeight="1" x14ac:dyDescent="0.3">
      <c r="A51" s="65">
        <v>289</v>
      </c>
      <c r="B51" s="25"/>
      <c r="C51" s="25"/>
      <c r="D51" s="25"/>
      <c r="E51" s="30" t="str">
        <f t="shared" si="0"/>
        <v>--</v>
      </c>
      <c r="F51" s="13">
        <f>VLOOKUP(E51,'LISTA ITEMS'!$E$2:$G$875,2,FALSE)</f>
        <v>0</v>
      </c>
      <c r="G51" s="25">
        <f>VLOOKUP(E51,'LISTA ITEMS'!$E$2:$G$875,3,FALSE)</f>
        <v>0</v>
      </c>
      <c r="H51" s="76"/>
      <c r="I51" s="75">
        <v>0</v>
      </c>
      <c r="J51" s="27"/>
      <c r="K51" s="13"/>
      <c r="L51" s="67"/>
      <c r="M51" s="56"/>
      <c r="N51" s="55"/>
      <c r="O51" s="13"/>
      <c r="P51" s="71"/>
      <c r="Q51" s="31"/>
      <c r="R51" s="26">
        <f t="shared" si="1"/>
        <v>0</v>
      </c>
      <c r="S51" s="85"/>
      <c r="T51" s="84"/>
      <c r="U51" s="27"/>
      <c r="V51" s="13"/>
      <c r="W51" s="67"/>
      <c r="X51" s="56"/>
      <c r="Y51" s="55"/>
      <c r="Z51" s="13"/>
      <c r="AA51" s="71"/>
      <c r="AB51" s="31"/>
      <c r="AC51" s="26">
        <f t="shared" si="2"/>
        <v>0</v>
      </c>
      <c r="AD51" s="25"/>
      <c r="AE51" s="25"/>
      <c r="AF51" s="13"/>
      <c r="AG51" s="13"/>
      <c r="AH51" s="13"/>
    </row>
    <row r="52" spans="1:34" ht="21" customHeight="1" x14ac:dyDescent="0.3">
      <c r="A52" s="65">
        <v>290</v>
      </c>
      <c r="B52" s="25"/>
      <c r="C52" s="25"/>
      <c r="D52" s="25"/>
      <c r="E52" s="30" t="str">
        <f t="shared" si="0"/>
        <v>--</v>
      </c>
      <c r="F52" s="13">
        <f>VLOOKUP(E52,'LISTA ITEMS'!$E$2:$G$875,2,FALSE)</f>
        <v>0</v>
      </c>
      <c r="G52" s="25">
        <f>VLOOKUP(E52,'LISTA ITEMS'!$E$2:$G$875,3,FALSE)</f>
        <v>0</v>
      </c>
      <c r="H52" s="76"/>
      <c r="I52" s="75">
        <v>0</v>
      </c>
      <c r="J52" s="27"/>
      <c r="K52" s="13"/>
      <c r="L52" s="67"/>
      <c r="M52" s="56"/>
      <c r="N52" s="55"/>
      <c r="O52" s="13"/>
      <c r="P52" s="71"/>
      <c r="Q52" s="31"/>
      <c r="R52" s="26">
        <f t="shared" si="1"/>
        <v>0</v>
      </c>
      <c r="S52" s="85"/>
      <c r="T52" s="84"/>
      <c r="U52" s="27"/>
      <c r="V52" s="13"/>
      <c r="W52" s="67"/>
      <c r="X52" s="56"/>
      <c r="Y52" s="55"/>
      <c r="Z52" s="13"/>
      <c r="AA52" s="71"/>
      <c r="AB52" s="31"/>
      <c r="AC52" s="26">
        <f t="shared" si="2"/>
        <v>0</v>
      </c>
      <c r="AD52" s="25"/>
      <c r="AE52" s="25"/>
      <c r="AF52" s="13"/>
      <c r="AG52" s="13"/>
      <c r="AH52" s="13"/>
    </row>
    <row r="53" spans="1:34" ht="21" customHeight="1" x14ac:dyDescent="0.3">
      <c r="A53" s="65">
        <v>291</v>
      </c>
      <c r="B53" s="25"/>
      <c r="C53" s="25"/>
      <c r="D53" s="25"/>
      <c r="E53" s="30" t="str">
        <f t="shared" si="0"/>
        <v>--</v>
      </c>
      <c r="F53" s="13">
        <f>VLOOKUP(E53,'LISTA ITEMS'!$E$2:$G$875,2,FALSE)</f>
        <v>0</v>
      </c>
      <c r="G53" s="25">
        <f>VLOOKUP(E53,'LISTA ITEMS'!$E$2:$G$875,3,FALSE)</f>
        <v>0</v>
      </c>
      <c r="H53" s="76"/>
      <c r="I53" s="75">
        <v>0</v>
      </c>
      <c r="J53" s="27"/>
      <c r="K53" s="13"/>
      <c r="L53" s="67"/>
      <c r="M53" s="56"/>
      <c r="N53" s="55"/>
      <c r="O53" s="13"/>
      <c r="P53" s="71"/>
      <c r="Q53" s="31"/>
      <c r="R53" s="26">
        <f t="shared" si="1"/>
        <v>0</v>
      </c>
      <c r="S53" s="85"/>
      <c r="T53" s="84"/>
      <c r="U53" s="27"/>
      <c r="V53" s="13"/>
      <c r="W53" s="67"/>
      <c r="X53" s="56"/>
      <c r="Y53" s="55"/>
      <c r="Z53" s="13"/>
      <c r="AA53" s="71"/>
      <c r="AB53" s="31"/>
      <c r="AC53" s="26">
        <f t="shared" si="2"/>
        <v>0</v>
      </c>
      <c r="AD53" s="25"/>
      <c r="AE53" s="25"/>
      <c r="AF53" s="13"/>
      <c r="AG53" s="13"/>
      <c r="AH53" s="13"/>
    </row>
    <row r="54" spans="1:34" ht="21" customHeight="1" x14ac:dyDescent="0.3">
      <c r="A54" s="65">
        <v>292</v>
      </c>
      <c r="B54" s="25"/>
      <c r="C54" s="25"/>
      <c r="D54" s="25"/>
      <c r="E54" s="30" t="str">
        <f t="shared" si="0"/>
        <v>--</v>
      </c>
      <c r="F54" s="13">
        <f>VLOOKUP(E54,'LISTA ITEMS'!$E$2:$G$875,2,FALSE)</f>
        <v>0</v>
      </c>
      <c r="G54" s="25">
        <f>VLOOKUP(E54,'LISTA ITEMS'!$E$2:$G$875,3,FALSE)</f>
        <v>0</v>
      </c>
      <c r="H54" s="76"/>
      <c r="I54" s="75">
        <v>0</v>
      </c>
      <c r="J54" s="27"/>
      <c r="K54" s="13"/>
      <c r="L54" s="67"/>
      <c r="M54" s="56"/>
      <c r="N54" s="55"/>
      <c r="O54" s="13"/>
      <c r="P54" s="71"/>
      <c r="Q54" s="31"/>
      <c r="R54" s="26">
        <f t="shared" si="1"/>
        <v>0</v>
      </c>
      <c r="S54" s="85"/>
      <c r="T54" s="84"/>
      <c r="U54" s="27"/>
      <c r="V54" s="13"/>
      <c r="W54" s="67"/>
      <c r="X54" s="56"/>
      <c r="Y54" s="55"/>
      <c r="Z54" s="13"/>
      <c r="AA54" s="71"/>
      <c r="AB54" s="31"/>
      <c r="AC54" s="26">
        <f t="shared" si="2"/>
        <v>0</v>
      </c>
      <c r="AD54" s="25"/>
      <c r="AE54" s="25"/>
      <c r="AF54" s="13"/>
      <c r="AG54" s="13"/>
      <c r="AH54" s="13"/>
    </row>
    <row r="55" spans="1:34" ht="21" customHeight="1" x14ac:dyDescent="0.3">
      <c r="A55" s="65">
        <v>293</v>
      </c>
      <c r="B55" s="25"/>
      <c r="C55" s="25"/>
      <c r="D55" s="25"/>
      <c r="E55" s="30" t="str">
        <f t="shared" si="0"/>
        <v>--</v>
      </c>
      <c r="F55" s="13">
        <f>VLOOKUP(E55,'LISTA ITEMS'!$E$2:$G$875,2,FALSE)</f>
        <v>0</v>
      </c>
      <c r="G55" s="25">
        <f>VLOOKUP(E55,'LISTA ITEMS'!$E$2:$G$875,3,FALSE)</f>
        <v>0</v>
      </c>
      <c r="H55" s="76"/>
      <c r="I55" s="75">
        <v>0</v>
      </c>
      <c r="J55" s="27"/>
      <c r="K55" s="13"/>
      <c r="L55" s="67"/>
      <c r="M55" s="56"/>
      <c r="N55" s="55"/>
      <c r="O55" s="13"/>
      <c r="P55" s="71"/>
      <c r="Q55" s="31"/>
      <c r="R55" s="26">
        <f t="shared" si="1"/>
        <v>0</v>
      </c>
      <c r="S55" s="85"/>
      <c r="T55" s="84"/>
      <c r="U55" s="27"/>
      <c r="V55" s="13"/>
      <c r="W55" s="67"/>
      <c r="X55" s="56"/>
      <c r="Y55" s="55"/>
      <c r="Z55" s="13"/>
      <c r="AA55" s="71"/>
      <c r="AB55" s="31"/>
      <c r="AC55" s="26">
        <f t="shared" si="2"/>
        <v>0</v>
      </c>
      <c r="AD55" s="25"/>
      <c r="AE55" s="25"/>
      <c r="AF55" s="13"/>
      <c r="AG55" s="13"/>
      <c r="AH55" s="13"/>
    </row>
    <row r="56" spans="1:34" ht="21" customHeight="1" x14ac:dyDescent="0.3">
      <c r="A56" s="65">
        <v>294</v>
      </c>
      <c r="B56" s="25"/>
      <c r="C56" s="25"/>
      <c r="D56" s="25"/>
      <c r="E56" s="30" t="str">
        <f t="shared" si="0"/>
        <v>--</v>
      </c>
      <c r="F56" s="13">
        <f>VLOOKUP(E56,'LISTA ITEMS'!$E$2:$G$875,2,FALSE)</f>
        <v>0</v>
      </c>
      <c r="G56" s="25">
        <f>VLOOKUP(E56,'LISTA ITEMS'!$E$2:$G$875,3,FALSE)</f>
        <v>0</v>
      </c>
      <c r="H56" s="76"/>
      <c r="I56" s="75">
        <v>0</v>
      </c>
      <c r="J56" s="27"/>
      <c r="K56" s="13"/>
      <c r="L56" s="67"/>
      <c r="M56" s="56"/>
      <c r="N56" s="55"/>
      <c r="O56" s="13"/>
      <c r="P56" s="71"/>
      <c r="Q56" s="31"/>
      <c r="R56" s="26">
        <f t="shared" si="1"/>
        <v>0</v>
      </c>
      <c r="S56" s="85"/>
      <c r="T56" s="84"/>
      <c r="U56" s="27"/>
      <c r="V56" s="13"/>
      <c r="W56" s="67"/>
      <c r="X56" s="56"/>
      <c r="Y56" s="55"/>
      <c r="Z56" s="13"/>
      <c r="AA56" s="71"/>
      <c r="AB56" s="31"/>
      <c r="AC56" s="26">
        <f t="shared" si="2"/>
        <v>0</v>
      </c>
      <c r="AD56" s="25"/>
      <c r="AE56" s="25"/>
      <c r="AF56" s="13"/>
      <c r="AG56" s="13"/>
      <c r="AH56" s="13"/>
    </row>
    <row r="57" spans="1:34" ht="31.2" customHeight="1" x14ac:dyDescent="0.3">
      <c r="A57" s="65">
        <v>295</v>
      </c>
      <c r="B57" s="25"/>
      <c r="C57" s="25"/>
      <c r="D57" s="25"/>
      <c r="E57" s="30" t="str">
        <f t="shared" si="0"/>
        <v>--</v>
      </c>
      <c r="F57" s="13">
        <f>VLOOKUP(E57,'LISTA ITEMS'!$E$2:$G$875,2,FALSE)</f>
        <v>0</v>
      </c>
      <c r="G57" s="25">
        <f>VLOOKUP(E57,'LISTA ITEMS'!$E$2:$G$875,3,FALSE)</f>
        <v>0</v>
      </c>
      <c r="H57" s="76"/>
      <c r="I57" s="75">
        <v>0</v>
      </c>
      <c r="J57" s="27"/>
      <c r="K57" s="13"/>
      <c r="L57" s="67"/>
      <c r="M57" s="56"/>
      <c r="N57" s="55"/>
      <c r="O57" s="13"/>
      <c r="P57" s="71"/>
      <c r="Q57" s="31"/>
      <c r="R57" s="26">
        <f t="shared" si="1"/>
        <v>0</v>
      </c>
      <c r="S57" s="85"/>
      <c r="T57" s="84"/>
      <c r="U57" s="27"/>
      <c r="V57" s="13"/>
      <c r="W57" s="67"/>
      <c r="X57" s="56"/>
      <c r="Y57" s="55"/>
      <c r="Z57" s="13"/>
      <c r="AA57" s="71"/>
      <c r="AB57" s="31"/>
      <c r="AC57" s="26">
        <f t="shared" si="2"/>
        <v>0</v>
      </c>
      <c r="AD57" s="25"/>
      <c r="AE57" s="25"/>
      <c r="AF57" s="13"/>
      <c r="AG57" s="13"/>
      <c r="AH57" s="13"/>
    </row>
    <row r="58" spans="1:34" ht="21" customHeight="1" x14ac:dyDescent="0.3">
      <c r="A58" s="65">
        <v>296</v>
      </c>
      <c r="B58" s="25"/>
      <c r="C58" s="25"/>
      <c r="D58" s="25"/>
      <c r="E58" s="30" t="str">
        <f t="shared" si="0"/>
        <v>--</v>
      </c>
      <c r="F58" s="13">
        <f>VLOOKUP(E58,'LISTA ITEMS'!$E$2:$G$875,2,FALSE)</f>
        <v>0</v>
      </c>
      <c r="G58" s="25">
        <f>VLOOKUP(E58,'LISTA ITEMS'!$E$2:$G$875,3,FALSE)</f>
        <v>0</v>
      </c>
      <c r="H58" s="76"/>
      <c r="I58" s="75">
        <v>0</v>
      </c>
      <c r="J58" s="27"/>
      <c r="K58" s="13"/>
      <c r="L58" s="67"/>
      <c r="M58" s="56"/>
      <c r="N58" s="55"/>
      <c r="O58" s="13"/>
      <c r="P58" s="71"/>
      <c r="Q58" s="31"/>
      <c r="R58" s="26">
        <f t="shared" si="1"/>
        <v>0</v>
      </c>
      <c r="S58" s="85"/>
      <c r="T58" s="84"/>
      <c r="U58" s="27"/>
      <c r="V58" s="13"/>
      <c r="W58" s="67"/>
      <c r="X58" s="56"/>
      <c r="Y58" s="55"/>
      <c r="Z58" s="13"/>
      <c r="AA58" s="71"/>
      <c r="AB58" s="31"/>
      <c r="AC58" s="26">
        <f t="shared" si="2"/>
        <v>0</v>
      </c>
      <c r="AD58" s="25"/>
      <c r="AE58" s="25"/>
      <c r="AF58" s="13"/>
      <c r="AG58" s="13"/>
      <c r="AH58" s="13"/>
    </row>
    <row r="59" spans="1:34" x14ac:dyDescent="0.3">
      <c r="A59" s="65">
        <v>297</v>
      </c>
      <c r="B59" s="25"/>
      <c r="C59" s="25"/>
      <c r="D59" s="25"/>
      <c r="E59" s="30" t="str">
        <f t="shared" si="0"/>
        <v>--</v>
      </c>
      <c r="F59" s="13">
        <f>VLOOKUP(E59,'LISTA ITEMS'!$E$2:$G$875,2,FALSE)</f>
        <v>0</v>
      </c>
      <c r="G59" s="25">
        <f>VLOOKUP(E59,'LISTA ITEMS'!$E$2:$G$875,3,FALSE)</f>
        <v>0</v>
      </c>
      <c r="H59" s="76"/>
      <c r="I59" s="75">
        <v>0</v>
      </c>
      <c r="J59" s="27"/>
      <c r="K59" s="13"/>
      <c r="L59" s="67"/>
      <c r="M59" s="56"/>
      <c r="N59" s="55"/>
      <c r="O59" s="13"/>
      <c r="P59" s="71"/>
      <c r="Q59" s="31"/>
      <c r="R59" s="26">
        <f t="shared" si="1"/>
        <v>0</v>
      </c>
      <c r="S59" s="85"/>
      <c r="T59" s="84"/>
      <c r="U59" s="27"/>
      <c r="V59" s="13"/>
      <c r="W59" s="67"/>
      <c r="X59" s="56"/>
      <c r="Y59" s="55"/>
      <c r="Z59" s="13"/>
      <c r="AA59" s="71"/>
      <c r="AB59" s="31"/>
      <c r="AC59" s="26">
        <f t="shared" si="2"/>
        <v>0</v>
      </c>
      <c r="AD59" s="25"/>
      <c r="AE59" s="25"/>
      <c r="AF59" s="13"/>
      <c r="AG59" s="13"/>
      <c r="AH59" s="13"/>
    </row>
    <row r="60" spans="1:34" ht="28.2" customHeight="1" x14ac:dyDescent="0.3">
      <c r="A60" s="65">
        <v>298</v>
      </c>
      <c r="B60" s="25"/>
      <c r="C60" s="25"/>
      <c r="D60" s="25"/>
      <c r="E60" s="30" t="str">
        <f t="shared" si="0"/>
        <v>--</v>
      </c>
      <c r="F60" s="13">
        <f>VLOOKUP(E60,'LISTA ITEMS'!$E$2:$G$875,2,FALSE)</f>
        <v>0</v>
      </c>
      <c r="G60" s="25">
        <f>VLOOKUP(E60,'LISTA ITEMS'!$E$2:$G$875,3,FALSE)</f>
        <v>0</v>
      </c>
      <c r="H60" s="76"/>
      <c r="I60" s="75">
        <v>0</v>
      </c>
      <c r="J60" s="27"/>
      <c r="K60" s="13"/>
      <c r="L60" s="67"/>
      <c r="M60" s="56"/>
      <c r="N60" s="55"/>
      <c r="O60" s="13"/>
      <c r="P60" s="71"/>
      <c r="Q60" s="31"/>
      <c r="R60" s="26">
        <f t="shared" si="1"/>
        <v>0</v>
      </c>
      <c r="S60" s="85"/>
      <c r="T60" s="84"/>
      <c r="U60" s="27"/>
      <c r="V60" s="13"/>
      <c r="W60" s="67"/>
      <c r="X60" s="56"/>
      <c r="Y60" s="55"/>
      <c r="Z60" s="13"/>
      <c r="AA60" s="71"/>
      <c r="AB60" s="31"/>
      <c r="AC60" s="26">
        <f t="shared" si="2"/>
        <v>0</v>
      </c>
      <c r="AD60" s="25"/>
      <c r="AE60" s="25"/>
      <c r="AF60" s="13"/>
      <c r="AG60" s="13"/>
      <c r="AH60" s="13"/>
    </row>
    <row r="61" spans="1:34" ht="28.2" customHeight="1" x14ac:dyDescent="0.3">
      <c r="A61" s="65">
        <v>299</v>
      </c>
      <c r="B61" s="25"/>
      <c r="C61" s="25"/>
      <c r="D61" s="25"/>
      <c r="E61" s="30" t="str">
        <f t="shared" si="0"/>
        <v>--</v>
      </c>
      <c r="F61" s="13">
        <f>VLOOKUP(E61,'LISTA ITEMS'!$E$2:$G$875,2,FALSE)</f>
        <v>0</v>
      </c>
      <c r="G61" s="25">
        <f>VLOOKUP(E61,'LISTA ITEMS'!$E$2:$G$875,3,FALSE)</f>
        <v>0</v>
      </c>
      <c r="H61" s="76"/>
      <c r="I61" s="75">
        <v>0</v>
      </c>
      <c r="J61" s="27"/>
      <c r="K61" s="13"/>
      <c r="L61" s="67"/>
      <c r="M61" s="56"/>
      <c r="N61" s="55"/>
      <c r="O61" s="13"/>
      <c r="P61" s="71"/>
      <c r="Q61" s="31"/>
      <c r="R61" s="26">
        <f t="shared" si="1"/>
        <v>0</v>
      </c>
      <c r="S61" s="85"/>
      <c r="T61" s="84"/>
      <c r="U61" s="27"/>
      <c r="V61" s="13"/>
      <c r="W61" s="67"/>
      <c r="X61" s="56"/>
      <c r="Y61" s="55"/>
      <c r="Z61" s="13"/>
      <c r="AA61" s="71"/>
      <c r="AB61" s="31"/>
      <c r="AC61" s="26">
        <f t="shared" si="2"/>
        <v>0</v>
      </c>
      <c r="AD61" s="25"/>
      <c r="AE61" s="25"/>
      <c r="AF61" s="13"/>
      <c r="AG61" s="13"/>
      <c r="AH61" s="13"/>
    </row>
    <row r="62" spans="1:34" ht="28.2" customHeight="1" x14ac:dyDescent="0.3">
      <c r="A62" s="65">
        <v>300</v>
      </c>
      <c r="B62" s="25"/>
      <c r="C62" s="25"/>
      <c r="D62" s="25"/>
      <c r="E62" s="30" t="str">
        <f t="shared" si="0"/>
        <v>--</v>
      </c>
      <c r="F62" s="13">
        <f>VLOOKUP(E62,'LISTA ITEMS'!$E$2:$G$875,2,FALSE)</f>
        <v>0</v>
      </c>
      <c r="G62" s="25">
        <f>VLOOKUP(E62,'LISTA ITEMS'!$E$2:$G$875,3,FALSE)</f>
        <v>0</v>
      </c>
      <c r="H62" s="76"/>
      <c r="I62" s="75">
        <v>0</v>
      </c>
      <c r="J62" s="27"/>
      <c r="K62" s="13"/>
      <c r="L62" s="67"/>
      <c r="M62" s="56"/>
      <c r="N62" s="55"/>
      <c r="O62" s="13"/>
      <c r="P62" s="71"/>
      <c r="Q62" s="31"/>
      <c r="R62" s="26">
        <f t="shared" si="1"/>
        <v>0</v>
      </c>
      <c r="S62" s="85"/>
      <c r="T62" s="84"/>
      <c r="U62" s="27"/>
      <c r="V62" s="13"/>
      <c r="W62" s="67"/>
      <c r="X62" s="56"/>
      <c r="Y62" s="55"/>
      <c r="Z62" s="13"/>
      <c r="AA62" s="71"/>
      <c r="AB62" s="31"/>
      <c r="AC62" s="26">
        <f t="shared" si="2"/>
        <v>0</v>
      </c>
      <c r="AD62" s="25"/>
      <c r="AE62" s="25"/>
      <c r="AF62" s="13"/>
      <c r="AG62" s="13"/>
      <c r="AH62" s="13"/>
    </row>
    <row r="63" spans="1:34" ht="28.2" customHeight="1" x14ac:dyDescent="0.3">
      <c r="A63" s="65">
        <v>301</v>
      </c>
      <c r="B63" s="25"/>
      <c r="C63" s="25"/>
      <c r="D63" s="25"/>
      <c r="E63" s="30" t="str">
        <f t="shared" si="0"/>
        <v>--</v>
      </c>
      <c r="F63" s="13">
        <f>VLOOKUP(E63,'LISTA ITEMS'!$E$2:$G$875,2,FALSE)</f>
        <v>0</v>
      </c>
      <c r="G63" s="25">
        <f>VLOOKUP(E63,'LISTA ITEMS'!$E$2:$G$875,3,FALSE)</f>
        <v>0</v>
      </c>
      <c r="H63" s="76"/>
      <c r="I63" s="75">
        <v>0</v>
      </c>
      <c r="J63" s="27"/>
      <c r="K63" s="13"/>
      <c r="L63" s="67"/>
      <c r="M63" s="56"/>
      <c r="N63" s="55"/>
      <c r="O63" s="13"/>
      <c r="P63" s="71"/>
      <c r="Q63" s="31"/>
      <c r="R63" s="26">
        <f t="shared" si="1"/>
        <v>0</v>
      </c>
      <c r="S63" s="85"/>
      <c r="T63" s="84"/>
      <c r="U63" s="27"/>
      <c r="V63" s="13"/>
      <c r="W63" s="67"/>
      <c r="X63" s="56"/>
      <c r="Y63" s="55"/>
      <c r="Z63" s="13"/>
      <c r="AA63" s="71"/>
      <c r="AB63" s="31"/>
      <c r="AC63" s="26">
        <f t="shared" si="2"/>
        <v>0</v>
      </c>
      <c r="AD63" s="25"/>
      <c r="AE63" s="25"/>
      <c r="AF63" s="13"/>
      <c r="AG63" s="13"/>
      <c r="AH63" s="13"/>
    </row>
    <row r="64" spans="1:34" x14ac:dyDescent="0.3">
      <c r="A64" s="65">
        <v>302</v>
      </c>
      <c r="B64" s="25"/>
      <c r="C64" s="25"/>
      <c r="D64" s="25"/>
      <c r="E64" s="30" t="str">
        <f t="shared" si="0"/>
        <v>--</v>
      </c>
      <c r="F64" s="13">
        <f>VLOOKUP(E64,'LISTA ITEMS'!$E$2:$G$875,2,FALSE)</f>
        <v>0</v>
      </c>
      <c r="G64" s="25">
        <f>VLOOKUP(E64,'LISTA ITEMS'!$E$2:$G$875,3,FALSE)</f>
        <v>0</v>
      </c>
      <c r="H64" s="76"/>
      <c r="I64" s="75">
        <v>0</v>
      </c>
      <c r="J64" s="27"/>
      <c r="K64" s="13"/>
      <c r="L64" s="67"/>
      <c r="M64" s="56"/>
      <c r="N64" s="55"/>
      <c r="O64" s="13"/>
      <c r="P64" s="71"/>
      <c r="Q64" s="31"/>
      <c r="R64" s="26">
        <f t="shared" si="1"/>
        <v>0</v>
      </c>
      <c r="S64" s="85"/>
      <c r="T64" s="84"/>
      <c r="U64" s="27"/>
      <c r="V64" s="13"/>
      <c r="W64" s="67"/>
      <c r="X64" s="56"/>
      <c r="Y64" s="55"/>
      <c r="Z64" s="13"/>
      <c r="AA64" s="71"/>
      <c r="AB64" s="31"/>
      <c r="AC64" s="26">
        <f t="shared" si="2"/>
        <v>0</v>
      </c>
      <c r="AD64" s="25"/>
      <c r="AE64" s="25"/>
      <c r="AF64" s="13"/>
      <c r="AG64" s="13"/>
      <c r="AH64" s="13"/>
    </row>
    <row r="65" spans="1:34" x14ac:dyDescent="0.3">
      <c r="A65" s="65">
        <v>303</v>
      </c>
      <c r="B65" s="25"/>
      <c r="C65" s="25"/>
      <c r="D65" s="25"/>
      <c r="E65" s="30" t="str">
        <f t="shared" si="0"/>
        <v>--</v>
      </c>
      <c r="F65" s="13">
        <f>VLOOKUP(E65,'LISTA ITEMS'!$E$2:$G$875,2,FALSE)</f>
        <v>0</v>
      </c>
      <c r="G65" s="25">
        <f>VLOOKUP(E65,'LISTA ITEMS'!$E$2:$G$875,3,FALSE)</f>
        <v>0</v>
      </c>
      <c r="H65" s="76"/>
      <c r="I65" s="75">
        <v>0</v>
      </c>
      <c r="J65" s="27"/>
      <c r="K65" s="13"/>
      <c r="L65" s="67"/>
      <c r="M65" s="56"/>
      <c r="N65" s="55"/>
      <c r="O65" s="13"/>
      <c r="P65" s="71"/>
      <c r="Q65" s="31"/>
      <c r="R65" s="26">
        <f t="shared" si="1"/>
        <v>0</v>
      </c>
      <c r="S65" s="85"/>
      <c r="T65" s="84"/>
      <c r="U65" s="27"/>
      <c r="V65" s="13"/>
      <c r="W65" s="67"/>
      <c r="X65" s="56"/>
      <c r="Y65" s="55"/>
      <c r="Z65" s="13"/>
      <c r="AA65" s="71"/>
      <c r="AB65" s="31"/>
      <c r="AC65" s="26">
        <f t="shared" si="2"/>
        <v>0</v>
      </c>
      <c r="AD65" s="25"/>
      <c r="AE65" s="25"/>
      <c r="AF65" s="13"/>
      <c r="AG65" s="13"/>
      <c r="AH65" s="13"/>
    </row>
    <row r="66" spans="1:34" x14ac:dyDescent="0.3">
      <c r="A66" s="65">
        <v>304</v>
      </c>
      <c r="B66" s="25"/>
      <c r="C66" s="25"/>
      <c r="D66" s="25"/>
      <c r="E66" s="30" t="str">
        <f t="shared" si="0"/>
        <v>--</v>
      </c>
      <c r="F66" s="13">
        <f>VLOOKUP(E66,'LISTA ITEMS'!$E$2:$G$875,2,FALSE)</f>
        <v>0</v>
      </c>
      <c r="G66" s="25">
        <f>VLOOKUP(E66,'LISTA ITEMS'!$E$2:$G$875,3,FALSE)</f>
        <v>0</v>
      </c>
      <c r="H66" s="76"/>
      <c r="I66" s="75">
        <v>0</v>
      </c>
      <c r="J66" s="27"/>
      <c r="K66" s="13"/>
      <c r="L66" s="67"/>
      <c r="M66" s="56"/>
      <c r="N66" s="55"/>
      <c r="O66" s="13"/>
      <c r="P66" s="71"/>
      <c r="Q66" s="31"/>
      <c r="R66" s="26">
        <f t="shared" si="1"/>
        <v>0</v>
      </c>
      <c r="S66" s="85"/>
      <c r="T66" s="84"/>
      <c r="U66" s="27"/>
      <c r="V66" s="13"/>
      <c r="W66" s="67"/>
      <c r="X66" s="56"/>
      <c r="Y66" s="55"/>
      <c r="Z66" s="13"/>
      <c r="AA66" s="71"/>
      <c r="AB66" s="31"/>
      <c r="AC66" s="26">
        <f t="shared" si="2"/>
        <v>0</v>
      </c>
      <c r="AD66" s="25"/>
      <c r="AE66" s="25"/>
      <c r="AF66" s="13"/>
      <c r="AG66" s="13"/>
      <c r="AH66" s="13"/>
    </row>
    <row r="67" spans="1:34" x14ac:dyDescent="0.3">
      <c r="A67" s="65">
        <v>305</v>
      </c>
      <c r="B67" s="25"/>
      <c r="C67" s="25"/>
      <c r="D67" s="25"/>
      <c r="E67" s="30" t="str">
        <f t="shared" si="0"/>
        <v>--</v>
      </c>
      <c r="F67" s="13">
        <f>VLOOKUP(E67,'LISTA ITEMS'!$E$2:$G$875,2,FALSE)</f>
        <v>0</v>
      </c>
      <c r="G67" s="25">
        <f>VLOOKUP(E67,'LISTA ITEMS'!$E$2:$G$875,3,FALSE)</f>
        <v>0</v>
      </c>
      <c r="H67" s="76"/>
      <c r="I67" s="75">
        <v>0</v>
      </c>
      <c r="J67" s="27"/>
      <c r="K67" s="13"/>
      <c r="L67" s="67"/>
      <c r="M67" s="56"/>
      <c r="N67" s="55"/>
      <c r="O67" s="13"/>
      <c r="P67" s="71"/>
      <c r="Q67" s="31"/>
      <c r="R67" s="26">
        <f t="shared" si="1"/>
        <v>0</v>
      </c>
      <c r="S67" s="85"/>
      <c r="T67" s="84"/>
      <c r="U67" s="27"/>
      <c r="V67" s="13"/>
      <c r="W67" s="67"/>
      <c r="X67" s="56"/>
      <c r="Y67" s="55"/>
      <c r="Z67" s="13"/>
      <c r="AA67" s="71"/>
      <c r="AB67" s="31"/>
      <c r="AC67" s="26">
        <f t="shared" si="2"/>
        <v>0</v>
      </c>
      <c r="AD67" s="25"/>
      <c r="AE67" s="25"/>
      <c r="AF67" s="13"/>
      <c r="AG67" s="13"/>
      <c r="AH67" s="13"/>
    </row>
    <row r="68" spans="1:34" ht="31.2" customHeight="1" x14ac:dyDescent="0.3">
      <c r="A68" s="65">
        <v>306</v>
      </c>
      <c r="B68" s="25"/>
      <c r="C68" s="25"/>
      <c r="D68" s="25"/>
      <c r="E68" s="30" t="str">
        <f t="shared" ref="E68:E131" si="3">CONCATENATE(B68,"-",C68,"-",D68)</f>
        <v>--</v>
      </c>
      <c r="F68" s="13">
        <f>VLOOKUP(E68,'LISTA ITEMS'!$E$2:$G$875,2,FALSE)</f>
        <v>0</v>
      </c>
      <c r="G68" s="25">
        <f>VLOOKUP(E68,'LISTA ITEMS'!$E$2:$G$875,3,FALSE)</f>
        <v>0</v>
      </c>
      <c r="H68" s="76"/>
      <c r="I68" s="75">
        <v>0</v>
      </c>
      <c r="J68" s="27"/>
      <c r="K68" s="13"/>
      <c r="L68" s="67"/>
      <c r="M68" s="56"/>
      <c r="N68" s="55"/>
      <c r="O68" s="13"/>
      <c r="P68" s="71"/>
      <c r="Q68" s="31"/>
      <c r="R68" s="26">
        <f t="shared" ref="R68:R131" si="4">+I68+L68+N68-P68</f>
        <v>0</v>
      </c>
      <c r="S68" s="85"/>
      <c r="T68" s="84"/>
      <c r="U68" s="27"/>
      <c r="V68" s="13"/>
      <c r="W68" s="67"/>
      <c r="X68" s="56"/>
      <c r="Y68" s="55"/>
      <c r="Z68" s="13"/>
      <c r="AA68" s="71"/>
      <c r="AB68" s="31"/>
      <c r="AC68" s="26">
        <f t="shared" ref="AC68:AC131" si="5">+R68+W68+Y68-AA68</f>
        <v>0</v>
      </c>
      <c r="AD68" s="25"/>
      <c r="AE68" s="25"/>
      <c r="AF68" s="13"/>
      <c r="AG68" s="13"/>
      <c r="AH68" s="13"/>
    </row>
    <row r="69" spans="1:34" ht="31.2" customHeight="1" x14ac:dyDescent="0.3">
      <c r="A69" s="65">
        <v>307</v>
      </c>
      <c r="B69" s="25"/>
      <c r="C69" s="25"/>
      <c r="D69" s="25"/>
      <c r="E69" s="30" t="str">
        <f t="shared" si="3"/>
        <v>--</v>
      </c>
      <c r="F69" s="13">
        <f>VLOOKUP(E69,'LISTA ITEMS'!$E$2:$G$875,2,FALSE)</f>
        <v>0</v>
      </c>
      <c r="G69" s="25">
        <f>VLOOKUP(E69,'LISTA ITEMS'!$E$2:$G$875,3,FALSE)</f>
        <v>0</v>
      </c>
      <c r="H69" s="76"/>
      <c r="I69" s="75">
        <v>0</v>
      </c>
      <c r="J69" s="27"/>
      <c r="K69" s="13"/>
      <c r="L69" s="67"/>
      <c r="M69" s="56"/>
      <c r="N69" s="55"/>
      <c r="O69" s="13"/>
      <c r="P69" s="71"/>
      <c r="Q69" s="31"/>
      <c r="R69" s="26">
        <f t="shared" si="4"/>
        <v>0</v>
      </c>
      <c r="S69" s="85"/>
      <c r="T69" s="84"/>
      <c r="U69" s="27"/>
      <c r="V69" s="13"/>
      <c r="W69" s="67"/>
      <c r="X69" s="56"/>
      <c r="Y69" s="55"/>
      <c r="Z69" s="13"/>
      <c r="AA69" s="71"/>
      <c r="AB69" s="31"/>
      <c r="AC69" s="26">
        <f t="shared" si="5"/>
        <v>0</v>
      </c>
      <c r="AD69" s="25"/>
      <c r="AE69" s="25"/>
      <c r="AF69" s="13"/>
      <c r="AG69" s="13"/>
      <c r="AH69" s="13"/>
    </row>
    <row r="70" spans="1:34" ht="31.2" customHeight="1" x14ac:dyDescent="0.3">
      <c r="A70" s="65">
        <v>308</v>
      </c>
      <c r="B70" s="25"/>
      <c r="C70" s="25"/>
      <c r="D70" s="25"/>
      <c r="E70" s="30" t="str">
        <f t="shared" si="3"/>
        <v>--</v>
      </c>
      <c r="F70" s="13">
        <f>VLOOKUP(E70,'LISTA ITEMS'!$E$2:$G$875,2,FALSE)</f>
        <v>0</v>
      </c>
      <c r="G70" s="25">
        <f>VLOOKUP(E70,'LISTA ITEMS'!$E$2:$G$875,3,FALSE)</f>
        <v>0</v>
      </c>
      <c r="H70" s="76"/>
      <c r="I70" s="75">
        <v>0</v>
      </c>
      <c r="J70" s="27"/>
      <c r="K70" s="13"/>
      <c r="L70" s="67"/>
      <c r="M70" s="56"/>
      <c r="N70" s="55"/>
      <c r="O70" s="13"/>
      <c r="P70" s="71"/>
      <c r="Q70" s="31"/>
      <c r="R70" s="26">
        <f t="shared" si="4"/>
        <v>0</v>
      </c>
      <c r="S70" s="85"/>
      <c r="T70" s="84"/>
      <c r="U70" s="27"/>
      <c r="V70" s="13"/>
      <c r="W70" s="67"/>
      <c r="X70" s="56"/>
      <c r="Y70" s="55"/>
      <c r="Z70" s="13"/>
      <c r="AA70" s="71"/>
      <c r="AB70" s="31"/>
      <c r="AC70" s="26">
        <f t="shared" si="5"/>
        <v>0</v>
      </c>
      <c r="AD70" s="25"/>
      <c r="AE70" s="25"/>
      <c r="AF70" s="13"/>
      <c r="AG70" s="13"/>
      <c r="AH70" s="13"/>
    </row>
    <row r="71" spans="1:34" ht="31.2" customHeight="1" x14ac:dyDescent="0.3">
      <c r="A71" s="65">
        <v>309</v>
      </c>
      <c r="B71" s="25"/>
      <c r="C71" s="25"/>
      <c r="D71" s="25"/>
      <c r="E71" s="30" t="str">
        <f t="shared" si="3"/>
        <v>--</v>
      </c>
      <c r="F71" s="13">
        <f>VLOOKUP(E71,'LISTA ITEMS'!$E$2:$G$875,2,FALSE)</f>
        <v>0</v>
      </c>
      <c r="G71" s="25">
        <f>VLOOKUP(E71,'LISTA ITEMS'!$E$2:$G$875,3,FALSE)</f>
        <v>0</v>
      </c>
      <c r="H71" s="76"/>
      <c r="I71" s="75">
        <v>0</v>
      </c>
      <c r="J71" s="27"/>
      <c r="K71" s="13"/>
      <c r="L71" s="67"/>
      <c r="M71" s="56"/>
      <c r="N71" s="55"/>
      <c r="O71" s="13"/>
      <c r="P71" s="71"/>
      <c r="Q71" s="31"/>
      <c r="R71" s="26">
        <f t="shared" si="4"/>
        <v>0</v>
      </c>
      <c r="S71" s="85"/>
      <c r="T71" s="84"/>
      <c r="U71" s="27"/>
      <c r="V71" s="13"/>
      <c r="W71" s="67"/>
      <c r="X71" s="56"/>
      <c r="Y71" s="55"/>
      <c r="Z71" s="13"/>
      <c r="AA71" s="71"/>
      <c r="AB71" s="31"/>
      <c r="AC71" s="26">
        <f t="shared" si="5"/>
        <v>0</v>
      </c>
      <c r="AD71" s="25"/>
      <c r="AE71" s="25"/>
      <c r="AF71" s="13"/>
      <c r="AG71" s="13"/>
      <c r="AH71" s="13"/>
    </row>
    <row r="72" spans="1:34" ht="31.2" customHeight="1" x14ac:dyDescent="0.3">
      <c r="A72" s="65">
        <v>310</v>
      </c>
      <c r="B72" s="25"/>
      <c r="C72" s="25"/>
      <c r="D72" s="25"/>
      <c r="E72" s="30" t="str">
        <f t="shared" si="3"/>
        <v>--</v>
      </c>
      <c r="F72" s="13">
        <f>VLOOKUP(E72,'LISTA ITEMS'!$E$2:$G$875,2,FALSE)</f>
        <v>0</v>
      </c>
      <c r="G72" s="25">
        <f>VLOOKUP(E72,'LISTA ITEMS'!$E$2:$G$875,3,FALSE)</f>
        <v>0</v>
      </c>
      <c r="H72" s="76"/>
      <c r="I72" s="75">
        <v>0</v>
      </c>
      <c r="J72" s="27"/>
      <c r="K72" s="13"/>
      <c r="L72" s="67"/>
      <c r="M72" s="56"/>
      <c r="N72" s="55"/>
      <c r="O72" s="13"/>
      <c r="P72" s="71"/>
      <c r="Q72" s="31"/>
      <c r="R72" s="26">
        <f t="shared" si="4"/>
        <v>0</v>
      </c>
      <c r="S72" s="85"/>
      <c r="T72" s="84"/>
      <c r="U72" s="27"/>
      <c r="V72" s="13"/>
      <c r="W72" s="67"/>
      <c r="X72" s="56"/>
      <c r="Y72" s="55"/>
      <c r="Z72" s="13"/>
      <c r="AA72" s="71"/>
      <c r="AB72" s="31"/>
      <c r="AC72" s="26">
        <f t="shared" si="5"/>
        <v>0</v>
      </c>
      <c r="AD72" s="25"/>
      <c r="AE72" s="25"/>
      <c r="AF72" s="13"/>
      <c r="AG72" s="13"/>
      <c r="AH72" s="13"/>
    </row>
    <row r="73" spans="1:34" x14ac:dyDescent="0.3">
      <c r="A73" s="65">
        <v>311</v>
      </c>
      <c r="B73" s="25"/>
      <c r="C73" s="25"/>
      <c r="D73" s="25"/>
      <c r="E73" s="30" t="str">
        <f t="shared" si="3"/>
        <v>--</v>
      </c>
      <c r="F73" s="13">
        <f>VLOOKUP(E73,'LISTA ITEMS'!$E$2:$G$875,2,FALSE)</f>
        <v>0</v>
      </c>
      <c r="G73" s="25">
        <f>VLOOKUP(E73,'LISTA ITEMS'!$E$2:$G$875,3,FALSE)</f>
        <v>0</v>
      </c>
      <c r="H73" s="76"/>
      <c r="I73" s="75">
        <v>0</v>
      </c>
      <c r="J73" s="27"/>
      <c r="K73" s="13"/>
      <c r="L73" s="67"/>
      <c r="M73" s="56"/>
      <c r="N73" s="55"/>
      <c r="O73" s="13"/>
      <c r="P73" s="71"/>
      <c r="Q73" s="31"/>
      <c r="R73" s="26">
        <f t="shared" si="4"/>
        <v>0</v>
      </c>
      <c r="S73" s="85"/>
      <c r="T73" s="84"/>
      <c r="U73" s="27"/>
      <c r="V73" s="13"/>
      <c r="W73" s="67"/>
      <c r="X73" s="56"/>
      <c r="Y73" s="55"/>
      <c r="Z73" s="13"/>
      <c r="AA73" s="71"/>
      <c r="AB73" s="31"/>
      <c r="AC73" s="26">
        <f t="shared" si="5"/>
        <v>0</v>
      </c>
      <c r="AD73" s="25"/>
      <c r="AE73" s="25"/>
      <c r="AF73" s="13"/>
      <c r="AG73" s="13"/>
      <c r="AH73" s="13"/>
    </row>
    <row r="74" spans="1:34" x14ac:dyDescent="0.3">
      <c r="A74" s="65">
        <v>312</v>
      </c>
      <c r="B74" s="25"/>
      <c r="C74" s="25"/>
      <c r="D74" s="25"/>
      <c r="E74" s="30" t="str">
        <f t="shared" si="3"/>
        <v>--</v>
      </c>
      <c r="F74" s="13">
        <f>VLOOKUP(E74,'LISTA ITEMS'!$E$2:$G$875,2,FALSE)</f>
        <v>0</v>
      </c>
      <c r="G74" s="25">
        <f>VLOOKUP(E74,'LISTA ITEMS'!$E$2:$G$875,3,FALSE)</f>
        <v>0</v>
      </c>
      <c r="H74" s="76"/>
      <c r="I74" s="75">
        <v>0</v>
      </c>
      <c r="J74" s="27"/>
      <c r="K74" s="13"/>
      <c r="L74" s="67"/>
      <c r="M74" s="56"/>
      <c r="N74" s="55"/>
      <c r="O74" s="13"/>
      <c r="P74" s="71"/>
      <c r="Q74" s="31"/>
      <c r="R74" s="26">
        <f t="shared" si="4"/>
        <v>0</v>
      </c>
      <c r="S74" s="85"/>
      <c r="T74" s="84"/>
      <c r="U74" s="27"/>
      <c r="V74" s="13"/>
      <c r="W74" s="67"/>
      <c r="X74" s="56"/>
      <c r="Y74" s="55"/>
      <c r="Z74" s="13"/>
      <c r="AA74" s="71"/>
      <c r="AB74" s="31"/>
      <c r="AC74" s="26">
        <f t="shared" si="5"/>
        <v>0</v>
      </c>
      <c r="AD74" s="25"/>
      <c r="AE74" s="25"/>
      <c r="AF74" s="13"/>
      <c r="AG74" s="13"/>
      <c r="AH74" s="13"/>
    </row>
    <row r="75" spans="1:34" x14ac:dyDescent="0.3">
      <c r="A75" s="65">
        <v>313</v>
      </c>
      <c r="B75" s="25"/>
      <c r="C75" s="25"/>
      <c r="D75" s="25"/>
      <c r="E75" s="30" t="str">
        <f t="shared" si="3"/>
        <v>--</v>
      </c>
      <c r="F75" s="13">
        <f>VLOOKUP(E75,'LISTA ITEMS'!$E$2:$G$875,2,FALSE)</f>
        <v>0</v>
      </c>
      <c r="G75" s="25">
        <f>VLOOKUP(E75,'LISTA ITEMS'!$E$2:$G$875,3,FALSE)</f>
        <v>0</v>
      </c>
      <c r="H75" s="76"/>
      <c r="I75" s="75">
        <v>0</v>
      </c>
      <c r="J75" s="27"/>
      <c r="K75" s="13"/>
      <c r="L75" s="67"/>
      <c r="M75" s="56"/>
      <c r="N75" s="55"/>
      <c r="O75" s="13"/>
      <c r="P75" s="71"/>
      <c r="Q75" s="31"/>
      <c r="R75" s="26">
        <f t="shared" si="4"/>
        <v>0</v>
      </c>
      <c r="S75" s="85"/>
      <c r="T75" s="84"/>
      <c r="U75" s="27"/>
      <c r="V75" s="13"/>
      <c r="W75" s="67"/>
      <c r="X75" s="56"/>
      <c r="Y75" s="55"/>
      <c r="Z75" s="13"/>
      <c r="AA75" s="71"/>
      <c r="AB75" s="31"/>
      <c r="AC75" s="26">
        <f t="shared" si="5"/>
        <v>0</v>
      </c>
      <c r="AD75" s="25"/>
      <c r="AE75" s="25"/>
      <c r="AF75" s="13"/>
      <c r="AG75" s="13"/>
      <c r="AH75" s="13"/>
    </row>
    <row r="76" spans="1:34" x14ac:dyDescent="0.3">
      <c r="A76" s="65">
        <v>314</v>
      </c>
      <c r="B76" s="25"/>
      <c r="C76" s="25"/>
      <c r="D76" s="25"/>
      <c r="E76" s="30" t="str">
        <f t="shared" si="3"/>
        <v>--</v>
      </c>
      <c r="F76" s="13">
        <f>VLOOKUP(E76,'LISTA ITEMS'!$E$2:$G$875,2,FALSE)</f>
        <v>0</v>
      </c>
      <c r="G76" s="25">
        <f>VLOOKUP(E76,'LISTA ITEMS'!$E$2:$G$875,3,FALSE)</f>
        <v>0</v>
      </c>
      <c r="H76" s="76"/>
      <c r="I76" s="75">
        <v>0</v>
      </c>
      <c r="J76" s="27"/>
      <c r="K76" s="13"/>
      <c r="L76" s="67"/>
      <c r="M76" s="56"/>
      <c r="N76" s="55"/>
      <c r="O76" s="13"/>
      <c r="P76" s="71"/>
      <c r="Q76" s="31"/>
      <c r="R76" s="26">
        <f t="shared" si="4"/>
        <v>0</v>
      </c>
      <c r="S76" s="85"/>
      <c r="T76" s="84"/>
      <c r="U76" s="27"/>
      <c r="V76" s="13"/>
      <c r="W76" s="67"/>
      <c r="X76" s="56"/>
      <c r="Y76" s="55"/>
      <c r="Z76" s="13"/>
      <c r="AA76" s="71"/>
      <c r="AB76" s="31"/>
      <c r="AC76" s="26">
        <f t="shared" si="5"/>
        <v>0</v>
      </c>
      <c r="AD76" s="25"/>
      <c r="AE76" s="25"/>
      <c r="AF76" s="13"/>
      <c r="AG76" s="13"/>
      <c r="AH76" s="13"/>
    </row>
    <row r="77" spans="1:34" x14ac:dyDescent="0.3">
      <c r="A77" s="65">
        <v>315</v>
      </c>
      <c r="B77" s="25"/>
      <c r="C77" s="25"/>
      <c r="D77" s="25"/>
      <c r="E77" s="30" t="str">
        <f t="shared" si="3"/>
        <v>--</v>
      </c>
      <c r="F77" s="13">
        <f>VLOOKUP(E77,'LISTA ITEMS'!$E$2:$G$875,2,FALSE)</f>
        <v>0</v>
      </c>
      <c r="G77" s="25">
        <f>VLOOKUP(E77,'LISTA ITEMS'!$E$2:$G$875,3,FALSE)</f>
        <v>0</v>
      </c>
      <c r="H77" s="76"/>
      <c r="I77" s="75">
        <v>0</v>
      </c>
      <c r="J77" s="27"/>
      <c r="K77" s="13"/>
      <c r="L77" s="67"/>
      <c r="M77" s="56"/>
      <c r="N77" s="55"/>
      <c r="O77" s="13"/>
      <c r="P77" s="71"/>
      <c r="Q77" s="31"/>
      <c r="R77" s="26">
        <f t="shared" si="4"/>
        <v>0</v>
      </c>
      <c r="S77" s="85"/>
      <c r="T77" s="84"/>
      <c r="U77" s="27"/>
      <c r="V77" s="13"/>
      <c r="W77" s="67"/>
      <c r="X77" s="56"/>
      <c r="Y77" s="55"/>
      <c r="Z77" s="13"/>
      <c r="AA77" s="71"/>
      <c r="AB77" s="31"/>
      <c r="AC77" s="26">
        <f t="shared" si="5"/>
        <v>0</v>
      </c>
      <c r="AD77" s="25"/>
      <c r="AE77" s="25"/>
      <c r="AF77" s="13"/>
      <c r="AG77" s="13"/>
      <c r="AH77" s="13"/>
    </row>
    <row r="78" spans="1:34" x14ac:dyDescent="0.3">
      <c r="A78" s="65">
        <v>316</v>
      </c>
      <c r="B78" s="25"/>
      <c r="C78" s="25"/>
      <c r="D78" s="25"/>
      <c r="E78" s="30" t="str">
        <f t="shared" si="3"/>
        <v>--</v>
      </c>
      <c r="F78" s="13">
        <f>VLOOKUP(E78,'LISTA ITEMS'!$E$2:$G$875,2,FALSE)</f>
        <v>0</v>
      </c>
      <c r="G78" s="25">
        <f>VLOOKUP(E78,'LISTA ITEMS'!$E$2:$G$875,3,FALSE)</f>
        <v>0</v>
      </c>
      <c r="H78" s="76"/>
      <c r="I78" s="75">
        <v>0</v>
      </c>
      <c r="J78" s="27"/>
      <c r="K78" s="13"/>
      <c r="L78" s="67"/>
      <c r="M78" s="56"/>
      <c r="N78" s="55"/>
      <c r="O78" s="13"/>
      <c r="P78" s="71"/>
      <c r="Q78" s="31"/>
      <c r="R78" s="26">
        <f t="shared" si="4"/>
        <v>0</v>
      </c>
      <c r="S78" s="85"/>
      <c r="T78" s="84"/>
      <c r="U78" s="27"/>
      <c r="V78" s="13"/>
      <c r="W78" s="67"/>
      <c r="X78" s="56"/>
      <c r="Y78" s="55"/>
      <c r="Z78" s="13"/>
      <c r="AA78" s="71"/>
      <c r="AB78" s="31"/>
      <c r="AC78" s="26">
        <f t="shared" si="5"/>
        <v>0</v>
      </c>
      <c r="AD78" s="25"/>
      <c r="AE78" s="25"/>
      <c r="AF78" s="13"/>
      <c r="AG78" s="13"/>
      <c r="AH78" s="13"/>
    </row>
    <row r="79" spans="1:34" x14ac:dyDescent="0.3">
      <c r="A79" s="65">
        <v>317</v>
      </c>
      <c r="B79" s="25"/>
      <c r="C79" s="25"/>
      <c r="D79" s="25"/>
      <c r="E79" s="30" t="str">
        <f t="shared" si="3"/>
        <v>--</v>
      </c>
      <c r="F79" s="13">
        <f>VLOOKUP(E79,'LISTA ITEMS'!$E$2:$G$875,2,FALSE)</f>
        <v>0</v>
      </c>
      <c r="G79" s="25">
        <f>VLOOKUP(E79,'LISTA ITEMS'!$E$2:$G$875,3,FALSE)</f>
        <v>0</v>
      </c>
      <c r="H79" s="76"/>
      <c r="I79" s="75">
        <v>0</v>
      </c>
      <c r="J79" s="27"/>
      <c r="K79" s="13"/>
      <c r="L79" s="67"/>
      <c r="M79" s="56"/>
      <c r="N79" s="55"/>
      <c r="O79" s="13"/>
      <c r="P79" s="71"/>
      <c r="Q79" s="31"/>
      <c r="R79" s="26">
        <f t="shared" si="4"/>
        <v>0</v>
      </c>
      <c r="S79" s="85"/>
      <c r="T79" s="84"/>
      <c r="U79" s="27"/>
      <c r="V79" s="13"/>
      <c r="W79" s="67"/>
      <c r="X79" s="56"/>
      <c r="Y79" s="55"/>
      <c r="Z79" s="13"/>
      <c r="AA79" s="71"/>
      <c r="AB79" s="31"/>
      <c r="AC79" s="26">
        <f t="shared" si="5"/>
        <v>0</v>
      </c>
      <c r="AD79" s="25"/>
      <c r="AE79" s="25"/>
      <c r="AF79" s="13"/>
      <c r="AG79" s="13"/>
      <c r="AH79" s="13"/>
    </row>
    <row r="80" spans="1:34" ht="45.6" customHeight="1" x14ac:dyDescent="0.3">
      <c r="A80" s="65">
        <v>318</v>
      </c>
      <c r="B80" s="25"/>
      <c r="C80" s="25"/>
      <c r="D80" s="25"/>
      <c r="E80" s="30" t="str">
        <f t="shared" si="3"/>
        <v>--</v>
      </c>
      <c r="F80" s="13">
        <f>VLOOKUP(E80,'LISTA ITEMS'!$E$2:$G$875,2,FALSE)</f>
        <v>0</v>
      </c>
      <c r="G80" s="25">
        <f>VLOOKUP(E80,'LISTA ITEMS'!$E$2:$G$875,3,FALSE)</f>
        <v>0</v>
      </c>
      <c r="H80" s="76"/>
      <c r="I80" s="75">
        <v>0</v>
      </c>
      <c r="J80" s="27"/>
      <c r="K80" s="13"/>
      <c r="L80" s="67"/>
      <c r="M80" s="56"/>
      <c r="N80" s="55"/>
      <c r="O80" s="13"/>
      <c r="P80" s="71"/>
      <c r="Q80" s="31"/>
      <c r="R80" s="26">
        <f t="shared" si="4"/>
        <v>0</v>
      </c>
      <c r="S80" s="85"/>
      <c r="T80" s="84"/>
      <c r="U80" s="27"/>
      <c r="V80" s="13"/>
      <c r="W80" s="67"/>
      <c r="X80" s="56"/>
      <c r="Y80" s="55"/>
      <c r="Z80" s="13"/>
      <c r="AA80" s="71"/>
      <c r="AB80" s="31"/>
      <c r="AC80" s="26">
        <f t="shared" si="5"/>
        <v>0</v>
      </c>
      <c r="AD80" s="25"/>
      <c r="AE80" s="25"/>
      <c r="AF80" s="13"/>
      <c r="AG80" s="13"/>
      <c r="AH80" s="13"/>
    </row>
    <row r="81" spans="1:35" x14ac:dyDescent="0.3">
      <c r="A81" s="65">
        <v>319</v>
      </c>
      <c r="B81" s="25"/>
      <c r="C81" s="25"/>
      <c r="D81" s="25"/>
      <c r="E81" s="30" t="str">
        <f t="shared" si="3"/>
        <v>--</v>
      </c>
      <c r="F81" s="13">
        <f>VLOOKUP(E81,'LISTA ITEMS'!$E$2:$G$875,2,FALSE)</f>
        <v>0</v>
      </c>
      <c r="G81" s="25">
        <f>VLOOKUP(E81,'LISTA ITEMS'!$E$2:$G$875,3,FALSE)</f>
        <v>0</v>
      </c>
      <c r="H81" s="76"/>
      <c r="I81" s="75">
        <v>0</v>
      </c>
      <c r="J81" s="27"/>
      <c r="K81" s="13"/>
      <c r="L81" s="67"/>
      <c r="M81" s="56"/>
      <c r="N81" s="55"/>
      <c r="O81" s="13"/>
      <c r="P81" s="71"/>
      <c r="Q81" s="31"/>
      <c r="R81" s="26">
        <f t="shared" si="4"/>
        <v>0</v>
      </c>
      <c r="S81" s="85"/>
      <c r="T81" s="84"/>
      <c r="U81" s="27"/>
      <c r="V81" s="13"/>
      <c r="W81" s="67"/>
      <c r="X81" s="56"/>
      <c r="Y81" s="55"/>
      <c r="Z81" s="13"/>
      <c r="AA81" s="71"/>
      <c r="AB81" s="31"/>
      <c r="AC81" s="26">
        <f t="shared" si="5"/>
        <v>0</v>
      </c>
      <c r="AD81" s="25"/>
      <c r="AE81" s="25"/>
      <c r="AF81" s="13"/>
      <c r="AG81" s="13"/>
      <c r="AH81" s="13"/>
    </row>
    <row r="82" spans="1:35" ht="32.4" customHeight="1" x14ac:dyDescent="0.3">
      <c r="A82" s="65">
        <v>320</v>
      </c>
      <c r="B82" s="25"/>
      <c r="C82" s="25"/>
      <c r="D82" s="25"/>
      <c r="E82" s="30" t="str">
        <f t="shared" si="3"/>
        <v>--</v>
      </c>
      <c r="F82" s="13">
        <f>VLOOKUP(E82,'LISTA ITEMS'!$E$2:$G$875,2,FALSE)</f>
        <v>0</v>
      </c>
      <c r="G82" s="25">
        <f>VLOOKUP(E82,'LISTA ITEMS'!$E$2:$G$875,3,FALSE)</f>
        <v>0</v>
      </c>
      <c r="H82" s="76"/>
      <c r="I82" s="75">
        <v>0</v>
      </c>
      <c r="J82" s="27"/>
      <c r="K82" s="13"/>
      <c r="L82" s="67"/>
      <c r="M82" s="56"/>
      <c r="N82" s="55"/>
      <c r="O82" s="13"/>
      <c r="P82" s="71"/>
      <c r="Q82" s="31"/>
      <c r="R82" s="26">
        <f t="shared" si="4"/>
        <v>0</v>
      </c>
      <c r="S82" s="85"/>
      <c r="T82" s="84"/>
      <c r="U82" s="27"/>
      <c r="V82" s="13"/>
      <c r="W82" s="67"/>
      <c r="X82" s="56"/>
      <c r="Y82" s="55"/>
      <c r="Z82" s="13"/>
      <c r="AA82" s="71"/>
      <c r="AB82" s="31"/>
      <c r="AC82" s="26">
        <f t="shared" si="5"/>
        <v>0</v>
      </c>
      <c r="AD82" s="25"/>
      <c r="AE82" s="25"/>
      <c r="AF82" s="13"/>
      <c r="AG82" s="13"/>
      <c r="AH82" s="13"/>
    </row>
    <row r="83" spans="1:35" ht="44.4" customHeight="1" x14ac:dyDescent="0.3">
      <c r="A83" s="65">
        <v>321</v>
      </c>
      <c r="B83" s="25"/>
      <c r="C83" s="25"/>
      <c r="D83" s="25"/>
      <c r="E83" s="30" t="str">
        <f t="shared" si="3"/>
        <v>--</v>
      </c>
      <c r="F83" s="13">
        <f>VLOOKUP(E83,'LISTA ITEMS'!$E$2:$G$875,2,FALSE)</f>
        <v>0</v>
      </c>
      <c r="G83" s="25">
        <f>VLOOKUP(E83,'LISTA ITEMS'!$E$2:$G$875,3,FALSE)</f>
        <v>0</v>
      </c>
      <c r="H83" s="76"/>
      <c r="I83" s="75">
        <v>0</v>
      </c>
      <c r="J83" s="27"/>
      <c r="K83" s="13"/>
      <c r="L83" s="67"/>
      <c r="M83" s="56"/>
      <c r="N83" s="55"/>
      <c r="O83" s="13"/>
      <c r="P83" s="71"/>
      <c r="Q83" s="31"/>
      <c r="R83" s="26">
        <f t="shared" si="4"/>
        <v>0</v>
      </c>
      <c r="S83" s="85"/>
      <c r="T83" s="84"/>
      <c r="U83" s="27"/>
      <c r="V83" s="13"/>
      <c r="W83" s="67"/>
      <c r="X83" s="56"/>
      <c r="Y83" s="55"/>
      <c r="Z83" s="13"/>
      <c r="AA83" s="71"/>
      <c r="AB83" s="31"/>
      <c r="AC83" s="26">
        <f t="shared" si="5"/>
        <v>0</v>
      </c>
      <c r="AD83" s="25"/>
      <c r="AE83" s="25"/>
      <c r="AF83" s="13"/>
      <c r="AG83" s="13"/>
      <c r="AH83" s="13"/>
    </row>
    <row r="84" spans="1:35" x14ac:dyDescent="0.3">
      <c r="A84" s="65">
        <v>322</v>
      </c>
      <c r="B84" s="25"/>
      <c r="C84" s="25"/>
      <c r="D84" s="25"/>
      <c r="E84" s="30" t="str">
        <f t="shared" si="3"/>
        <v>--</v>
      </c>
      <c r="F84" s="13">
        <f>VLOOKUP(E84,'LISTA ITEMS'!$E$2:$G$875,2,FALSE)</f>
        <v>0</v>
      </c>
      <c r="G84" s="25">
        <f>VLOOKUP(E84,'LISTA ITEMS'!$E$2:$G$875,3,FALSE)</f>
        <v>0</v>
      </c>
      <c r="H84" s="76"/>
      <c r="I84" s="75">
        <v>0</v>
      </c>
      <c r="J84" s="27"/>
      <c r="K84" s="13"/>
      <c r="L84" s="67"/>
      <c r="M84" s="56"/>
      <c r="N84" s="55"/>
      <c r="O84" s="13"/>
      <c r="P84" s="71"/>
      <c r="Q84" s="31"/>
      <c r="R84" s="26">
        <f t="shared" si="4"/>
        <v>0</v>
      </c>
      <c r="S84" s="85"/>
      <c r="T84" s="84"/>
      <c r="U84" s="27"/>
      <c r="V84" s="13"/>
      <c r="W84" s="67"/>
      <c r="X84" s="56"/>
      <c r="Y84" s="55"/>
      <c r="Z84" s="13"/>
      <c r="AA84" s="71"/>
      <c r="AB84" s="31"/>
      <c r="AC84" s="26">
        <f t="shared" si="5"/>
        <v>0</v>
      </c>
      <c r="AD84" s="25"/>
      <c r="AE84" s="25"/>
      <c r="AF84" s="13"/>
      <c r="AG84" s="13"/>
      <c r="AH84" s="13"/>
    </row>
    <row r="85" spans="1:35" x14ac:dyDescent="0.3">
      <c r="A85" s="65">
        <v>323</v>
      </c>
      <c r="B85" s="25"/>
      <c r="C85" s="25"/>
      <c r="D85" s="25"/>
      <c r="E85" s="30" t="str">
        <f t="shared" si="3"/>
        <v>--</v>
      </c>
      <c r="F85" s="13">
        <f>VLOOKUP(E85,'LISTA ITEMS'!$E$2:$G$875,2,FALSE)</f>
        <v>0</v>
      </c>
      <c r="G85" s="25">
        <f>VLOOKUP(E85,'LISTA ITEMS'!$E$2:$G$875,3,FALSE)</f>
        <v>0</v>
      </c>
      <c r="H85" s="76"/>
      <c r="I85" s="75">
        <v>0</v>
      </c>
      <c r="J85" s="27"/>
      <c r="K85" s="13"/>
      <c r="L85" s="67"/>
      <c r="M85" s="56"/>
      <c r="N85" s="55"/>
      <c r="O85" s="13"/>
      <c r="P85" s="71"/>
      <c r="Q85" s="31"/>
      <c r="R85" s="26">
        <f t="shared" si="4"/>
        <v>0</v>
      </c>
      <c r="S85" s="85"/>
      <c r="T85" s="84"/>
      <c r="U85" s="27"/>
      <c r="V85" s="13"/>
      <c r="W85" s="67"/>
      <c r="X85" s="56"/>
      <c r="Y85" s="55"/>
      <c r="Z85" s="13"/>
      <c r="AA85" s="71"/>
      <c r="AB85" s="31"/>
      <c r="AC85" s="26">
        <f t="shared" si="5"/>
        <v>0</v>
      </c>
      <c r="AD85" s="25"/>
      <c r="AE85" s="25"/>
      <c r="AF85" s="13"/>
      <c r="AG85" s="13"/>
      <c r="AH85" s="13"/>
    </row>
    <row r="86" spans="1:35" x14ac:dyDescent="0.3">
      <c r="A86" s="65">
        <v>324</v>
      </c>
      <c r="B86" s="25"/>
      <c r="C86" s="25"/>
      <c r="D86" s="25"/>
      <c r="E86" s="30" t="str">
        <f t="shared" si="3"/>
        <v>--</v>
      </c>
      <c r="F86" s="13">
        <f>VLOOKUP(E86,'LISTA ITEMS'!$E$2:$G$875,2,FALSE)</f>
        <v>0</v>
      </c>
      <c r="G86" s="25">
        <f>VLOOKUP(E86,'LISTA ITEMS'!$E$2:$G$875,3,FALSE)</f>
        <v>0</v>
      </c>
      <c r="H86" s="76"/>
      <c r="I86" s="75">
        <v>0</v>
      </c>
      <c r="J86" s="27"/>
      <c r="K86" s="13"/>
      <c r="L86" s="67"/>
      <c r="M86" s="56"/>
      <c r="N86" s="55"/>
      <c r="O86" s="13"/>
      <c r="P86" s="71"/>
      <c r="Q86" s="31"/>
      <c r="R86" s="26">
        <f t="shared" si="4"/>
        <v>0</v>
      </c>
      <c r="S86" s="85"/>
      <c r="T86" s="84"/>
      <c r="U86" s="27"/>
      <c r="V86" s="13"/>
      <c r="W86" s="67"/>
      <c r="X86" s="56"/>
      <c r="Y86" s="55"/>
      <c r="Z86" s="13"/>
      <c r="AA86" s="71"/>
      <c r="AB86" s="31"/>
      <c r="AC86" s="26">
        <f t="shared" si="5"/>
        <v>0</v>
      </c>
      <c r="AD86" s="25"/>
      <c r="AE86" s="25"/>
      <c r="AF86" s="13"/>
      <c r="AG86" s="13"/>
      <c r="AH86" s="13"/>
    </row>
    <row r="87" spans="1:35" ht="25.8" customHeight="1" x14ac:dyDescent="0.3">
      <c r="A87" s="65">
        <v>325</v>
      </c>
      <c r="B87" s="25"/>
      <c r="C87" s="25"/>
      <c r="D87" s="25"/>
      <c r="E87" s="30" t="str">
        <f t="shared" si="3"/>
        <v>--</v>
      </c>
      <c r="F87" s="13">
        <f>VLOOKUP(E87,'LISTA ITEMS'!$E$2:$G$875,2,FALSE)</f>
        <v>0</v>
      </c>
      <c r="G87" s="25">
        <f>VLOOKUP(E87,'LISTA ITEMS'!$E$2:$G$875,3,FALSE)</f>
        <v>0</v>
      </c>
      <c r="H87" s="76"/>
      <c r="I87" s="75">
        <v>0</v>
      </c>
      <c r="J87" s="27"/>
      <c r="K87" s="13"/>
      <c r="L87" s="67"/>
      <c r="M87" s="56"/>
      <c r="N87" s="55"/>
      <c r="O87" s="13"/>
      <c r="P87" s="71"/>
      <c r="Q87" s="31"/>
      <c r="R87" s="26">
        <f t="shared" si="4"/>
        <v>0</v>
      </c>
      <c r="S87" s="85"/>
      <c r="T87" s="84"/>
      <c r="U87" s="27"/>
      <c r="V87" s="13"/>
      <c r="W87" s="67"/>
      <c r="X87" s="56"/>
      <c r="Y87" s="55"/>
      <c r="Z87" s="13"/>
      <c r="AA87" s="71"/>
      <c r="AB87" s="31"/>
      <c r="AC87" s="26">
        <f t="shared" si="5"/>
        <v>0</v>
      </c>
      <c r="AD87" s="25"/>
      <c r="AE87" s="25"/>
      <c r="AF87" s="13"/>
      <c r="AG87" s="13"/>
      <c r="AH87" s="13"/>
    </row>
    <row r="88" spans="1:35" x14ac:dyDescent="0.3">
      <c r="A88" s="65">
        <v>326</v>
      </c>
      <c r="B88" s="25"/>
      <c r="C88" s="25"/>
      <c r="D88" s="25"/>
      <c r="E88" s="30" t="str">
        <f t="shared" si="3"/>
        <v>--</v>
      </c>
      <c r="F88" s="13">
        <f>VLOOKUP(E88,'LISTA ITEMS'!$E$2:$G$875,2,FALSE)</f>
        <v>0</v>
      </c>
      <c r="G88" s="25">
        <f>VLOOKUP(E88,'LISTA ITEMS'!$E$2:$G$875,3,FALSE)</f>
        <v>0</v>
      </c>
      <c r="H88" s="76"/>
      <c r="I88" s="75">
        <v>0</v>
      </c>
      <c r="J88" s="27"/>
      <c r="K88" s="13"/>
      <c r="L88" s="67"/>
      <c r="M88" s="56"/>
      <c r="N88" s="55"/>
      <c r="O88" s="13"/>
      <c r="P88" s="71"/>
      <c r="Q88" s="31"/>
      <c r="R88" s="26">
        <f t="shared" si="4"/>
        <v>0</v>
      </c>
      <c r="S88" s="85"/>
      <c r="T88" s="84"/>
      <c r="U88" s="27"/>
      <c r="V88" s="13"/>
      <c r="W88" s="67"/>
      <c r="X88" s="56"/>
      <c r="Y88" s="55"/>
      <c r="Z88" s="13"/>
      <c r="AA88" s="71"/>
      <c r="AB88" s="31"/>
      <c r="AC88" s="26">
        <f t="shared" si="5"/>
        <v>0</v>
      </c>
      <c r="AD88" s="25"/>
      <c r="AE88" s="25"/>
      <c r="AF88" s="13"/>
      <c r="AG88" s="13"/>
      <c r="AH88" s="13"/>
    </row>
    <row r="89" spans="1:35" x14ac:dyDescent="0.3">
      <c r="A89" s="65">
        <v>327</v>
      </c>
      <c r="B89" s="25"/>
      <c r="C89" s="25"/>
      <c r="D89" s="25"/>
      <c r="E89" s="30" t="str">
        <f t="shared" si="3"/>
        <v>--</v>
      </c>
      <c r="F89" s="13">
        <f>VLOOKUP(E89,'LISTA ITEMS'!$E$2:$G$875,2,FALSE)</f>
        <v>0</v>
      </c>
      <c r="G89" s="25">
        <f>VLOOKUP(E89,'LISTA ITEMS'!$E$2:$G$875,3,FALSE)</f>
        <v>0</v>
      </c>
      <c r="H89" s="76"/>
      <c r="I89" s="75">
        <v>0</v>
      </c>
      <c r="J89" s="27"/>
      <c r="K89" s="13"/>
      <c r="L89" s="67"/>
      <c r="M89" s="56"/>
      <c r="N89" s="55"/>
      <c r="O89" s="13"/>
      <c r="P89" s="71"/>
      <c r="Q89" s="31"/>
      <c r="R89" s="26">
        <f t="shared" si="4"/>
        <v>0</v>
      </c>
      <c r="S89" s="85"/>
      <c r="T89" s="84"/>
      <c r="U89" s="27"/>
      <c r="V89" s="13"/>
      <c r="W89" s="67"/>
      <c r="X89" s="56"/>
      <c r="Y89" s="55"/>
      <c r="Z89" s="13"/>
      <c r="AA89" s="71"/>
      <c r="AB89" s="31"/>
      <c r="AC89" s="26">
        <f t="shared" si="5"/>
        <v>0</v>
      </c>
      <c r="AD89" s="25"/>
      <c r="AE89" s="25"/>
      <c r="AF89" s="13"/>
      <c r="AG89" s="13"/>
      <c r="AH89" s="13"/>
    </row>
    <row r="90" spans="1:35" x14ac:dyDescent="0.3">
      <c r="A90" s="65">
        <v>328</v>
      </c>
      <c r="B90" s="25"/>
      <c r="C90" s="25"/>
      <c r="D90" s="25"/>
      <c r="E90" s="30" t="str">
        <f t="shared" si="3"/>
        <v>--</v>
      </c>
      <c r="F90" s="13">
        <f>VLOOKUP(E90,'LISTA ITEMS'!$E$2:$G$875,2,FALSE)</f>
        <v>0</v>
      </c>
      <c r="G90" s="25">
        <f>VLOOKUP(E90,'LISTA ITEMS'!$E$2:$G$875,3,FALSE)</f>
        <v>0</v>
      </c>
      <c r="H90" s="76"/>
      <c r="I90" s="75">
        <v>0</v>
      </c>
      <c r="J90" s="27"/>
      <c r="K90" s="13"/>
      <c r="L90" s="67"/>
      <c r="M90" s="56"/>
      <c r="N90" s="55"/>
      <c r="O90" s="13"/>
      <c r="P90" s="71"/>
      <c r="Q90" s="31"/>
      <c r="R90" s="26">
        <f t="shared" si="4"/>
        <v>0</v>
      </c>
      <c r="S90" s="85"/>
      <c r="T90" s="84"/>
      <c r="U90" s="27"/>
      <c r="V90" s="13"/>
      <c r="W90" s="67"/>
      <c r="X90" s="56"/>
      <c r="Y90" s="55"/>
      <c r="Z90" s="13"/>
      <c r="AA90" s="71"/>
      <c r="AB90" s="31"/>
      <c r="AC90" s="26">
        <f t="shared" si="5"/>
        <v>0</v>
      </c>
      <c r="AD90" s="25"/>
      <c r="AE90" s="25"/>
      <c r="AF90" s="13"/>
      <c r="AG90" s="13"/>
      <c r="AH90" s="13"/>
    </row>
    <row r="91" spans="1:35" ht="29.4" customHeight="1" x14ac:dyDescent="0.3">
      <c r="A91" s="65">
        <v>329</v>
      </c>
      <c r="B91" s="25"/>
      <c r="C91" s="25"/>
      <c r="D91" s="25"/>
      <c r="E91" s="30" t="str">
        <f t="shared" si="3"/>
        <v>--</v>
      </c>
      <c r="F91" s="13">
        <f>VLOOKUP(E91,'LISTA ITEMS'!$E$2:$G$875,2,FALSE)</f>
        <v>0</v>
      </c>
      <c r="G91" s="25">
        <f>VLOOKUP(E91,'LISTA ITEMS'!$E$2:$G$875,3,FALSE)</f>
        <v>0</v>
      </c>
      <c r="H91" s="76"/>
      <c r="I91" s="75">
        <v>0</v>
      </c>
      <c r="J91" s="27"/>
      <c r="K91" s="13"/>
      <c r="L91" s="67"/>
      <c r="M91" s="56"/>
      <c r="N91" s="55"/>
      <c r="O91" s="13"/>
      <c r="P91" s="71"/>
      <c r="Q91" s="31"/>
      <c r="R91" s="26">
        <f t="shared" si="4"/>
        <v>0</v>
      </c>
      <c r="S91" s="85"/>
      <c r="T91" s="84"/>
      <c r="U91" s="27"/>
      <c r="V91" s="13"/>
      <c r="W91" s="67"/>
      <c r="X91" s="56"/>
      <c r="Y91" s="55"/>
      <c r="Z91" s="13"/>
      <c r="AA91" s="71"/>
      <c r="AB91" s="31"/>
      <c r="AC91" s="26">
        <f t="shared" si="5"/>
        <v>0</v>
      </c>
      <c r="AD91" s="25"/>
      <c r="AE91" s="25"/>
      <c r="AF91" s="13"/>
      <c r="AG91" s="13"/>
      <c r="AH91" s="13"/>
      <c r="AI91" s="2" t="s">
        <v>467</v>
      </c>
    </row>
    <row r="92" spans="1:35" ht="29.4" customHeight="1" x14ac:dyDescent="0.3">
      <c r="A92" s="65">
        <v>330</v>
      </c>
      <c r="B92" s="25"/>
      <c r="C92" s="25"/>
      <c r="D92" s="25"/>
      <c r="E92" s="30" t="str">
        <f t="shared" si="3"/>
        <v>--</v>
      </c>
      <c r="F92" s="13">
        <f>VLOOKUP(E92,'LISTA ITEMS'!$E$2:$G$875,2,FALSE)</f>
        <v>0</v>
      </c>
      <c r="G92" s="25">
        <f>VLOOKUP(E92,'LISTA ITEMS'!$E$2:$G$875,3,FALSE)</f>
        <v>0</v>
      </c>
      <c r="H92" s="76"/>
      <c r="I92" s="75">
        <v>0</v>
      </c>
      <c r="J92" s="27"/>
      <c r="K92" s="13"/>
      <c r="L92" s="67"/>
      <c r="M92" s="56"/>
      <c r="N92" s="55"/>
      <c r="O92" s="13"/>
      <c r="P92" s="71"/>
      <c r="Q92" s="31"/>
      <c r="R92" s="26">
        <f t="shared" si="4"/>
        <v>0</v>
      </c>
      <c r="S92" s="85"/>
      <c r="T92" s="84"/>
      <c r="U92" s="27"/>
      <c r="V92" s="13"/>
      <c r="W92" s="67"/>
      <c r="X92" s="56"/>
      <c r="Y92" s="55"/>
      <c r="Z92" s="13"/>
      <c r="AA92" s="71"/>
      <c r="AB92" s="31"/>
      <c r="AC92" s="26">
        <f t="shared" si="5"/>
        <v>0</v>
      </c>
      <c r="AD92" s="25"/>
      <c r="AE92" s="25"/>
      <c r="AF92" s="13"/>
      <c r="AG92" s="13"/>
      <c r="AH92" s="13"/>
    </row>
    <row r="93" spans="1:35" ht="29.4" customHeight="1" x14ac:dyDescent="0.3">
      <c r="A93" s="65">
        <v>331</v>
      </c>
      <c r="B93" s="25"/>
      <c r="C93" s="25"/>
      <c r="D93" s="25"/>
      <c r="E93" s="30" t="str">
        <f t="shared" si="3"/>
        <v>--</v>
      </c>
      <c r="F93" s="13">
        <f>VLOOKUP(E93,'LISTA ITEMS'!$E$2:$G$875,2,FALSE)</f>
        <v>0</v>
      </c>
      <c r="G93" s="25">
        <f>VLOOKUP(E93,'LISTA ITEMS'!$E$2:$G$875,3,FALSE)</f>
        <v>0</v>
      </c>
      <c r="H93" s="76"/>
      <c r="I93" s="75">
        <v>0</v>
      </c>
      <c r="J93" s="27"/>
      <c r="K93" s="13"/>
      <c r="L93" s="67"/>
      <c r="M93" s="56"/>
      <c r="N93" s="55"/>
      <c r="O93" s="13"/>
      <c r="P93" s="71"/>
      <c r="Q93" s="31"/>
      <c r="R93" s="26">
        <f t="shared" si="4"/>
        <v>0</v>
      </c>
      <c r="S93" s="85"/>
      <c r="T93" s="84"/>
      <c r="U93" s="27"/>
      <c r="V93" s="13"/>
      <c r="W93" s="67"/>
      <c r="X93" s="56"/>
      <c r="Y93" s="55"/>
      <c r="Z93" s="13"/>
      <c r="AA93" s="71"/>
      <c r="AB93" s="31"/>
      <c r="AC93" s="26">
        <f t="shared" si="5"/>
        <v>0</v>
      </c>
      <c r="AD93" s="25"/>
      <c r="AE93" s="25"/>
      <c r="AF93" s="13"/>
      <c r="AG93" s="13"/>
      <c r="AH93" s="13"/>
    </row>
    <row r="94" spans="1:35" ht="29.4" customHeight="1" x14ac:dyDescent="0.3">
      <c r="A94" s="65">
        <v>332</v>
      </c>
      <c r="B94" s="25"/>
      <c r="C94" s="25"/>
      <c r="D94" s="25"/>
      <c r="E94" s="30" t="str">
        <f t="shared" si="3"/>
        <v>--</v>
      </c>
      <c r="F94" s="13">
        <f>VLOOKUP(E94,'LISTA ITEMS'!$E$2:$G$875,2,FALSE)</f>
        <v>0</v>
      </c>
      <c r="G94" s="25">
        <f>VLOOKUP(E94,'LISTA ITEMS'!$E$2:$G$875,3,FALSE)</f>
        <v>0</v>
      </c>
      <c r="H94" s="76"/>
      <c r="I94" s="75">
        <v>0</v>
      </c>
      <c r="J94" s="27"/>
      <c r="K94" s="13"/>
      <c r="L94" s="67"/>
      <c r="M94" s="56"/>
      <c r="N94" s="55"/>
      <c r="O94" s="13"/>
      <c r="P94" s="71"/>
      <c r="Q94" s="31"/>
      <c r="R94" s="26">
        <f t="shared" si="4"/>
        <v>0</v>
      </c>
      <c r="S94" s="85"/>
      <c r="T94" s="84"/>
      <c r="U94" s="27"/>
      <c r="V94" s="13"/>
      <c r="W94" s="67"/>
      <c r="X94" s="56"/>
      <c r="Y94" s="55"/>
      <c r="Z94" s="13"/>
      <c r="AA94" s="71"/>
      <c r="AB94" s="31"/>
      <c r="AC94" s="26">
        <f t="shared" si="5"/>
        <v>0</v>
      </c>
      <c r="AD94" s="25"/>
      <c r="AE94" s="25"/>
      <c r="AF94" s="13"/>
      <c r="AG94" s="13"/>
      <c r="AH94" s="13"/>
    </row>
    <row r="95" spans="1:35" x14ac:dyDescent="0.3">
      <c r="A95" s="65">
        <v>333</v>
      </c>
      <c r="B95" s="25"/>
      <c r="C95" s="25"/>
      <c r="D95" s="25"/>
      <c r="E95" s="30" t="str">
        <f t="shared" si="3"/>
        <v>--</v>
      </c>
      <c r="F95" s="13">
        <f>VLOOKUP(E95,'LISTA ITEMS'!$E$2:$G$875,2,FALSE)</f>
        <v>0</v>
      </c>
      <c r="G95" s="25">
        <f>VLOOKUP(E95,'LISTA ITEMS'!$E$2:$G$875,3,FALSE)</f>
        <v>0</v>
      </c>
      <c r="H95" s="76"/>
      <c r="I95" s="75">
        <v>0</v>
      </c>
      <c r="J95" s="27"/>
      <c r="K95" s="13"/>
      <c r="L95" s="67"/>
      <c r="M95" s="56"/>
      <c r="N95" s="55"/>
      <c r="O95" s="13"/>
      <c r="P95" s="71"/>
      <c r="Q95" s="31"/>
      <c r="R95" s="26">
        <f t="shared" si="4"/>
        <v>0</v>
      </c>
      <c r="S95" s="85"/>
      <c r="T95" s="84"/>
      <c r="U95" s="27"/>
      <c r="V95" s="13"/>
      <c r="W95" s="67"/>
      <c r="X95" s="56"/>
      <c r="Y95" s="55"/>
      <c r="Z95" s="13"/>
      <c r="AA95" s="71"/>
      <c r="AB95" s="31"/>
      <c r="AC95" s="26">
        <f t="shared" si="5"/>
        <v>0</v>
      </c>
      <c r="AD95" s="25"/>
      <c r="AE95" s="25"/>
      <c r="AF95" s="13"/>
      <c r="AG95" s="13"/>
      <c r="AH95" s="13"/>
    </row>
    <row r="96" spans="1:35" ht="27" customHeight="1" x14ac:dyDescent="0.3">
      <c r="A96" s="65">
        <v>334</v>
      </c>
      <c r="B96" s="25"/>
      <c r="C96" s="25"/>
      <c r="D96" s="25"/>
      <c r="E96" s="30" t="str">
        <f t="shared" si="3"/>
        <v>--</v>
      </c>
      <c r="F96" s="13">
        <f>VLOOKUP(E96,'LISTA ITEMS'!$E$2:$G$875,2,FALSE)</f>
        <v>0</v>
      </c>
      <c r="G96" s="25">
        <f>VLOOKUP(E96,'LISTA ITEMS'!$E$2:$G$875,3,FALSE)</f>
        <v>0</v>
      </c>
      <c r="H96" s="76"/>
      <c r="I96" s="75">
        <v>0</v>
      </c>
      <c r="J96" s="27"/>
      <c r="K96" s="13"/>
      <c r="L96" s="67"/>
      <c r="M96" s="56"/>
      <c r="N96" s="55"/>
      <c r="O96" s="13"/>
      <c r="P96" s="71"/>
      <c r="Q96" s="31"/>
      <c r="R96" s="26">
        <f t="shared" si="4"/>
        <v>0</v>
      </c>
      <c r="S96" s="85"/>
      <c r="T96" s="84"/>
      <c r="U96" s="27"/>
      <c r="V96" s="13"/>
      <c r="W96" s="67"/>
      <c r="X96" s="56"/>
      <c r="Y96" s="55"/>
      <c r="Z96" s="13"/>
      <c r="AA96" s="71"/>
      <c r="AB96" s="31"/>
      <c r="AC96" s="26">
        <f t="shared" si="5"/>
        <v>0</v>
      </c>
      <c r="AD96" s="25"/>
      <c r="AE96" s="25"/>
      <c r="AF96" s="13"/>
      <c r="AG96" s="13"/>
      <c r="AH96" s="13"/>
    </row>
    <row r="97" spans="1:35" x14ac:dyDescent="0.3">
      <c r="A97" s="65">
        <v>335</v>
      </c>
      <c r="B97" s="25"/>
      <c r="C97" s="25"/>
      <c r="D97" s="25"/>
      <c r="E97" s="30" t="str">
        <f t="shared" si="3"/>
        <v>--</v>
      </c>
      <c r="F97" s="13">
        <f>VLOOKUP(E97,'LISTA ITEMS'!$E$2:$G$875,2,FALSE)</f>
        <v>0</v>
      </c>
      <c r="G97" s="25">
        <f>VLOOKUP(E97,'LISTA ITEMS'!$E$2:$G$875,3,FALSE)</f>
        <v>0</v>
      </c>
      <c r="H97" s="76"/>
      <c r="I97" s="75">
        <v>0</v>
      </c>
      <c r="J97" s="27"/>
      <c r="K97" s="13"/>
      <c r="L97" s="67"/>
      <c r="M97" s="56"/>
      <c r="N97" s="55"/>
      <c r="O97" s="13"/>
      <c r="P97" s="71"/>
      <c r="Q97" s="31"/>
      <c r="R97" s="26">
        <f t="shared" si="4"/>
        <v>0</v>
      </c>
      <c r="S97" s="85"/>
      <c r="T97" s="84"/>
      <c r="U97" s="27"/>
      <c r="V97" s="13"/>
      <c r="W97" s="67"/>
      <c r="X97" s="56"/>
      <c r="Y97" s="55"/>
      <c r="Z97" s="13"/>
      <c r="AA97" s="71"/>
      <c r="AB97" s="31"/>
      <c r="AC97" s="26">
        <f t="shared" si="5"/>
        <v>0</v>
      </c>
      <c r="AD97" s="25"/>
      <c r="AE97" s="25"/>
      <c r="AF97" s="13"/>
      <c r="AG97" s="13"/>
      <c r="AH97" s="13"/>
      <c r="AI97" s="2" t="s">
        <v>467</v>
      </c>
    </row>
    <row r="98" spans="1:35" x14ac:dyDescent="0.3">
      <c r="A98" s="65">
        <v>336</v>
      </c>
      <c r="B98" s="25"/>
      <c r="C98" s="25"/>
      <c r="D98" s="25"/>
      <c r="E98" s="30" t="str">
        <f t="shared" si="3"/>
        <v>--</v>
      </c>
      <c r="F98" s="13">
        <f>VLOOKUP(E98,'LISTA ITEMS'!$E$2:$G$875,2,FALSE)</f>
        <v>0</v>
      </c>
      <c r="G98" s="25">
        <f>VLOOKUP(E98,'LISTA ITEMS'!$E$2:$G$875,3,FALSE)</f>
        <v>0</v>
      </c>
      <c r="H98" s="76"/>
      <c r="I98" s="75">
        <v>0</v>
      </c>
      <c r="J98" s="27"/>
      <c r="K98" s="13"/>
      <c r="L98" s="67"/>
      <c r="M98" s="56"/>
      <c r="N98" s="55"/>
      <c r="O98" s="13"/>
      <c r="P98" s="71"/>
      <c r="Q98" s="31"/>
      <c r="R98" s="26">
        <f t="shared" si="4"/>
        <v>0</v>
      </c>
      <c r="S98" s="85"/>
      <c r="T98" s="84"/>
      <c r="U98" s="27"/>
      <c r="V98" s="13"/>
      <c r="W98" s="67"/>
      <c r="X98" s="56"/>
      <c r="Y98" s="55"/>
      <c r="Z98" s="13"/>
      <c r="AA98" s="71"/>
      <c r="AB98" s="31"/>
      <c r="AC98" s="26">
        <f t="shared" si="5"/>
        <v>0</v>
      </c>
      <c r="AD98" s="25"/>
      <c r="AE98" s="25"/>
      <c r="AF98" s="13"/>
      <c r="AG98" s="13"/>
      <c r="AH98" s="13"/>
      <c r="AI98" s="2" t="s">
        <v>467</v>
      </c>
    </row>
    <row r="99" spans="1:35" ht="29.4" customHeight="1" x14ac:dyDescent="0.3">
      <c r="A99" s="65">
        <v>337</v>
      </c>
      <c r="B99" s="25"/>
      <c r="C99" s="25"/>
      <c r="D99" s="25"/>
      <c r="E99" s="30" t="str">
        <f t="shared" si="3"/>
        <v>--</v>
      </c>
      <c r="F99" s="13">
        <f>VLOOKUP(E99,'LISTA ITEMS'!$E$2:$G$875,2,FALSE)</f>
        <v>0</v>
      </c>
      <c r="G99" s="25">
        <f>VLOOKUP(E99,'LISTA ITEMS'!$E$2:$G$875,3,FALSE)</f>
        <v>0</v>
      </c>
      <c r="H99" s="76"/>
      <c r="I99" s="75">
        <v>0</v>
      </c>
      <c r="J99" s="27"/>
      <c r="K99" s="13"/>
      <c r="L99" s="67"/>
      <c r="M99" s="56"/>
      <c r="N99" s="55"/>
      <c r="O99" s="13"/>
      <c r="P99" s="71"/>
      <c r="Q99" s="31"/>
      <c r="R99" s="26">
        <f t="shared" si="4"/>
        <v>0</v>
      </c>
      <c r="S99" s="85"/>
      <c r="T99" s="84"/>
      <c r="U99" s="27"/>
      <c r="V99" s="13"/>
      <c r="W99" s="67"/>
      <c r="X99" s="56"/>
      <c r="Y99" s="55"/>
      <c r="Z99" s="13"/>
      <c r="AA99" s="71"/>
      <c r="AB99" s="31"/>
      <c r="AC99" s="26">
        <f t="shared" si="5"/>
        <v>0</v>
      </c>
      <c r="AD99" s="25"/>
      <c r="AE99" s="25"/>
      <c r="AF99" s="13"/>
      <c r="AG99" s="13"/>
      <c r="AH99" s="13"/>
      <c r="AI99" s="2" t="s">
        <v>467</v>
      </c>
    </row>
    <row r="100" spans="1:35" ht="21.6" customHeight="1" x14ac:dyDescent="0.3">
      <c r="A100" s="65">
        <v>338</v>
      </c>
      <c r="B100" s="25"/>
      <c r="C100" s="25"/>
      <c r="D100" s="25"/>
      <c r="E100" s="30" t="str">
        <f t="shared" si="3"/>
        <v>--</v>
      </c>
      <c r="F100" s="13">
        <f>VLOOKUP(E100,'LISTA ITEMS'!$E$2:$G$875,2,FALSE)</f>
        <v>0</v>
      </c>
      <c r="G100" s="25">
        <f>VLOOKUP(E100,'LISTA ITEMS'!$E$2:$G$875,3,FALSE)</f>
        <v>0</v>
      </c>
      <c r="H100" s="76"/>
      <c r="I100" s="75">
        <v>0</v>
      </c>
      <c r="J100" s="27"/>
      <c r="K100" s="13"/>
      <c r="L100" s="67"/>
      <c r="M100" s="56"/>
      <c r="N100" s="55"/>
      <c r="O100" s="13"/>
      <c r="P100" s="71"/>
      <c r="Q100" s="31"/>
      <c r="R100" s="26">
        <f t="shared" si="4"/>
        <v>0</v>
      </c>
      <c r="S100" s="85"/>
      <c r="T100" s="84"/>
      <c r="U100" s="27"/>
      <c r="V100" s="13"/>
      <c r="W100" s="67"/>
      <c r="X100" s="56"/>
      <c r="Y100" s="55"/>
      <c r="Z100" s="13"/>
      <c r="AA100" s="71"/>
      <c r="AB100" s="31"/>
      <c r="AC100" s="26">
        <f t="shared" si="5"/>
        <v>0</v>
      </c>
      <c r="AD100" s="25"/>
      <c r="AE100" s="25"/>
      <c r="AF100" s="13"/>
      <c r="AG100" s="13"/>
      <c r="AH100" s="13"/>
    </row>
    <row r="101" spans="1:35" s="107" customFormat="1" x14ac:dyDescent="0.3">
      <c r="A101" s="65">
        <v>339</v>
      </c>
      <c r="B101" s="25"/>
      <c r="C101" s="25"/>
      <c r="D101" s="25"/>
      <c r="E101" s="30" t="str">
        <f t="shared" si="3"/>
        <v>--</v>
      </c>
      <c r="F101" s="13">
        <f>VLOOKUP(E101,'LISTA ITEMS'!$E$2:$G$875,2,FALSE)</f>
        <v>0</v>
      </c>
      <c r="G101" s="25">
        <f>VLOOKUP(E101,'LISTA ITEMS'!$E$2:$G$875,3,FALSE)</f>
        <v>0</v>
      </c>
      <c r="H101" s="76"/>
      <c r="I101" s="75">
        <v>0</v>
      </c>
      <c r="J101" s="27"/>
      <c r="K101" s="13"/>
      <c r="L101" s="67"/>
      <c r="M101" s="56"/>
      <c r="N101" s="55"/>
      <c r="O101" s="13"/>
      <c r="P101" s="71"/>
      <c r="Q101" s="31"/>
      <c r="R101" s="26">
        <f t="shared" si="4"/>
        <v>0</v>
      </c>
      <c r="S101" s="85"/>
      <c r="T101" s="84"/>
      <c r="U101" s="27"/>
      <c r="V101" s="13"/>
      <c r="W101" s="67"/>
      <c r="X101" s="56"/>
      <c r="Y101" s="55"/>
      <c r="Z101" s="13"/>
      <c r="AA101" s="71"/>
      <c r="AB101" s="31"/>
      <c r="AC101" s="26">
        <f t="shared" si="5"/>
        <v>0</v>
      </c>
      <c r="AD101" s="25"/>
      <c r="AE101" s="25"/>
      <c r="AF101" s="13"/>
      <c r="AG101" s="13"/>
      <c r="AH101" s="13"/>
    </row>
    <row r="102" spans="1:35" ht="31.2" customHeight="1" x14ac:dyDescent="0.3">
      <c r="A102" s="65">
        <v>340</v>
      </c>
      <c r="B102" s="25"/>
      <c r="C102" s="25"/>
      <c r="D102" s="25"/>
      <c r="E102" s="30" t="str">
        <f t="shared" si="3"/>
        <v>--</v>
      </c>
      <c r="F102" s="13">
        <f>VLOOKUP(E102,'LISTA ITEMS'!$E$2:$G$875,2,FALSE)</f>
        <v>0</v>
      </c>
      <c r="G102" s="25">
        <f>VLOOKUP(E102,'LISTA ITEMS'!$E$2:$G$875,3,FALSE)</f>
        <v>0</v>
      </c>
      <c r="H102" s="76"/>
      <c r="I102" s="75">
        <v>0</v>
      </c>
      <c r="J102" s="27"/>
      <c r="K102" s="13"/>
      <c r="L102" s="67"/>
      <c r="M102" s="56"/>
      <c r="N102" s="55"/>
      <c r="O102" s="13"/>
      <c r="P102" s="71"/>
      <c r="Q102" s="31"/>
      <c r="R102" s="26">
        <f t="shared" si="4"/>
        <v>0</v>
      </c>
      <c r="S102" s="85"/>
      <c r="T102" s="84"/>
      <c r="U102" s="27"/>
      <c r="V102" s="13"/>
      <c r="W102" s="67"/>
      <c r="X102" s="56"/>
      <c r="Y102" s="55"/>
      <c r="Z102" s="13"/>
      <c r="AA102" s="71"/>
      <c r="AB102" s="31"/>
      <c r="AC102" s="26">
        <f t="shared" si="5"/>
        <v>0</v>
      </c>
      <c r="AD102" s="25"/>
      <c r="AE102" s="25"/>
      <c r="AF102" s="13"/>
      <c r="AG102" s="13"/>
      <c r="AH102" s="13"/>
      <c r="AI102" s="2" t="s">
        <v>467</v>
      </c>
    </row>
    <row r="103" spans="1:35" ht="31.2" customHeight="1" x14ac:dyDescent="0.3">
      <c r="A103" s="65">
        <v>341</v>
      </c>
      <c r="B103" s="25"/>
      <c r="C103" s="25"/>
      <c r="D103" s="25"/>
      <c r="E103" s="30" t="str">
        <f t="shared" si="3"/>
        <v>--</v>
      </c>
      <c r="F103" s="13">
        <f>VLOOKUP(E103,'LISTA ITEMS'!$E$2:$G$875,2,FALSE)</f>
        <v>0</v>
      </c>
      <c r="G103" s="25">
        <f>VLOOKUP(E103,'LISTA ITEMS'!$E$2:$G$875,3,FALSE)</f>
        <v>0</v>
      </c>
      <c r="H103" s="76"/>
      <c r="I103" s="75">
        <v>0</v>
      </c>
      <c r="J103" s="27"/>
      <c r="K103" s="13"/>
      <c r="L103" s="67"/>
      <c r="M103" s="56"/>
      <c r="N103" s="55"/>
      <c r="O103" s="13"/>
      <c r="P103" s="71"/>
      <c r="Q103" s="31"/>
      <c r="R103" s="26">
        <f t="shared" si="4"/>
        <v>0</v>
      </c>
      <c r="S103" s="85"/>
      <c r="T103" s="84"/>
      <c r="U103" s="27"/>
      <c r="V103" s="13"/>
      <c r="W103" s="67"/>
      <c r="X103" s="56"/>
      <c r="Y103" s="55"/>
      <c r="Z103" s="13"/>
      <c r="AA103" s="71"/>
      <c r="AB103" s="31"/>
      <c r="AC103" s="26">
        <f t="shared" si="5"/>
        <v>0</v>
      </c>
      <c r="AD103" s="25"/>
      <c r="AE103" s="25"/>
      <c r="AF103" s="13"/>
      <c r="AG103" s="13"/>
      <c r="AH103" s="13"/>
    </row>
    <row r="104" spans="1:35" ht="31.2" customHeight="1" x14ac:dyDescent="0.3">
      <c r="A104" s="65">
        <v>342</v>
      </c>
      <c r="B104" s="25"/>
      <c r="C104" s="25"/>
      <c r="D104" s="25"/>
      <c r="E104" s="30" t="str">
        <f t="shared" si="3"/>
        <v>--</v>
      </c>
      <c r="F104" s="13">
        <f>VLOOKUP(E104,'LISTA ITEMS'!$E$2:$G$875,2,FALSE)</f>
        <v>0</v>
      </c>
      <c r="G104" s="25">
        <f>VLOOKUP(E104,'LISTA ITEMS'!$E$2:$G$875,3,FALSE)</f>
        <v>0</v>
      </c>
      <c r="H104" s="76"/>
      <c r="I104" s="75">
        <v>0</v>
      </c>
      <c r="J104" s="27"/>
      <c r="K104" s="13"/>
      <c r="L104" s="67"/>
      <c r="M104" s="56"/>
      <c r="N104" s="55"/>
      <c r="O104" s="13"/>
      <c r="P104" s="71"/>
      <c r="Q104" s="31"/>
      <c r="R104" s="26">
        <f t="shared" si="4"/>
        <v>0</v>
      </c>
      <c r="S104" s="85"/>
      <c r="T104" s="84"/>
      <c r="U104" s="27"/>
      <c r="V104" s="13"/>
      <c r="W104" s="67"/>
      <c r="X104" s="56"/>
      <c r="Y104" s="55"/>
      <c r="Z104" s="13"/>
      <c r="AA104" s="71"/>
      <c r="AB104" s="31"/>
      <c r="AC104" s="26">
        <f t="shared" si="5"/>
        <v>0</v>
      </c>
      <c r="AD104" s="25"/>
      <c r="AE104" s="25"/>
      <c r="AF104" s="13"/>
      <c r="AG104" s="13"/>
      <c r="AH104" s="13"/>
      <c r="AI104" s="2" t="s">
        <v>467</v>
      </c>
    </row>
    <row r="105" spans="1:35" ht="31.2" customHeight="1" x14ac:dyDescent="0.3">
      <c r="A105" s="65">
        <v>343</v>
      </c>
      <c r="B105" s="25"/>
      <c r="C105" s="25"/>
      <c r="D105" s="25"/>
      <c r="E105" s="30" t="str">
        <f t="shared" si="3"/>
        <v>--</v>
      </c>
      <c r="F105" s="13">
        <f>VLOOKUP(E105,'LISTA ITEMS'!$E$2:$G$875,2,FALSE)</f>
        <v>0</v>
      </c>
      <c r="G105" s="25">
        <f>VLOOKUP(E105,'LISTA ITEMS'!$E$2:$G$875,3,FALSE)</f>
        <v>0</v>
      </c>
      <c r="H105" s="76"/>
      <c r="I105" s="75">
        <v>0</v>
      </c>
      <c r="J105" s="27"/>
      <c r="K105" s="13"/>
      <c r="L105" s="67"/>
      <c r="M105" s="56"/>
      <c r="N105" s="55"/>
      <c r="O105" s="13"/>
      <c r="P105" s="71"/>
      <c r="Q105" s="31"/>
      <c r="R105" s="26">
        <f t="shared" si="4"/>
        <v>0</v>
      </c>
      <c r="S105" s="85"/>
      <c r="T105" s="84"/>
      <c r="U105" s="27"/>
      <c r="V105" s="13"/>
      <c r="W105" s="67"/>
      <c r="X105" s="56"/>
      <c r="Y105" s="55"/>
      <c r="Z105" s="13"/>
      <c r="AA105" s="71"/>
      <c r="AB105" s="31"/>
      <c r="AC105" s="26">
        <f t="shared" si="5"/>
        <v>0</v>
      </c>
      <c r="AD105" s="25"/>
      <c r="AE105" s="25"/>
      <c r="AF105" s="13"/>
      <c r="AG105" s="13"/>
      <c r="AH105" s="13"/>
      <c r="AI105" s="2" t="s">
        <v>467</v>
      </c>
    </row>
    <row r="106" spans="1:35" x14ac:dyDescent="0.3">
      <c r="A106" s="65">
        <v>344</v>
      </c>
      <c r="B106" s="25"/>
      <c r="C106" s="25"/>
      <c r="D106" s="25"/>
      <c r="E106" s="30" t="str">
        <f t="shared" si="3"/>
        <v>--</v>
      </c>
      <c r="F106" s="13">
        <f>VLOOKUP(E106,'LISTA ITEMS'!$E$2:$G$875,2,FALSE)</f>
        <v>0</v>
      </c>
      <c r="G106" s="25">
        <f>VLOOKUP(E106,'LISTA ITEMS'!$E$2:$G$875,3,FALSE)</f>
        <v>0</v>
      </c>
      <c r="H106" s="76"/>
      <c r="I106" s="75">
        <v>0</v>
      </c>
      <c r="J106" s="27"/>
      <c r="K106" s="13"/>
      <c r="L106" s="67"/>
      <c r="M106" s="56"/>
      <c r="N106" s="55"/>
      <c r="O106" s="13"/>
      <c r="P106" s="71"/>
      <c r="Q106" s="31"/>
      <c r="R106" s="26">
        <f t="shared" si="4"/>
        <v>0</v>
      </c>
      <c r="S106" s="85"/>
      <c r="T106" s="84"/>
      <c r="U106" s="27"/>
      <c r="V106" s="13"/>
      <c r="W106" s="67"/>
      <c r="X106" s="56"/>
      <c r="Y106" s="55"/>
      <c r="Z106" s="13"/>
      <c r="AA106" s="71"/>
      <c r="AB106" s="31"/>
      <c r="AC106" s="26">
        <f t="shared" si="5"/>
        <v>0</v>
      </c>
      <c r="AD106" s="25"/>
      <c r="AE106" s="25"/>
      <c r="AF106" s="13"/>
      <c r="AG106" s="13"/>
      <c r="AH106" s="13"/>
      <c r="AI106" s="2" t="s">
        <v>467</v>
      </c>
    </row>
    <row r="107" spans="1:35" ht="28.2" customHeight="1" x14ac:dyDescent="0.3">
      <c r="A107" s="65">
        <v>345</v>
      </c>
      <c r="B107" s="25"/>
      <c r="C107" s="25"/>
      <c r="D107" s="25"/>
      <c r="E107" s="30" t="str">
        <f t="shared" si="3"/>
        <v>--</v>
      </c>
      <c r="F107" s="13">
        <f>VLOOKUP(E107,'LISTA ITEMS'!$E$2:$G$875,2,FALSE)</f>
        <v>0</v>
      </c>
      <c r="G107" s="25">
        <f>VLOOKUP(E107,'LISTA ITEMS'!$E$2:$G$875,3,FALSE)</f>
        <v>0</v>
      </c>
      <c r="H107" s="76"/>
      <c r="I107" s="75">
        <v>0</v>
      </c>
      <c r="J107" s="27"/>
      <c r="K107" s="13"/>
      <c r="L107" s="67"/>
      <c r="M107" s="56"/>
      <c r="N107" s="55"/>
      <c r="O107" s="13"/>
      <c r="P107" s="71"/>
      <c r="Q107" s="31"/>
      <c r="R107" s="26">
        <f t="shared" si="4"/>
        <v>0</v>
      </c>
      <c r="S107" s="85"/>
      <c r="T107" s="84"/>
      <c r="U107" s="27"/>
      <c r="V107" s="13"/>
      <c r="W107" s="67"/>
      <c r="X107" s="56"/>
      <c r="Y107" s="55"/>
      <c r="Z107" s="13"/>
      <c r="AA107" s="71"/>
      <c r="AB107" s="31"/>
      <c r="AC107" s="26">
        <f t="shared" si="5"/>
        <v>0</v>
      </c>
      <c r="AD107" s="25"/>
      <c r="AE107" s="25"/>
      <c r="AF107" s="13"/>
      <c r="AG107" s="13"/>
      <c r="AH107" s="13"/>
      <c r="AI107" s="2" t="s">
        <v>467</v>
      </c>
    </row>
    <row r="108" spans="1:35" ht="28.2" customHeight="1" x14ac:dyDescent="0.3">
      <c r="A108" s="65">
        <v>346</v>
      </c>
      <c r="B108" s="25"/>
      <c r="C108" s="25"/>
      <c r="D108" s="25"/>
      <c r="E108" s="30" t="str">
        <f t="shared" si="3"/>
        <v>--</v>
      </c>
      <c r="F108" s="13">
        <f>VLOOKUP(E108,'LISTA ITEMS'!$E$2:$G$875,2,FALSE)</f>
        <v>0</v>
      </c>
      <c r="G108" s="25">
        <f>VLOOKUP(E108,'LISTA ITEMS'!$E$2:$G$875,3,FALSE)</f>
        <v>0</v>
      </c>
      <c r="H108" s="76"/>
      <c r="I108" s="75">
        <v>0</v>
      </c>
      <c r="J108" s="27"/>
      <c r="K108" s="13"/>
      <c r="L108" s="67"/>
      <c r="M108" s="56"/>
      <c r="N108" s="55"/>
      <c r="O108" s="13"/>
      <c r="P108" s="71"/>
      <c r="Q108" s="31"/>
      <c r="R108" s="26">
        <f t="shared" si="4"/>
        <v>0</v>
      </c>
      <c r="S108" s="85"/>
      <c r="T108" s="84"/>
      <c r="U108" s="27"/>
      <c r="V108" s="13"/>
      <c r="W108" s="67"/>
      <c r="X108" s="56"/>
      <c r="Y108" s="55"/>
      <c r="Z108" s="13"/>
      <c r="AA108" s="71"/>
      <c r="AB108" s="31"/>
      <c r="AC108" s="26">
        <f t="shared" si="5"/>
        <v>0</v>
      </c>
      <c r="AD108" s="25"/>
      <c r="AE108" s="25"/>
      <c r="AF108" s="13"/>
      <c r="AG108" s="13"/>
      <c r="AH108" s="13"/>
      <c r="AI108" s="2" t="s">
        <v>467</v>
      </c>
    </row>
    <row r="109" spans="1:35" ht="28.2" customHeight="1" x14ac:dyDescent="0.3">
      <c r="A109" s="65">
        <v>347</v>
      </c>
      <c r="B109" s="25"/>
      <c r="C109" s="25"/>
      <c r="D109" s="25"/>
      <c r="E109" s="30" t="str">
        <f t="shared" si="3"/>
        <v>--</v>
      </c>
      <c r="F109" s="13">
        <f>VLOOKUP(E109,'LISTA ITEMS'!$E$2:$G$875,2,FALSE)</f>
        <v>0</v>
      </c>
      <c r="G109" s="25">
        <f>VLOOKUP(E109,'LISTA ITEMS'!$E$2:$G$875,3,FALSE)</f>
        <v>0</v>
      </c>
      <c r="H109" s="76"/>
      <c r="I109" s="75">
        <v>0</v>
      </c>
      <c r="J109" s="27"/>
      <c r="K109" s="13"/>
      <c r="L109" s="67"/>
      <c r="M109" s="56"/>
      <c r="N109" s="55"/>
      <c r="O109" s="13"/>
      <c r="P109" s="71"/>
      <c r="Q109" s="31"/>
      <c r="R109" s="26">
        <f t="shared" si="4"/>
        <v>0</v>
      </c>
      <c r="S109" s="85"/>
      <c r="T109" s="84"/>
      <c r="U109" s="27"/>
      <c r="V109" s="13"/>
      <c r="W109" s="67"/>
      <c r="X109" s="56"/>
      <c r="Y109" s="55"/>
      <c r="Z109" s="13"/>
      <c r="AA109" s="71"/>
      <c r="AB109" s="31"/>
      <c r="AC109" s="26">
        <f t="shared" si="5"/>
        <v>0</v>
      </c>
      <c r="AD109" s="25"/>
      <c r="AE109" s="25"/>
      <c r="AF109" s="13"/>
      <c r="AG109" s="13"/>
      <c r="AH109" s="13"/>
      <c r="AI109" s="2" t="s">
        <v>467</v>
      </c>
    </row>
    <row r="110" spans="1:35" ht="44.4" customHeight="1" x14ac:dyDescent="0.3">
      <c r="A110" s="65">
        <v>348</v>
      </c>
      <c r="B110" s="25"/>
      <c r="C110" s="25"/>
      <c r="D110" s="25"/>
      <c r="E110" s="30" t="str">
        <f t="shared" si="3"/>
        <v>--</v>
      </c>
      <c r="F110" s="13">
        <f>VLOOKUP(E110,'LISTA ITEMS'!$E$2:$G$875,2,FALSE)</f>
        <v>0</v>
      </c>
      <c r="G110" s="25">
        <f>VLOOKUP(E110,'LISTA ITEMS'!$E$2:$G$875,3,FALSE)</f>
        <v>0</v>
      </c>
      <c r="H110" s="76"/>
      <c r="I110" s="75">
        <v>0</v>
      </c>
      <c r="J110" s="27"/>
      <c r="K110" s="13"/>
      <c r="L110" s="67"/>
      <c r="M110" s="56"/>
      <c r="N110" s="55"/>
      <c r="O110" s="13"/>
      <c r="P110" s="71"/>
      <c r="Q110" s="31"/>
      <c r="R110" s="26">
        <f t="shared" si="4"/>
        <v>0</v>
      </c>
      <c r="S110" s="85"/>
      <c r="T110" s="84"/>
      <c r="U110" s="27"/>
      <c r="V110" s="13"/>
      <c r="W110" s="67"/>
      <c r="X110" s="56"/>
      <c r="Y110" s="55"/>
      <c r="Z110" s="13"/>
      <c r="AA110" s="71"/>
      <c r="AB110" s="31"/>
      <c r="AC110" s="26">
        <f t="shared" si="5"/>
        <v>0</v>
      </c>
      <c r="AD110" s="25"/>
      <c r="AE110" s="25"/>
      <c r="AF110" s="13"/>
      <c r="AG110" s="13"/>
      <c r="AH110" s="13"/>
      <c r="AI110" s="2" t="s">
        <v>467</v>
      </c>
    </row>
    <row r="111" spans="1:35" ht="28.2" customHeight="1" x14ac:dyDescent="0.3">
      <c r="A111" s="65">
        <v>349</v>
      </c>
      <c r="B111" s="25"/>
      <c r="C111" s="25"/>
      <c r="D111" s="25"/>
      <c r="E111" s="30" t="str">
        <f t="shared" si="3"/>
        <v>--</v>
      </c>
      <c r="F111" s="13">
        <f>VLOOKUP(E111,'LISTA ITEMS'!$E$2:$G$875,2,FALSE)</f>
        <v>0</v>
      </c>
      <c r="G111" s="25">
        <f>VLOOKUP(E111,'LISTA ITEMS'!$E$2:$G$875,3,FALSE)</f>
        <v>0</v>
      </c>
      <c r="H111" s="76"/>
      <c r="I111" s="75">
        <v>0</v>
      </c>
      <c r="J111" s="27"/>
      <c r="K111" s="13"/>
      <c r="L111" s="67"/>
      <c r="M111" s="56"/>
      <c r="N111" s="55"/>
      <c r="O111" s="13"/>
      <c r="P111" s="71"/>
      <c r="Q111" s="31"/>
      <c r="R111" s="26">
        <f t="shared" si="4"/>
        <v>0</v>
      </c>
      <c r="S111" s="85"/>
      <c r="T111" s="84"/>
      <c r="U111" s="27"/>
      <c r="V111" s="13"/>
      <c r="W111" s="67"/>
      <c r="X111" s="56"/>
      <c r="Y111" s="55"/>
      <c r="Z111" s="13"/>
      <c r="AA111" s="71"/>
      <c r="AB111" s="31"/>
      <c r="AC111" s="26">
        <f t="shared" si="5"/>
        <v>0</v>
      </c>
      <c r="AD111" s="25"/>
      <c r="AE111" s="25"/>
      <c r="AF111" s="13"/>
      <c r="AG111" s="13"/>
      <c r="AH111" s="13"/>
      <c r="AI111" s="2" t="s">
        <v>467</v>
      </c>
    </row>
    <row r="112" spans="1:35" x14ac:dyDescent="0.3">
      <c r="A112" s="65">
        <v>350</v>
      </c>
      <c r="B112" s="25"/>
      <c r="C112" s="25"/>
      <c r="D112" s="25"/>
      <c r="E112" s="30" t="str">
        <f t="shared" si="3"/>
        <v>--</v>
      </c>
      <c r="F112" s="13">
        <f>VLOOKUP(E112,'LISTA ITEMS'!$E$2:$G$875,2,FALSE)</f>
        <v>0</v>
      </c>
      <c r="G112" s="25">
        <f>VLOOKUP(E112,'LISTA ITEMS'!$E$2:$G$875,3,FALSE)</f>
        <v>0</v>
      </c>
      <c r="H112" s="76"/>
      <c r="I112" s="75">
        <v>0</v>
      </c>
      <c r="J112" s="27"/>
      <c r="K112" s="13"/>
      <c r="L112" s="67"/>
      <c r="M112" s="56"/>
      <c r="N112" s="55"/>
      <c r="O112" s="13"/>
      <c r="P112" s="71"/>
      <c r="Q112" s="31"/>
      <c r="R112" s="26">
        <f t="shared" si="4"/>
        <v>0</v>
      </c>
      <c r="S112" s="85"/>
      <c r="T112" s="84"/>
      <c r="U112" s="27"/>
      <c r="V112" s="13"/>
      <c r="W112" s="67"/>
      <c r="X112" s="56"/>
      <c r="Y112" s="55"/>
      <c r="Z112" s="13"/>
      <c r="AA112" s="71"/>
      <c r="AB112" s="31"/>
      <c r="AC112" s="26">
        <f t="shared" si="5"/>
        <v>0</v>
      </c>
      <c r="AD112" s="25"/>
      <c r="AE112" s="25"/>
      <c r="AF112" s="13"/>
      <c r="AG112" s="13"/>
      <c r="AH112" s="13"/>
      <c r="AI112" s="2" t="s">
        <v>467</v>
      </c>
    </row>
    <row r="113" spans="1:35" x14ac:dyDescent="0.3">
      <c r="A113" s="65">
        <v>351</v>
      </c>
      <c r="B113" s="25"/>
      <c r="C113" s="25"/>
      <c r="D113" s="25"/>
      <c r="E113" s="30" t="str">
        <f t="shared" si="3"/>
        <v>--</v>
      </c>
      <c r="F113" s="13">
        <f>VLOOKUP(E113,'LISTA ITEMS'!$E$2:$G$875,2,FALSE)</f>
        <v>0</v>
      </c>
      <c r="G113" s="25">
        <f>VLOOKUP(E113,'LISTA ITEMS'!$E$2:$G$875,3,FALSE)</f>
        <v>0</v>
      </c>
      <c r="H113" s="76"/>
      <c r="I113" s="75">
        <v>0</v>
      </c>
      <c r="J113" s="27"/>
      <c r="K113" s="13"/>
      <c r="L113" s="67"/>
      <c r="M113" s="56"/>
      <c r="N113" s="55"/>
      <c r="O113" s="13"/>
      <c r="P113" s="71"/>
      <c r="Q113" s="31"/>
      <c r="R113" s="26">
        <f t="shared" si="4"/>
        <v>0</v>
      </c>
      <c r="S113" s="85"/>
      <c r="T113" s="84"/>
      <c r="U113" s="27"/>
      <c r="V113" s="13"/>
      <c r="W113" s="67"/>
      <c r="X113" s="56"/>
      <c r="Y113" s="55"/>
      <c r="Z113" s="13"/>
      <c r="AA113" s="71"/>
      <c r="AB113" s="31"/>
      <c r="AC113" s="26">
        <f t="shared" si="5"/>
        <v>0</v>
      </c>
      <c r="AD113" s="25"/>
      <c r="AE113" s="25"/>
      <c r="AF113" s="13"/>
      <c r="AG113" s="13"/>
      <c r="AH113" s="13"/>
      <c r="AI113" s="2" t="s">
        <v>467</v>
      </c>
    </row>
    <row r="114" spans="1:35" x14ac:dyDescent="0.3">
      <c r="A114" s="65">
        <v>352</v>
      </c>
      <c r="B114" s="25"/>
      <c r="C114" s="25"/>
      <c r="D114" s="25"/>
      <c r="E114" s="30" t="str">
        <f t="shared" si="3"/>
        <v>--</v>
      </c>
      <c r="F114" s="13">
        <f>VLOOKUP(E114,'LISTA ITEMS'!$E$2:$G$875,2,FALSE)</f>
        <v>0</v>
      </c>
      <c r="G114" s="25">
        <f>VLOOKUP(E114,'LISTA ITEMS'!$E$2:$G$875,3,FALSE)</f>
        <v>0</v>
      </c>
      <c r="H114" s="76"/>
      <c r="I114" s="75">
        <v>0</v>
      </c>
      <c r="J114" s="27"/>
      <c r="K114" s="13"/>
      <c r="L114" s="67"/>
      <c r="M114" s="56"/>
      <c r="N114" s="55"/>
      <c r="O114" s="13"/>
      <c r="P114" s="71"/>
      <c r="Q114" s="31"/>
      <c r="R114" s="26">
        <f t="shared" si="4"/>
        <v>0</v>
      </c>
      <c r="S114" s="85"/>
      <c r="T114" s="84"/>
      <c r="U114" s="27"/>
      <c r="V114" s="13"/>
      <c r="W114" s="67"/>
      <c r="X114" s="56"/>
      <c r="Y114" s="55"/>
      <c r="Z114" s="13"/>
      <c r="AA114" s="71"/>
      <c r="AB114" s="31"/>
      <c r="AC114" s="26">
        <f t="shared" si="5"/>
        <v>0</v>
      </c>
      <c r="AD114" s="25"/>
      <c r="AE114" s="25"/>
      <c r="AF114" s="13"/>
      <c r="AG114" s="13"/>
      <c r="AH114" s="13"/>
      <c r="AI114" s="2" t="s">
        <v>467</v>
      </c>
    </row>
    <row r="115" spans="1:35" x14ac:dyDescent="0.3">
      <c r="A115" s="65">
        <v>353</v>
      </c>
      <c r="B115" s="25"/>
      <c r="C115" s="25"/>
      <c r="D115" s="25"/>
      <c r="E115" s="30" t="str">
        <f t="shared" si="3"/>
        <v>--</v>
      </c>
      <c r="F115" s="13">
        <f>VLOOKUP(E115,'LISTA ITEMS'!$E$2:$G$875,2,FALSE)</f>
        <v>0</v>
      </c>
      <c r="G115" s="25">
        <f>VLOOKUP(E115,'LISTA ITEMS'!$E$2:$G$875,3,FALSE)</f>
        <v>0</v>
      </c>
      <c r="H115" s="76"/>
      <c r="I115" s="75">
        <v>0</v>
      </c>
      <c r="J115" s="27"/>
      <c r="K115" s="13"/>
      <c r="L115" s="67"/>
      <c r="M115" s="56"/>
      <c r="N115" s="55"/>
      <c r="O115" s="13"/>
      <c r="P115" s="71"/>
      <c r="Q115" s="31"/>
      <c r="R115" s="26">
        <f t="shared" si="4"/>
        <v>0</v>
      </c>
      <c r="S115" s="85"/>
      <c r="T115" s="84"/>
      <c r="U115" s="27"/>
      <c r="V115" s="13"/>
      <c r="W115" s="67"/>
      <c r="X115" s="56"/>
      <c r="Y115" s="55"/>
      <c r="Z115" s="13"/>
      <c r="AA115" s="71"/>
      <c r="AB115" s="31"/>
      <c r="AC115" s="26">
        <f t="shared" si="5"/>
        <v>0</v>
      </c>
      <c r="AD115" s="25"/>
      <c r="AE115" s="25"/>
      <c r="AF115" s="13"/>
      <c r="AG115" s="13"/>
      <c r="AH115" s="13"/>
    </row>
    <row r="116" spans="1:35" x14ac:dyDescent="0.3">
      <c r="A116" s="65">
        <v>354</v>
      </c>
      <c r="B116" s="25"/>
      <c r="C116" s="25"/>
      <c r="D116" s="25"/>
      <c r="E116" s="30" t="str">
        <f t="shared" si="3"/>
        <v>--</v>
      </c>
      <c r="F116" s="13">
        <f>VLOOKUP(E116,'LISTA ITEMS'!$E$2:$G$875,2,FALSE)</f>
        <v>0</v>
      </c>
      <c r="G116" s="25">
        <f>VLOOKUP(E116,'LISTA ITEMS'!$E$2:$G$875,3,FALSE)</f>
        <v>0</v>
      </c>
      <c r="H116" s="76"/>
      <c r="I116" s="75">
        <v>0</v>
      </c>
      <c r="J116" s="27"/>
      <c r="K116" s="13"/>
      <c r="L116" s="67"/>
      <c r="M116" s="56"/>
      <c r="N116" s="55"/>
      <c r="O116" s="13"/>
      <c r="P116" s="71"/>
      <c r="Q116" s="31"/>
      <c r="R116" s="26">
        <f t="shared" si="4"/>
        <v>0</v>
      </c>
      <c r="S116" s="85"/>
      <c r="T116" s="84"/>
      <c r="U116" s="27"/>
      <c r="V116" s="13"/>
      <c r="W116" s="67"/>
      <c r="X116" s="56"/>
      <c r="Y116" s="55"/>
      <c r="Z116" s="13"/>
      <c r="AA116" s="71"/>
      <c r="AB116" s="31"/>
      <c r="AC116" s="26">
        <f t="shared" si="5"/>
        <v>0</v>
      </c>
      <c r="AD116" s="25"/>
      <c r="AE116" s="25"/>
      <c r="AF116" s="13"/>
      <c r="AG116" s="13"/>
      <c r="AH116" s="13"/>
      <c r="AI116" s="2" t="s">
        <v>467</v>
      </c>
    </row>
    <row r="117" spans="1:35" ht="24" customHeight="1" x14ac:dyDescent="0.3">
      <c r="A117" s="65">
        <v>355</v>
      </c>
      <c r="B117" s="25"/>
      <c r="C117" s="25"/>
      <c r="D117" s="25"/>
      <c r="E117" s="30" t="str">
        <f t="shared" si="3"/>
        <v>--</v>
      </c>
      <c r="F117" s="13">
        <f>VLOOKUP(E117,'LISTA ITEMS'!$E$2:$G$875,2,FALSE)</f>
        <v>0</v>
      </c>
      <c r="G117" s="25">
        <f>VLOOKUP(E117,'LISTA ITEMS'!$E$2:$G$875,3,FALSE)</f>
        <v>0</v>
      </c>
      <c r="H117" s="76"/>
      <c r="I117" s="75">
        <v>0</v>
      </c>
      <c r="J117" s="27"/>
      <c r="K117" s="13"/>
      <c r="L117" s="67"/>
      <c r="M117" s="56"/>
      <c r="N117" s="55"/>
      <c r="O117" s="13"/>
      <c r="P117" s="71"/>
      <c r="Q117" s="31"/>
      <c r="R117" s="26">
        <f t="shared" si="4"/>
        <v>0</v>
      </c>
      <c r="S117" s="85"/>
      <c r="T117" s="84"/>
      <c r="U117" s="27"/>
      <c r="V117" s="13"/>
      <c r="W117" s="67"/>
      <c r="X117" s="56"/>
      <c r="Y117" s="55"/>
      <c r="Z117" s="13"/>
      <c r="AA117" s="71"/>
      <c r="AB117" s="31"/>
      <c r="AC117" s="26">
        <f t="shared" si="5"/>
        <v>0</v>
      </c>
      <c r="AD117" s="25"/>
      <c r="AE117" s="25"/>
      <c r="AF117" s="13"/>
      <c r="AG117" s="13"/>
      <c r="AH117" s="13"/>
    </row>
    <row r="118" spans="1:35" ht="30.6" customHeight="1" x14ac:dyDescent="0.3">
      <c r="A118" s="65">
        <v>356</v>
      </c>
      <c r="B118" s="25"/>
      <c r="C118" s="25"/>
      <c r="D118" s="25"/>
      <c r="E118" s="30" t="str">
        <f t="shared" si="3"/>
        <v>--</v>
      </c>
      <c r="F118" s="13">
        <f>VLOOKUP(E118,'LISTA ITEMS'!$E$2:$G$875,2,FALSE)</f>
        <v>0</v>
      </c>
      <c r="G118" s="25">
        <f>VLOOKUP(E118,'LISTA ITEMS'!$E$2:$G$875,3,FALSE)</f>
        <v>0</v>
      </c>
      <c r="H118" s="76"/>
      <c r="I118" s="75">
        <v>0</v>
      </c>
      <c r="J118" s="27"/>
      <c r="K118" s="13"/>
      <c r="L118" s="67"/>
      <c r="M118" s="56"/>
      <c r="N118" s="55"/>
      <c r="O118" s="13"/>
      <c r="P118" s="71"/>
      <c r="Q118" s="31"/>
      <c r="R118" s="26">
        <f t="shared" si="4"/>
        <v>0</v>
      </c>
      <c r="S118" s="85"/>
      <c r="T118" s="84"/>
      <c r="U118" s="27"/>
      <c r="V118" s="13"/>
      <c r="W118" s="67"/>
      <c r="X118" s="56"/>
      <c r="Y118" s="55"/>
      <c r="Z118" s="13"/>
      <c r="AA118" s="71"/>
      <c r="AB118" s="31"/>
      <c r="AC118" s="26">
        <f t="shared" si="5"/>
        <v>0</v>
      </c>
      <c r="AD118" s="25"/>
      <c r="AE118" s="25"/>
      <c r="AF118" s="13"/>
      <c r="AG118" s="13"/>
      <c r="AH118" s="13"/>
    </row>
    <row r="119" spans="1:35" x14ac:dyDescent="0.3">
      <c r="A119" s="65">
        <v>357</v>
      </c>
      <c r="B119" s="25"/>
      <c r="C119" s="25"/>
      <c r="D119" s="25"/>
      <c r="E119" s="30" t="str">
        <f t="shared" si="3"/>
        <v>--</v>
      </c>
      <c r="F119" s="13">
        <f>VLOOKUP(E119,'LISTA ITEMS'!$E$2:$G$875,2,FALSE)</f>
        <v>0</v>
      </c>
      <c r="G119" s="25">
        <f>VLOOKUP(E119,'LISTA ITEMS'!$E$2:$G$875,3,FALSE)</f>
        <v>0</v>
      </c>
      <c r="H119" s="76"/>
      <c r="I119" s="75">
        <v>0</v>
      </c>
      <c r="J119" s="27"/>
      <c r="K119" s="13"/>
      <c r="L119" s="67"/>
      <c r="M119" s="56"/>
      <c r="N119" s="55"/>
      <c r="O119" s="13"/>
      <c r="P119" s="71"/>
      <c r="Q119" s="31"/>
      <c r="R119" s="26">
        <f t="shared" si="4"/>
        <v>0</v>
      </c>
      <c r="S119" s="85"/>
      <c r="T119" s="84"/>
      <c r="U119" s="27"/>
      <c r="V119" s="13"/>
      <c r="W119" s="67"/>
      <c r="X119" s="56"/>
      <c r="Y119" s="55"/>
      <c r="Z119" s="13"/>
      <c r="AA119" s="71"/>
      <c r="AB119" s="31"/>
      <c r="AC119" s="26">
        <f t="shared" si="5"/>
        <v>0</v>
      </c>
      <c r="AD119" s="25"/>
      <c r="AE119" s="25"/>
      <c r="AF119" s="13"/>
      <c r="AG119" s="13"/>
      <c r="AH119" s="13"/>
    </row>
    <row r="120" spans="1:35" x14ac:dyDescent="0.3">
      <c r="A120" s="65">
        <v>358</v>
      </c>
      <c r="B120" s="25"/>
      <c r="C120" s="25"/>
      <c r="D120" s="25"/>
      <c r="E120" s="30" t="str">
        <f t="shared" si="3"/>
        <v>--</v>
      </c>
      <c r="F120" s="13">
        <f>VLOOKUP(E120,'LISTA ITEMS'!$E$2:$G$875,2,FALSE)</f>
        <v>0</v>
      </c>
      <c r="G120" s="25">
        <f>VLOOKUP(E120,'LISTA ITEMS'!$E$2:$G$875,3,FALSE)</f>
        <v>0</v>
      </c>
      <c r="H120" s="76"/>
      <c r="I120" s="75">
        <v>0</v>
      </c>
      <c r="J120" s="27"/>
      <c r="K120" s="13"/>
      <c r="L120" s="67"/>
      <c r="M120" s="56"/>
      <c r="N120" s="55"/>
      <c r="O120" s="13"/>
      <c r="P120" s="71"/>
      <c r="Q120" s="31"/>
      <c r="R120" s="26">
        <f t="shared" si="4"/>
        <v>0</v>
      </c>
      <c r="S120" s="85"/>
      <c r="T120" s="84"/>
      <c r="U120" s="27"/>
      <c r="V120" s="13"/>
      <c r="W120" s="67"/>
      <c r="X120" s="56"/>
      <c r="Y120" s="55"/>
      <c r="Z120" s="13"/>
      <c r="AA120" s="71"/>
      <c r="AB120" s="31"/>
      <c r="AC120" s="26">
        <f t="shared" si="5"/>
        <v>0</v>
      </c>
      <c r="AD120" s="25"/>
      <c r="AE120" s="25"/>
      <c r="AF120" s="13"/>
      <c r="AG120" s="13"/>
      <c r="AH120" s="13"/>
    </row>
    <row r="121" spans="1:35" x14ac:dyDescent="0.3">
      <c r="A121" s="65">
        <v>359</v>
      </c>
      <c r="B121" s="25"/>
      <c r="C121" s="25"/>
      <c r="D121" s="25"/>
      <c r="E121" s="30" t="str">
        <f t="shared" si="3"/>
        <v>--</v>
      </c>
      <c r="F121" s="13">
        <f>VLOOKUP(E121,'LISTA ITEMS'!$E$2:$G$875,2,FALSE)</f>
        <v>0</v>
      </c>
      <c r="G121" s="25">
        <f>VLOOKUP(E121,'LISTA ITEMS'!$E$2:$G$875,3,FALSE)</f>
        <v>0</v>
      </c>
      <c r="H121" s="76"/>
      <c r="I121" s="75">
        <v>0</v>
      </c>
      <c r="J121" s="27"/>
      <c r="K121" s="13"/>
      <c r="L121" s="67"/>
      <c r="M121" s="56"/>
      <c r="N121" s="55"/>
      <c r="O121" s="13"/>
      <c r="P121" s="71"/>
      <c r="Q121" s="31"/>
      <c r="R121" s="26">
        <f t="shared" si="4"/>
        <v>0</v>
      </c>
      <c r="S121" s="85"/>
      <c r="T121" s="84"/>
      <c r="U121" s="27"/>
      <c r="V121" s="13"/>
      <c r="W121" s="67"/>
      <c r="X121" s="56"/>
      <c r="Y121" s="55"/>
      <c r="Z121" s="13"/>
      <c r="AA121" s="71"/>
      <c r="AB121" s="31"/>
      <c r="AC121" s="26">
        <f t="shared" si="5"/>
        <v>0</v>
      </c>
      <c r="AD121" s="25"/>
      <c r="AE121" s="25"/>
      <c r="AF121" s="13"/>
      <c r="AG121" s="13"/>
      <c r="AH121" s="13"/>
    </row>
    <row r="122" spans="1:35" ht="21.6" customHeight="1" x14ac:dyDescent="0.3">
      <c r="A122" s="65">
        <v>360</v>
      </c>
      <c r="B122" s="25"/>
      <c r="C122" s="25"/>
      <c r="D122" s="25"/>
      <c r="E122" s="30" t="str">
        <f t="shared" si="3"/>
        <v>--</v>
      </c>
      <c r="F122" s="13">
        <f>VLOOKUP(E122,'LISTA ITEMS'!$E$2:$G$875,2,FALSE)</f>
        <v>0</v>
      </c>
      <c r="G122" s="25">
        <f>VLOOKUP(E122,'LISTA ITEMS'!$E$2:$G$875,3,FALSE)</f>
        <v>0</v>
      </c>
      <c r="H122" s="76"/>
      <c r="I122" s="75">
        <v>0</v>
      </c>
      <c r="J122" s="27"/>
      <c r="K122" s="13"/>
      <c r="L122" s="67"/>
      <c r="M122" s="56"/>
      <c r="N122" s="55"/>
      <c r="O122" s="13"/>
      <c r="P122" s="71"/>
      <c r="Q122" s="31"/>
      <c r="R122" s="26">
        <f t="shared" si="4"/>
        <v>0</v>
      </c>
      <c r="S122" s="85"/>
      <c r="T122" s="84"/>
      <c r="U122" s="27"/>
      <c r="V122" s="13"/>
      <c r="W122" s="67"/>
      <c r="X122" s="56"/>
      <c r="Y122" s="55"/>
      <c r="Z122" s="13"/>
      <c r="AA122" s="71"/>
      <c r="AB122" s="31"/>
      <c r="AC122" s="26">
        <f t="shared" si="5"/>
        <v>0</v>
      </c>
      <c r="AD122" s="25"/>
      <c r="AE122" s="25"/>
      <c r="AF122" s="13"/>
      <c r="AG122" s="13"/>
      <c r="AH122" s="13"/>
    </row>
    <row r="123" spans="1:35" ht="21.6" customHeight="1" x14ac:dyDescent="0.3">
      <c r="A123" s="65">
        <v>361</v>
      </c>
      <c r="B123" s="25"/>
      <c r="C123" s="25"/>
      <c r="D123" s="25"/>
      <c r="E123" s="30" t="str">
        <f t="shared" si="3"/>
        <v>--</v>
      </c>
      <c r="F123" s="13">
        <f>VLOOKUP(E123,'LISTA ITEMS'!$E$2:$G$875,2,FALSE)</f>
        <v>0</v>
      </c>
      <c r="G123" s="25">
        <f>VLOOKUP(E123,'LISTA ITEMS'!$E$2:$G$875,3,FALSE)</f>
        <v>0</v>
      </c>
      <c r="H123" s="76"/>
      <c r="I123" s="75">
        <v>0</v>
      </c>
      <c r="J123" s="27"/>
      <c r="K123" s="13"/>
      <c r="L123" s="67"/>
      <c r="M123" s="56"/>
      <c r="N123" s="55"/>
      <c r="O123" s="13"/>
      <c r="P123" s="71"/>
      <c r="Q123" s="31"/>
      <c r="R123" s="26">
        <f t="shared" si="4"/>
        <v>0</v>
      </c>
      <c r="S123" s="85"/>
      <c r="T123" s="84"/>
      <c r="U123" s="27"/>
      <c r="V123" s="13"/>
      <c r="W123" s="67"/>
      <c r="X123" s="56"/>
      <c r="Y123" s="55"/>
      <c r="Z123" s="13"/>
      <c r="AA123" s="71"/>
      <c r="AB123" s="31"/>
      <c r="AC123" s="26">
        <f t="shared" si="5"/>
        <v>0</v>
      </c>
      <c r="AD123" s="25"/>
      <c r="AE123" s="25"/>
      <c r="AF123" s="13"/>
      <c r="AG123" s="13"/>
      <c r="AH123" s="13"/>
    </row>
    <row r="124" spans="1:35" x14ac:dyDescent="0.3">
      <c r="A124" s="65">
        <v>362</v>
      </c>
      <c r="B124" s="25"/>
      <c r="C124" s="25"/>
      <c r="D124" s="25"/>
      <c r="E124" s="30" t="str">
        <f t="shared" si="3"/>
        <v>--</v>
      </c>
      <c r="F124" s="13">
        <f>VLOOKUP(E124,'LISTA ITEMS'!$E$2:$G$875,2,FALSE)</f>
        <v>0</v>
      </c>
      <c r="G124" s="25">
        <f>VLOOKUP(E124,'LISTA ITEMS'!$E$2:$G$875,3,FALSE)</f>
        <v>0</v>
      </c>
      <c r="H124" s="76"/>
      <c r="I124" s="75">
        <v>0</v>
      </c>
      <c r="J124" s="27"/>
      <c r="K124" s="13"/>
      <c r="L124" s="67"/>
      <c r="M124" s="56"/>
      <c r="N124" s="55"/>
      <c r="O124" s="13"/>
      <c r="P124" s="71"/>
      <c r="Q124" s="31"/>
      <c r="R124" s="26">
        <f t="shared" si="4"/>
        <v>0</v>
      </c>
      <c r="S124" s="85"/>
      <c r="T124" s="84"/>
      <c r="U124" s="27"/>
      <c r="V124" s="13"/>
      <c r="W124" s="67"/>
      <c r="X124" s="56"/>
      <c r="Y124" s="55"/>
      <c r="Z124" s="13"/>
      <c r="AA124" s="71"/>
      <c r="AB124" s="31"/>
      <c r="AC124" s="26">
        <f t="shared" si="5"/>
        <v>0</v>
      </c>
      <c r="AD124" s="25"/>
      <c r="AE124" s="25"/>
      <c r="AF124" s="13"/>
      <c r="AG124" s="13"/>
      <c r="AH124" s="13"/>
    </row>
    <row r="125" spans="1:35" ht="26.4" customHeight="1" x14ac:dyDescent="0.3">
      <c r="A125" s="65">
        <v>363</v>
      </c>
      <c r="B125" s="25"/>
      <c r="C125" s="25"/>
      <c r="D125" s="25"/>
      <c r="E125" s="30" t="str">
        <f t="shared" si="3"/>
        <v>--</v>
      </c>
      <c r="F125" s="13">
        <f>VLOOKUP(E125,'LISTA ITEMS'!$E$2:$G$875,2,FALSE)</f>
        <v>0</v>
      </c>
      <c r="G125" s="25">
        <f>VLOOKUP(E125,'LISTA ITEMS'!$E$2:$G$875,3,FALSE)</f>
        <v>0</v>
      </c>
      <c r="H125" s="76"/>
      <c r="I125" s="75">
        <v>0</v>
      </c>
      <c r="J125" s="27"/>
      <c r="K125" s="13"/>
      <c r="L125" s="67"/>
      <c r="M125" s="56"/>
      <c r="N125" s="55"/>
      <c r="O125" s="13"/>
      <c r="P125" s="71"/>
      <c r="Q125" s="31"/>
      <c r="R125" s="26">
        <f t="shared" si="4"/>
        <v>0</v>
      </c>
      <c r="S125" s="85"/>
      <c r="T125" s="84"/>
      <c r="U125" s="27"/>
      <c r="V125" s="13"/>
      <c r="W125" s="67"/>
      <c r="X125" s="56"/>
      <c r="Y125" s="55"/>
      <c r="Z125" s="13"/>
      <c r="AA125" s="71"/>
      <c r="AB125" s="31"/>
      <c r="AC125" s="26">
        <f t="shared" si="5"/>
        <v>0</v>
      </c>
      <c r="AD125" s="25"/>
      <c r="AE125" s="25"/>
      <c r="AF125" s="13"/>
      <c r="AG125" s="13"/>
      <c r="AH125" s="13"/>
    </row>
    <row r="126" spans="1:35" ht="26.4" customHeight="1" x14ac:dyDescent="0.3">
      <c r="A126" s="65">
        <v>364</v>
      </c>
      <c r="B126" s="25"/>
      <c r="C126" s="25"/>
      <c r="D126" s="25"/>
      <c r="E126" s="30" t="str">
        <f t="shared" si="3"/>
        <v>--</v>
      </c>
      <c r="F126" s="13">
        <f>VLOOKUP(E126,'LISTA ITEMS'!$E$2:$G$875,2,FALSE)</f>
        <v>0</v>
      </c>
      <c r="G126" s="25">
        <f>VLOOKUP(E126,'LISTA ITEMS'!$E$2:$G$875,3,FALSE)</f>
        <v>0</v>
      </c>
      <c r="H126" s="76"/>
      <c r="I126" s="75">
        <v>0</v>
      </c>
      <c r="J126" s="27"/>
      <c r="K126" s="13"/>
      <c r="L126" s="67"/>
      <c r="M126" s="56"/>
      <c r="N126" s="55"/>
      <c r="O126" s="13"/>
      <c r="P126" s="71"/>
      <c r="Q126" s="31"/>
      <c r="R126" s="26">
        <f t="shared" si="4"/>
        <v>0</v>
      </c>
      <c r="S126" s="85"/>
      <c r="T126" s="84"/>
      <c r="U126" s="27"/>
      <c r="V126" s="13"/>
      <c r="W126" s="67"/>
      <c r="X126" s="56"/>
      <c r="Y126" s="55"/>
      <c r="Z126" s="13"/>
      <c r="AA126" s="71"/>
      <c r="AB126" s="31"/>
      <c r="AC126" s="26">
        <f t="shared" si="5"/>
        <v>0</v>
      </c>
      <c r="AD126" s="25"/>
      <c r="AE126" s="25"/>
      <c r="AF126" s="13"/>
      <c r="AG126" s="13"/>
      <c r="AH126" s="13"/>
    </row>
    <row r="127" spans="1:35" x14ac:dyDescent="0.3">
      <c r="A127" s="65">
        <v>365</v>
      </c>
      <c r="B127" s="25"/>
      <c r="C127" s="25"/>
      <c r="D127" s="25"/>
      <c r="E127" s="30" t="str">
        <f t="shared" si="3"/>
        <v>--</v>
      </c>
      <c r="F127" s="13">
        <f>VLOOKUP(E127,'LISTA ITEMS'!$E$2:$G$875,2,FALSE)</f>
        <v>0</v>
      </c>
      <c r="G127" s="25">
        <f>VLOOKUP(E127,'LISTA ITEMS'!$E$2:$G$875,3,FALSE)</f>
        <v>0</v>
      </c>
      <c r="H127" s="76"/>
      <c r="I127" s="75">
        <v>0</v>
      </c>
      <c r="J127" s="27"/>
      <c r="K127" s="13"/>
      <c r="L127" s="67"/>
      <c r="M127" s="56"/>
      <c r="N127" s="55"/>
      <c r="O127" s="13"/>
      <c r="P127" s="71"/>
      <c r="Q127" s="31"/>
      <c r="R127" s="26">
        <f t="shared" si="4"/>
        <v>0</v>
      </c>
      <c r="S127" s="85"/>
      <c r="T127" s="84"/>
      <c r="U127" s="27"/>
      <c r="V127" s="13"/>
      <c r="W127" s="67"/>
      <c r="X127" s="56"/>
      <c r="Y127" s="55"/>
      <c r="Z127" s="13"/>
      <c r="AA127" s="71"/>
      <c r="AB127" s="31"/>
      <c r="AC127" s="26">
        <f t="shared" si="5"/>
        <v>0</v>
      </c>
      <c r="AD127" s="25"/>
      <c r="AE127" s="25"/>
      <c r="AF127" s="13"/>
      <c r="AG127" s="13"/>
      <c r="AH127" s="13"/>
      <c r="AI127" s="2" t="s">
        <v>467</v>
      </c>
    </row>
    <row r="128" spans="1:35" x14ac:dyDescent="0.3">
      <c r="A128" s="65">
        <v>366</v>
      </c>
      <c r="B128" s="25"/>
      <c r="C128" s="25"/>
      <c r="D128" s="25"/>
      <c r="E128" s="30" t="str">
        <f t="shared" si="3"/>
        <v>--</v>
      </c>
      <c r="F128" s="13">
        <f>VLOOKUP(E128,'LISTA ITEMS'!$E$2:$G$875,2,FALSE)</f>
        <v>0</v>
      </c>
      <c r="G128" s="25">
        <f>VLOOKUP(E128,'LISTA ITEMS'!$E$2:$G$875,3,FALSE)</f>
        <v>0</v>
      </c>
      <c r="H128" s="76"/>
      <c r="I128" s="75">
        <v>0</v>
      </c>
      <c r="J128" s="27"/>
      <c r="K128" s="13"/>
      <c r="L128" s="67"/>
      <c r="M128" s="56"/>
      <c r="N128" s="55"/>
      <c r="O128" s="13"/>
      <c r="P128" s="71"/>
      <c r="Q128" s="31"/>
      <c r="R128" s="26">
        <f t="shared" si="4"/>
        <v>0</v>
      </c>
      <c r="S128" s="85"/>
      <c r="T128" s="84"/>
      <c r="U128" s="27"/>
      <c r="V128" s="13"/>
      <c r="W128" s="67"/>
      <c r="X128" s="56"/>
      <c r="Y128" s="55"/>
      <c r="Z128" s="13"/>
      <c r="AA128" s="71"/>
      <c r="AB128" s="31"/>
      <c r="AC128" s="26">
        <f t="shared" si="5"/>
        <v>0</v>
      </c>
      <c r="AD128" s="25"/>
      <c r="AE128" s="25"/>
      <c r="AF128" s="13"/>
      <c r="AG128" s="13"/>
      <c r="AH128" s="13"/>
      <c r="AI128" s="2" t="s">
        <v>467</v>
      </c>
    </row>
    <row r="129" spans="1:35" ht="26.4" customHeight="1" x14ac:dyDescent="0.3">
      <c r="A129" s="65">
        <v>367</v>
      </c>
      <c r="B129" s="25"/>
      <c r="C129" s="25"/>
      <c r="D129" s="25"/>
      <c r="E129" s="30" t="str">
        <f t="shared" si="3"/>
        <v>--</v>
      </c>
      <c r="F129" s="13">
        <f>VLOOKUP(E129,'LISTA ITEMS'!$E$2:$G$875,2,FALSE)</f>
        <v>0</v>
      </c>
      <c r="G129" s="25">
        <f>VLOOKUP(E129,'LISTA ITEMS'!$E$2:$G$875,3,FALSE)</f>
        <v>0</v>
      </c>
      <c r="H129" s="76"/>
      <c r="I129" s="75">
        <v>0</v>
      </c>
      <c r="J129" s="27"/>
      <c r="K129" s="13"/>
      <c r="L129" s="67"/>
      <c r="M129" s="56"/>
      <c r="N129" s="55"/>
      <c r="O129" s="13"/>
      <c r="P129" s="71"/>
      <c r="Q129" s="31"/>
      <c r="R129" s="26">
        <f t="shared" si="4"/>
        <v>0</v>
      </c>
      <c r="S129" s="85"/>
      <c r="T129" s="84"/>
      <c r="U129" s="27"/>
      <c r="V129" s="13"/>
      <c r="W129" s="67"/>
      <c r="X129" s="56"/>
      <c r="Y129" s="55"/>
      <c r="Z129" s="13"/>
      <c r="AA129" s="71"/>
      <c r="AB129" s="31"/>
      <c r="AC129" s="26">
        <f t="shared" si="5"/>
        <v>0</v>
      </c>
      <c r="AD129" s="25"/>
      <c r="AE129" s="25"/>
      <c r="AF129" s="13"/>
      <c r="AG129" s="13"/>
      <c r="AH129" s="13"/>
      <c r="AI129" s="2" t="s">
        <v>467</v>
      </c>
    </row>
    <row r="130" spans="1:35" ht="26.4" customHeight="1" x14ac:dyDescent="0.3">
      <c r="A130" s="65">
        <v>368</v>
      </c>
      <c r="B130" s="25"/>
      <c r="C130" s="25"/>
      <c r="D130" s="25"/>
      <c r="E130" s="30" t="str">
        <f t="shared" si="3"/>
        <v>--</v>
      </c>
      <c r="F130" s="13">
        <f>VLOOKUP(E130,'LISTA ITEMS'!$E$2:$G$875,2,FALSE)</f>
        <v>0</v>
      </c>
      <c r="G130" s="25">
        <f>VLOOKUP(E130,'LISTA ITEMS'!$E$2:$G$875,3,FALSE)</f>
        <v>0</v>
      </c>
      <c r="H130" s="76"/>
      <c r="I130" s="75">
        <v>0</v>
      </c>
      <c r="J130" s="27"/>
      <c r="K130" s="13"/>
      <c r="L130" s="67"/>
      <c r="M130" s="56"/>
      <c r="N130" s="55"/>
      <c r="O130" s="13"/>
      <c r="P130" s="71"/>
      <c r="Q130" s="31"/>
      <c r="R130" s="26">
        <f t="shared" si="4"/>
        <v>0</v>
      </c>
      <c r="S130" s="85"/>
      <c r="T130" s="84"/>
      <c r="U130" s="27"/>
      <c r="V130" s="13"/>
      <c r="W130" s="67"/>
      <c r="X130" s="56"/>
      <c r="Y130" s="55"/>
      <c r="Z130" s="13"/>
      <c r="AA130" s="71"/>
      <c r="AB130" s="31"/>
      <c r="AC130" s="26">
        <f t="shared" si="5"/>
        <v>0</v>
      </c>
      <c r="AD130" s="25"/>
      <c r="AE130" s="25"/>
      <c r="AF130" s="13"/>
      <c r="AG130" s="13"/>
      <c r="AH130" s="13"/>
      <c r="AI130" s="2" t="s">
        <v>467</v>
      </c>
    </row>
    <row r="131" spans="1:35" x14ac:dyDescent="0.3">
      <c r="A131" s="65">
        <v>369</v>
      </c>
      <c r="B131" s="25"/>
      <c r="C131" s="25"/>
      <c r="D131" s="25"/>
      <c r="E131" s="30" t="str">
        <f t="shared" si="3"/>
        <v>--</v>
      </c>
      <c r="F131" s="13">
        <f>VLOOKUP(E131,'LISTA ITEMS'!$E$2:$G$875,2,FALSE)</f>
        <v>0</v>
      </c>
      <c r="G131" s="25">
        <f>VLOOKUP(E131,'LISTA ITEMS'!$E$2:$G$875,3,FALSE)</f>
        <v>0</v>
      </c>
      <c r="H131" s="76"/>
      <c r="I131" s="75">
        <v>0</v>
      </c>
      <c r="J131" s="27"/>
      <c r="K131" s="13"/>
      <c r="L131" s="67"/>
      <c r="M131" s="56"/>
      <c r="N131" s="55"/>
      <c r="O131" s="13"/>
      <c r="P131" s="71"/>
      <c r="Q131" s="31"/>
      <c r="R131" s="26">
        <f t="shared" si="4"/>
        <v>0</v>
      </c>
      <c r="S131" s="85"/>
      <c r="T131" s="84"/>
      <c r="U131" s="27"/>
      <c r="V131" s="13"/>
      <c r="W131" s="67"/>
      <c r="X131" s="56"/>
      <c r="Y131" s="55"/>
      <c r="Z131" s="13"/>
      <c r="AA131" s="71"/>
      <c r="AB131" s="31"/>
      <c r="AC131" s="26">
        <f t="shared" si="5"/>
        <v>0</v>
      </c>
      <c r="AD131" s="25"/>
      <c r="AE131" s="25"/>
      <c r="AF131" s="13"/>
      <c r="AG131" s="13"/>
      <c r="AH131" s="13"/>
      <c r="AI131" s="2" t="s">
        <v>467</v>
      </c>
    </row>
    <row r="132" spans="1:35" x14ac:dyDescent="0.3">
      <c r="A132" s="65">
        <v>370</v>
      </c>
      <c r="B132" s="25"/>
      <c r="C132" s="25"/>
      <c r="D132" s="25"/>
      <c r="E132" s="30" t="str">
        <f t="shared" ref="E132:E195" si="6">CONCATENATE(B132,"-",C132,"-",D132)</f>
        <v>--</v>
      </c>
      <c r="F132" s="13">
        <f>VLOOKUP(E132,'LISTA ITEMS'!$E$2:$G$875,2,FALSE)</f>
        <v>0</v>
      </c>
      <c r="G132" s="25">
        <f>VLOOKUP(E132,'LISTA ITEMS'!$E$2:$G$875,3,FALSE)</f>
        <v>0</v>
      </c>
      <c r="H132" s="76"/>
      <c r="I132" s="75">
        <v>0</v>
      </c>
      <c r="J132" s="27"/>
      <c r="K132" s="13"/>
      <c r="L132" s="67"/>
      <c r="M132" s="56"/>
      <c r="N132" s="55"/>
      <c r="O132" s="13"/>
      <c r="P132" s="71"/>
      <c r="Q132" s="31"/>
      <c r="R132" s="26">
        <f t="shared" ref="R132:R195" si="7">+I132+L132+N132-P132</f>
        <v>0</v>
      </c>
      <c r="S132" s="85"/>
      <c r="T132" s="84"/>
      <c r="U132" s="27"/>
      <c r="V132" s="13"/>
      <c r="W132" s="67"/>
      <c r="X132" s="56"/>
      <c r="Y132" s="55"/>
      <c r="Z132" s="13"/>
      <c r="AA132" s="71"/>
      <c r="AB132" s="31"/>
      <c r="AC132" s="26">
        <f t="shared" ref="AC132:AC195" si="8">+R132+W132+Y132-AA132</f>
        <v>0</v>
      </c>
      <c r="AD132" s="25"/>
      <c r="AE132" s="25"/>
      <c r="AF132" s="13"/>
      <c r="AG132" s="13"/>
      <c r="AH132" s="13"/>
      <c r="AI132" s="2" t="s">
        <v>467</v>
      </c>
    </row>
    <row r="133" spans="1:35" x14ac:dyDescent="0.3">
      <c r="A133" s="65">
        <v>371</v>
      </c>
      <c r="B133" s="25"/>
      <c r="C133" s="25"/>
      <c r="D133" s="25"/>
      <c r="E133" s="30" t="str">
        <f t="shared" si="6"/>
        <v>--</v>
      </c>
      <c r="F133" s="13">
        <f>VLOOKUP(E133,'LISTA ITEMS'!$E$2:$G$875,2,FALSE)</f>
        <v>0</v>
      </c>
      <c r="G133" s="25">
        <f>VLOOKUP(E133,'LISTA ITEMS'!$E$2:$G$875,3,FALSE)</f>
        <v>0</v>
      </c>
      <c r="H133" s="76"/>
      <c r="I133" s="75">
        <v>0</v>
      </c>
      <c r="J133" s="27"/>
      <c r="K133" s="13"/>
      <c r="L133" s="67"/>
      <c r="M133" s="56"/>
      <c r="N133" s="55"/>
      <c r="O133" s="13"/>
      <c r="P133" s="71"/>
      <c r="Q133" s="31"/>
      <c r="R133" s="26">
        <f t="shared" si="7"/>
        <v>0</v>
      </c>
      <c r="S133" s="85"/>
      <c r="T133" s="84"/>
      <c r="U133" s="27"/>
      <c r="V133" s="13"/>
      <c r="W133" s="67"/>
      <c r="X133" s="56"/>
      <c r="Y133" s="55"/>
      <c r="Z133" s="13"/>
      <c r="AA133" s="71"/>
      <c r="AB133" s="31"/>
      <c r="AC133" s="26">
        <f t="shared" si="8"/>
        <v>0</v>
      </c>
      <c r="AD133" s="25"/>
      <c r="AE133" s="25"/>
      <c r="AF133" s="13"/>
      <c r="AG133" s="13"/>
      <c r="AH133" s="13"/>
    </row>
    <row r="134" spans="1:35" x14ac:dyDescent="0.3">
      <c r="A134" s="65">
        <v>372</v>
      </c>
      <c r="B134" s="25"/>
      <c r="C134" s="25"/>
      <c r="D134" s="25"/>
      <c r="E134" s="30" t="str">
        <f t="shared" si="6"/>
        <v>--</v>
      </c>
      <c r="F134" s="13">
        <f>VLOOKUP(E134,'LISTA ITEMS'!$E$2:$G$875,2,FALSE)</f>
        <v>0</v>
      </c>
      <c r="G134" s="25">
        <f>VLOOKUP(E134,'LISTA ITEMS'!$E$2:$G$875,3,FALSE)</f>
        <v>0</v>
      </c>
      <c r="H134" s="76"/>
      <c r="I134" s="75">
        <v>0</v>
      </c>
      <c r="J134" s="27"/>
      <c r="K134" s="13"/>
      <c r="L134" s="67"/>
      <c r="M134" s="56"/>
      <c r="N134" s="55"/>
      <c r="O134" s="13"/>
      <c r="P134" s="71"/>
      <c r="Q134" s="31"/>
      <c r="R134" s="26">
        <f t="shared" si="7"/>
        <v>0</v>
      </c>
      <c r="S134" s="85"/>
      <c r="T134" s="84"/>
      <c r="U134" s="27"/>
      <c r="V134" s="13"/>
      <c r="W134" s="67"/>
      <c r="X134" s="56"/>
      <c r="Y134" s="55"/>
      <c r="Z134" s="13"/>
      <c r="AA134" s="71"/>
      <c r="AB134" s="31"/>
      <c r="AC134" s="26">
        <f t="shared" si="8"/>
        <v>0</v>
      </c>
      <c r="AD134" s="25"/>
      <c r="AE134" s="25"/>
      <c r="AF134" s="13"/>
      <c r="AG134" s="13"/>
      <c r="AH134" s="13"/>
    </row>
    <row r="135" spans="1:35" ht="22.2" customHeight="1" x14ac:dyDescent="0.3">
      <c r="A135" s="65">
        <v>373</v>
      </c>
      <c r="B135" s="25"/>
      <c r="C135" s="25"/>
      <c r="D135" s="25"/>
      <c r="E135" s="30" t="str">
        <f t="shared" si="6"/>
        <v>--</v>
      </c>
      <c r="F135" s="13">
        <f>VLOOKUP(E135,'LISTA ITEMS'!$E$2:$G$875,2,FALSE)</f>
        <v>0</v>
      </c>
      <c r="G135" s="25">
        <f>VLOOKUP(E135,'LISTA ITEMS'!$E$2:$G$875,3,FALSE)</f>
        <v>0</v>
      </c>
      <c r="H135" s="76"/>
      <c r="I135" s="75">
        <v>0</v>
      </c>
      <c r="J135" s="27"/>
      <c r="K135" s="13"/>
      <c r="L135" s="67"/>
      <c r="M135" s="56"/>
      <c r="N135" s="55"/>
      <c r="O135" s="13"/>
      <c r="P135" s="71"/>
      <c r="Q135" s="31"/>
      <c r="R135" s="26">
        <f t="shared" si="7"/>
        <v>0</v>
      </c>
      <c r="S135" s="85"/>
      <c r="T135" s="84"/>
      <c r="U135" s="27"/>
      <c r="V135" s="13"/>
      <c r="W135" s="67"/>
      <c r="X135" s="56"/>
      <c r="Y135" s="55"/>
      <c r="Z135" s="13"/>
      <c r="AA135" s="71"/>
      <c r="AB135" s="31"/>
      <c r="AC135" s="26">
        <f t="shared" si="8"/>
        <v>0</v>
      </c>
      <c r="AD135" s="25"/>
      <c r="AE135" s="25"/>
      <c r="AF135" s="13"/>
      <c r="AG135" s="13"/>
      <c r="AH135" s="13"/>
    </row>
    <row r="136" spans="1:35" ht="22.2" customHeight="1" x14ac:dyDescent="0.3">
      <c r="A136" s="65">
        <v>374</v>
      </c>
      <c r="B136" s="25"/>
      <c r="C136" s="25"/>
      <c r="D136" s="25"/>
      <c r="E136" s="30" t="str">
        <f t="shared" si="6"/>
        <v>--</v>
      </c>
      <c r="F136" s="13">
        <f>VLOOKUP(E136,'LISTA ITEMS'!$E$2:$G$875,2,FALSE)</f>
        <v>0</v>
      </c>
      <c r="G136" s="25">
        <f>VLOOKUP(E136,'LISTA ITEMS'!$E$2:$G$875,3,FALSE)</f>
        <v>0</v>
      </c>
      <c r="H136" s="76"/>
      <c r="I136" s="75">
        <v>0</v>
      </c>
      <c r="J136" s="27"/>
      <c r="K136" s="13"/>
      <c r="L136" s="67"/>
      <c r="M136" s="56"/>
      <c r="N136" s="55"/>
      <c r="O136" s="13"/>
      <c r="P136" s="71"/>
      <c r="Q136" s="31"/>
      <c r="R136" s="26">
        <f t="shared" si="7"/>
        <v>0</v>
      </c>
      <c r="S136" s="85"/>
      <c r="T136" s="84"/>
      <c r="U136" s="27"/>
      <c r="V136" s="13"/>
      <c r="W136" s="67"/>
      <c r="X136" s="56"/>
      <c r="Y136" s="55"/>
      <c r="Z136" s="13"/>
      <c r="AA136" s="71"/>
      <c r="AB136" s="31"/>
      <c r="AC136" s="26">
        <f t="shared" si="8"/>
        <v>0</v>
      </c>
      <c r="AD136" s="25"/>
      <c r="AE136" s="25"/>
      <c r="AF136" s="13"/>
      <c r="AG136" s="13"/>
      <c r="AH136" s="13"/>
    </row>
    <row r="137" spans="1:35" x14ac:dyDescent="0.3">
      <c r="A137" s="65">
        <v>375</v>
      </c>
      <c r="B137" s="25"/>
      <c r="C137" s="25"/>
      <c r="D137" s="25"/>
      <c r="E137" s="30" t="str">
        <f t="shared" si="6"/>
        <v>--</v>
      </c>
      <c r="F137" s="13">
        <f>VLOOKUP(E137,'LISTA ITEMS'!$E$2:$G$875,2,FALSE)</f>
        <v>0</v>
      </c>
      <c r="G137" s="25">
        <f>VLOOKUP(E137,'LISTA ITEMS'!$E$2:$G$875,3,FALSE)</f>
        <v>0</v>
      </c>
      <c r="H137" s="76"/>
      <c r="I137" s="75">
        <v>0</v>
      </c>
      <c r="J137" s="27"/>
      <c r="K137" s="13"/>
      <c r="L137" s="67"/>
      <c r="M137" s="56"/>
      <c r="N137" s="55"/>
      <c r="O137" s="13"/>
      <c r="P137" s="71"/>
      <c r="Q137" s="31"/>
      <c r="R137" s="26">
        <f t="shared" si="7"/>
        <v>0</v>
      </c>
      <c r="S137" s="85"/>
      <c r="T137" s="84"/>
      <c r="U137" s="27"/>
      <c r="V137" s="13"/>
      <c r="W137" s="67"/>
      <c r="X137" s="56"/>
      <c r="Y137" s="55"/>
      <c r="Z137" s="13"/>
      <c r="AA137" s="71"/>
      <c r="AB137" s="31"/>
      <c r="AC137" s="26">
        <f t="shared" si="8"/>
        <v>0</v>
      </c>
      <c r="AD137" s="25"/>
      <c r="AE137" s="25"/>
      <c r="AF137" s="13"/>
      <c r="AG137" s="13"/>
      <c r="AH137" s="13"/>
    </row>
    <row r="138" spans="1:35" x14ac:dyDescent="0.3">
      <c r="A138" s="65">
        <v>376</v>
      </c>
      <c r="B138" s="25"/>
      <c r="C138" s="25"/>
      <c r="D138" s="25"/>
      <c r="E138" s="30" t="str">
        <f t="shared" si="6"/>
        <v>--</v>
      </c>
      <c r="F138" s="13">
        <f>VLOOKUP(E138,'LISTA ITEMS'!$E$2:$G$875,2,FALSE)</f>
        <v>0</v>
      </c>
      <c r="G138" s="25">
        <f>VLOOKUP(E138,'LISTA ITEMS'!$E$2:$G$875,3,FALSE)</f>
        <v>0</v>
      </c>
      <c r="H138" s="76"/>
      <c r="I138" s="75">
        <v>0</v>
      </c>
      <c r="J138" s="27"/>
      <c r="K138" s="13"/>
      <c r="L138" s="67"/>
      <c r="M138" s="56"/>
      <c r="N138" s="55"/>
      <c r="O138" s="13"/>
      <c r="P138" s="71"/>
      <c r="Q138" s="31"/>
      <c r="R138" s="26">
        <f t="shared" si="7"/>
        <v>0</v>
      </c>
      <c r="S138" s="85"/>
      <c r="T138" s="84"/>
      <c r="U138" s="27"/>
      <c r="V138" s="13"/>
      <c r="W138" s="67"/>
      <c r="X138" s="56"/>
      <c r="Y138" s="55"/>
      <c r="Z138" s="13"/>
      <c r="AA138" s="71"/>
      <c r="AB138" s="31"/>
      <c r="AC138" s="26">
        <f t="shared" si="8"/>
        <v>0</v>
      </c>
      <c r="AD138" s="25"/>
      <c r="AE138" s="25"/>
      <c r="AF138" s="13"/>
      <c r="AG138" s="13"/>
      <c r="AH138" s="13"/>
    </row>
    <row r="139" spans="1:35" x14ac:dyDescent="0.3">
      <c r="A139" s="65">
        <v>377</v>
      </c>
      <c r="B139" s="25"/>
      <c r="C139" s="25"/>
      <c r="D139" s="25"/>
      <c r="E139" s="30" t="str">
        <f t="shared" si="6"/>
        <v>--</v>
      </c>
      <c r="F139" s="13">
        <f>VLOOKUP(E139,'LISTA ITEMS'!$E$2:$G$875,2,FALSE)</f>
        <v>0</v>
      </c>
      <c r="G139" s="25">
        <f>VLOOKUP(E139,'LISTA ITEMS'!$E$2:$G$875,3,FALSE)</f>
        <v>0</v>
      </c>
      <c r="H139" s="76"/>
      <c r="I139" s="75">
        <v>0</v>
      </c>
      <c r="J139" s="27"/>
      <c r="K139" s="13"/>
      <c r="L139" s="67"/>
      <c r="M139" s="56"/>
      <c r="N139" s="55"/>
      <c r="O139" s="13"/>
      <c r="P139" s="71"/>
      <c r="Q139" s="31"/>
      <c r="R139" s="26">
        <f t="shared" si="7"/>
        <v>0</v>
      </c>
      <c r="S139" s="85"/>
      <c r="T139" s="84"/>
      <c r="U139" s="27"/>
      <c r="V139" s="13"/>
      <c r="W139" s="67"/>
      <c r="X139" s="56"/>
      <c r="Y139" s="55"/>
      <c r="Z139" s="13"/>
      <c r="AA139" s="71"/>
      <c r="AB139" s="31"/>
      <c r="AC139" s="26">
        <f t="shared" si="8"/>
        <v>0</v>
      </c>
      <c r="AD139" s="25"/>
      <c r="AE139" s="25"/>
      <c r="AF139" s="13"/>
      <c r="AG139" s="13"/>
      <c r="AH139" s="13"/>
    </row>
    <row r="140" spans="1:35" x14ac:dyDescent="0.3">
      <c r="A140" s="65">
        <v>378</v>
      </c>
      <c r="B140" s="25"/>
      <c r="C140" s="25"/>
      <c r="D140" s="25"/>
      <c r="E140" s="30" t="str">
        <f t="shared" si="6"/>
        <v>--</v>
      </c>
      <c r="F140" s="13">
        <f>VLOOKUP(E140,'LISTA ITEMS'!$E$2:$G$875,2,FALSE)</f>
        <v>0</v>
      </c>
      <c r="G140" s="25">
        <f>VLOOKUP(E140,'LISTA ITEMS'!$E$2:$G$875,3,FALSE)</f>
        <v>0</v>
      </c>
      <c r="H140" s="76"/>
      <c r="I140" s="75">
        <v>0</v>
      </c>
      <c r="J140" s="27"/>
      <c r="K140" s="13"/>
      <c r="L140" s="67"/>
      <c r="M140" s="56"/>
      <c r="N140" s="55"/>
      <c r="O140" s="13"/>
      <c r="P140" s="71"/>
      <c r="Q140" s="31"/>
      <c r="R140" s="26">
        <f t="shared" si="7"/>
        <v>0</v>
      </c>
      <c r="S140" s="85"/>
      <c r="T140" s="84"/>
      <c r="U140" s="27"/>
      <c r="V140" s="13"/>
      <c r="W140" s="67"/>
      <c r="X140" s="56"/>
      <c r="Y140" s="55"/>
      <c r="Z140" s="13"/>
      <c r="AA140" s="71"/>
      <c r="AB140" s="31"/>
      <c r="AC140" s="26">
        <f t="shared" si="8"/>
        <v>0</v>
      </c>
      <c r="AD140" s="25"/>
      <c r="AE140" s="25"/>
      <c r="AF140" s="13"/>
      <c r="AG140" s="13"/>
      <c r="AH140" s="13"/>
    </row>
    <row r="141" spans="1:35" ht="29.4" customHeight="1" x14ac:dyDescent="0.3">
      <c r="A141" s="65">
        <v>379</v>
      </c>
      <c r="B141" s="25"/>
      <c r="C141" s="25"/>
      <c r="D141" s="25"/>
      <c r="E141" s="30" t="str">
        <f t="shared" si="6"/>
        <v>--</v>
      </c>
      <c r="F141" s="13">
        <f>VLOOKUP(E141,'LISTA ITEMS'!$E$2:$G$875,2,FALSE)</f>
        <v>0</v>
      </c>
      <c r="G141" s="25">
        <f>VLOOKUP(E141,'LISTA ITEMS'!$E$2:$G$875,3,FALSE)</f>
        <v>0</v>
      </c>
      <c r="H141" s="76"/>
      <c r="I141" s="75">
        <v>0</v>
      </c>
      <c r="J141" s="27"/>
      <c r="K141" s="13"/>
      <c r="L141" s="67"/>
      <c r="M141" s="56"/>
      <c r="N141" s="55"/>
      <c r="O141" s="13"/>
      <c r="P141" s="71"/>
      <c r="Q141" s="31"/>
      <c r="R141" s="26">
        <f t="shared" si="7"/>
        <v>0</v>
      </c>
      <c r="S141" s="85"/>
      <c r="T141" s="84"/>
      <c r="U141" s="27"/>
      <c r="V141" s="13"/>
      <c r="W141" s="67"/>
      <c r="X141" s="56"/>
      <c r="Y141" s="55"/>
      <c r="Z141" s="13"/>
      <c r="AA141" s="71"/>
      <c r="AB141" s="31"/>
      <c r="AC141" s="26">
        <f t="shared" si="8"/>
        <v>0</v>
      </c>
      <c r="AD141" s="25"/>
      <c r="AE141" s="25"/>
      <c r="AF141" s="13"/>
      <c r="AG141" s="13"/>
      <c r="AH141" s="13"/>
    </row>
    <row r="142" spans="1:35" ht="29.4" customHeight="1" x14ac:dyDescent="0.3">
      <c r="A142" s="65">
        <v>380</v>
      </c>
      <c r="B142" s="25"/>
      <c r="C142" s="25"/>
      <c r="D142" s="25"/>
      <c r="E142" s="30" t="str">
        <f t="shared" si="6"/>
        <v>--</v>
      </c>
      <c r="F142" s="13">
        <f>VLOOKUP(E142,'LISTA ITEMS'!$E$2:$G$875,2,FALSE)</f>
        <v>0</v>
      </c>
      <c r="G142" s="25">
        <f>VLOOKUP(E142,'LISTA ITEMS'!$E$2:$G$875,3,FALSE)</f>
        <v>0</v>
      </c>
      <c r="H142" s="76"/>
      <c r="I142" s="75">
        <v>0</v>
      </c>
      <c r="J142" s="27"/>
      <c r="K142" s="13"/>
      <c r="L142" s="67"/>
      <c r="M142" s="56"/>
      <c r="N142" s="55"/>
      <c r="O142" s="13"/>
      <c r="P142" s="71"/>
      <c r="Q142" s="31"/>
      <c r="R142" s="26">
        <f t="shared" si="7"/>
        <v>0</v>
      </c>
      <c r="S142" s="85"/>
      <c r="T142" s="84"/>
      <c r="U142" s="27"/>
      <c r="V142" s="13"/>
      <c r="W142" s="67"/>
      <c r="X142" s="56"/>
      <c r="Y142" s="55"/>
      <c r="Z142" s="13"/>
      <c r="AA142" s="71"/>
      <c r="AB142" s="31"/>
      <c r="AC142" s="26">
        <f t="shared" si="8"/>
        <v>0</v>
      </c>
      <c r="AD142" s="25"/>
      <c r="AE142" s="25"/>
      <c r="AF142" s="13"/>
      <c r="AG142" s="13"/>
      <c r="AH142" s="13"/>
    </row>
    <row r="143" spans="1:35" ht="29.4" customHeight="1" x14ac:dyDescent="0.3">
      <c r="A143" s="65">
        <v>381</v>
      </c>
      <c r="B143" s="25"/>
      <c r="C143" s="25"/>
      <c r="D143" s="25"/>
      <c r="E143" s="30" t="str">
        <f t="shared" si="6"/>
        <v>--</v>
      </c>
      <c r="F143" s="13">
        <f>VLOOKUP(E143,'LISTA ITEMS'!$E$2:$G$875,2,FALSE)</f>
        <v>0</v>
      </c>
      <c r="G143" s="25">
        <f>VLOOKUP(E143,'LISTA ITEMS'!$E$2:$G$875,3,FALSE)</f>
        <v>0</v>
      </c>
      <c r="H143" s="76"/>
      <c r="I143" s="75">
        <v>0</v>
      </c>
      <c r="J143" s="27"/>
      <c r="K143" s="13"/>
      <c r="L143" s="67"/>
      <c r="M143" s="56"/>
      <c r="N143" s="55"/>
      <c r="O143" s="13"/>
      <c r="P143" s="71"/>
      <c r="Q143" s="31"/>
      <c r="R143" s="26">
        <f t="shared" si="7"/>
        <v>0</v>
      </c>
      <c r="S143" s="85"/>
      <c r="T143" s="84"/>
      <c r="U143" s="27"/>
      <c r="V143" s="13"/>
      <c r="W143" s="67"/>
      <c r="X143" s="56"/>
      <c r="Y143" s="55"/>
      <c r="Z143" s="13"/>
      <c r="AA143" s="71"/>
      <c r="AB143" s="31"/>
      <c r="AC143" s="26">
        <f t="shared" si="8"/>
        <v>0</v>
      </c>
      <c r="AD143" s="25"/>
      <c r="AE143" s="25"/>
      <c r="AF143" s="13"/>
      <c r="AG143" s="13"/>
      <c r="AH143" s="13"/>
    </row>
    <row r="144" spans="1:35" ht="29.4" customHeight="1" x14ac:dyDescent="0.3">
      <c r="A144" s="65">
        <v>382</v>
      </c>
      <c r="B144" s="25"/>
      <c r="C144" s="25"/>
      <c r="D144" s="25"/>
      <c r="E144" s="30" t="str">
        <f t="shared" si="6"/>
        <v>--</v>
      </c>
      <c r="F144" s="13">
        <f>VLOOKUP(E144,'LISTA ITEMS'!$E$2:$G$875,2,FALSE)</f>
        <v>0</v>
      </c>
      <c r="G144" s="25">
        <f>VLOOKUP(E144,'LISTA ITEMS'!$E$2:$G$875,3,FALSE)</f>
        <v>0</v>
      </c>
      <c r="H144" s="76"/>
      <c r="I144" s="75">
        <v>0</v>
      </c>
      <c r="J144" s="27"/>
      <c r="K144" s="13"/>
      <c r="L144" s="67"/>
      <c r="M144" s="56"/>
      <c r="N144" s="55"/>
      <c r="O144" s="13"/>
      <c r="P144" s="71"/>
      <c r="Q144" s="31"/>
      <c r="R144" s="26">
        <f t="shared" si="7"/>
        <v>0</v>
      </c>
      <c r="S144" s="85"/>
      <c r="T144" s="84"/>
      <c r="U144" s="27"/>
      <c r="V144" s="13"/>
      <c r="W144" s="67"/>
      <c r="X144" s="56"/>
      <c r="Y144" s="55"/>
      <c r="Z144" s="13"/>
      <c r="AA144" s="71"/>
      <c r="AB144" s="31"/>
      <c r="AC144" s="26">
        <f t="shared" si="8"/>
        <v>0</v>
      </c>
      <c r="AD144" s="25"/>
      <c r="AE144" s="25"/>
      <c r="AF144" s="13"/>
      <c r="AG144" s="13"/>
      <c r="AH144" s="13"/>
    </row>
    <row r="145" spans="1:35" ht="29.4" customHeight="1" x14ac:dyDescent="0.3">
      <c r="A145" s="65">
        <v>383</v>
      </c>
      <c r="B145" s="25"/>
      <c r="C145" s="25"/>
      <c r="D145" s="25"/>
      <c r="E145" s="30" t="str">
        <f t="shared" si="6"/>
        <v>--</v>
      </c>
      <c r="F145" s="13">
        <f>VLOOKUP(E145,'LISTA ITEMS'!$E$2:$G$875,2,FALSE)</f>
        <v>0</v>
      </c>
      <c r="G145" s="25">
        <f>VLOOKUP(E145,'LISTA ITEMS'!$E$2:$G$875,3,FALSE)</f>
        <v>0</v>
      </c>
      <c r="H145" s="76"/>
      <c r="I145" s="75">
        <v>0</v>
      </c>
      <c r="J145" s="27"/>
      <c r="K145" s="13"/>
      <c r="L145" s="67"/>
      <c r="M145" s="56"/>
      <c r="N145" s="55"/>
      <c r="O145" s="13"/>
      <c r="P145" s="71"/>
      <c r="Q145" s="31"/>
      <c r="R145" s="26">
        <f t="shared" si="7"/>
        <v>0</v>
      </c>
      <c r="S145" s="85"/>
      <c r="T145" s="84"/>
      <c r="U145" s="27"/>
      <c r="V145" s="13"/>
      <c r="W145" s="67"/>
      <c r="X145" s="56"/>
      <c r="Y145" s="55"/>
      <c r="Z145" s="13"/>
      <c r="AA145" s="71"/>
      <c r="AB145" s="31"/>
      <c r="AC145" s="26">
        <f t="shared" si="8"/>
        <v>0</v>
      </c>
      <c r="AD145" s="25"/>
      <c r="AE145" s="25"/>
      <c r="AF145" s="13"/>
      <c r="AG145" s="13"/>
      <c r="AH145" s="13"/>
    </row>
    <row r="146" spans="1:35" ht="29.4" customHeight="1" x14ac:dyDescent="0.3">
      <c r="A146" s="65">
        <v>384</v>
      </c>
      <c r="B146" s="25"/>
      <c r="C146" s="25"/>
      <c r="D146" s="25"/>
      <c r="E146" s="30" t="str">
        <f t="shared" si="6"/>
        <v>--</v>
      </c>
      <c r="F146" s="13">
        <f>VLOOKUP(E146,'LISTA ITEMS'!$E$2:$G$875,2,FALSE)</f>
        <v>0</v>
      </c>
      <c r="G146" s="25">
        <f>VLOOKUP(E146,'LISTA ITEMS'!$E$2:$G$875,3,FALSE)</f>
        <v>0</v>
      </c>
      <c r="H146" s="76"/>
      <c r="I146" s="75">
        <v>0</v>
      </c>
      <c r="J146" s="27"/>
      <c r="K146" s="13"/>
      <c r="L146" s="67"/>
      <c r="M146" s="56"/>
      <c r="N146" s="55"/>
      <c r="O146" s="13"/>
      <c r="P146" s="71"/>
      <c r="Q146" s="31"/>
      <c r="R146" s="26">
        <f t="shared" si="7"/>
        <v>0</v>
      </c>
      <c r="S146" s="85"/>
      <c r="T146" s="84"/>
      <c r="U146" s="27"/>
      <c r="V146" s="13"/>
      <c r="W146" s="67"/>
      <c r="X146" s="56"/>
      <c r="Y146" s="55"/>
      <c r="Z146" s="13"/>
      <c r="AA146" s="71"/>
      <c r="AB146" s="31"/>
      <c r="AC146" s="26">
        <f t="shared" si="8"/>
        <v>0</v>
      </c>
      <c r="AD146" s="25"/>
      <c r="AE146" s="25"/>
      <c r="AF146" s="13"/>
      <c r="AG146" s="13"/>
      <c r="AH146" s="13"/>
    </row>
    <row r="147" spans="1:35" ht="29.4" customHeight="1" x14ac:dyDescent="0.3">
      <c r="A147" s="65">
        <v>385</v>
      </c>
      <c r="B147" s="25"/>
      <c r="C147" s="25"/>
      <c r="D147" s="25"/>
      <c r="E147" s="30" t="str">
        <f t="shared" si="6"/>
        <v>--</v>
      </c>
      <c r="F147" s="13">
        <f>VLOOKUP(E147,'LISTA ITEMS'!$E$2:$G$875,2,FALSE)</f>
        <v>0</v>
      </c>
      <c r="G147" s="25">
        <f>VLOOKUP(E147,'LISTA ITEMS'!$E$2:$G$875,3,FALSE)</f>
        <v>0</v>
      </c>
      <c r="H147" s="76"/>
      <c r="I147" s="75">
        <v>0</v>
      </c>
      <c r="J147" s="27"/>
      <c r="K147" s="13"/>
      <c r="L147" s="67"/>
      <c r="M147" s="56"/>
      <c r="N147" s="55"/>
      <c r="O147" s="13"/>
      <c r="P147" s="71"/>
      <c r="Q147" s="31"/>
      <c r="R147" s="26">
        <f t="shared" si="7"/>
        <v>0</v>
      </c>
      <c r="S147" s="85"/>
      <c r="T147" s="84"/>
      <c r="U147" s="27"/>
      <c r="V147" s="13"/>
      <c r="W147" s="67"/>
      <c r="X147" s="56"/>
      <c r="Y147" s="55"/>
      <c r="Z147" s="13"/>
      <c r="AA147" s="71"/>
      <c r="AB147" s="31"/>
      <c r="AC147" s="26">
        <f t="shared" si="8"/>
        <v>0</v>
      </c>
      <c r="AD147" s="25"/>
      <c r="AE147" s="25"/>
      <c r="AF147" s="13"/>
      <c r="AG147" s="13"/>
      <c r="AH147" s="13"/>
      <c r="AI147" s="2" t="s">
        <v>467</v>
      </c>
    </row>
    <row r="148" spans="1:35" ht="29.4" customHeight="1" x14ac:dyDescent="0.3">
      <c r="A148" s="65">
        <v>386</v>
      </c>
      <c r="B148" s="25"/>
      <c r="C148" s="25"/>
      <c r="D148" s="25"/>
      <c r="E148" s="30" t="str">
        <f t="shared" si="6"/>
        <v>--</v>
      </c>
      <c r="F148" s="13">
        <f>VLOOKUP(E148,'LISTA ITEMS'!$E$2:$G$875,2,FALSE)</f>
        <v>0</v>
      </c>
      <c r="G148" s="25">
        <f>VLOOKUP(E148,'LISTA ITEMS'!$E$2:$G$875,3,FALSE)</f>
        <v>0</v>
      </c>
      <c r="H148" s="76"/>
      <c r="I148" s="75">
        <v>0</v>
      </c>
      <c r="J148" s="27"/>
      <c r="K148" s="13"/>
      <c r="L148" s="67"/>
      <c r="M148" s="56"/>
      <c r="N148" s="55"/>
      <c r="O148" s="13"/>
      <c r="P148" s="71"/>
      <c r="Q148" s="31"/>
      <c r="R148" s="26">
        <f t="shared" si="7"/>
        <v>0</v>
      </c>
      <c r="S148" s="85"/>
      <c r="T148" s="84"/>
      <c r="U148" s="27"/>
      <c r="V148" s="13"/>
      <c r="W148" s="67"/>
      <c r="X148" s="56"/>
      <c r="Y148" s="55"/>
      <c r="Z148" s="13"/>
      <c r="AA148" s="71"/>
      <c r="AB148" s="31"/>
      <c r="AC148" s="26">
        <f t="shared" si="8"/>
        <v>0</v>
      </c>
      <c r="AD148" s="25"/>
      <c r="AE148" s="25"/>
      <c r="AF148" s="13"/>
      <c r="AG148" s="13"/>
      <c r="AH148" s="13"/>
      <c r="AI148" s="2" t="s">
        <v>467</v>
      </c>
    </row>
    <row r="149" spans="1:35" x14ac:dyDescent="0.3">
      <c r="A149" s="65">
        <v>387</v>
      </c>
      <c r="B149" s="25"/>
      <c r="C149" s="25"/>
      <c r="D149" s="25"/>
      <c r="E149" s="30" t="str">
        <f t="shared" si="6"/>
        <v>--</v>
      </c>
      <c r="F149" s="13">
        <f>VLOOKUP(E149,'LISTA ITEMS'!$E$2:$G$875,2,FALSE)</f>
        <v>0</v>
      </c>
      <c r="G149" s="25">
        <f>VLOOKUP(E149,'LISTA ITEMS'!$E$2:$G$875,3,FALSE)</f>
        <v>0</v>
      </c>
      <c r="H149" s="76"/>
      <c r="I149" s="75">
        <v>0</v>
      </c>
      <c r="J149" s="27"/>
      <c r="K149" s="13"/>
      <c r="L149" s="67"/>
      <c r="M149" s="56"/>
      <c r="N149" s="55"/>
      <c r="O149" s="13"/>
      <c r="P149" s="71"/>
      <c r="Q149" s="31"/>
      <c r="R149" s="26">
        <f t="shared" si="7"/>
        <v>0</v>
      </c>
      <c r="S149" s="85"/>
      <c r="T149" s="84"/>
      <c r="U149" s="27"/>
      <c r="V149" s="13"/>
      <c r="W149" s="67"/>
      <c r="X149" s="56"/>
      <c r="Y149" s="55"/>
      <c r="Z149" s="13"/>
      <c r="AA149" s="71"/>
      <c r="AB149" s="31"/>
      <c r="AC149" s="26">
        <f t="shared" si="8"/>
        <v>0</v>
      </c>
      <c r="AD149" s="25"/>
      <c r="AE149" s="25"/>
      <c r="AF149" s="13"/>
      <c r="AG149" s="13"/>
      <c r="AH149" s="13"/>
      <c r="AI149" s="2" t="s">
        <v>467</v>
      </c>
    </row>
    <row r="150" spans="1:35" x14ac:dyDescent="0.3">
      <c r="A150" s="65">
        <v>388</v>
      </c>
      <c r="B150" s="25"/>
      <c r="C150" s="25"/>
      <c r="D150" s="25"/>
      <c r="E150" s="30" t="str">
        <f t="shared" si="6"/>
        <v>--</v>
      </c>
      <c r="F150" s="13">
        <f>VLOOKUP(E150,'LISTA ITEMS'!$E$2:$G$875,2,FALSE)</f>
        <v>0</v>
      </c>
      <c r="G150" s="25">
        <f>VLOOKUP(E150,'LISTA ITEMS'!$E$2:$G$875,3,FALSE)</f>
        <v>0</v>
      </c>
      <c r="H150" s="76"/>
      <c r="I150" s="75">
        <v>0</v>
      </c>
      <c r="J150" s="27"/>
      <c r="K150" s="13"/>
      <c r="L150" s="67"/>
      <c r="M150" s="56"/>
      <c r="N150" s="55"/>
      <c r="O150" s="13"/>
      <c r="P150" s="71"/>
      <c r="Q150" s="31"/>
      <c r="R150" s="26">
        <f t="shared" si="7"/>
        <v>0</v>
      </c>
      <c r="S150" s="85"/>
      <c r="T150" s="84"/>
      <c r="U150" s="27"/>
      <c r="V150" s="13"/>
      <c r="W150" s="67"/>
      <c r="X150" s="56"/>
      <c r="Y150" s="55"/>
      <c r="Z150" s="13"/>
      <c r="AA150" s="71"/>
      <c r="AB150" s="31"/>
      <c r="AC150" s="26">
        <f t="shared" si="8"/>
        <v>0</v>
      </c>
      <c r="AD150" s="25"/>
      <c r="AE150" s="25"/>
      <c r="AF150" s="13"/>
      <c r="AG150" s="13"/>
      <c r="AH150" s="13"/>
      <c r="AI150" s="2" t="s">
        <v>467</v>
      </c>
    </row>
    <row r="151" spans="1:35" x14ac:dyDescent="0.3">
      <c r="A151" s="65">
        <v>389</v>
      </c>
      <c r="B151" s="25"/>
      <c r="C151" s="25"/>
      <c r="D151" s="25"/>
      <c r="E151" s="30" t="str">
        <f t="shared" si="6"/>
        <v>--</v>
      </c>
      <c r="F151" s="13">
        <f>VLOOKUP(E151,'LISTA ITEMS'!$E$2:$G$875,2,FALSE)</f>
        <v>0</v>
      </c>
      <c r="G151" s="25">
        <f>VLOOKUP(E151,'LISTA ITEMS'!$E$2:$G$875,3,FALSE)</f>
        <v>0</v>
      </c>
      <c r="H151" s="76"/>
      <c r="I151" s="75">
        <v>0</v>
      </c>
      <c r="J151" s="27"/>
      <c r="K151" s="13"/>
      <c r="L151" s="67"/>
      <c r="M151" s="56"/>
      <c r="N151" s="55"/>
      <c r="O151" s="13"/>
      <c r="P151" s="71"/>
      <c r="Q151" s="31"/>
      <c r="R151" s="26">
        <f t="shared" si="7"/>
        <v>0</v>
      </c>
      <c r="S151" s="85"/>
      <c r="T151" s="84"/>
      <c r="U151" s="27"/>
      <c r="V151" s="13"/>
      <c r="W151" s="67"/>
      <c r="X151" s="56"/>
      <c r="Y151" s="55"/>
      <c r="Z151" s="13"/>
      <c r="AA151" s="71"/>
      <c r="AB151" s="31"/>
      <c r="AC151" s="26">
        <f t="shared" si="8"/>
        <v>0</v>
      </c>
      <c r="AD151" s="25"/>
      <c r="AE151" s="25"/>
      <c r="AF151" s="13"/>
      <c r="AG151" s="13"/>
      <c r="AH151" s="13"/>
    </row>
    <row r="152" spans="1:35" x14ac:dyDescent="0.3">
      <c r="A152" s="65">
        <v>390</v>
      </c>
      <c r="B152" s="25"/>
      <c r="C152" s="25"/>
      <c r="D152" s="25"/>
      <c r="E152" s="30" t="str">
        <f t="shared" si="6"/>
        <v>--</v>
      </c>
      <c r="F152" s="13">
        <f>VLOOKUP(E152,'LISTA ITEMS'!$E$2:$G$875,2,FALSE)</f>
        <v>0</v>
      </c>
      <c r="G152" s="25">
        <f>VLOOKUP(E152,'LISTA ITEMS'!$E$2:$G$875,3,FALSE)</f>
        <v>0</v>
      </c>
      <c r="H152" s="76"/>
      <c r="I152" s="75">
        <v>0</v>
      </c>
      <c r="J152" s="27"/>
      <c r="K152" s="13"/>
      <c r="L152" s="67"/>
      <c r="M152" s="56"/>
      <c r="N152" s="55"/>
      <c r="O152" s="13"/>
      <c r="P152" s="71"/>
      <c r="Q152" s="31"/>
      <c r="R152" s="26">
        <f t="shared" si="7"/>
        <v>0</v>
      </c>
      <c r="S152" s="85"/>
      <c r="T152" s="84"/>
      <c r="U152" s="27"/>
      <c r="V152" s="13"/>
      <c r="W152" s="67"/>
      <c r="X152" s="56"/>
      <c r="Y152" s="55"/>
      <c r="Z152" s="13"/>
      <c r="AA152" s="71"/>
      <c r="AB152" s="31"/>
      <c r="AC152" s="26">
        <f t="shared" si="8"/>
        <v>0</v>
      </c>
      <c r="AD152" s="25"/>
      <c r="AE152" s="25"/>
      <c r="AF152" s="13"/>
      <c r="AG152" s="13"/>
      <c r="AH152" s="13"/>
    </row>
    <row r="153" spans="1:35" x14ac:dyDescent="0.3">
      <c r="A153" s="65">
        <v>391</v>
      </c>
      <c r="B153" s="25"/>
      <c r="C153" s="25"/>
      <c r="D153" s="25"/>
      <c r="E153" s="30" t="str">
        <f t="shared" si="6"/>
        <v>--</v>
      </c>
      <c r="F153" s="13">
        <f>VLOOKUP(E153,'LISTA ITEMS'!$E$2:$G$875,2,FALSE)</f>
        <v>0</v>
      </c>
      <c r="G153" s="25">
        <f>VLOOKUP(E153,'LISTA ITEMS'!$E$2:$G$875,3,FALSE)</f>
        <v>0</v>
      </c>
      <c r="H153" s="76"/>
      <c r="I153" s="75">
        <v>0</v>
      </c>
      <c r="J153" s="27"/>
      <c r="K153" s="13"/>
      <c r="L153" s="67"/>
      <c r="M153" s="56"/>
      <c r="N153" s="55"/>
      <c r="O153" s="13"/>
      <c r="P153" s="71"/>
      <c r="Q153" s="31"/>
      <c r="R153" s="26">
        <f t="shared" si="7"/>
        <v>0</v>
      </c>
      <c r="S153" s="85"/>
      <c r="T153" s="84"/>
      <c r="U153" s="27"/>
      <c r="V153" s="13"/>
      <c r="W153" s="67"/>
      <c r="X153" s="56"/>
      <c r="Y153" s="55"/>
      <c r="Z153" s="13"/>
      <c r="AA153" s="71"/>
      <c r="AB153" s="31"/>
      <c r="AC153" s="26">
        <f t="shared" si="8"/>
        <v>0</v>
      </c>
      <c r="AD153" s="25"/>
      <c r="AE153" s="25"/>
      <c r="AF153" s="13"/>
      <c r="AG153" s="13"/>
      <c r="AH153" s="13"/>
    </row>
    <row r="154" spans="1:35" x14ac:dyDescent="0.3">
      <c r="A154" s="65">
        <v>392</v>
      </c>
      <c r="B154" s="25"/>
      <c r="C154" s="25"/>
      <c r="D154" s="25"/>
      <c r="E154" s="30" t="str">
        <f t="shared" si="6"/>
        <v>--</v>
      </c>
      <c r="F154" s="13">
        <f>VLOOKUP(E154,'LISTA ITEMS'!$E$2:$G$875,2,FALSE)</f>
        <v>0</v>
      </c>
      <c r="G154" s="25">
        <f>VLOOKUP(E154,'LISTA ITEMS'!$E$2:$G$875,3,FALSE)</f>
        <v>0</v>
      </c>
      <c r="H154" s="76"/>
      <c r="I154" s="75">
        <v>0</v>
      </c>
      <c r="J154" s="27"/>
      <c r="K154" s="13"/>
      <c r="L154" s="67"/>
      <c r="M154" s="56"/>
      <c r="N154" s="55"/>
      <c r="O154" s="13"/>
      <c r="P154" s="71"/>
      <c r="Q154" s="31"/>
      <c r="R154" s="26">
        <f t="shared" si="7"/>
        <v>0</v>
      </c>
      <c r="S154" s="85"/>
      <c r="T154" s="84"/>
      <c r="U154" s="27"/>
      <c r="V154" s="13"/>
      <c r="W154" s="67"/>
      <c r="X154" s="56"/>
      <c r="Y154" s="55"/>
      <c r="Z154" s="13"/>
      <c r="AA154" s="71"/>
      <c r="AB154" s="31"/>
      <c r="AC154" s="26">
        <f t="shared" si="8"/>
        <v>0</v>
      </c>
      <c r="AD154" s="25"/>
      <c r="AE154" s="25"/>
      <c r="AF154" s="13"/>
      <c r="AG154" s="13"/>
      <c r="AH154" s="13"/>
    </row>
    <row r="155" spans="1:35" ht="27" customHeight="1" x14ac:dyDescent="0.3">
      <c r="A155" s="65">
        <v>393</v>
      </c>
      <c r="B155" s="25"/>
      <c r="C155" s="25"/>
      <c r="D155" s="25"/>
      <c r="E155" s="30" t="str">
        <f t="shared" si="6"/>
        <v>--</v>
      </c>
      <c r="F155" s="13">
        <f>VLOOKUP(E155,'LISTA ITEMS'!$E$2:$G$875,2,FALSE)</f>
        <v>0</v>
      </c>
      <c r="G155" s="25">
        <f>VLOOKUP(E155,'LISTA ITEMS'!$E$2:$G$875,3,FALSE)</f>
        <v>0</v>
      </c>
      <c r="H155" s="76"/>
      <c r="I155" s="75">
        <v>0</v>
      </c>
      <c r="J155" s="27"/>
      <c r="K155" s="13"/>
      <c r="L155" s="67"/>
      <c r="M155" s="56"/>
      <c r="N155" s="55"/>
      <c r="O155" s="13"/>
      <c r="P155" s="71"/>
      <c r="Q155" s="31"/>
      <c r="R155" s="26">
        <f t="shared" si="7"/>
        <v>0</v>
      </c>
      <c r="S155" s="85"/>
      <c r="T155" s="84"/>
      <c r="U155" s="27"/>
      <c r="V155" s="13"/>
      <c r="W155" s="67"/>
      <c r="X155" s="56"/>
      <c r="Y155" s="55"/>
      <c r="Z155" s="13"/>
      <c r="AA155" s="71"/>
      <c r="AB155" s="31"/>
      <c r="AC155" s="26">
        <f t="shared" si="8"/>
        <v>0</v>
      </c>
      <c r="AD155" s="25"/>
      <c r="AE155" s="25"/>
      <c r="AF155" s="13"/>
      <c r="AG155" s="13"/>
      <c r="AH155" s="13"/>
    </row>
    <row r="156" spans="1:35" x14ac:dyDescent="0.3">
      <c r="A156" s="65">
        <v>394</v>
      </c>
      <c r="B156" s="25"/>
      <c r="C156" s="25"/>
      <c r="D156" s="25"/>
      <c r="E156" s="30" t="str">
        <f t="shared" si="6"/>
        <v>--</v>
      </c>
      <c r="F156" s="13">
        <f>VLOOKUP(E156,'LISTA ITEMS'!$E$2:$G$875,2,FALSE)</f>
        <v>0</v>
      </c>
      <c r="G156" s="25">
        <f>VLOOKUP(E156,'LISTA ITEMS'!$E$2:$G$875,3,FALSE)</f>
        <v>0</v>
      </c>
      <c r="H156" s="76"/>
      <c r="I156" s="75">
        <v>0</v>
      </c>
      <c r="J156" s="27"/>
      <c r="K156" s="13"/>
      <c r="L156" s="67"/>
      <c r="M156" s="56"/>
      <c r="N156" s="55"/>
      <c r="O156" s="13"/>
      <c r="P156" s="71"/>
      <c r="Q156" s="31"/>
      <c r="R156" s="26">
        <f t="shared" si="7"/>
        <v>0</v>
      </c>
      <c r="S156" s="85"/>
      <c r="T156" s="84"/>
      <c r="U156" s="27"/>
      <c r="V156" s="13"/>
      <c r="W156" s="67"/>
      <c r="X156" s="56"/>
      <c r="Y156" s="55"/>
      <c r="Z156" s="13"/>
      <c r="AA156" s="71"/>
      <c r="AB156" s="31"/>
      <c r="AC156" s="26">
        <f t="shared" si="8"/>
        <v>0</v>
      </c>
      <c r="AD156" s="25"/>
      <c r="AE156" s="25"/>
      <c r="AF156" s="13"/>
      <c r="AG156" s="13"/>
      <c r="AH156" s="13"/>
    </row>
    <row r="157" spans="1:35" x14ac:dyDescent="0.3">
      <c r="A157" s="65">
        <v>395</v>
      </c>
      <c r="B157" s="25"/>
      <c r="C157" s="25"/>
      <c r="D157" s="25"/>
      <c r="E157" s="30" t="str">
        <f t="shared" si="6"/>
        <v>--</v>
      </c>
      <c r="F157" s="13">
        <f>VLOOKUP(E157,'LISTA ITEMS'!$E$2:$G$875,2,FALSE)</f>
        <v>0</v>
      </c>
      <c r="G157" s="25">
        <f>VLOOKUP(E157,'LISTA ITEMS'!$E$2:$G$875,3,FALSE)</f>
        <v>0</v>
      </c>
      <c r="H157" s="76"/>
      <c r="I157" s="75">
        <v>0</v>
      </c>
      <c r="J157" s="27"/>
      <c r="K157" s="13"/>
      <c r="L157" s="67"/>
      <c r="M157" s="56"/>
      <c r="N157" s="55"/>
      <c r="O157" s="13"/>
      <c r="P157" s="71"/>
      <c r="Q157" s="31"/>
      <c r="R157" s="26">
        <f t="shared" si="7"/>
        <v>0</v>
      </c>
      <c r="S157" s="85"/>
      <c r="T157" s="84"/>
      <c r="U157" s="27"/>
      <c r="V157" s="13"/>
      <c r="W157" s="67"/>
      <c r="X157" s="56"/>
      <c r="Y157" s="55"/>
      <c r="Z157" s="13"/>
      <c r="AA157" s="71"/>
      <c r="AB157" s="31"/>
      <c r="AC157" s="26">
        <f t="shared" si="8"/>
        <v>0</v>
      </c>
      <c r="AD157" s="25"/>
      <c r="AE157" s="25"/>
      <c r="AF157" s="13"/>
      <c r="AG157" s="13"/>
      <c r="AH157" s="13"/>
    </row>
    <row r="158" spans="1:35" x14ac:dyDescent="0.3">
      <c r="A158" s="65">
        <v>396</v>
      </c>
      <c r="B158" s="25"/>
      <c r="C158" s="25"/>
      <c r="D158" s="25"/>
      <c r="E158" s="30" t="str">
        <f t="shared" si="6"/>
        <v>--</v>
      </c>
      <c r="F158" s="13">
        <f>VLOOKUP(E158,'LISTA ITEMS'!$E$2:$G$875,2,FALSE)</f>
        <v>0</v>
      </c>
      <c r="G158" s="25">
        <f>VLOOKUP(E158,'LISTA ITEMS'!$E$2:$G$875,3,FALSE)</f>
        <v>0</v>
      </c>
      <c r="H158" s="76"/>
      <c r="I158" s="75">
        <v>0</v>
      </c>
      <c r="J158" s="27"/>
      <c r="K158" s="13"/>
      <c r="L158" s="67"/>
      <c r="M158" s="56"/>
      <c r="N158" s="55"/>
      <c r="O158" s="13"/>
      <c r="P158" s="71"/>
      <c r="Q158" s="31"/>
      <c r="R158" s="26">
        <f t="shared" si="7"/>
        <v>0</v>
      </c>
      <c r="S158" s="85"/>
      <c r="T158" s="84"/>
      <c r="U158" s="27"/>
      <c r="V158" s="13"/>
      <c r="W158" s="67"/>
      <c r="X158" s="56"/>
      <c r="Y158" s="55"/>
      <c r="Z158" s="13"/>
      <c r="AA158" s="71"/>
      <c r="AB158" s="31"/>
      <c r="AC158" s="26">
        <f t="shared" si="8"/>
        <v>0</v>
      </c>
      <c r="AD158" s="25"/>
      <c r="AE158" s="25"/>
      <c r="AF158" s="13"/>
      <c r="AG158" s="13"/>
      <c r="AH158" s="13"/>
    </row>
    <row r="159" spans="1:35" x14ac:dyDescent="0.3">
      <c r="A159" s="65">
        <v>397</v>
      </c>
      <c r="B159" s="25"/>
      <c r="C159" s="25"/>
      <c r="D159" s="25"/>
      <c r="E159" s="30" t="str">
        <f t="shared" si="6"/>
        <v>--</v>
      </c>
      <c r="F159" s="13">
        <f>VLOOKUP(E159,'LISTA ITEMS'!$E$2:$G$875,2,FALSE)</f>
        <v>0</v>
      </c>
      <c r="G159" s="25">
        <f>VLOOKUP(E159,'LISTA ITEMS'!$E$2:$G$875,3,FALSE)</f>
        <v>0</v>
      </c>
      <c r="H159" s="76"/>
      <c r="I159" s="75">
        <v>0</v>
      </c>
      <c r="J159" s="27"/>
      <c r="K159" s="13"/>
      <c r="L159" s="67"/>
      <c r="M159" s="56"/>
      <c r="N159" s="55"/>
      <c r="O159" s="13"/>
      <c r="P159" s="71"/>
      <c r="Q159" s="31"/>
      <c r="R159" s="26">
        <f t="shared" si="7"/>
        <v>0</v>
      </c>
      <c r="S159" s="85"/>
      <c r="T159" s="84"/>
      <c r="U159" s="27"/>
      <c r="V159" s="13"/>
      <c r="W159" s="67"/>
      <c r="X159" s="56"/>
      <c r="Y159" s="55"/>
      <c r="Z159" s="13"/>
      <c r="AA159" s="71"/>
      <c r="AB159" s="31"/>
      <c r="AC159" s="26">
        <f t="shared" si="8"/>
        <v>0</v>
      </c>
      <c r="AD159" s="25"/>
      <c r="AE159" s="25"/>
      <c r="AF159" s="13"/>
      <c r="AG159" s="13"/>
      <c r="AH159" s="13"/>
    </row>
    <row r="160" spans="1:35" x14ac:dyDescent="0.3">
      <c r="A160" s="65">
        <v>398</v>
      </c>
      <c r="B160" s="25"/>
      <c r="C160" s="25"/>
      <c r="D160" s="25"/>
      <c r="E160" s="30" t="str">
        <f t="shared" si="6"/>
        <v>--</v>
      </c>
      <c r="F160" s="13">
        <f>VLOOKUP(E160,'LISTA ITEMS'!$E$2:$G$875,2,FALSE)</f>
        <v>0</v>
      </c>
      <c r="G160" s="25">
        <f>VLOOKUP(E160,'LISTA ITEMS'!$E$2:$G$875,3,FALSE)</f>
        <v>0</v>
      </c>
      <c r="H160" s="76"/>
      <c r="I160" s="75">
        <v>0</v>
      </c>
      <c r="J160" s="27"/>
      <c r="K160" s="13"/>
      <c r="L160" s="67"/>
      <c r="M160" s="56"/>
      <c r="N160" s="55"/>
      <c r="O160" s="13"/>
      <c r="P160" s="71"/>
      <c r="Q160" s="31"/>
      <c r="R160" s="26">
        <f t="shared" si="7"/>
        <v>0</v>
      </c>
      <c r="S160" s="85"/>
      <c r="T160" s="84"/>
      <c r="U160" s="27"/>
      <c r="V160" s="13"/>
      <c r="W160" s="67"/>
      <c r="X160" s="56"/>
      <c r="Y160" s="55"/>
      <c r="Z160" s="13"/>
      <c r="AA160" s="71"/>
      <c r="AB160" s="31"/>
      <c r="AC160" s="26">
        <f t="shared" si="8"/>
        <v>0</v>
      </c>
      <c r="AD160" s="25"/>
      <c r="AE160" s="25"/>
      <c r="AF160" s="13"/>
      <c r="AG160" s="13"/>
      <c r="AH160" s="13"/>
    </row>
    <row r="161" spans="1:35" x14ac:dyDescent="0.3">
      <c r="A161" s="65">
        <v>399</v>
      </c>
      <c r="B161" s="25"/>
      <c r="C161" s="25"/>
      <c r="D161" s="25"/>
      <c r="E161" s="30" t="str">
        <f t="shared" si="6"/>
        <v>--</v>
      </c>
      <c r="F161" s="13">
        <f>VLOOKUP(E161,'LISTA ITEMS'!$E$2:$G$875,2,FALSE)</f>
        <v>0</v>
      </c>
      <c r="G161" s="25">
        <f>VLOOKUP(E161,'LISTA ITEMS'!$E$2:$G$875,3,FALSE)</f>
        <v>0</v>
      </c>
      <c r="H161" s="76"/>
      <c r="I161" s="75">
        <v>0</v>
      </c>
      <c r="J161" s="27"/>
      <c r="K161" s="13"/>
      <c r="L161" s="67"/>
      <c r="M161" s="56"/>
      <c r="N161" s="55"/>
      <c r="O161" s="13"/>
      <c r="P161" s="71"/>
      <c r="Q161" s="31"/>
      <c r="R161" s="26">
        <f t="shared" si="7"/>
        <v>0</v>
      </c>
      <c r="S161" s="85"/>
      <c r="T161" s="84"/>
      <c r="U161" s="27"/>
      <c r="V161" s="13"/>
      <c r="W161" s="67"/>
      <c r="X161" s="56"/>
      <c r="Y161" s="55"/>
      <c r="Z161" s="13"/>
      <c r="AA161" s="71"/>
      <c r="AB161" s="31"/>
      <c r="AC161" s="26">
        <f t="shared" si="8"/>
        <v>0</v>
      </c>
      <c r="AD161" s="25"/>
      <c r="AE161" s="25"/>
      <c r="AF161" s="13"/>
      <c r="AG161" s="13"/>
      <c r="AH161" s="13"/>
    </row>
    <row r="162" spans="1:35" x14ac:dyDescent="0.3">
      <c r="A162" s="65">
        <v>400</v>
      </c>
      <c r="B162" s="25"/>
      <c r="C162" s="25"/>
      <c r="D162" s="25"/>
      <c r="E162" s="30" t="str">
        <f t="shared" si="6"/>
        <v>--</v>
      </c>
      <c r="F162" s="13">
        <f>VLOOKUP(E162,'LISTA ITEMS'!$E$2:$G$875,2,FALSE)</f>
        <v>0</v>
      </c>
      <c r="G162" s="25">
        <f>VLOOKUP(E162,'LISTA ITEMS'!$E$2:$G$875,3,FALSE)</f>
        <v>0</v>
      </c>
      <c r="H162" s="76"/>
      <c r="I162" s="75">
        <v>0</v>
      </c>
      <c r="J162" s="27"/>
      <c r="K162" s="13"/>
      <c r="L162" s="67"/>
      <c r="M162" s="56"/>
      <c r="N162" s="55"/>
      <c r="O162" s="13"/>
      <c r="P162" s="71"/>
      <c r="Q162" s="31"/>
      <c r="R162" s="26">
        <f t="shared" si="7"/>
        <v>0</v>
      </c>
      <c r="S162" s="85"/>
      <c r="T162" s="84"/>
      <c r="U162" s="27"/>
      <c r="V162" s="13"/>
      <c r="W162" s="67"/>
      <c r="X162" s="56"/>
      <c r="Y162" s="55"/>
      <c r="Z162" s="13"/>
      <c r="AA162" s="71"/>
      <c r="AB162" s="31"/>
      <c r="AC162" s="26">
        <f t="shared" si="8"/>
        <v>0</v>
      </c>
      <c r="AD162" s="25"/>
      <c r="AE162" s="25"/>
      <c r="AF162" s="13"/>
      <c r="AG162" s="13"/>
      <c r="AH162" s="13"/>
    </row>
    <row r="163" spans="1:35" ht="58.2" customHeight="1" x14ac:dyDescent="0.3">
      <c r="A163" s="65">
        <v>401</v>
      </c>
      <c r="B163" s="25"/>
      <c r="C163" s="25"/>
      <c r="D163" s="25"/>
      <c r="E163" s="30" t="str">
        <f t="shared" si="6"/>
        <v>--</v>
      </c>
      <c r="F163" s="13">
        <f>VLOOKUP(E163,'LISTA ITEMS'!$E$2:$G$875,2,FALSE)</f>
        <v>0</v>
      </c>
      <c r="G163" s="25">
        <f>VLOOKUP(E163,'LISTA ITEMS'!$E$2:$G$875,3,FALSE)</f>
        <v>0</v>
      </c>
      <c r="H163" s="76"/>
      <c r="I163" s="75">
        <v>0</v>
      </c>
      <c r="J163" s="27"/>
      <c r="K163" s="13"/>
      <c r="L163" s="67"/>
      <c r="M163" s="56"/>
      <c r="N163" s="55"/>
      <c r="O163" s="13"/>
      <c r="P163" s="71"/>
      <c r="Q163" s="31"/>
      <c r="R163" s="26">
        <f t="shared" si="7"/>
        <v>0</v>
      </c>
      <c r="S163" s="85"/>
      <c r="T163" s="84"/>
      <c r="U163" s="27"/>
      <c r="V163" s="13"/>
      <c r="W163" s="67"/>
      <c r="X163" s="56"/>
      <c r="Y163" s="55"/>
      <c r="Z163" s="13"/>
      <c r="AA163" s="71"/>
      <c r="AB163" s="31"/>
      <c r="AC163" s="26">
        <f t="shared" si="8"/>
        <v>0</v>
      </c>
      <c r="AD163" s="25"/>
      <c r="AE163" s="25"/>
      <c r="AF163" s="13"/>
      <c r="AG163" s="13"/>
      <c r="AH163" s="13"/>
    </row>
    <row r="164" spans="1:35" x14ac:dyDescent="0.3">
      <c r="A164" s="65">
        <v>402</v>
      </c>
      <c r="B164" s="25"/>
      <c r="C164" s="25"/>
      <c r="D164" s="25"/>
      <c r="E164" s="30" t="str">
        <f t="shared" si="6"/>
        <v>--</v>
      </c>
      <c r="F164" s="13">
        <f>VLOOKUP(E164,'LISTA ITEMS'!$E$2:$G$875,2,FALSE)</f>
        <v>0</v>
      </c>
      <c r="G164" s="25">
        <f>VLOOKUP(E164,'LISTA ITEMS'!$E$2:$G$875,3,FALSE)</f>
        <v>0</v>
      </c>
      <c r="H164" s="76"/>
      <c r="I164" s="75">
        <v>0</v>
      </c>
      <c r="J164" s="27"/>
      <c r="K164" s="13"/>
      <c r="L164" s="67"/>
      <c r="M164" s="56"/>
      <c r="N164" s="55"/>
      <c r="O164" s="13"/>
      <c r="P164" s="71"/>
      <c r="Q164" s="31"/>
      <c r="R164" s="26">
        <f t="shared" si="7"/>
        <v>0</v>
      </c>
      <c r="S164" s="85"/>
      <c r="T164" s="84"/>
      <c r="U164" s="27"/>
      <c r="V164" s="13"/>
      <c r="W164" s="67"/>
      <c r="X164" s="56"/>
      <c r="Y164" s="55"/>
      <c r="Z164" s="13"/>
      <c r="AA164" s="71"/>
      <c r="AB164" s="31"/>
      <c r="AC164" s="26">
        <f t="shared" si="8"/>
        <v>0</v>
      </c>
      <c r="AD164" s="25"/>
      <c r="AE164" s="25"/>
      <c r="AF164" s="13"/>
      <c r="AG164" s="13"/>
      <c r="AH164" s="13"/>
    </row>
    <row r="165" spans="1:35" x14ac:dyDescent="0.3">
      <c r="A165" s="65">
        <v>403</v>
      </c>
      <c r="B165" s="25"/>
      <c r="C165" s="25"/>
      <c r="D165" s="25"/>
      <c r="E165" s="30" t="str">
        <f t="shared" si="6"/>
        <v>--</v>
      </c>
      <c r="F165" s="13">
        <f>VLOOKUP(E165,'LISTA ITEMS'!$E$2:$G$875,2,FALSE)</f>
        <v>0</v>
      </c>
      <c r="G165" s="25">
        <f>VLOOKUP(E165,'LISTA ITEMS'!$E$2:$G$875,3,FALSE)</f>
        <v>0</v>
      </c>
      <c r="H165" s="76"/>
      <c r="I165" s="75">
        <v>0</v>
      </c>
      <c r="J165" s="27"/>
      <c r="K165" s="13"/>
      <c r="L165" s="67"/>
      <c r="M165" s="56"/>
      <c r="N165" s="55"/>
      <c r="O165" s="13"/>
      <c r="P165" s="71"/>
      <c r="Q165" s="31"/>
      <c r="R165" s="26">
        <f t="shared" si="7"/>
        <v>0</v>
      </c>
      <c r="S165" s="85"/>
      <c r="T165" s="84"/>
      <c r="U165" s="27"/>
      <c r="V165" s="13"/>
      <c r="W165" s="67"/>
      <c r="X165" s="56"/>
      <c r="Y165" s="55"/>
      <c r="Z165" s="13"/>
      <c r="AA165" s="71"/>
      <c r="AB165" s="31"/>
      <c r="AC165" s="26">
        <f t="shared" si="8"/>
        <v>0</v>
      </c>
      <c r="AD165" s="25"/>
      <c r="AE165" s="25"/>
      <c r="AF165" s="13"/>
      <c r="AG165" s="13"/>
      <c r="AH165" s="13"/>
    </row>
    <row r="166" spans="1:35" x14ac:dyDescent="0.3">
      <c r="A166" s="65">
        <v>404</v>
      </c>
      <c r="B166" s="25"/>
      <c r="C166" s="25"/>
      <c r="D166" s="25"/>
      <c r="E166" s="30" t="str">
        <f t="shared" si="6"/>
        <v>--</v>
      </c>
      <c r="F166" s="13">
        <f>VLOOKUP(E166,'LISTA ITEMS'!$E$2:$G$875,2,FALSE)</f>
        <v>0</v>
      </c>
      <c r="G166" s="25">
        <f>VLOOKUP(E166,'LISTA ITEMS'!$E$2:$G$875,3,FALSE)</f>
        <v>0</v>
      </c>
      <c r="H166" s="76"/>
      <c r="I166" s="75">
        <v>0</v>
      </c>
      <c r="J166" s="27"/>
      <c r="K166" s="13"/>
      <c r="L166" s="67"/>
      <c r="M166" s="56"/>
      <c r="N166" s="55"/>
      <c r="O166" s="13"/>
      <c r="P166" s="71"/>
      <c r="Q166" s="31"/>
      <c r="R166" s="26">
        <f t="shared" si="7"/>
        <v>0</v>
      </c>
      <c r="S166" s="85"/>
      <c r="T166" s="84"/>
      <c r="U166" s="27"/>
      <c r="V166" s="13"/>
      <c r="W166" s="67"/>
      <c r="X166" s="56"/>
      <c r="Y166" s="55"/>
      <c r="Z166" s="13"/>
      <c r="AA166" s="71"/>
      <c r="AB166" s="31"/>
      <c r="AC166" s="26">
        <f t="shared" si="8"/>
        <v>0</v>
      </c>
      <c r="AD166" s="25"/>
      <c r="AE166" s="25"/>
      <c r="AF166" s="13"/>
      <c r="AG166" s="13"/>
      <c r="AH166" s="13"/>
    </row>
    <row r="167" spans="1:35" x14ac:dyDescent="0.3">
      <c r="A167" s="65">
        <v>405</v>
      </c>
      <c r="B167" s="25"/>
      <c r="C167" s="25"/>
      <c r="D167" s="25"/>
      <c r="E167" s="30" t="str">
        <f t="shared" si="6"/>
        <v>--</v>
      </c>
      <c r="F167" s="13">
        <f>VLOOKUP(E167,'LISTA ITEMS'!$E$2:$G$875,2,FALSE)</f>
        <v>0</v>
      </c>
      <c r="G167" s="25">
        <f>VLOOKUP(E167,'LISTA ITEMS'!$E$2:$G$875,3,FALSE)</f>
        <v>0</v>
      </c>
      <c r="H167" s="76"/>
      <c r="I167" s="75">
        <v>0</v>
      </c>
      <c r="J167" s="27"/>
      <c r="K167" s="13"/>
      <c r="L167" s="67"/>
      <c r="M167" s="56"/>
      <c r="N167" s="55"/>
      <c r="O167" s="13"/>
      <c r="P167" s="71"/>
      <c r="Q167" s="31"/>
      <c r="R167" s="26">
        <f t="shared" si="7"/>
        <v>0</v>
      </c>
      <c r="S167" s="85"/>
      <c r="T167" s="84"/>
      <c r="U167" s="27"/>
      <c r="V167" s="13"/>
      <c r="W167" s="67"/>
      <c r="X167" s="56"/>
      <c r="Y167" s="55"/>
      <c r="Z167" s="13"/>
      <c r="AA167" s="71"/>
      <c r="AB167" s="31"/>
      <c r="AC167" s="26">
        <f t="shared" si="8"/>
        <v>0</v>
      </c>
      <c r="AD167" s="25"/>
      <c r="AE167" s="25"/>
      <c r="AF167" s="13"/>
      <c r="AG167" s="13"/>
      <c r="AH167" s="13"/>
    </row>
    <row r="168" spans="1:35" x14ac:dyDescent="0.3">
      <c r="A168" s="65">
        <v>406</v>
      </c>
      <c r="B168" s="25"/>
      <c r="C168" s="25"/>
      <c r="D168" s="25"/>
      <c r="E168" s="30" t="str">
        <f t="shared" si="6"/>
        <v>--</v>
      </c>
      <c r="F168" s="13">
        <f>VLOOKUP(E168,'LISTA ITEMS'!$E$2:$G$875,2,FALSE)</f>
        <v>0</v>
      </c>
      <c r="G168" s="25">
        <f>VLOOKUP(E168,'LISTA ITEMS'!$E$2:$G$875,3,FALSE)</f>
        <v>0</v>
      </c>
      <c r="H168" s="76"/>
      <c r="I168" s="75">
        <v>0</v>
      </c>
      <c r="J168" s="27"/>
      <c r="K168" s="13"/>
      <c r="L168" s="67"/>
      <c r="M168" s="56"/>
      <c r="N168" s="55"/>
      <c r="O168" s="13"/>
      <c r="P168" s="71"/>
      <c r="Q168" s="31"/>
      <c r="R168" s="26">
        <f t="shared" si="7"/>
        <v>0</v>
      </c>
      <c r="S168" s="85"/>
      <c r="T168" s="84"/>
      <c r="U168" s="27"/>
      <c r="V168" s="13"/>
      <c r="W168" s="67"/>
      <c r="X168" s="56"/>
      <c r="Y168" s="55"/>
      <c r="Z168" s="13"/>
      <c r="AA168" s="71"/>
      <c r="AB168" s="31"/>
      <c r="AC168" s="26">
        <f t="shared" si="8"/>
        <v>0</v>
      </c>
      <c r="AD168" s="25"/>
      <c r="AE168" s="25"/>
      <c r="AF168" s="13"/>
      <c r="AG168" s="13"/>
      <c r="AH168" s="13"/>
    </row>
    <row r="169" spans="1:35" x14ac:dyDescent="0.3">
      <c r="A169" s="65">
        <v>407</v>
      </c>
      <c r="B169" s="25"/>
      <c r="C169" s="25"/>
      <c r="D169" s="25"/>
      <c r="E169" s="30" t="str">
        <f t="shared" si="6"/>
        <v>--</v>
      </c>
      <c r="F169" s="13">
        <f>VLOOKUP(E169,'LISTA ITEMS'!$E$2:$G$875,2,FALSE)</f>
        <v>0</v>
      </c>
      <c r="G169" s="25">
        <f>VLOOKUP(E169,'LISTA ITEMS'!$E$2:$G$875,3,FALSE)</f>
        <v>0</v>
      </c>
      <c r="H169" s="76"/>
      <c r="I169" s="75">
        <v>0</v>
      </c>
      <c r="J169" s="27"/>
      <c r="K169" s="13"/>
      <c r="L169" s="67"/>
      <c r="M169" s="56"/>
      <c r="N169" s="55"/>
      <c r="O169" s="13"/>
      <c r="P169" s="71"/>
      <c r="Q169" s="31"/>
      <c r="R169" s="26">
        <f t="shared" si="7"/>
        <v>0</v>
      </c>
      <c r="S169" s="85"/>
      <c r="T169" s="84"/>
      <c r="U169" s="27"/>
      <c r="V169" s="13"/>
      <c r="W169" s="67"/>
      <c r="X169" s="56"/>
      <c r="Y169" s="55"/>
      <c r="Z169" s="13"/>
      <c r="AA169" s="71"/>
      <c r="AB169" s="31"/>
      <c r="AC169" s="26">
        <f t="shared" si="8"/>
        <v>0</v>
      </c>
      <c r="AD169" s="25"/>
      <c r="AE169" s="25"/>
      <c r="AF169" s="13"/>
      <c r="AG169" s="13"/>
      <c r="AH169" s="13"/>
    </row>
    <row r="170" spans="1:35" x14ac:dyDescent="0.3">
      <c r="A170" s="65">
        <v>408</v>
      </c>
      <c r="B170" s="25"/>
      <c r="C170" s="25"/>
      <c r="D170" s="25"/>
      <c r="E170" s="30" t="str">
        <f t="shared" si="6"/>
        <v>--</v>
      </c>
      <c r="F170" s="13">
        <f>VLOOKUP(E170,'LISTA ITEMS'!$E$2:$G$875,2,FALSE)</f>
        <v>0</v>
      </c>
      <c r="G170" s="25">
        <f>VLOOKUP(E170,'LISTA ITEMS'!$E$2:$G$875,3,FALSE)</f>
        <v>0</v>
      </c>
      <c r="H170" s="76"/>
      <c r="I170" s="75">
        <v>0</v>
      </c>
      <c r="J170" s="27"/>
      <c r="K170" s="13"/>
      <c r="L170" s="67"/>
      <c r="M170" s="56"/>
      <c r="N170" s="55"/>
      <c r="O170" s="13"/>
      <c r="P170" s="71"/>
      <c r="Q170" s="31"/>
      <c r="R170" s="26">
        <f t="shared" si="7"/>
        <v>0</v>
      </c>
      <c r="S170" s="85"/>
      <c r="T170" s="84"/>
      <c r="U170" s="27"/>
      <c r="V170" s="13"/>
      <c r="W170" s="67"/>
      <c r="X170" s="56"/>
      <c r="Y170" s="55"/>
      <c r="Z170" s="13"/>
      <c r="AA170" s="71"/>
      <c r="AB170" s="31"/>
      <c r="AC170" s="26">
        <f t="shared" si="8"/>
        <v>0</v>
      </c>
      <c r="AD170" s="25"/>
      <c r="AE170" s="25"/>
      <c r="AF170" s="13"/>
      <c r="AG170" s="13"/>
      <c r="AH170" s="13"/>
    </row>
    <row r="171" spans="1:35" x14ac:dyDescent="0.3">
      <c r="A171" s="65">
        <v>409</v>
      </c>
      <c r="B171" s="25"/>
      <c r="C171" s="25"/>
      <c r="D171" s="25"/>
      <c r="E171" s="30" t="str">
        <f t="shared" si="6"/>
        <v>--</v>
      </c>
      <c r="F171" s="13">
        <f>VLOOKUP(E171,'LISTA ITEMS'!$E$2:$G$875,2,FALSE)</f>
        <v>0</v>
      </c>
      <c r="G171" s="25">
        <f>VLOOKUP(E171,'LISTA ITEMS'!$E$2:$G$875,3,FALSE)</f>
        <v>0</v>
      </c>
      <c r="H171" s="76"/>
      <c r="I171" s="75">
        <v>0</v>
      </c>
      <c r="J171" s="27"/>
      <c r="K171" s="13"/>
      <c r="L171" s="67"/>
      <c r="M171" s="56"/>
      <c r="N171" s="55"/>
      <c r="O171" s="13"/>
      <c r="P171" s="71"/>
      <c r="Q171" s="31"/>
      <c r="R171" s="26">
        <f t="shared" si="7"/>
        <v>0</v>
      </c>
      <c r="S171" s="85"/>
      <c r="T171" s="84"/>
      <c r="U171" s="27"/>
      <c r="V171" s="13"/>
      <c r="W171" s="67"/>
      <c r="X171" s="56"/>
      <c r="Y171" s="55"/>
      <c r="Z171" s="13"/>
      <c r="AA171" s="71"/>
      <c r="AB171" s="31"/>
      <c r="AC171" s="26">
        <f t="shared" si="8"/>
        <v>0</v>
      </c>
      <c r="AD171" s="25"/>
      <c r="AE171" s="25"/>
      <c r="AF171" s="13"/>
      <c r="AG171" s="13"/>
      <c r="AH171" s="13"/>
    </row>
    <row r="172" spans="1:35" x14ac:dyDescent="0.3">
      <c r="A172" s="65">
        <v>410</v>
      </c>
      <c r="B172" s="25"/>
      <c r="C172" s="25"/>
      <c r="D172" s="25"/>
      <c r="E172" s="30" t="str">
        <f t="shared" si="6"/>
        <v>--</v>
      </c>
      <c r="F172" s="13">
        <f>VLOOKUP(E172,'LISTA ITEMS'!$E$2:$G$875,2,FALSE)</f>
        <v>0</v>
      </c>
      <c r="G172" s="25">
        <f>VLOOKUP(E172,'LISTA ITEMS'!$E$2:$G$875,3,FALSE)</f>
        <v>0</v>
      </c>
      <c r="H172" s="76"/>
      <c r="I172" s="75">
        <v>0</v>
      </c>
      <c r="J172" s="27"/>
      <c r="K172" s="13"/>
      <c r="L172" s="67"/>
      <c r="M172" s="56"/>
      <c r="N172" s="55"/>
      <c r="O172" s="13"/>
      <c r="P172" s="71"/>
      <c r="Q172" s="31"/>
      <c r="R172" s="26">
        <f t="shared" si="7"/>
        <v>0</v>
      </c>
      <c r="S172" s="85"/>
      <c r="T172" s="84"/>
      <c r="U172" s="27"/>
      <c r="V172" s="13"/>
      <c r="W172" s="67"/>
      <c r="X172" s="56"/>
      <c r="Y172" s="55"/>
      <c r="Z172" s="13"/>
      <c r="AA172" s="71"/>
      <c r="AB172" s="31"/>
      <c r="AC172" s="26">
        <f t="shared" si="8"/>
        <v>0</v>
      </c>
      <c r="AD172" s="25"/>
      <c r="AE172" s="25"/>
      <c r="AF172" s="13"/>
      <c r="AG172" s="13"/>
      <c r="AH172" s="13"/>
    </row>
    <row r="173" spans="1:35" x14ac:dyDescent="0.3">
      <c r="A173" s="65">
        <v>411</v>
      </c>
      <c r="B173" s="25"/>
      <c r="C173" s="25"/>
      <c r="D173" s="25"/>
      <c r="E173" s="30" t="str">
        <f t="shared" si="6"/>
        <v>--</v>
      </c>
      <c r="F173" s="13">
        <f>VLOOKUP(E173,'LISTA ITEMS'!$E$2:$G$875,2,FALSE)</f>
        <v>0</v>
      </c>
      <c r="G173" s="25">
        <f>VLOOKUP(E173,'LISTA ITEMS'!$E$2:$G$875,3,FALSE)</f>
        <v>0</v>
      </c>
      <c r="H173" s="76"/>
      <c r="I173" s="75">
        <v>0</v>
      </c>
      <c r="J173" s="27"/>
      <c r="K173" s="13"/>
      <c r="L173" s="67"/>
      <c r="M173" s="56"/>
      <c r="N173" s="55"/>
      <c r="O173" s="13"/>
      <c r="P173" s="71"/>
      <c r="Q173" s="31"/>
      <c r="R173" s="26">
        <f t="shared" si="7"/>
        <v>0</v>
      </c>
      <c r="S173" s="85"/>
      <c r="T173" s="84"/>
      <c r="U173" s="27"/>
      <c r="V173" s="13"/>
      <c r="W173" s="67"/>
      <c r="X173" s="56"/>
      <c r="Y173" s="55"/>
      <c r="Z173" s="13"/>
      <c r="AA173" s="71"/>
      <c r="AB173" s="31"/>
      <c r="AC173" s="26">
        <f t="shared" si="8"/>
        <v>0</v>
      </c>
      <c r="AD173" s="25"/>
      <c r="AE173" s="25"/>
      <c r="AF173" s="13"/>
      <c r="AG173" s="13"/>
      <c r="AH173" s="13"/>
    </row>
    <row r="174" spans="1:35" x14ac:dyDescent="0.3">
      <c r="A174" s="65">
        <v>412</v>
      </c>
      <c r="B174" s="25"/>
      <c r="C174" s="25"/>
      <c r="D174" s="25"/>
      <c r="E174" s="30" t="str">
        <f t="shared" si="6"/>
        <v>--</v>
      </c>
      <c r="F174" s="13">
        <f>VLOOKUP(E174,'LISTA ITEMS'!$E$2:$G$875,2,FALSE)</f>
        <v>0</v>
      </c>
      <c r="G174" s="25">
        <f>VLOOKUP(E174,'LISTA ITEMS'!$E$2:$G$875,3,FALSE)</f>
        <v>0</v>
      </c>
      <c r="H174" s="76"/>
      <c r="I174" s="75">
        <v>0</v>
      </c>
      <c r="J174" s="27"/>
      <c r="K174" s="13"/>
      <c r="L174" s="67"/>
      <c r="M174" s="56"/>
      <c r="N174" s="55"/>
      <c r="O174" s="13"/>
      <c r="P174" s="71"/>
      <c r="Q174" s="31"/>
      <c r="R174" s="26">
        <f t="shared" si="7"/>
        <v>0</v>
      </c>
      <c r="S174" s="85"/>
      <c r="T174" s="84"/>
      <c r="U174" s="27"/>
      <c r="V174" s="13"/>
      <c r="W174" s="67"/>
      <c r="X174" s="56"/>
      <c r="Y174" s="55"/>
      <c r="Z174" s="13"/>
      <c r="AA174" s="71"/>
      <c r="AB174" s="31"/>
      <c r="AC174" s="26">
        <f t="shared" si="8"/>
        <v>0</v>
      </c>
      <c r="AD174" s="25"/>
      <c r="AE174" s="25"/>
      <c r="AF174" s="13"/>
      <c r="AG174" s="13"/>
      <c r="AH174" s="13"/>
      <c r="AI174" s="2" t="s">
        <v>467</v>
      </c>
    </row>
    <row r="175" spans="1:35" s="64" customFormat="1" x14ac:dyDescent="0.3">
      <c r="A175" s="65">
        <v>413</v>
      </c>
      <c r="B175" s="25"/>
      <c r="C175" s="25"/>
      <c r="D175" s="25"/>
      <c r="E175" s="30" t="str">
        <f t="shared" si="6"/>
        <v>--</v>
      </c>
      <c r="F175" s="13">
        <f>VLOOKUP(E175,'LISTA ITEMS'!$E$2:$G$875,2,FALSE)</f>
        <v>0</v>
      </c>
      <c r="G175" s="25">
        <f>VLOOKUP(E175,'LISTA ITEMS'!$E$2:$G$875,3,FALSE)</f>
        <v>0</v>
      </c>
      <c r="H175" s="76"/>
      <c r="I175" s="75">
        <v>0</v>
      </c>
      <c r="J175" s="27"/>
      <c r="K175" s="13"/>
      <c r="L175" s="67"/>
      <c r="M175" s="56"/>
      <c r="N175" s="55"/>
      <c r="O175" s="13"/>
      <c r="P175" s="71"/>
      <c r="Q175" s="31"/>
      <c r="R175" s="26">
        <f t="shared" si="7"/>
        <v>0</v>
      </c>
      <c r="S175" s="85"/>
      <c r="T175" s="84"/>
      <c r="U175" s="27"/>
      <c r="V175" s="13"/>
      <c r="W175" s="67"/>
      <c r="X175" s="56"/>
      <c r="Y175" s="55"/>
      <c r="Z175" s="13"/>
      <c r="AA175" s="71"/>
      <c r="AB175" s="31"/>
      <c r="AC175" s="26">
        <f t="shared" si="8"/>
        <v>0</v>
      </c>
      <c r="AD175" s="25"/>
      <c r="AE175" s="25"/>
      <c r="AF175" s="13"/>
      <c r="AG175" s="13"/>
      <c r="AH175" s="13"/>
    </row>
    <row r="176" spans="1:35" x14ac:dyDescent="0.3">
      <c r="A176" s="65">
        <v>414</v>
      </c>
      <c r="B176" s="25"/>
      <c r="C176" s="25"/>
      <c r="D176" s="25"/>
      <c r="E176" s="30" t="str">
        <f t="shared" si="6"/>
        <v>--</v>
      </c>
      <c r="F176" s="13">
        <f>VLOOKUP(E176,'LISTA ITEMS'!$E$2:$G$875,2,FALSE)</f>
        <v>0</v>
      </c>
      <c r="G176" s="25">
        <f>VLOOKUP(E176,'LISTA ITEMS'!$E$2:$G$875,3,FALSE)</f>
        <v>0</v>
      </c>
      <c r="H176" s="76"/>
      <c r="I176" s="75">
        <v>0</v>
      </c>
      <c r="J176" s="27"/>
      <c r="K176" s="13"/>
      <c r="L176" s="67"/>
      <c r="M176" s="56"/>
      <c r="N176" s="55"/>
      <c r="O176" s="13"/>
      <c r="P176" s="71"/>
      <c r="Q176" s="31"/>
      <c r="R176" s="26">
        <f t="shared" si="7"/>
        <v>0</v>
      </c>
      <c r="S176" s="85"/>
      <c r="T176" s="84"/>
      <c r="U176" s="27"/>
      <c r="V176" s="13"/>
      <c r="W176" s="67"/>
      <c r="X176" s="56"/>
      <c r="Y176" s="55"/>
      <c r="Z176" s="13"/>
      <c r="AA176" s="71"/>
      <c r="AB176" s="31"/>
      <c r="AC176" s="26">
        <f t="shared" si="8"/>
        <v>0</v>
      </c>
      <c r="AD176" s="25"/>
      <c r="AE176" s="25"/>
      <c r="AF176" s="13"/>
      <c r="AG176" s="13"/>
      <c r="AH176" s="13"/>
    </row>
    <row r="177" spans="1:35" x14ac:dyDescent="0.3">
      <c r="A177" s="65">
        <v>415</v>
      </c>
      <c r="B177" s="25"/>
      <c r="C177" s="25"/>
      <c r="D177" s="25"/>
      <c r="E177" s="30" t="str">
        <f t="shared" si="6"/>
        <v>--</v>
      </c>
      <c r="F177" s="13">
        <f>VLOOKUP(E177,'LISTA ITEMS'!$E$2:$G$875,2,FALSE)</f>
        <v>0</v>
      </c>
      <c r="G177" s="25">
        <f>VLOOKUP(E177,'LISTA ITEMS'!$E$2:$G$875,3,FALSE)</f>
        <v>0</v>
      </c>
      <c r="H177" s="76"/>
      <c r="I177" s="75">
        <v>0</v>
      </c>
      <c r="J177" s="27"/>
      <c r="K177" s="13"/>
      <c r="L177" s="67"/>
      <c r="M177" s="56"/>
      <c r="N177" s="55"/>
      <c r="O177" s="13"/>
      <c r="P177" s="71"/>
      <c r="Q177" s="31"/>
      <c r="R177" s="26">
        <f t="shared" si="7"/>
        <v>0</v>
      </c>
      <c r="S177" s="85"/>
      <c r="T177" s="84"/>
      <c r="U177" s="27"/>
      <c r="V177" s="13"/>
      <c r="W177" s="67"/>
      <c r="X177" s="56"/>
      <c r="Y177" s="55"/>
      <c r="Z177" s="13"/>
      <c r="AA177" s="71"/>
      <c r="AB177" s="31"/>
      <c r="AC177" s="26">
        <f t="shared" si="8"/>
        <v>0</v>
      </c>
      <c r="AD177" s="25"/>
      <c r="AE177" s="25"/>
      <c r="AF177" s="13"/>
      <c r="AG177" s="13"/>
      <c r="AH177" s="13"/>
    </row>
    <row r="178" spans="1:35" x14ac:dyDescent="0.3">
      <c r="A178" s="65">
        <v>416</v>
      </c>
      <c r="B178" s="25"/>
      <c r="C178" s="25"/>
      <c r="D178" s="25"/>
      <c r="E178" s="30" t="str">
        <f t="shared" si="6"/>
        <v>--</v>
      </c>
      <c r="F178" s="13">
        <f>VLOOKUP(E178,'LISTA ITEMS'!$E$2:$G$875,2,FALSE)</f>
        <v>0</v>
      </c>
      <c r="G178" s="25">
        <f>VLOOKUP(E178,'LISTA ITEMS'!$E$2:$G$875,3,FALSE)</f>
        <v>0</v>
      </c>
      <c r="H178" s="76"/>
      <c r="I178" s="75">
        <v>0</v>
      </c>
      <c r="J178" s="27"/>
      <c r="K178" s="13"/>
      <c r="L178" s="67"/>
      <c r="M178" s="56"/>
      <c r="N178" s="55"/>
      <c r="O178" s="13"/>
      <c r="P178" s="71"/>
      <c r="Q178" s="31"/>
      <c r="R178" s="26">
        <f t="shared" si="7"/>
        <v>0</v>
      </c>
      <c r="S178" s="85"/>
      <c r="T178" s="84"/>
      <c r="U178" s="27"/>
      <c r="V178" s="13"/>
      <c r="W178" s="67"/>
      <c r="X178" s="56"/>
      <c r="Y178" s="55"/>
      <c r="Z178" s="13"/>
      <c r="AA178" s="71"/>
      <c r="AB178" s="31"/>
      <c r="AC178" s="26">
        <f t="shared" si="8"/>
        <v>0</v>
      </c>
      <c r="AD178" s="25"/>
      <c r="AE178" s="25"/>
      <c r="AF178" s="13"/>
      <c r="AG178" s="13"/>
      <c r="AH178" s="13"/>
    </row>
    <row r="179" spans="1:35" ht="28.2" customHeight="1" x14ac:dyDescent="0.3">
      <c r="A179" s="65">
        <v>417</v>
      </c>
      <c r="B179" s="25"/>
      <c r="C179" s="25"/>
      <c r="D179" s="25"/>
      <c r="E179" s="30" t="str">
        <f t="shared" si="6"/>
        <v>--</v>
      </c>
      <c r="F179" s="13">
        <f>VLOOKUP(E179,'LISTA ITEMS'!$E$2:$G$875,2,FALSE)</f>
        <v>0</v>
      </c>
      <c r="G179" s="25">
        <f>VLOOKUP(E179,'LISTA ITEMS'!$E$2:$G$875,3,FALSE)</f>
        <v>0</v>
      </c>
      <c r="H179" s="76"/>
      <c r="I179" s="75">
        <v>0</v>
      </c>
      <c r="J179" s="27"/>
      <c r="K179" s="13"/>
      <c r="L179" s="67"/>
      <c r="M179" s="56"/>
      <c r="N179" s="55"/>
      <c r="O179" s="13"/>
      <c r="P179" s="71"/>
      <c r="Q179" s="31"/>
      <c r="R179" s="26">
        <f t="shared" si="7"/>
        <v>0</v>
      </c>
      <c r="S179" s="85"/>
      <c r="T179" s="84"/>
      <c r="U179" s="27"/>
      <c r="V179" s="13"/>
      <c r="W179" s="67"/>
      <c r="X179" s="56"/>
      <c r="Y179" s="55"/>
      <c r="Z179" s="13"/>
      <c r="AA179" s="71"/>
      <c r="AB179" s="31"/>
      <c r="AC179" s="26">
        <f t="shared" si="8"/>
        <v>0</v>
      </c>
      <c r="AD179" s="25"/>
      <c r="AE179" s="25"/>
      <c r="AF179" s="13"/>
      <c r="AG179" s="13"/>
      <c r="AH179" s="13"/>
    </row>
    <row r="180" spans="1:35" ht="28.2" customHeight="1" x14ac:dyDescent="0.3">
      <c r="A180" s="65">
        <v>418</v>
      </c>
      <c r="B180" s="25"/>
      <c r="C180" s="25"/>
      <c r="D180" s="25"/>
      <c r="E180" s="30" t="str">
        <f t="shared" si="6"/>
        <v>--</v>
      </c>
      <c r="F180" s="13">
        <f>VLOOKUP(E180,'LISTA ITEMS'!$E$2:$G$875,2,FALSE)</f>
        <v>0</v>
      </c>
      <c r="G180" s="25">
        <f>VLOOKUP(E180,'LISTA ITEMS'!$E$2:$G$875,3,FALSE)</f>
        <v>0</v>
      </c>
      <c r="H180" s="76"/>
      <c r="I180" s="75">
        <v>0</v>
      </c>
      <c r="J180" s="27"/>
      <c r="K180" s="13"/>
      <c r="L180" s="67"/>
      <c r="M180" s="56"/>
      <c r="N180" s="55"/>
      <c r="O180" s="13"/>
      <c r="P180" s="71"/>
      <c r="Q180" s="31"/>
      <c r="R180" s="26">
        <f t="shared" si="7"/>
        <v>0</v>
      </c>
      <c r="S180" s="85"/>
      <c r="T180" s="84"/>
      <c r="U180" s="27"/>
      <c r="V180" s="13"/>
      <c r="W180" s="67"/>
      <c r="X180" s="56"/>
      <c r="Y180" s="55"/>
      <c r="Z180" s="13"/>
      <c r="AA180" s="71"/>
      <c r="AB180" s="31"/>
      <c r="AC180" s="26">
        <f t="shared" si="8"/>
        <v>0</v>
      </c>
      <c r="AD180" s="25"/>
      <c r="AE180" s="25"/>
      <c r="AF180" s="13"/>
      <c r="AG180" s="13"/>
      <c r="AH180" s="13"/>
    </row>
    <row r="181" spans="1:35" x14ac:dyDescent="0.3">
      <c r="A181" s="65">
        <v>419</v>
      </c>
      <c r="B181" s="25"/>
      <c r="C181" s="25"/>
      <c r="D181" s="25"/>
      <c r="E181" s="30" t="str">
        <f t="shared" si="6"/>
        <v>--</v>
      </c>
      <c r="F181" s="13">
        <f>VLOOKUP(E181,'LISTA ITEMS'!$E$2:$G$875,2,FALSE)</f>
        <v>0</v>
      </c>
      <c r="G181" s="25">
        <f>VLOOKUP(E181,'LISTA ITEMS'!$E$2:$G$875,3,FALSE)</f>
        <v>0</v>
      </c>
      <c r="H181" s="76"/>
      <c r="I181" s="75">
        <v>0</v>
      </c>
      <c r="J181" s="27"/>
      <c r="K181" s="13"/>
      <c r="L181" s="67"/>
      <c r="M181" s="56"/>
      <c r="N181" s="55"/>
      <c r="O181" s="13"/>
      <c r="P181" s="71"/>
      <c r="Q181" s="31"/>
      <c r="R181" s="26">
        <f t="shared" si="7"/>
        <v>0</v>
      </c>
      <c r="S181" s="85"/>
      <c r="T181" s="84"/>
      <c r="U181" s="27"/>
      <c r="V181" s="13"/>
      <c r="W181" s="67"/>
      <c r="X181" s="56"/>
      <c r="Y181" s="55"/>
      <c r="Z181" s="13"/>
      <c r="AA181" s="71"/>
      <c r="AB181" s="31"/>
      <c r="AC181" s="26">
        <f t="shared" si="8"/>
        <v>0</v>
      </c>
      <c r="AD181" s="25"/>
      <c r="AE181" s="25"/>
      <c r="AF181" s="13"/>
      <c r="AG181" s="13"/>
      <c r="AH181" s="13"/>
    </row>
    <row r="182" spans="1:35" ht="23.4" customHeight="1" x14ac:dyDescent="0.3">
      <c r="A182" s="65">
        <v>420</v>
      </c>
      <c r="B182" s="25"/>
      <c r="C182" s="25"/>
      <c r="D182" s="25"/>
      <c r="E182" s="30" t="str">
        <f t="shared" si="6"/>
        <v>--</v>
      </c>
      <c r="F182" s="13">
        <f>VLOOKUP(E182,'LISTA ITEMS'!$E$2:$G$875,2,FALSE)</f>
        <v>0</v>
      </c>
      <c r="G182" s="25">
        <f>VLOOKUP(E182,'LISTA ITEMS'!$E$2:$G$875,3,FALSE)</f>
        <v>0</v>
      </c>
      <c r="H182" s="76"/>
      <c r="I182" s="75">
        <v>0</v>
      </c>
      <c r="J182" s="27"/>
      <c r="K182" s="13"/>
      <c r="L182" s="67"/>
      <c r="M182" s="56"/>
      <c r="N182" s="55"/>
      <c r="O182" s="13"/>
      <c r="P182" s="71"/>
      <c r="Q182" s="31"/>
      <c r="R182" s="26">
        <f t="shared" si="7"/>
        <v>0</v>
      </c>
      <c r="S182" s="85"/>
      <c r="T182" s="84"/>
      <c r="U182" s="27"/>
      <c r="V182" s="13"/>
      <c r="W182" s="67"/>
      <c r="X182" s="56"/>
      <c r="Y182" s="55"/>
      <c r="Z182" s="13"/>
      <c r="AA182" s="71"/>
      <c r="AB182" s="31"/>
      <c r="AC182" s="26">
        <f t="shared" si="8"/>
        <v>0</v>
      </c>
      <c r="AD182" s="25"/>
      <c r="AE182" s="25"/>
      <c r="AF182" s="13"/>
      <c r="AG182" s="13"/>
      <c r="AH182" s="13"/>
    </row>
    <row r="183" spans="1:35" x14ac:dyDescent="0.3">
      <c r="A183" s="65">
        <v>421</v>
      </c>
      <c r="B183" s="25"/>
      <c r="C183" s="25"/>
      <c r="D183" s="25"/>
      <c r="E183" s="30" t="str">
        <f t="shared" si="6"/>
        <v>--</v>
      </c>
      <c r="F183" s="13">
        <f>VLOOKUP(E183,'LISTA ITEMS'!$E$2:$G$875,2,FALSE)</f>
        <v>0</v>
      </c>
      <c r="G183" s="25">
        <f>VLOOKUP(E183,'LISTA ITEMS'!$E$2:$G$875,3,FALSE)</f>
        <v>0</v>
      </c>
      <c r="H183" s="76"/>
      <c r="I183" s="75">
        <v>0</v>
      </c>
      <c r="J183" s="27"/>
      <c r="K183" s="13"/>
      <c r="L183" s="67"/>
      <c r="M183" s="56"/>
      <c r="N183" s="55"/>
      <c r="O183" s="13"/>
      <c r="P183" s="71"/>
      <c r="Q183" s="31"/>
      <c r="R183" s="26">
        <f t="shared" si="7"/>
        <v>0</v>
      </c>
      <c r="S183" s="85"/>
      <c r="T183" s="84"/>
      <c r="U183" s="27"/>
      <c r="V183" s="13"/>
      <c r="W183" s="67"/>
      <c r="X183" s="56"/>
      <c r="Y183" s="55"/>
      <c r="Z183" s="13"/>
      <c r="AA183" s="71"/>
      <c r="AB183" s="31"/>
      <c r="AC183" s="26">
        <f t="shared" si="8"/>
        <v>0</v>
      </c>
      <c r="AD183" s="25"/>
      <c r="AE183" s="25"/>
      <c r="AF183" s="13"/>
      <c r="AG183" s="13"/>
      <c r="AH183" s="13"/>
    </row>
    <row r="184" spans="1:35" x14ac:dyDescent="0.3">
      <c r="A184" s="65">
        <v>422</v>
      </c>
      <c r="B184" s="25"/>
      <c r="C184" s="25"/>
      <c r="D184" s="25"/>
      <c r="E184" s="30" t="str">
        <f t="shared" si="6"/>
        <v>--</v>
      </c>
      <c r="F184" s="13">
        <f>VLOOKUP(E184,'LISTA ITEMS'!$E$2:$G$875,2,FALSE)</f>
        <v>0</v>
      </c>
      <c r="G184" s="25">
        <f>VLOOKUP(E184,'LISTA ITEMS'!$E$2:$G$875,3,FALSE)</f>
        <v>0</v>
      </c>
      <c r="H184" s="76"/>
      <c r="I184" s="75">
        <v>0</v>
      </c>
      <c r="J184" s="27"/>
      <c r="K184" s="13"/>
      <c r="L184" s="67"/>
      <c r="M184" s="56"/>
      <c r="N184" s="55"/>
      <c r="O184" s="13"/>
      <c r="P184" s="71"/>
      <c r="Q184" s="31"/>
      <c r="R184" s="26">
        <f t="shared" si="7"/>
        <v>0</v>
      </c>
      <c r="S184" s="85"/>
      <c r="T184" s="84"/>
      <c r="U184" s="27"/>
      <c r="V184" s="13"/>
      <c r="W184" s="67"/>
      <c r="X184" s="56"/>
      <c r="Y184" s="55"/>
      <c r="Z184" s="13"/>
      <c r="AA184" s="71"/>
      <c r="AB184" s="31"/>
      <c r="AC184" s="26">
        <f t="shared" si="8"/>
        <v>0</v>
      </c>
      <c r="AD184" s="25"/>
      <c r="AE184" s="25"/>
      <c r="AF184" s="13"/>
      <c r="AG184" s="13"/>
      <c r="AH184" s="13"/>
      <c r="AI184" s="2" t="s">
        <v>467</v>
      </c>
    </row>
    <row r="185" spans="1:35" ht="33" customHeight="1" x14ac:dyDescent="0.3">
      <c r="A185" s="65">
        <v>423</v>
      </c>
      <c r="B185" s="25"/>
      <c r="C185" s="25"/>
      <c r="D185" s="25"/>
      <c r="E185" s="30" t="str">
        <f t="shared" si="6"/>
        <v>--</v>
      </c>
      <c r="F185" s="13">
        <f>VLOOKUP(E185,'LISTA ITEMS'!$E$2:$G$875,2,FALSE)</f>
        <v>0</v>
      </c>
      <c r="G185" s="25">
        <f>VLOOKUP(E185,'LISTA ITEMS'!$E$2:$G$875,3,FALSE)</f>
        <v>0</v>
      </c>
      <c r="H185" s="76"/>
      <c r="I185" s="75">
        <v>0</v>
      </c>
      <c r="J185" s="27"/>
      <c r="K185" s="13"/>
      <c r="L185" s="67"/>
      <c r="M185" s="56"/>
      <c r="N185" s="55"/>
      <c r="O185" s="13"/>
      <c r="P185" s="71"/>
      <c r="Q185" s="31"/>
      <c r="R185" s="26">
        <f t="shared" si="7"/>
        <v>0</v>
      </c>
      <c r="S185" s="85"/>
      <c r="T185" s="84"/>
      <c r="U185" s="27"/>
      <c r="V185" s="13"/>
      <c r="W185" s="67"/>
      <c r="X185" s="56"/>
      <c r="Y185" s="55"/>
      <c r="Z185" s="13"/>
      <c r="AA185" s="71"/>
      <c r="AB185" s="31"/>
      <c r="AC185" s="26">
        <f t="shared" si="8"/>
        <v>0</v>
      </c>
      <c r="AD185" s="25"/>
      <c r="AE185" s="25"/>
      <c r="AF185" s="13"/>
      <c r="AG185" s="13"/>
      <c r="AH185" s="13"/>
    </row>
    <row r="186" spans="1:35" x14ac:dyDescent="0.3">
      <c r="A186" s="65">
        <v>424</v>
      </c>
      <c r="B186" s="25"/>
      <c r="C186" s="25"/>
      <c r="D186" s="25"/>
      <c r="E186" s="30" t="str">
        <f t="shared" si="6"/>
        <v>--</v>
      </c>
      <c r="F186" s="13">
        <f>VLOOKUP(E186,'LISTA ITEMS'!$E$2:$G$875,2,FALSE)</f>
        <v>0</v>
      </c>
      <c r="G186" s="25">
        <f>VLOOKUP(E186,'LISTA ITEMS'!$E$2:$G$875,3,FALSE)</f>
        <v>0</v>
      </c>
      <c r="H186" s="76"/>
      <c r="I186" s="75">
        <v>0</v>
      </c>
      <c r="J186" s="27"/>
      <c r="K186" s="13"/>
      <c r="L186" s="67"/>
      <c r="M186" s="56"/>
      <c r="N186" s="55"/>
      <c r="O186" s="13"/>
      <c r="P186" s="71"/>
      <c r="Q186" s="31"/>
      <c r="R186" s="26">
        <f t="shared" si="7"/>
        <v>0</v>
      </c>
      <c r="S186" s="85"/>
      <c r="T186" s="84"/>
      <c r="U186" s="27"/>
      <c r="V186" s="13"/>
      <c r="W186" s="67"/>
      <c r="X186" s="56"/>
      <c r="Y186" s="55"/>
      <c r="Z186" s="13"/>
      <c r="AA186" s="71"/>
      <c r="AB186" s="31"/>
      <c r="AC186" s="26">
        <f t="shared" si="8"/>
        <v>0</v>
      </c>
      <c r="AD186" s="25"/>
      <c r="AE186" s="25"/>
      <c r="AF186" s="13"/>
      <c r="AG186" s="13"/>
      <c r="AH186" s="13"/>
    </row>
    <row r="187" spans="1:35" x14ac:dyDescent="0.3">
      <c r="A187" s="65">
        <v>425</v>
      </c>
      <c r="B187" s="25"/>
      <c r="C187" s="25"/>
      <c r="D187" s="25"/>
      <c r="E187" s="30" t="str">
        <f t="shared" si="6"/>
        <v>--</v>
      </c>
      <c r="F187" s="13">
        <f>VLOOKUP(E187,'LISTA ITEMS'!$E$2:$G$875,2,FALSE)</f>
        <v>0</v>
      </c>
      <c r="G187" s="25">
        <f>VLOOKUP(E187,'LISTA ITEMS'!$E$2:$G$875,3,FALSE)</f>
        <v>0</v>
      </c>
      <c r="H187" s="76"/>
      <c r="I187" s="75">
        <v>0</v>
      </c>
      <c r="J187" s="27"/>
      <c r="K187" s="13"/>
      <c r="L187" s="67"/>
      <c r="M187" s="56"/>
      <c r="N187" s="55"/>
      <c r="O187" s="13"/>
      <c r="P187" s="71"/>
      <c r="Q187" s="31"/>
      <c r="R187" s="26">
        <f t="shared" si="7"/>
        <v>0</v>
      </c>
      <c r="S187" s="85"/>
      <c r="T187" s="84"/>
      <c r="U187" s="27"/>
      <c r="V187" s="13"/>
      <c r="W187" s="67"/>
      <c r="X187" s="56"/>
      <c r="Y187" s="55"/>
      <c r="Z187" s="13"/>
      <c r="AA187" s="71"/>
      <c r="AB187" s="31"/>
      <c r="AC187" s="26">
        <f t="shared" si="8"/>
        <v>0</v>
      </c>
      <c r="AD187" s="25"/>
      <c r="AE187" s="25"/>
      <c r="AF187" s="13"/>
      <c r="AG187" s="13"/>
      <c r="AH187" s="13"/>
    </row>
    <row r="188" spans="1:35" x14ac:dyDescent="0.3">
      <c r="A188" s="65">
        <v>426</v>
      </c>
      <c r="B188" s="25"/>
      <c r="C188" s="25"/>
      <c r="D188" s="25"/>
      <c r="E188" s="30" t="str">
        <f t="shared" si="6"/>
        <v>--</v>
      </c>
      <c r="F188" s="13">
        <f>VLOOKUP(E188,'LISTA ITEMS'!$E$2:$G$875,2,FALSE)</f>
        <v>0</v>
      </c>
      <c r="G188" s="25">
        <f>VLOOKUP(E188,'LISTA ITEMS'!$E$2:$G$875,3,FALSE)</f>
        <v>0</v>
      </c>
      <c r="H188" s="76"/>
      <c r="I188" s="75">
        <v>0</v>
      </c>
      <c r="J188" s="27"/>
      <c r="K188" s="13"/>
      <c r="L188" s="67"/>
      <c r="M188" s="56"/>
      <c r="N188" s="55"/>
      <c r="O188" s="13"/>
      <c r="P188" s="71"/>
      <c r="Q188" s="31"/>
      <c r="R188" s="26">
        <f t="shared" si="7"/>
        <v>0</v>
      </c>
      <c r="S188" s="85"/>
      <c r="T188" s="84"/>
      <c r="U188" s="27"/>
      <c r="V188" s="13"/>
      <c r="W188" s="67"/>
      <c r="X188" s="56"/>
      <c r="Y188" s="55"/>
      <c r="Z188" s="13"/>
      <c r="AA188" s="71"/>
      <c r="AB188" s="31"/>
      <c r="AC188" s="26">
        <f t="shared" si="8"/>
        <v>0</v>
      </c>
      <c r="AD188" s="25"/>
      <c r="AE188" s="25"/>
      <c r="AF188" s="13"/>
      <c r="AG188" s="13"/>
      <c r="AH188" s="13"/>
    </row>
    <row r="189" spans="1:35" x14ac:dyDescent="0.3">
      <c r="A189" s="65">
        <v>427</v>
      </c>
      <c r="B189" s="25"/>
      <c r="C189" s="25"/>
      <c r="D189" s="25"/>
      <c r="E189" s="30" t="str">
        <f t="shared" si="6"/>
        <v>--</v>
      </c>
      <c r="F189" s="13">
        <f>VLOOKUP(E189,'LISTA ITEMS'!$E$2:$G$875,2,FALSE)</f>
        <v>0</v>
      </c>
      <c r="G189" s="25">
        <f>VLOOKUP(E189,'LISTA ITEMS'!$E$2:$G$875,3,FALSE)</f>
        <v>0</v>
      </c>
      <c r="H189" s="76"/>
      <c r="I189" s="75">
        <v>0</v>
      </c>
      <c r="J189" s="27"/>
      <c r="K189" s="13"/>
      <c r="L189" s="67"/>
      <c r="M189" s="56"/>
      <c r="N189" s="55"/>
      <c r="O189" s="13"/>
      <c r="P189" s="71"/>
      <c r="Q189" s="31"/>
      <c r="R189" s="26">
        <f t="shared" si="7"/>
        <v>0</v>
      </c>
      <c r="S189" s="85"/>
      <c r="T189" s="84"/>
      <c r="U189" s="27"/>
      <c r="V189" s="13"/>
      <c r="W189" s="67"/>
      <c r="X189" s="56"/>
      <c r="Y189" s="55"/>
      <c r="Z189" s="13"/>
      <c r="AA189" s="71"/>
      <c r="AB189" s="31"/>
      <c r="AC189" s="26">
        <f t="shared" si="8"/>
        <v>0</v>
      </c>
      <c r="AD189" s="25"/>
      <c r="AE189" s="25"/>
      <c r="AF189" s="13"/>
      <c r="AG189" s="13"/>
      <c r="AH189" s="13"/>
    </row>
    <row r="190" spans="1:35" x14ac:dyDescent="0.3">
      <c r="A190" s="65">
        <v>428</v>
      </c>
      <c r="B190" s="25"/>
      <c r="C190" s="25"/>
      <c r="D190" s="25"/>
      <c r="E190" s="30" t="str">
        <f t="shared" si="6"/>
        <v>--</v>
      </c>
      <c r="F190" s="13">
        <f>VLOOKUP(E190,'LISTA ITEMS'!$E$2:$G$875,2,FALSE)</f>
        <v>0</v>
      </c>
      <c r="G190" s="25">
        <f>VLOOKUP(E190,'LISTA ITEMS'!$E$2:$G$875,3,FALSE)</f>
        <v>0</v>
      </c>
      <c r="H190" s="76"/>
      <c r="I190" s="75">
        <v>0</v>
      </c>
      <c r="J190" s="27"/>
      <c r="K190" s="13"/>
      <c r="L190" s="67"/>
      <c r="M190" s="56"/>
      <c r="N190" s="55"/>
      <c r="O190" s="13"/>
      <c r="P190" s="71"/>
      <c r="Q190" s="31"/>
      <c r="R190" s="26">
        <f t="shared" si="7"/>
        <v>0</v>
      </c>
      <c r="S190" s="85"/>
      <c r="T190" s="84"/>
      <c r="U190" s="27"/>
      <c r="V190" s="13"/>
      <c r="W190" s="67"/>
      <c r="X190" s="56"/>
      <c r="Y190" s="55"/>
      <c r="Z190" s="13"/>
      <c r="AA190" s="71"/>
      <c r="AB190" s="31"/>
      <c r="AC190" s="26">
        <f t="shared" si="8"/>
        <v>0</v>
      </c>
      <c r="AD190" s="25"/>
      <c r="AE190" s="25"/>
      <c r="AF190" s="13"/>
      <c r="AG190" s="13"/>
      <c r="AH190" s="13"/>
    </row>
    <row r="191" spans="1:35" x14ac:dyDescent="0.3">
      <c r="A191" s="65">
        <v>429</v>
      </c>
      <c r="B191" s="25"/>
      <c r="C191" s="25"/>
      <c r="D191" s="25"/>
      <c r="E191" s="30" t="str">
        <f t="shared" si="6"/>
        <v>--</v>
      </c>
      <c r="F191" s="13">
        <f>VLOOKUP(E191,'LISTA ITEMS'!$E$2:$G$875,2,FALSE)</f>
        <v>0</v>
      </c>
      <c r="G191" s="25">
        <f>VLOOKUP(E191,'LISTA ITEMS'!$E$2:$G$875,3,FALSE)</f>
        <v>0</v>
      </c>
      <c r="H191" s="76"/>
      <c r="I191" s="75">
        <v>0</v>
      </c>
      <c r="J191" s="27"/>
      <c r="K191" s="13"/>
      <c r="L191" s="67"/>
      <c r="M191" s="56"/>
      <c r="N191" s="55"/>
      <c r="O191" s="13"/>
      <c r="P191" s="71"/>
      <c r="Q191" s="31"/>
      <c r="R191" s="26">
        <f t="shared" si="7"/>
        <v>0</v>
      </c>
      <c r="S191" s="85"/>
      <c r="T191" s="84"/>
      <c r="U191" s="27"/>
      <c r="V191" s="13"/>
      <c r="W191" s="67"/>
      <c r="X191" s="56"/>
      <c r="Y191" s="55"/>
      <c r="Z191" s="13"/>
      <c r="AA191" s="71"/>
      <c r="AB191" s="31"/>
      <c r="AC191" s="26">
        <f t="shared" si="8"/>
        <v>0</v>
      </c>
      <c r="AD191" s="25"/>
      <c r="AE191" s="25"/>
      <c r="AF191" s="13"/>
      <c r="AG191" s="13"/>
      <c r="AH191" s="13"/>
    </row>
    <row r="192" spans="1:35" x14ac:dyDescent="0.3">
      <c r="A192" s="65">
        <v>430</v>
      </c>
      <c r="B192" s="25"/>
      <c r="C192" s="25"/>
      <c r="D192" s="25"/>
      <c r="E192" s="30" t="str">
        <f t="shared" si="6"/>
        <v>--</v>
      </c>
      <c r="F192" s="13">
        <f>VLOOKUP(E192,'LISTA ITEMS'!$E$2:$G$875,2,FALSE)</f>
        <v>0</v>
      </c>
      <c r="G192" s="25">
        <f>VLOOKUP(E192,'LISTA ITEMS'!$E$2:$G$875,3,FALSE)</f>
        <v>0</v>
      </c>
      <c r="H192" s="76"/>
      <c r="I192" s="75">
        <v>0</v>
      </c>
      <c r="J192" s="27"/>
      <c r="K192" s="13"/>
      <c r="L192" s="67"/>
      <c r="M192" s="56"/>
      <c r="N192" s="55"/>
      <c r="O192" s="13"/>
      <c r="P192" s="71"/>
      <c r="Q192" s="31"/>
      <c r="R192" s="26">
        <f t="shared" si="7"/>
        <v>0</v>
      </c>
      <c r="S192" s="85"/>
      <c r="T192" s="84"/>
      <c r="U192" s="27"/>
      <c r="V192" s="13"/>
      <c r="W192" s="67"/>
      <c r="X192" s="56"/>
      <c r="Y192" s="55"/>
      <c r="Z192" s="13"/>
      <c r="AA192" s="71"/>
      <c r="AB192" s="31"/>
      <c r="AC192" s="26">
        <f t="shared" si="8"/>
        <v>0</v>
      </c>
      <c r="AD192" s="25"/>
      <c r="AE192" s="25"/>
      <c r="AF192" s="13"/>
      <c r="AG192" s="13"/>
      <c r="AH192" s="13"/>
    </row>
    <row r="193" spans="1:35" x14ac:dyDescent="0.3">
      <c r="A193" s="65">
        <v>431</v>
      </c>
      <c r="B193" s="25"/>
      <c r="C193" s="25"/>
      <c r="D193" s="25"/>
      <c r="E193" s="30" t="str">
        <f t="shared" si="6"/>
        <v>--</v>
      </c>
      <c r="F193" s="13">
        <f>VLOOKUP(E193,'LISTA ITEMS'!$E$2:$G$875,2,FALSE)</f>
        <v>0</v>
      </c>
      <c r="G193" s="25">
        <f>VLOOKUP(E193,'LISTA ITEMS'!$E$2:$G$875,3,FALSE)</f>
        <v>0</v>
      </c>
      <c r="H193" s="76"/>
      <c r="I193" s="75">
        <v>0</v>
      </c>
      <c r="J193" s="27"/>
      <c r="K193" s="13"/>
      <c r="L193" s="67"/>
      <c r="M193" s="56"/>
      <c r="N193" s="55"/>
      <c r="O193" s="13"/>
      <c r="P193" s="71"/>
      <c r="Q193" s="31"/>
      <c r="R193" s="26">
        <f t="shared" si="7"/>
        <v>0</v>
      </c>
      <c r="S193" s="85"/>
      <c r="T193" s="84"/>
      <c r="U193" s="27"/>
      <c r="V193" s="13"/>
      <c r="W193" s="67"/>
      <c r="X193" s="56"/>
      <c r="Y193" s="55"/>
      <c r="Z193" s="13"/>
      <c r="AA193" s="71"/>
      <c r="AB193" s="31"/>
      <c r="AC193" s="26">
        <f t="shared" si="8"/>
        <v>0</v>
      </c>
      <c r="AD193" s="25"/>
      <c r="AE193" s="25"/>
      <c r="AF193" s="13"/>
      <c r="AG193" s="13"/>
      <c r="AH193" s="13"/>
      <c r="AI193" s="2" t="s">
        <v>467</v>
      </c>
    </row>
    <row r="194" spans="1:35" x14ac:dyDescent="0.3">
      <c r="A194" s="65">
        <v>432</v>
      </c>
      <c r="B194" s="25"/>
      <c r="C194" s="25"/>
      <c r="D194" s="25"/>
      <c r="E194" s="30" t="str">
        <f t="shared" si="6"/>
        <v>--</v>
      </c>
      <c r="F194" s="13">
        <f>VLOOKUP(E194,'LISTA ITEMS'!$E$2:$G$875,2,FALSE)</f>
        <v>0</v>
      </c>
      <c r="G194" s="25">
        <f>VLOOKUP(E194,'LISTA ITEMS'!$E$2:$G$875,3,FALSE)</f>
        <v>0</v>
      </c>
      <c r="H194" s="76"/>
      <c r="I194" s="75">
        <v>0</v>
      </c>
      <c r="J194" s="27"/>
      <c r="K194" s="13"/>
      <c r="L194" s="67"/>
      <c r="M194" s="56"/>
      <c r="N194" s="55"/>
      <c r="O194" s="13"/>
      <c r="P194" s="71"/>
      <c r="Q194" s="31"/>
      <c r="R194" s="26">
        <f t="shared" si="7"/>
        <v>0</v>
      </c>
      <c r="S194" s="85"/>
      <c r="T194" s="84"/>
      <c r="U194" s="27"/>
      <c r="V194" s="13"/>
      <c r="W194" s="67"/>
      <c r="X194" s="56"/>
      <c r="Y194" s="55"/>
      <c r="Z194" s="13"/>
      <c r="AA194" s="71"/>
      <c r="AB194" s="31"/>
      <c r="AC194" s="26">
        <f t="shared" si="8"/>
        <v>0</v>
      </c>
      <c r="AD194" s="25"/>
      <c r="AE194" s="25"/>
      <c r="AF194" s="13"/>
      <c r="AG194" s="13"/>
      <c r="AH194" s="13"/>
    </row>
    <row r="195" spans="1:35" x14ac:dyDescent="0.3">
      <c r="A195" s="65">
        <v>433</v>
      </c>
      <c r="B195" s="25"/>
      <c r="C195" s="25"/>
      <c r="D195" s="25"/>
      <c r="E195" s="30" t="str">
        <f t="shared" si="6"/>
        <v>--</v>
      </c>
      <c r="F195" s="13">
        <f>VLOOKUP(E195,'LISTA ITEMS'!$E$2:$G$875,2,FALSE)</f>
        <v>0</v>
      </c>
      <c r="G195" s="25">
        <f>VLOOKUP(E195,'LISTA ITEMS'!$E$2:$G$875,3,FALSE)</f>
        <v>0</v>
      </c>
      <c r="H195" s="76"/>
      <c r="I195" s="75">
        <v>0</v>
      </c>
      <c r="J195" s="27"/>
      <c r="K195" s="13"/>
      <c r="L195" s="67"/>
      <c r="M195" s="56"/>
      <c r="N195" s="55"/>
      <c r="O195" s="13"/>
      <c r="P195" s="71"/>
      <c r="Q195" s="31"/>
      <c r="R195" s="26">
        <f t="shared" si="7"/>
        <v>0</v>
      </c>
      <c r="S195" s="85"/>
      <c r="T195" s="84"/>
      <c r="U195" s="27"/>
      <c r="V195" s="13"/>
      <c r="W195" s="67"/>
      <c r="X195" s="56"/>
      <c r="Y195" s="55"/>
      <c r="Z195" s="13"/>
      <c r="AA195" s="71"/>
      <c r="AB195" s="31"/>
      <c r="AC195" s="26">
        <f t="shared" si="8"/>
        <v>0</v>
      </c>
      <c r="AD195" s="25"/>
      <c r="AE195" s="25"/>
      <c r="AF195" s="13"/>
      <c r="AG195" s="13"/>
      <c r="AH195" s="13"/>
      <c r="AI195" s="2" t="s">
        <v>467</v>
      </c>
    </row>
    <row r="196" spans="1:35" x14ac:dyDescent="0.3">
      <c r="A196" s="65">
        <v>434</v>
      </c>
      <c r="B196" s="25"/>
      <c r="C196" s="25"/>
      <c r="D196" s="25"/>
      <c r="E196" s="30" t="str">
        <f t="shared" ref="E196:E259" si="9">CONCATENATE(B196,"-",C196,"-",D196)</f>
        <v>--</v>
      </c>
      <c r="F196" s="13">
        <f>VLOOKUP(E196,'LISTA ITEMS'!$E$2:$G$875,2,FALSE)</f>
        <v>0</v>
      </c>
      <c r="G196" s="25">
        <f>VLOOKUP(E196,'LISTA ITEMS'!$E$2:$G$875,3,FALSE)</f>
        <v>0</v>
      </c>
      <c r="H196" s="76"/>
      <c r="I196" s="75">
        <v>0</v>
      </c>
      <c r="J196" s="27"/>
      <c r="K196" s="13"/>
      <c r="L196" s="67"/>
      <c r="M196" s="56"/>
      <c r="N196" s="55"/>
      <c r="O196" s="13"/>
      <c r="P196" s="71"/>
      <c r="Q196" s="31"/>
      <c r="R196" s="26">
        <f t="shared" ref="R196:R259" si="10">+I196+L196+N196-P196</f>
        <v>0</v>
      </c>
      <c r="S196" s="85"/>
      <c r="T196" s="84"/>
      <c r="U196" s="27"/>
      <c r="V196" s="13"/>
      <c r="W196" s="67"/>
      <c r="X196" s="56"/>
      <c r="Y196" s="55"/>
      <c r="Z196" s="13"/>
      <c r="AA196" s="71"/>
      <c r="AB196" s="31"/>
      <c r="AC196" s="26">
        <f t="shared" ref="AC196:AC259" si="11">+R196+W196+Y196-AA196</f>
        <v>0</v>
      </c>
      <c r="AD196" s="25"/>
      <c r="AE196" s="25"/>
      <c r="AF196" s="13"/>
      <c r="AG196" s="13"/>
      <c r="AH196" s="13"/>
      <c r="AI196" s="2" t="s">
        <v>467</v>
      </c>
    </row>
    <row r="197" spans="1:35" x14ac:dyDescent="0.3">
      <c r="A197" s="65">
        <v>435</v>
      </c>
      <c r="B197" s="25"/>
      <c r="C197" s="25"/>
      <c r="D197" s="25"/>
      <c r="E197" s="30" t="str">
        <f t="shared" si="9"/>
        <v>--</v>
      </c>
      <c r="F197" s="13">
        <f>VLOOKUP(E197,'LISTA ITEMS'!$E$2:$G$875,2,FALSE)</f>
        <v>0</v>
      </c>
      <c r="G197" s="25">
        <f>VLOOKUP(E197,'LISTA ITEMS'!$E$2:$G$875,3,FALSE)</f>
        <v>0</v>
      </c>
      <c r="H197" s="76"/>
      <c r="I197" s="75">
        <v>0</v>
      </c>
      <c r="J197" s="27"/>
      <c r="K197" s="13"/>
      <c r="L197" s="67"/>
      <c r="M197" s="56"/>
      <c r="N197" s="55"/>
      <c r="O197" s="13"/>
      <c r="P197" s="71"/>
      <c r="Q197" s="31"/>
      <c r="R197" s="26">
        <f t="shared" si="10"/>
        <v>0</v>
      </c>
      <c r="S197" s="85"/>
      <c r="T197" s="84"/>
      <c r="U197" s="27"/>
      <c r="V197" s="13"/>
      <c r="W197" s="67"/>
      <c r="X197" s="56"/>
      <c r="Y197" s="55"/>
      <c r="Z197" s="13"/>
      <c r="AA197" s="71"/>
      <c r="AB197" s="31"/>
      <c r="AC197" s="26">
        <f t="shared" si="11"/>
        <v>0</v>
      </c>
      <c r="AD197" s="25"/>
      <c r="AE197" s="25"/>
      <c r="AF197" s="13"/>
      <c r="AG197" s="13"/>
      <c r="AH197" s="13"/>
    </row>
    <row r="198" spans="1:35" x14ac:dyDescent="0.3">
      <c r="A198" s="65">
        <v>436</v>
      </c>
      <c r="B198" s="25"/>
      <c r="C198" s="25"/>
      <c r="D198" s="25"/>
      <c r="E198" s="30" t="str">
        <f t="shared" si="9"/>
        <v>--</v>
      </c>
      <c r="F198" s="13">
        <f>VLOOKUP(E198,'LISTA ITEMS'!$E$2:$G$875,2,FALSE)</f>
        <v>0</v>
      </c>
      <c r="G198" s="25">
        <f>VLOOKUP(E198,'LISTA ITEMS'!$E$2:$G$875,3,FALSE)</f>
        <v>0</v>
      </c>
      <c r="H198" s="76"/>
      <c r="I198" s="75">
        <v>0</v>
      </c>
      <c r="J198" s="27"/>
      <c r="K198" s="13"/>
      <c r="L198" s="67"/>
      <c r="M198" s="56"/>
      <c r="N198" s="55"/>
      <c r="O198" s="13"/>
      <c r="P198" s="71"/>
      <c r="Q198" s="31"/>
      <c r="R198" s="26">
        <f t="shared" si="10"/>
        <v>0</v>
      </c>
      <c r="S198" s="85"/>
      <c r="T198" s="84"/>
      <c r="U198" s="27"/>
      <c r="V198" s="13"/>
      <c r="W198" s="67"/>
      <c r="X198" s="56"/>
      <c r="Y198" s="55"/>
      <c r="Z198" s="13"/>
      <c r="AA198" s="71"/>
      <c r="AB198" s="31"/>
      <c r="AC198" s="26">
        <f t="shared" si="11"/>
        <v>0</v>
      </c>
      <c r="AD198" s="25"/>
      <c r="AE198" s="25"/>
      <c r="AF198" s="13"/>
      <c r="AG198" s="13"/>
      <c r="AH198" s="13"/>
      <c r="AI198" s="2" t="s">
        <v>467</v>
      </c>
    </row>
    <row r="199" spans="1:35" x14ac:dyDescent="0.3">
      <c r="A199" s="65">
        <v>437</v>
      </c>
      <c r="B199" s="25"/>
      <c r="C199" s="25"/>
      <c r="D199" s="25"/>
      <c r="E199" s="30" t="str">
        <f t="shared" si="9"/>
        <v>--</v>
      </c>
      <c r="F199" s="13">
        <f>VLOOKUP(E199,'LISTA ITEMS'!$E$2:$G$875,2,FALSE)</f>
        <v>0</v>
      </c>
      <c r="G199" s="25">
        <f>VLOOKUP(E199,'LISTA ITEMS'!$E$2:$G$875,3,FALSE)</f>
        <v>0</v>
      </c>
      <c r="H199" s="76"/>
      <c r="I199" s="75">
        <v>0</v>
      </c>
      <c r="J199" s="27"/>
      <c r="K199" s="13"/>
      <c r="L199" s="67"/>
      <c r="M199" s="56"/>
      <c r="N199" s="55"/>
      <c r="O199" s="13"/>
      <c r="P199" s="71"/>
      <c r="Q199" s="31"/>
      <c r="R199" s="26">
        <f t="shared" si="10"/>
        <v>0</v>
      </c>
      <c r="S199" s="85"/>
      <c r="T199" s="84"/>
      <c r="U199" s="27"/>
      <c r="V199" s="13"/>
      <c r="W199" s="67"/>
      <c r="X199" s="56"/>
      <c r="Y199" s="55"/>
      <c r="Z199" s="13"/>
      <c r="AA199" s="71"/>
      <c r="AB199" s="31"/>
      <c r="AC199" s="26">
        <f t="shared" si="11"/>
        <v>0</v>
      </c>
      <c r="AD199" s="25"/>
      <c r="AE199" s="25"/>
      <c r="AF199" s="13"/>
      <c r="AG199" s="13"/>
      <c r="AH199" s="13"/>
      <c r="AI199" s="2" t="s">
        <v>467</v>
      </c>
    </row>
    <row r="200" spans="1:35" x14ac:dyDescent="0.3">
      <c r="A200" s="65">
        <v>438</v>
      </c>
      <c r="B200" s="25"/>
      <c r="C200" s="25"/>
      <c r="D200" s="25"/>
      <c r="E200" s="30" t="str">
        <f t="shared" si="9"/>
        <v>--</v>
      </c>
      <c r="F200" s="13">
        <f>VLOOKUP(E200,'LISTA ITEMS'!$E$2:$G$875,2,FALSE)</f>
        <v>0</v>
      </c>
      <c r="G200" s="25">
        <f>VLOOKUP(E200,'LISTA ITEMS'!$E$2:$G$875,3,FALSE)</f>
        <v>0</v>
      </c>
      <c r="H200" s="76"/>
      <c r="I200" s="75">
        <v>0</v>
      </c>
      <c r="J200" s="27"/>
      <c r="K200" s="13"/>
      <c r="L200" s="67"/>
      <c r="M200" s="56"/>
      <c r="N200" s="55"/>
      <c r="O200" s="13"/>
      <c r="P200" s="71"/>
      <c r="Q200" s="31"/>
      <c r="R200" s="26">
        <f t="shared" si="10"/>
        <v>0</v>
      </c>
      <c r="S200" s="85"/>
      <c r="T200" s="84"/>
      <c r="U200" s="27"/>
      <c r="V200" s="13"/>
      <c r="W200" s="67"/>
      <c r="X200" s="56"/>
      <c r="Y200" s="55"/>
      <c r="Z200" s="13"/>
      <c r="AA200" s="71"/>
      <c r="AB200" s="31"/>
      <c r="AC200" s="26">
        <f t="shared" si="11"/>
        <v>0</v>
      </c>
      <c r="AD200" s="25"/>
      <c r="AE200" s="25"/>
      <c r="AF200" s="13"/>
      <c r="AG200" s="13"/>
      <c r="AH200" s="13"/>
      <c r="AI200" s="2" t="s">
        <v>467</v>
      </c>
    </row>
    <row r="201" spans="1:35" x14ac:dyDescent="0.3">
      <c r="A201" s="65">
        <v>439</v>
      </c>
      <c r="B201" s="25"/>
      <c r="C201" s="25"/>
      <c r="D201" s="25"/>
      <c r="E201" s="30" t="str">
        <f t="shared" si="9"/>
        <v>--</v>
      </c>
      <c r="F201" s="13">
        <f>VLOOKUP(E201,'LISTA ITEMS'!$E$2:$G$875,2,FALSE)</f>
        <v>0</v>
      </c>
      <c r="G201" s="25">
        <f>VLOOKUP(E201,'LISTA ITEMS'!$E$2:$G$875,3,FALSE)</f>
        <v>0</v>
      </c>
      <c r="H201" s="76"/>
      <c r="I201" s="75">
        <v>0</v>
      </c>
      <c r="J201" s="27"/>
      <c r="K201" s="13"/>
      <c r="L201" s="67"/>
      <c r="M201" s="56"/>
      <c r="N201" s="55"/>
      <c r="O201" s="13"/>
      <c r="P201" s="71"/>
      <c r="Q201" s="31"/>
      <c r="R201" s="26">
        <f t="shared" si="10"/>
        <v>0</v>
      </c>
      <c r="S201" s="85"/>
      <c r="T201" s="84"/>
      <c r="U201" s="27"/>
      <c r="V201" s="13"/>
      <c r="W201" s="67"/>
      <c r="X201" s="56"/>
      <c r="Y201" s="55"/>
      <c r="Z201" s="13"/>
      <c r="AA201" s="71"/>
      <c r="AB201" s="31"/>
      <c r="AC201" s="26">
        <f t="shared" si="11"/>
        <v>0</v>
      </c>
      <c r="AD201" s="25"/>
      <c r="AE201" s="25"/>
      <c r="AF201" s="13"/>
      <c r="AG201" s="13"/>
      <c r="AH201" s="13"/>
      <c r="AI201" s="2" t="s">
        <v>467</v>
      </c>
    </row>
    <row r="202" spans="1:35" x14ac:dyDescent="0.3">
      <c r="A202" s="65">
        <v>440</v>
      </c>
      <c r="B202" s="25"/>
      <c r="C202" s="25"/>
      <c r="D202" s="25"/>
      <c r="E202" s="30" t="str">
        <f t="shared" si="9"/>
        <v>--</v>
      </c>
      <c r="F202" s="13">
        <f>VLOOKUP(E202,'LISTA ITEMS'!$E$2:$G$875,2,FALSE)</f>
        <v>0</v>
      </c>
      <c r="G202" s="25">
        <f>VLOOKUP(E202,'LISTA ITEMS'!$E$2:$G$875,3,FALSE)</f>
        <v>0</v>
      </c>
      <c r="H202" s="76"/>
      <c r="I202" s="75">
        <v>0</v>
      </c>
      <c r="J202" s="27"/>
      <c r="K202" s="13"/>
      <c r="L202" s="67"/>
      <c r="M202" s="56"/>
      <c r="N202" s="55"/>
      <c r="O202" s="13"/>
      <c r="P202" s="71"/>
      <c r="Q202" s="31"/>
      <c r="R202" s="26">
        <f t="shared" si="10"/>
        <v>0</v>
      </c>
      <c r="S202" s="85"/>
      <c r="T202" s="84"/>
      <c r="U202" s="27"/>
      <c r="V202" s="13"/>
      <c r="W202" s="67"/>
      <c r="X202" s="56"/>
      <c r="Y202" s="55"/>
      <c r="Z202" s="13"/>
      <c r="AA202" s="71"/>
      <c r="AB202" s="31"/>
      <c r="AC202" s="26">
        <f t="shared" si="11"/>
        <v>0</v>
      </c>
      <c r="AD202" s="25"/>
      <c r="AE202" s="25"/>
      <c r="AF202" s="13"/>
      <c r="AG202" s="13"/>
      <c r="AH202" s="13"/>
      <c r="AI202" s="2" t="s">
        <v>467</v>
      </c>
    </row>
    <row r="203" spans="1:35" x14ac:dyDescent="0.3">
      <c r="A203" s="65">
        <v>441</v>
      </c>
      <c r="B203" s="25"/>
      <c r="C203" s="25"/>
      <c r="D203" s="25"/>
      <c r="E203" s="30" t="str">
        <f t="shared" si="9"/>
        <v>--</v>
      </c>
      <c r="F203" s="13">
        <f>VLOOKUP(E203,'LISTA ITEMS'!$E$2:$G$875,2,FALSE)</f>
        <v>0</v>
      </c>
      <c r="G203" s="25">
        <f>VLOOKUP(E203,'LISTA ITEMS'!$E$2:$G$875,3,FALSE)</f>
        <v>0</v>
      </c>
      <c r="H203" s="76"/>
      <c r="I203" s="75">
        <v>0</v>
      </c>
      <c r="J203" s="27"/>
      <c r="K203" s="13"/>
      <c r="L203" s="67"/>
      <c r="M203" s="56"/>
      <c r="N203" s="55"/>
      <c r="O203" s="13"/>
      <c r="P203" s="71"/>
      <c r="Q203" s="31"/>
      <c r="R203" s="26">
        <f t="shared" si="10"/>
        <v>0</v>
      </c>
      <c r="S203" s="85"/>
      <c r="T203" s="84"/>
      <c r="U203" s="27"/>
      <c r="V203" s="13"/>
      <c r="W203" s="67"/>
      <c r="X203" s="56"/>
      <c r="Y203" s="55"/>
      <c r="Z203" s="13"/>
      <c r="AA203" s="71"/>
      <c r="AB203" s="31"/>
      <c r="AC203" s="26">
        <f t="shared" si="11"/>
        <v>0</v>
      </c>
      <c r="AD203" s="25"/>
      <c r="AE203" s="25"/>
      <c r="AF203" s="13"/>
      <c r="AG203" s="13"/>
      <c r="AH203" s="13"/>
      <c r="AI203" s="2" t="s">
        <v>467</v>
      </c>
    </row>
    <row r="204" spans="1:35" x14ac:dyDescent="0.3">
      <c r="A204" s="65">
        <v>442</v>
      </c>
      <c r="B204" s="25"/>
      <c r="C204" s="25"/>
      <c r="D204" s="25"/>
      <c r="E204" s="30" t="str">
        <f t="shared" si="9"/>
        <v>--</v>
      </c>
      <c r="F204" s="13">
        <f>VLOOKUP(E204,'LISTA ITEMS'!$E$2:$G$875,2,FALSE)</f>
        <v>0</v>
      </c>
      <c r="G204" s="25">
        <f>VLOOKUP(E204,'LISTA ITEMS'!$E$2:$G$875,3,FALSE)</f>
        <v>0</v>
      </c>
      <c r="H204" s="76"/>
      <c r="I204" s="75">
        <v>0</v>
      </c>
      <c r="J204" s="27"/>
      <c r="K204" s="13"/>
      <c r="L204" s="67"/>
      <c r="M204" s="56"/>
      <c r="N204" s="55"/>
      <c r="O204" s="13"/>
      <c r="P204" s="71"/>
      <c r="Q204" s="31"/>
      <c r="R204" s="26">
        <f t="shared" si="10"/>
        <v>0</v>
      </c>
      <c r="S204" s="85"/>
      <c r="T204" s="84"/>
      <c r="U204" s="27"/>
      <c r="V204" s="13"/>
      <c r="W204" s="67"/>
      <c r="X204" s="56"/>
      <c r="Y204" s="55"/>
      <c r="Z204" s="13"/>
      <c r="AA204" s="71"/>
      <c r="AB204" s="31"/>
      <c r="AC204" s="26">
        <f t="shared" si="11"/>
        <v>0</v>
      </c>
      <c r="AD204" s="25"/>
      <c r="AE204" s="25"/>
      <c r="AF204" s="13"/>
      <c r="AG204" s="13"/>
      <c r="AH204" s="13"/>
      <c r="AI204" s="2" t="s">
        <v>467</v>
      </c>
    </row>
    <row r="205" spans="1:35" x14ac:dyDescent="0.3">
      <c r="A205" s="65">
        <v>443</v>
      </c>
      <c r="B205" s="25"/>
      <c r="C205" s="25"/>
      <c r="D205" s="25"/>
      <c r="E205" s="30" t="str">
        <f t="shared" si="9"/>
        <v>--</v>
      </c>
      <c r="F205" s="13">
        <f>VLOOKUP(E205,'LISTA ITEMS'!$E$2:$G$875,2,FALSE)</f>
        <v>0</v>
      </c>
      <c r="G205" s="25">
        <f>VLOOKUP(E205,'LISTA ITEMS'!$E$2:$G$875,3,FALSE)</f>
        <v>0</v>
      </c>
      <c r="H205" s="76"/>
      <c r="I205" s="75">
        <v>0</v>
      </c>
      <c r="J205" s="27"/>
      <c r="K205" s="13"/>
      <c r="L205" s="67"/>
      <c r="M205" s="56"/>
      <c r="N205" s="55"/>
      <c r="O205" s="13"/>
      <c r="P205" s="71"/>
      <c r="Q205" s="31"/>
      <c r="R205" s="26">
        <f t="shared" si="10"/>
        <v>0</v>
      </c>
      <c r="S205" s="85"/>
      <c r="T205" s="84"/>
      <c r="U205" s="27"/>
      <c r="V205" s="13"/>
      <c r="W205" s="67"/>
      <c r="X205" s="56"/>
      <c r="Y205" s="55"/>
      <c r="Z205" s="13"/>
      <c r="AA205" s="71"/>
      <c r="AB205" s="31"/>
      <c r="AC205" s="26">
        <f t="shared" si="11"/>
        <v>0</v>
      </c>
      <c r="AD205" s="25"/>
      <c r="AE205" s="25"/>
      <c r="AF205" s="13"/>
      <c r="AG205" s="13"/>
      <c r="AH205" s="13"/>
    </row>
    <row r="206" spans="1:35" x14ac:dyDescent="0.3">
      <c r="A206" s="65">
        <v>444</v>
      </c>
      <c r="B206" s="25"/>
      <c r="C206" s="25"/>
      <c r="D206" s="25"/>
      <c r="E206" s="30" t="str">
        <f t="shared" si="9"/>
        <v>--</v>
      </c>
      <c r="F206" s="13">
        <f>VLOOKUP(E206,'LISTA ITEMS'!$E$2:$G$875,2,FALSE)</f>
        <v>0</v>
      </c>
      <c r="G206" s="25">
        <f>VLOOKUP(E206,'LISTA ITEMS'!$E$2:$G$875,3,FALSE)</f>
        <v>0</v>
      </c>
      <c r="H206" s="76"/>
      <c r="I206" s="75">
        <v>0</v>
      </c>
      <c r="J206" s="27"/>
      <c r="K206" s="13"/>
      <c r="L206" s="67"/>
      <c r="M206" s="56"/>
      <c r="N206" s="55"/>
      <c r="O206" s="13"/>
      <c r="P206" s="71"/>
      <c r="Q206" s="31"/>
      <c r="R206" s="26">
        <f t="shared" si="10"/>
        <v>0</v>
      </c>
      <c r="S206" s="85"/>
      <c r="T206" s="84"/>
      <c r="U206" s="27"/>
      <c r="V206" s="13"/>
      <c r="W206" s="67"/>
      <c r="X206" s="56"/>
      <c r="Y206" s="55"/>
      <c r="Z206" s="13"/>
      <c r="AA206" s="71"/>
      <c r="AB206" s="31"/>
      <c r="AC206" s="26">
        <f t="shared" si="11"/>
        <v>0</v>
      </c>
      <c r="AD206" s="25"/>
      <c r="AE206" s="25"/>
      <c r="AF206" s="13"/>
      <c r="AG206" s="13"/>
      <c r="AH206" s="13"/>
    </row>
    <row r="207" spans="1:35" x14ac:dyDescent="0.3">
      <c r="A207" s="65">
        <v>445</v>
      </c>
      <c r="B207" s="25"/>
      <c r="C207" s="25"/>
      <c r="D207" s="25"/>
      <c r="E207" s="30" t="str">
        <f t="shared" si="9"/>
        <v>--</v>
      </c>
      <c r="F207" s="13">
        <f>VLOOKUP(E207,'LISTA ITEMS'!$E$2:$G$875,2,FALSE)</f>
        <v>0</v>
      </c>
      <c r="G207" s="25">
        <f>VLOOKUP(E207,'LISTA ITEMS'!$E$2:$G$875,3,FALSE)</f>
        <v>0</v>
      </c>
      <c r="H207" s="76"/>
      <c r="I207" s="75">
        <v>0</v>
      </c>
      <c r="J207" s="27"/>
      <c r="K207" s="13"/>
      <c r="L207" s="67"/>
      <c r="M207" s="56"/>
      <c r="N207" s="55"/>
      <c r="O207" s="13"/>
      <c r="P207" s="71"/>
      <c r="Q207" s="31"/>
      <c r="R207" s="26">
        <f t="shared" si="10"/>
        <v>0</v>
      </c>
      <c r="S207" s="85"/>
      <c r="T207" s="84"/>
      <c r="U207" s="27"/>
      <c r="V207" s="13"/>
      <c r="W207" s="67"/>
      <c r="X207" s="56"/>
      <c r="Y207" s="55"/>
      <c r="Z207" s="13"/>
      <c r="AA207" s="71"/>
      <c r="AB207" s="31"/>
      <c r="AC207" s="26">
        <f t="shared" si="11"/>
        <v>0</v>
      </c>
      <c r="AD207" s="25"/>
      <c r="AE207" s="25"/>
      <c r="AF207" s="13"/>
      <c r="AG207" s="13"/>
      <c r="AH207" s="13"/>
    </row>
    <row r="208" spans="1:35" x14ac:dyDescent="0.3">
      <c r="A208" s="65">
        <v>446</v>
      </c>
      <c r="B208" s="25"/>
      <c r="C208" s="25"/>
      <c r="D208" s="25"/>
      <c r="E208" s="30" t="str">
        <f t="shared" si="9"/>
        <v>--</v>
      </c>
      <c r="F208" s="13">
        <f>VLOOKUP(E208,'LISTA ITEMS'!$E$2:$G$875,2,FALSE)</f>
        <v>0</v>
      </c>
      <c r="G208" s="25">
        <f>VLOOKUP(E208,'LISTA ITEMS'!$E$2:$G$875,3,FALSE)</f>
        <v>0</v>
      </c>
      <c r="H208" s="76"/>
      <c r="I208" s="75">
        <v>0</v>
      </c>
      <c r="J208" s="27"/>
      <c r="K208" s="13"/>
      <c r="L208" s="67"/>
      <c r="M208" s="56"/>
      <c r="N208" s="55"/>
      <c r="O208" s="13"/>
      <c r="P208" s="71"/>
      <c r="Q208" s="31"/>
      <c r="R208" s="26">
        <f t="shared" si="10"/>
        <v>0</v>
      </c>
      <c r="S208" s="85"/>
      <c r="T208" s="84"/>
      <c r="U208" s="27"/>
      <c r="V208" s="13"/>
      <c r="W208" s="67"/>
      <c r="X208" s="56"/>
      <c r="Y208" s="55"/>
      <c r="Z208" s="13"/>
      <c r="AA208" s="71"/>
      <c r="AB208" s="31"/>
      <c r="AC208" s="26">
        <f t="shared" si="11"/>
        <v>0</v>
      </c>
      <c r="AD208" s="25"/>
      <c r="AE208" s="25"/>
      <c r="AF208" s="13"/>
      <c r="AG208" s="13"/>
      <c r="AH208" s="13"/>
    </row>
    <row r="209" spans="1:34" x14ac:dyDescent="0.3">
      <c r="A209" s="65">
        <v>447</v>
      </c>
      <c r="B209" s="25"/>
      <c r="C209" s="25"/>
      <c r="D209" s="25"/>
      <c r="E209" s="30" t="str">
        <f t="shared" si="9"/>
        <v>--</v>
      </c>
      <c r="F209" s="13">
        <f>VLOOKUP(E209,'LISTA ITEMS'!$E$2:$G$875,2,FALSE)</f>
        <v>0</v>
      </c>
      <c r="G209" s="25">
        <f>VLOOKUP(E209,'LISTA ITEMS'!$E$2:$G$875,3,FALSE)</f>
        <v>0</v>
      </c>
      <c r="H209" s="76"/>
      <c r="I209" s="75">
        <v>0</v>
      </c>
      <c r="J209" s="27"/>
      <c r="K209" s="13"/>
      <c r="L209" s="67"/>
      <c r="M209" s="56"/>
      <c r="N209" s="55"/>
      <c r="O209" s="13"/>
      <c r="P209" s="71"/>
      <c r="Q209" s="31"/>
      <c r="R209" s="26">
        <f t="shared" si="10"/>
        <v>0</v>
      </c>
      <c r="S209" s="85"/>
      <c r="T209" s="84"/>
      <c r="U209" s="27"/>
      <c r="V209" s="13"/>
      <c r="W209" s="67"/>
      <c r="X209" s="56"/>
      <c r="Y209" s="55"/>
      <c r="Z209" s="13"/>
      <c r="AA209" s="71"/>
      <c r="AB209" s="31"/>
      <c r="AC209" s="26">
        <f t="shared" si="11"/>
        <v>0</v>
      </c>
      <c r="AD209" s="25"/>
      <c r="AE209" s="25"/>
      <c r="AF209" s="13"/>
      <c r="AG209" s="13"/>
      <c r="AH209" s="13"/>
    </row>
    <row r="210" spans="1:34" x14ac:dyDescent="0.3">
      <c r="A210" s="65">
        <v>448</v>
      </c>
      <c r="B210" s="25"/>
      <c r="C210" s="25"/>
      <c r="D210" s="25"/>
      <c r="E210" s="30" t="str">
        <f t="shared" si="9"/>
        <v>--</v>
      </c>
      <c r="F210" s="13">
        <f>VLOOKUP(E210,'LISTA ITEMS'!$E$2:$G$875,2,FALSE)</f>
        <v>0</v>
      </c>
      <c r="G210" s="25">
        <f>VLOOKUP(E210,'LISTA ITEMS'!$E$2:$G$875,3,FALSE)</f>
        <v>0</v>
      </c>
      <c r="H210" s="76"/>
      <c r="I210" s="75">
        <v>0</v>
      </c>
      <c r="J210" s="27"/>
      <c r="K210" s="13"/>
      <c r="L210" s="67"/>
      <c r="M210" s="56"/>
      <c r="N210" s="55"/>
      <c r="O210" s="13"/>
      <c r="P210" s="71"/>
      <c r="Q210" s="31"/>
      <c r="R210" s="26">
        <f t="shared" si="10"/>
        <v>0</v>
      </c>
      <c r="S210" s="85"/>
      <c r="T210" s="84"/>
      <c r="U210" s="27"/>
      <c r="V210" s="13"/>
      <c r="W210" s="67"/>
      <c r="X210" s="56"/>
      <c r="Y210" s="55"/>
      <c r="Z210" s="13"/>
      <c r="AA210" s="71"/>
      <c r="AB210" s="31"/>
      <c r="AC210" s="26">
        <f t="shared" si="11"/>
        <v>0</v>
      </c>
      <c r="AD210" s="25"/>
      <c r="AE210" s="25"/>
      <c r="AF210" s="13"/>
      <c r="AG210" s="13"/>
      <c r="AH210" s="13"/>
    </row>
    <row r="211" spans="1:34" x14ac:dyDescent="0.3">
      <c r="A211" s="65">
        <v>449</v>
      </c>
      <c r="B211" s="25"/>
      <c r="C211" s="25"/>
      <c r="D211" s="25"/>
      <c r="E211" s="30" t="str">
        <f t="shared" si="9"/>
        <v>--</v>
      </c>
      <c r="F211" s="13">
        <f>VLOOKUP(E211,'LISTA ITEMS'!$E$2:$G$875,2,FALSE)</f>
        <v>0</v>
      </c>
      <c r="G211" s="25">
        <f>VLOOKUP(E211,'LISTA ITEMS'!$E$2:$G$875,3,FALSE)</f>
        <v>0</v>
      </c>
      <c r="H211" s="76"/>
      <c r="I211" s="75">
        <v>0</v>
      </c>
      <c r="J211" s="27"/>
      <c r="K211" s="13"/>
      <c r="L211" s="67"/>
      <c r="M211" s="56"/>
      <c r="N211" s="55"/>
      <c r="O211" s="13"/>
      <c r="P211" s="71"/>
      <c r="Q211" s="31"/>
      <c r="R211" s="26">
        <f t="shared" si="10"/>
        <v>0</v>
      </c>
      <c r="S211" s="85"/>
      <c r="T211" s="84"/>
      <c r="U211" s="27"/>
      <c r="V211" s="13"/>
      <c r="W211" s="67"/>
      <c r="X211" s="56"/>
      <c r="Y211" s="55"/>
      <c r="Z211" s="13"/>
      <c r="AA211" s="71"/>
      <c r="AB211" s="31"/>
      <c r="AC211" s="26">
        <f t="shared" si="11"/>
        <v>0</v>
      </c>
      <c r="AD211" s="25"/>
      <c r="AE211" s="25"/>
      <c r="AF211" s="13"/>
      <c r="AG211" s="13"/>
      <c r="AH211" s="13"/>
    </row>
    <row r="212" spans="1:34" x14ac:dyDescent="0.3">
      <c r="A212" s="65">
        <v>450</v>
      </c>
      <c r="B212" s="25"/>
      <c r="C212" s="25"/>
      <c r="D212" s="25"/>
      <c r="E212" s="30" t="str">
        <f t="shared" si="9"/>
        <v>--</v>
      </c>
      <c r="F212" s="13">
        <f>VLOOKUP(E212,'LISTA ITEMS'!$E$2:$G$875,2,FALSE)</f>
        <v>0</v>
      </c>
      <c r="G212" s="25">
        <f>VLOOKUP(E212,'LISTA ITEMS'!$E$2:$G$875,3,FALSE)</f>
        <v>0</v>
      </c>
      <c r="H212" s="76"/>
      <c r="I212" s="75">
        <v>0</v>
      </c>
      <c r="J212" s="27"/>
      <c r="K212" s="13"/>
      <c r="L212" s="67"/>
      <c r="M212" s="56"/>
      <c r="N212" s="55"/>
      <c r="O212" s="13"/>
      <c r="P212" s="71"/>
      <c r="Q212" s="31"/>
      <c r="R212" s="26">
        <f t="shared" si="10"/>
        <v>0</v>
      </c>
      <c r="S212" s="85"/>
      <c r="T212" s="84"/>
      <c r="U212" s="27"/>
      <c r="V212" s="13"/>
      <c r="W212" s="67"/>
      <c r="X212" s="56"/>
      <c r="Y212" s="55"/>
      <c r="Z212" s="13"/>
      <c r="AA212" s="71"/>
      <c r="AB212" s="31"/>
      <c r="AC212" s="26">
        <f t="shared" si="11"/>
        <v>0</v>
      </c>
      <c r="AD212" s="25"/>
      <c r="AE212" s="25"/>
      <c r="AF212" s="13"/>
      <c r="AG212" s="13"/>
      <c r="AH212" s="13"/>
    </row>
    <row r="213" spans="1:34" x14ac:dyDescent="0.3">
      <c r="A213" s="65">
        <v>451</v>
      </c>
      <c r="B213" s="25"/>
      <c r="C213" s="25"/>
      <c r="D213" s="25"/>
      <c r="E213" s="30" t="str">
        <f t="shared" si="9"/>
        <v>--</v>
      </c>
      <c r="F213" s="13">
        <f>VLOOKUP(E213,'LISTA ITEMS'!$E$2:$G$875,2,FALSE)</f>
        <v>0</v>
      </c>
      <c r="G213" s="25">
        <f>VLOOKUP(E213,'LISTA ITEMS'!$E$2:$G$875,3,FALSE)</f>
        <v>0</v>
      </c>
      <c r="H213" s="76"/>
      <c r="I213" s="75">
        <v>0</v>
      </c>
      <c r="J213" s="27"/>
      <c r="K213" s="13"/>
      <c r="L213" s="67"/>
      <c r="M213" s="56"/>
      <c r="N213" s="55"/>
      <c r="O213" s="13"/>
      <c r="P213" s="71"/>
      <c r="Q213" s="31"/>
      <c r="R213" s="26">
        <f t="shared" si="10"/>
        <v>0</v>
      </c>
      <c r="S213" s="85"/>
      <c r="T213" s="84"/>
      <c r="U213" s="27"/>
      <c r="V213" s="13"/>
      <c r="W213" s="67"/>
      <c r="X213" s="56"/>
      <c r="Y213" s="55"/>
      <c r="Z213" s="13"/>
      <c r="AA213" s="71"/>
      <c r="AB213" s="31"/>
      <c r="AC213" s="26">
        <f t="shared" si="11"/>
        <v>0</v>
      </c>
      <c r="AD213" s="25"/>
      <c r="AE213" s="25"/>
      <c r="AF213" s="13"/>
      <c r="AG213" s="13"/>
      <c r="AH213" s="13"/>
    </row>
    <row r="214" spans="1:34" x14ac:dyDescent="0.3">
      <c r="A214" s="65">
        <v>452</v>
      </c>
      <c r="B214" s="25"/>
      <c r="C214" s="25"/>
      <c r="D214" s="25"/>
      <c r="E214" s="30" t="str">
        <f t="shared" si="9"/>
        <v>--</v>
      </c>
      <c r="F214" s="13">
        <f>VLOOKUP(E214,'LISTA ITEMS'!$E$2:$G$875,2,FALSE)</f>
        <v>0</v>
      </c>
      <c r="G214" s="25">
        <f>VLOOKUP(E214,'LISTA ITEMS'!$E$2:$G$875,3,FALSE)</f>
        <v>0</v>
      </c>
      <c r="H214" s="76"/>
      <c r="I214" s="75">
        <v>0</v>
      </c>
      <c r="J214" s="27"/>
      <c r="K214" s="13"/>
      <c r="L214" s="67"/>
      <c r="M214" s="56"/>
      <c r="N214" s="55"/>
      <c r="O214" s="13"/>
      <c r="P214" s="71"/>
      <c r="Q214" s="31"/>
      <c r="R214" s="26">
        <f t="shared" si="10"/>
        <v>0</v>
      </c>
      <c r="S214" s="85"/>
      <c r="T214" s="84"/>
      <c r="U214" s="27"/>
      <c r="V214" s="13"/>
      <c r="W214" s="67"/>
      <c r="X214" s="56"/>
      <c r="Y214" s="55"/>
      <c r="Z214" s="13"/>
      <c r="AA214" s="71"/>
      <c r="AB214" s="31"/>
      <c r="AC214" s="26">
        <f t="shared" si="11"/>
        <v>0</v>
      </c>
      <c r="AD214" s="25"/>
      <c r="AE214" s="25"/>
      <c r="AF214" s="13"/>
      <c r="AG214" s="13"/>
      <c r="AH214" s="13"/>
    </row>
    <row r="215" spans="1:34" x14ac:dyDescent="0.3">
      <c r="A215" s="65">
        <v>453</v>
      </c>
      <c r="B215" s="25"/>
      <c r="C215" s="25"/>
      <c r="D215" s="25"/>
      <c r="E215" s="30" t="str">
        <f t="shared" si="9"/>
        <v>--</v>
      </c>
      <c r="F215" s="13">
        <f>VLOOKUP(E215,'LISTA ITEMS'!$E$2:$G$875,2,FALSE)</f>
        <v>0</v>
      </c>
      <c r="G215" s="25">
        <f>VLOOKUP(E215,'LISTA ITEMS'!$E$2:$G$875,3,FALSE)</f>
        <v>0</v>
      </c>
      <c r="H215" s="76"/>
      <c r="I215" s="75">
        <v>0</v>
      </c>
      <c r="J215" s="27"/>
      <c r="K215" s="13"/>
      <c r="L215" s="67"/>
      <c r="M215" s="56"/>
      <c r="N215" s="55"/>
      <c r="O215" s="13"/>
      <c r="P215" s="71"/>
      <c r="Q215" s="31"/>
      <c r="R215" s="26">
        <f t="shared" si="10"/>
        <v>0</v>
      </c>
      <c r="S215" s="85"/>
      <c r="T215" s="84"/>
      <c r="U215" s="27"/>
      <c r="V215" s="13"/>
      <c r="W215" s="67"/>
      <c r="X215" s="56"/>
      <c r="Y215" s="55"/>
      <c r="Z215" s="13"/>
      <c r="AA215" s="71"/>
      <c r="AB215" s="31"/>
      <c r="AC215" s="26">
        <f t="shared" si="11"/>
        <v>0</v>
      </c>
      <c r="AD215" s="25"/>
      <c r="AE215" s="25"/>
      <c r="AF215" s="13"/>
      <c r="AG215" s="13"/>
      <c r="AH215" s="13"/>
    </row>
    <row r="216" spans="1:34" x14ac:dyDescent="0.3">
      <c r="A216" s="65">
        <v>454</v>
      </c>
      <c r="B216" s="25"/>
      <c r="C216" s="25"/>
      <c r="D216" s="25"/>
      <c r="E216" s="30" t="str">
        <f t="shared" si="9"/>
        <v>--</v>
      </c>
      <c r="F216" s="13">
        <f>VLOOKUP(E216,'LISTA ITEMS'!$E$2:$G$875,2,FALSE)</f>
        <v>0</v>
      </c>
      <c r="G216" s="25">
        <f>VLOOKUP(E216,'LISTA ITEMS'!$E$2:$G$875,3,FALSE)</f>
        <v>0</v>
      </c>
      <c r="H216" s="76"/>
      <c r="I216" s="75">
        <v>0</v>
      </c>
      <c r="J216" s="27"/>
      <c r="K216" s="13"/>
      <c r="L216" s="67"/>
      <c r="M216" s="56"/>
      <c r="N216" s="55"/>
      <c r="O216" s="13"/>
      <c r="P216" s="71"/>
      <c r="Q216" s="31"/>
      <c r="R216" s="26">
        <f t="shared" si="10"/>
        <v>0</v>
      </c>
      <c r="S216" s="85"/>
      <c r="T216" s="84"/>
      <c r="U216" s="27"/>
      <c r="V216" s="13"/>
      <c r="W216" s="67"/>
      <c r="X216" s="56"/>
      <c r="Y216" s="55"/>
      <c r="Z216" s="13"/>
      <c r="AA216" s="71"/>
      <c r="AB216" s="31"/>
      <c r="AC216" s="26">
        <f t="shared" si="11"/>
        <v>0</v>
      </c>
      <c r="AD216" s="25"/>
      <c r="AE216" s="25"/>
      <c r="AF216" s="13"/>
      <c r="AG216" s="13"/>
      <c r="AH216" s="13"/>
    </row>
    <row r="217" spans="1:34" x14ac:dyDescent="0.3">
      <c r="A217" s="65">
        <v>455</v>
      </c>
      <c r="B217" s="25"/>
      <c r="C217" s="25"/>
      <c r="D217" s="25"/>
      <c r="E217" s="30" t="str">
        <f t="shared" si="9"/>
        <v>--</v>
      </c>
      <c r="F217" s="13">
        <f>VLOOKUP(E217,'LISTA ITEMS'!$E$2:$G$875,2,FALSE)</f>
        <v>0</v>
      </c>
      <c r="G217" s="25">
        <f>VLOOKUP(E217,'LISTA ITEMS'!$E$2:$G$875,3,FALSE)</f>
        <v>0</v>
      </c>
      <c r="H217" s="76"/>
      <c r="I217" s="75">
        <v>0</v>
      </c>
      <c r="J217" s="27"/>
      <c r="K217" s="13"/>
      <c r="L217" s="67"/>
      <c r="M217" s="56"/>
      <c r="N217" s="55"/>
      <c r="O217" s="13"/>
      <c r="P217" s="71"/>
      <c r="Q217" s="31"/>
      <c r="R217" s="26">
        <f t="shared" si="10"/>
        <v>0</v>
      </c>
      <c r="S217" s="85"/>
      <c r="T217" s="84"/>
      <c r="U217" s="27"/>
      <c r="V217" s="13"/>
      <c r="W217" s="67"/>
      <c r="X217" s="56"/>
      <c r="Y217" s="55"/>
      <c r="Z217" s="13"/>
      <c r="AA217" s="71"/>
      <c r="AB217" s="31"/>
      <c r="AC217" s="26">
        <f t="shared" si="11"/>
        <v>0</v>
      </c>
      <c r="AD217" s="25"/>
      <c r="AE217" s="25"/>
      <c r="AF217" s="13"/>
      <c r="AG217" s="13"/>
      <c r="AH217" s="13"/>
    </row>
    <row r="218" spans="1:34" x14ac:dyDescent="0.3">
      <c r="A218" s="65">
        <v>456</v>
      </c>
      <c r="B218" s="25"/>
      <c r="C218" s="25"/>
      <c r="D218" s="25"/>
      <c r="E218" s="30" t="str">
        <f t="shared" si="9"/>
        <v>--</v>
      </c>
      <c r="F218" s="13">
        <f>VLOOKUP(E218,'LISTA ITEMS'!$E$2:$G$875,2,FALSE)</f>
        <v>0</v>
      </c>
      <c r="G218" s="25">
        <f>VLOOKUP(E218,'LISTA ITEMS'!$E$2:$G$875,3,FALSE)</f>
        <v>0</v>
      </c>
      <c r="H218" s="76"/>
      <c r="I218" s="75">
        <v>0</v>
      </c>
      <c r="J218" s="27"/>
      <c r="K218" s="13"/>
      <c r="L218" s="67"/>
      <c r="M218" s="56"/>
      <c r="N218" s="55"/>
      <c r="O218" s="13"/>
      <c r="P218" s="71"/>
      <c r="Q218" s="31"/>
      <c r="R218" s="26">
        <f t="shared" si="10"/>
        <v>0</v>
      </c>
      <c r="S218" s="85"/>
      <c r="T218" s="84"/>
      <c r="U218" s="27"/>
      <c r="V218" s="13"/>
      <c r="W218" s="67"/>
      <c r="X218" s="56"/>
      <c r="Y218" s="55"/>
      <c r="Z218" s="13"/>
      <c r="AA218" s="71"/>
      <c r="AB218" s="31"/>
      <c r="AC218" s="26">
        <f t="shared" si="11"/>
        <v>0</v>
      </c>
      <c r="AD218" s="25"/>
      <c r="AE218" s="25"/>
      <c r="AF218" s="13"/>
      <c r="AG218" s="13"/>
      <c r="AH218" s="13"/>
    </row>
    <row r="219" spans="1:34" x14ac:dyDescent="0.3">
      <c r="A219" s="65">
        <v>457</v>
      </c>
      <c r="B219" s="25"/>
      <c r="C219" s="25"/>
      <c r="D219" s="25"/>
      <c r="E219" s="30" t="str">
        <f t="shared" si="9"/>
        <v>--</v>
      </c>
      <c r="F219" s="13">
        <f>VLOOKUP(E219,'LISTA ITEMS'!$E$2:$G$875,2,FALSE)</f>
        <v>0</v>
      </c>
      <c r="G219" s="25">
        <f>VLOOKUP(E219,'LISTA ITEMS'!$E$2:$G$875,3,FALSE)</f>
        <v>0</v>
      </c>
      <c r="H219" s="76"/>
      <c r="I219" s="75">
        <v>0</v>
      </c>
      <c r="J219" s="27"/>
      <c r="K219" s="13"/>
      <c r="L219" s="67"/>
      <c r="M219" s="56"/>
      <c r="N219" s="55"/>
      <c r="O219" s="13"/>
      <c r="P219" s="71"/>
      <c r="Q219" s="31"/>
      <c r="R219" s="26">
        <f t="shared" si="10"/>
        <v>0</v>
      </c>
      <c r="S219" s="85"/>
      <c r="T219" s="84"/>
      <c r="U219" s="27"/>
      <c r="V219" s="13"/>
      <c r="W219" s="67"/>
      <c r="X219" s="56"/>
      <c r="Y219" s="55"/>
      <c r="Z219" s="13"/>
      <c r="AA219" s="71"/>
      <c r="AB219" s="31"/>
      <c r="AC219" s="26">
        <f t="shared" si="11"/>
        <v>0</v>
      </c>
      <c r="AD219" s="25"/>
      <c r="AE219" s="25"/>
      <c r="AF219" s="13"/>
      <c r="AG219" s="13"/>
      <c r="AH219" s="13"/>
    </row>
    <row r="220" spans="1:34" x14ac:dyDescent="0.3">
      <c r="A220" s="65">
        <v>458</v>
      </c>
      <c r="B220" s="25"/>
      <c r="C220" s="25"/>
      <c r="D220" s="25"/>
      <c r="E220" s="30" t="str">
        <f t="shared" si="9"/>
        <v>--</v>
      </c>
      <c r="F220" s="13">
        <f>VLOOKUP(E220,'LISTA ITEMS'!$E$2:$G$875,2,FALSE)</f>
        <v>0</v>
      </c>
      <c r="G220" s="25">
        <f>VLOOKUP(E220,'LISTA ITEMS'!$E$2:$G$875,3,FALSE)</f>
        <v>0</v>
      </c>
      <c r="H220" s="76"/>
      <c r="I220" s="75">
        <v>0</v>
      </c>
      <c r="J220" s="27"/>
      <c r="K220" s="13"/>
      <c r="L220" s="67"/>
      <c r="M220" s="56"/>
      <c r="N220" s="55"/>
      <c r="O220" s="13"/>
      <c r="P220" s="71"/>
      <c r="Q220" s="31"/>
      <c r="R220" s="26">
        <f t="shared" si="10"/>
        <v>0</v>
      </c>
      <c r="S220" s="85"/>
      <c r="T220" s="84"/>
      <c r="U220" s="27"/>
      <c r="V220" s="13"/>
      <c r="W220" s="67"/>
      <c r="X220" s="56"/>
      <c r="Y220" s="55"/>
      <c r="Z220" s="13"/>
      <c r="AA220" s="71"/>
      <c r="AB220" s="31"/>
      <c r="AC220" s="26">
        <f t="shared" si="11"/>
        <v>0</v>
      </c>
      <c r="AD220" s="25"/>
      <c r="AE220" s="25"/>
      <c r="AF220" s="13"/>
      <c r="AG220" s="13"/>
      <c r="AH220" s="13"/>
    </row>
    <row r="221" spans="1:34" x14ac:dyDescent="0.3">
      <c r="A221" s="65">
        <v>459</v>
      </c>
      <c r="B221" s="25"/>
      <c r="C221" s="25"/>
      <c r="D221" s="25"/>
      <c r="E221" s="30" t="str">
        <f t="shared" si="9"/>
        <v>--</v>
      </c>
      <c r="F221" s="13">
        <f>VLOOKUP(E221,'LISTA ITEMS'!$E$2:$G$875,2,FALSE)</f>
        <v>0</v>
      </c>
      <c r="G221" s="25">
        <f>VLOOKUP(E221,'LISTA ITEMS'!$E$2:$G$875,3,FALSE)</f>
        <v>0</v>
      </c>
      <c r="H221" s="76"/>
      <c r="I221" s="75">
        <v>0</v>
      </c>
      <c r="J221" s="27"/>
      <c r="K221" s="13"/>
      <c r="L221" s="67"/>
      <c r="M221" s="56"/>
      <c r="N221" s="55"/>
      <c r="O221" s="13"/>
      <c r="P221" s="71"/>
      <c r="Q221" s="31"/>
      <c r="R221" s="26">
        <f t="shared" si="10"/>
        <v>0</v>
      </c>
      <c r="S221" s="85"/>
      <c r="T221" s="84"/>
      <c r="U221" s="27"/>
      <c r="V221" s="13"/>
      <c r="W221" s="67"/>
      <c r="X221" s="56"/>
      <c r="Y221" s="55"/>
      <c r="Z221" s="13"/>
      <c r="AA221" s="71"/>
      <c r="AB221" s="31"/>
      <c r="AC221" s="26">
        <f t="shared" si="11"/>
        <v>0</v>
      </c>
      <c r="AD221" s="25"/>
      <c r="AE221" s="25"/>
      <c r="AF221" s="13"/>
      <c r="AG221" s="13"/>
      <c r="AH221" s="13"/>
    </row>
    <row r="222" spans="1:34" x14ac:dyDescent="0.3">
      <c r="A222" s="65">
        <v>460</v>
      </c>
      <c r="B222" s="25"/>
      <c r="C222" s="25"/>
      <c r="D222" s="25"/>
      <c r="E222" s="30" t="str">
        <f t="shared" si="9"/>
        <v>--</v>
      </c>
      <c r="F222" s="13">
        <f>VLOOKUP(E222,'LISTA ITEMS'!$E$2:$G$875,2,FALSE)</f>
        <v>0</v>
      </c>
      <c r="G222" s="25">
        <f>VLOOKUP(E222,'LISTA ITEMS'!$E$2:$G$875,3,FALSE)</f>
        <v>0</v>
      </c>
      <c r="H222" s="76"/>
      <c r="I222" s="75">
        <v>0</v>
      </c>
      <c r="J222" s="27"/>
      <c r="K222" s="13"/>
      <c r="L222" s="67"/>
      <c r="M222" s="56"/>
      <c r="N222" s="55"/>
      <c r="O222" s="13"/>
      <c r="P222" s="71"/>
      <c r="Q222" s="31"/>
      <c r="R222" s="26">
        <f t="shared" si="10"/>
        <v>0</v>
      </c>
      <c r="S222" s="85"/>
      <c r="T222" s="84"/>
      <c r="U222" s="27"/>
      <c r="V222" s="13"/>
      <c r="W222" s="67"/>
      <c r="X222" s="56"/>
      <c r="Y222" s="55"/>
      <c r="Z222" s="13"/>
      <c r="AA222" s="71"/>
      <c r="AB222" s="31"/>
      <c r="AC222" s="26">
        <f t="shared" si="11"/>
        <v>0</v>
      </c>
      <c r="AD222" s="25"/>
      <c r="AE222" s="25"/>
      <c r="AF222" s="13"/>
      <c r="AG222" s="13"/>
      <c r="AH222" s="13"/>
    </row>
    <row r="223" spans="1:34" x14ac:dyDescent="0.3">
      <c r="A223" s="65">
        <v>461</v>
      </c>
      <c r="B223" s="25"/>
      <c r="C223" s="25"/>
      <c r="D223" s="25"/>
      <c r="E223" s="30" t="str">
        <f t="shared" si="9"/>
        <v>--</v>
      </c>
      <c r="F223" s="13">
        <f>VLOOKUP(E223,'LISTA ITEMS'!$E$2:$G$875,2,FALSE)</f>
        <v>0</v>
      </c>
      <c r="G223" s="25">
        <f>VLOOKUP(E223,'LISTA ITEMS'!$E$2:$G$875,3,FALSE)</f>
        <v>0</v>
      </c>
      <c r="H223" s="76"/>
      <c r="I223" s="75">
        <v>0</v>
      </c>
      <c r="J223" s="27"/>
      <c r="K223" s="13"/>
      <c r="L223" s="67"/>
      <c r="M223" s="56"/>
      <c r="N223" s="55"/>
      <c r="O223" s="13"/>
      <c r="P223" s="71"/>
      <c r="Q223" s="31"/>
      <c r="R223" s="26">
        <f t="shared" si="10"/>
        <v>0</v>
      </c>
      <c r="S223" s="85"/>
      <c r="T223" s="84"/>
      <c r="U223" s="27"/>
      <c r="V223" s="13"/>
      <c r="W223" s="67"/>
      <c r="X223" s="56"/>
      <c r="Y223" s="55"/>
      <c r="Z223" s="13"/>
      <c r="AA223" s="71"/>
      <c r="AB223" s="31"/>
      <c r="AC223" s="26">
        <f t="shared" si="11"/>
        <v>0</v>
      </c>
      <c r="AD223" s="25"/>
      <c r="AE223" s="25"/>
      <c r="AF223" s="13"/>
      <c r="AG223" s="13"/>
      <c r="AH223" s="13"/>
    </row>
    <row r="224" spans="1:34" x14ac:dyDescent="0.3">
      <c r="A224" s="65">
        <v>462</v>
      </c>
      <c r="B224" s="25"/>
      <c r="C224" s="25"/>
      <c r="D224" s="25"/>
      <c r="E224" s="30" t="str">
        <f t="shared" si="9"/>
        <v>--</v>
      </c>
      <c r="F224" s="13">
        <f>VLOOKUP(E224,'LISTA ITEMS'!$E$2:$G$875,2,FALSE)</f>
        <v>0</v>
      </c>
      <c r="G224" s="25">
        <f>VLOOKUP(E224,'LISTA ITEMS'!$E$2:$G$875,3,FALSE)</f>
        <v>0</v>
      </c>
      <c r="H224" s="76"/>
      <c r="I224" s="75">
        <v>0</v>
      </c>
      <c r="J224" s="27"/>
      <c r="K224" s="13"/>
      <c r="L224" s="67"/>
      <c r="M224" s="56"/>
      <c r="N224" s="55"/>
      <c r="O224" s="13"/>
      <c r="P224" s="71"/>
      <c r="Q224" s="31"/>
      <c r="R224" s="26">
        <f t="shared" si="10"/>
        <v>0</v>
      </c>
      <c r="S224" s="85"/>
      <c r="T224" s="84"/>
      <c r="U224" s="27"/>
      <c r="V224" s="13"/>
      <c r="W224" s="67"/>
      <c r="X224" s="56"/>
      <c r="Y224" s="55"/>
      <c r="Z224" s="13"/>
      <c r="AA224" s="71"/>
      <c r="AB224" s="31"/>
      <c r="AC224" s="26">
        <f t="shared" si="11"/>
        <v>0</v>
      </c>
      <c r="AD224" s="25"/>
      <c r="AE224" s="25"/>
      <c r="AF224" s="13"/>
      <c r="AG224" s="13"/>
      <c r="AH224" s="13"/>
    </row>
    <row r="225" spans="1:34" x14ac:dyDescent="0.3">
      <c r="A225" s="65">
        <v>463</v>
      </c>
      <c r="B225" s="25"/>
      <c r="C225" s="25"/>
      <c r="D225" s="25"/>
      <c r="E225" s="30" t="str">
        <f t="shared" si="9"/>
        <v>--</v>
      </c>
      <c r="F225" s="13">
        <f>VLOOKUP(E225,'LISTA ITEMS'!$E$2:$G$875,2,FALSE)</f>
        <v>0</v>
      </c>
      <c r="G225" s="25">
        <f>VLOOKUP(E225,'LISTA ITEMS'!$E$2:$G$875,3,FALSE)</f>
        <v>0</v>
      </c>
      <c r="H225" s="76"/>
      <c r="I225" s="75">
        <v>0</v>
      </c>
      <c r="J225" s="27"/>
      <c r="K225" s="13"/>
      <c r="L225" s="67"/>
      <c r="M225" s="56"/>
      <c r="N225" s="55"/>
      <c r="O225" s="13"/>
      <c r="P225" s="71"/>
      <c r="Q225" s="31"/>
      <c r="R225" s="26">
        <f t="shared" si="10"/>
        <v>0</v>
      </c>
      <c r="S225" s="85"/>
      <c r="T225" s="84"/>
      <c r="U225" s="27"/>
      <c r="V225" s="13"/>
      <c r="W225" s="67"/>
      <c r="X225" s="56"/>
      <c r="Y225" s="55"/>
      <c r="Z225" s="13"/>
      <c r="AA225" s="71"/>
      <c r="AB225" s="31"/>
      <c r="AC225" s="26">
        <f t="shared" si="11"/>
        <v>0</v>
      </c>
      <c r="AD225" s="25"/>
      <c r="AE225" s="25"/>
      <c r="AF225" s="13"/>
      <c r="AG225" s="13"/>
      <c r="AH225" s="13"/>
    </row>
    <row r="226" spans="1:34" x14ac:dyDescent="0.3">
      <c r="A226" s="65">
        <v>464</v>
      </c>
      <c r="B226" s="25"/>
      <c r="C226" s="25"/>
      <c r="D226" s="25"/>
      <c r="E226" s="30" t="str">
        <f t="shared" si="9"/>
        <v>--</v>
      </c>
      <c r="F226" s="13">
        <f>VLOOKUP(E226,'LISTA ITEMS'!$E$2:$G$875,2,FALSE)</f>
        <v>0</v>
      </c>
      <c r="G226" s="25">
        <f>VLOOKUP(E226,'LISTA ITEMS'!$E$2:$G$875,3,FALSE)</f>
        <v>0</v>
      </c>
      <c r="H226" s="76"/>
      <c r="I226" s="75">
        <v>0</v>
      </c>
      <c r="J226" s="27"/>
      <c r="K226" s="13"/>
      <c r="L226" s="67"/>
      <c r="M226" s="56"/>
      <c r="N226" s="55"/>
      <c r="O226" s="13"/>
      <c r="P226" s="71"/>
      <c r="Q226" s="31"/>
      <c r="R226" s="26">
        <f t="shared" si="10"/>
        <v>0</v>
      </c>
      <c r="S226" s="85"/>
      <c r="T226" s="84"/>
      <c r="U226" s="27"/>
      <c r="V226" s="13"/>
      <c r="W226" s="67"/>
      <c r="X226" s="56"/>
      <c r="Y226" s="55"/>
      <c r="Z226" s="13"/>
      <c r="AA226" s="71"/>
      <c r="AB226" s="31"/>
      <c r="AC226" s="26">
        <f t="shared" si="11"/>
        <v>0</v>
      </c>
      <c r="AD226" s="25"/>
      <c r="AE226" s="25"/>
      <c r="AF226" s="13"/>
      <c r="AG226" s="13"/>
      <c r="AH226" s="13"/>
    </row>
    <row r="227" spans="1:34" x14ac:dyDescent="0.3">
      <c r="A227" s="65">
        <v>465</v>
      </c>
      <c r="B227" s="25"/>
      <c r="C227" s="25"/>
      <c r="D227" s="25"/>
      <c r="E227" s="30" t="str">
        <f t="shared" si="9"/>
        <v>--</v>
      </c>
      <c r="F227" s="13">
        <f>VLOOKUP(E227,'LISTA ITEMS'!$E$2:$G$875,2,FALSE)</f>
        <v>0</v>
      </c>
      <c r="G227" s="25">
        <f>VLOOKUP(E227,'LISTA ITEMS'!$E$2:$G$875,3,FALSE)</f>
        <v>0</v>
      </c>
      <c r="H227" s="76"/>
      <c r="I227" s="75">
        <v>0</v>
      </c>
      <c r="J227" s="27"/>
      <c r="K227" s="13"/>
      <c r="L227" s="67"/>
      <c r="M227" s="56"/>
      <c r="N227" s="55"/>
      <c r="O227" s="13"/>
      <c r="P227" s="71"/>
      <c r="Q227" s="31"/>
      <c r="R227" s="26">
        <f t="shared" si="10"/>
        <v>0</v>
      </c>
      <c r="S227" s="85"/>
      <c r="T227" s="84"/>
      <c r="U227" s="27"/>
      <c r="V227" s="13"/>
      <c r="W227" s="67"/>
      <c r="X227" s="56"/>
      <c r="Y227" s="55"/>
      <c r="Z227" s="13"/>
      <c r="AA227" s="71"/>
      <c r="AB227" s="31"/>
      <c r="AC227" s="26">
        <f t="shared" si="11"/>
        <v>0</v>
      </c>
      <c r="AD227" s="25"/>
      <c r="AE227" s="25"/>
      <c r="AF227" s="13"/>
      <c r="AG227" s="13"/>
      <c r="AH227" s="13"/>
    </row>
    <row r="228" spans="1:34" x14ac:dyDescent="0.3">
      <c r="A228" s="65">
        <v>466</v>
      </c>
      <c r="B228" s="25"/>
      <c r="C228" s="25"/>
      <c r="D228" s="25"/>
      <c r="E228" s="30" t="str">
        <f t="shared" si="9"/>
        <v>--</v>
      </c>
      <c r="F228" s="13">
        <f>VLOOKUP(E228,'LISTA ITEMS'!$E$2:$G$875,2,FALSE)</f>
        <v>0</v>
      </c>
      <c r="G228" s="25">
        <f>VLOOKUP(E228,'LISTA ITEMS'!$E$2:$G$875,3,FALSE)</f>
        <v>0</v>
      </c>
      <c r="H228" s="76"/>
      <c r="I228" s="75">
        <v>0</v>
      </c>
      <c r="J228" s="27"/>
      <c r="K228" s="13"/>
      <c r="L228" s="67"/>
      <c r="M228" s="56"/>
      <c r="N228" s="55"/>
      <c r="O228" s="13"/>
      <c r="P228" s="71"/>
      <c r="Q228" s="31"/>
      <c r="R228" s="26">
        <f t="shared" si="10"/>
        <v>0</v>
      </c>
      <c r="S228" s="85"/>
      <c r="T228" s="84"/>
      <c r="U228" s="27"/>
      <c r="V228" s="13"/>
      <c r="W228" s="67"/>
      <c r="X228" s="56"/>
      <c r="Y228" s="55"/>
      <c r="Z228" s="13"/>
      <c r="AA228" s="71"/>
      <c r="AB228" s="31"/>
      <c r="AC228" s="26">
        <f t="shared" si="11"/>
        <v>0</v>
      </c>
      <c r="AD228" s="25"/>
      <c r="AE228" s="25"/>
      <c r="AF228" s="13"/>
      <c r="AG228" s="13"/>
      <c r="AH228" s="13"/>
    </row>
    <row r="229" spans="1:34" x14ac:dyDescent="0.3">
      <c r="A229" s="65">
        <v>467</v>
      </c>
      <c r="B229" s="25"/>
      <c r="C229" s="25"/>
      <c r="D229" s="25"/>
      <c r="E229" s="30" t="str">
        <f t="shared" si="9"/>
        <v>--</v>
      </c>
      <c r="F229" s="13">
        <f>VLOOKUP(E229,'LISTA ITEMS'!$E$2:$G$875,2,FALSE)</f>
        <v>0</v>
      </c>
      <c r="G229" s="25">
        <f>VLOOKUP(E229,'LISTA ITEMS'!$E$2:$G$875,3,FALSE)</f>
        <v>0</v>
      </c>
      <c r="H229" s="76"/>
      <c r="I229" s="75">
        <v>0</v>
      </c>
      <c r="J229" s="27"/>
      <c r="K229" s="13"/>
      <c r="L229" s="67"/>
      <c r="M229" s="56"/>
      <c r="N229" s="55"/>
      <c r="O229" s="13"/>
      <c r="P229" s="71"/>
      <c r="Q229" s="31"/>
      <c r="R229" s="26">
        <f t="shared" si="10"/>
        <v>0</v>
      </c>
      <c r="S229" s="85"/>
      <c r="T229" s="84"/>
      <c r="U229" s="27"/>
      <c r="V229" s="13"/>
      <c r="W229" s="67"/>
      <c r="X229" s="56"/>
      <c r="Y229" s="55"/>
      <c r="Z229" s="13"/>
      <c r="AA229" s="71"/>
      <c r="AB229" s="31"/>
      <c r="AC229" s="26">
        <f t="shared" si="11"/>
        <v>0</v>
      </c>
      <c r="AD229" s="25"/>
      <c r="AE229" s="25"/>
      <c r="AF229" s="13"/>
      <c r="AG229" s="13"/>
      <c r="AH229" s="13"/>
    </row>
    <row r="230" spans="1:34" x14ac:dyDescent="0.3">
      <c r="A230" s="65">
        <v>468</v>
      </c>
      <c r="B230" s="25"/>
      <c r="C230" s="25"/>
      <c r="D230" s="25"/>
      <c r="E230" s="30" t="str">
        <f t="shared" si="9"/>
        <v>--</v>
      </c>
      <c r="F230" s="13">
        <f>VLOOKUP(E230,'LISTA ITEMS'!$E$2:$G$875,2,FALSE)</f>
        <v>0</v>
      </c>
      <c r="G230" s="25">
        <f>VLOOKUP(E230,'LISTA ITEMS'!$E$2:$G$875,3,FALSE)</f>
        <v>0</v>
      </c>
      <c r="H230" s="76"/>
      <c r="I230" s="75">
        <v>0</v>
      </c>
      <c r="J230" s="27"/>
      <c r="K230" s="13"/>
      <c r="L230" s="67"/>
      <c r="M230" s="56"/>
      <c r="N230" s="55"/>
      <c r="O230" s="13"/>
      <c r="P230" s="71"/>
      <c r="Q230" s="31"/>
      <c r="R230" s="26">
        <f t="shared" si="10"/>
        <v>0</v>
      </c>
      <c r="S230" s="85"/>
      <c r="T230" s="84"/>
      <c r="U230" s="27"/>
      <c r="V230" s="13"/>
      <c r="W230" s="67"/>
      <c r="X230" s="56"/>
      <c r="Y230" s="55"/>
      <c r="Z230" s="13"/>
      <c r="AA230" s="71"/>
      <c r="AB230" s="31"/>
      <c r="AC230" s="26">
        <f t="shared" si="11"/>
        <v>0</v>
      </c>
      <c r="AD230" s="25"/>
      <c r="AE230" s="25"/>
      <c r="AF230" s="13"/>
      <c r="AG230" s="13"/>
      <c r="AH230" s="13"/>
    </row>
    <row r="231" spans="1:34" x14ac:dyDescent="0.3">
      <c r="A231" s="65">
        <v>469</v>
      </c>
      <c r="B231" s="25"/>
      <c r="C231" s="25"/>
      <c r="D231" s="25"/>
      <c r="E231" s="30" t="str">
        <f t="shared" si="9"/>
        <v>--</v>
      </c>
      <c r="F231" s="13">
        <f>VLOOKUP(E231,'LISTA ITEMS'!$E$2:$G$875,2,FALSE)</f>
        <v>0</v>
      </c>
      <c r="G231" s="25">
        <f>VLOOKUP(E231,'LISTA ITEMS'!$E$2:$G$875,3,FALSE)</f>
        <v>0</v>
      </c>
      <c r="H231" s="76"/>
      <c r="I231" s="75">
        <v>0</v>
      </c>
      <c r="J231" s="27"/>
      <c r="K231" s="13"/>
      <c r="L231" s="67"/>
      <c r="M231" s="56"/>
      <c r="N231" s="55"/>
      <c r="O231" s="13"/>
      <c r="P231" s="71"/>
      <c r="Q231" s="31"/>
      <c r="R231" s="26">
        <f t="shared" si="10"/>
        <v>0</v>
      </c>
      <c r="S231" s="85"/>
      <c r="T231" s="84"/>
      <c r="U231" s="27"/>
      <c r="V231" s="13"/>
      <c r="W231" s="67"/>
      <c r="X231" s="56"/>
      <c r="Y231" s="55"/>
      <c r="Z231" s="13"/>
      <c r="AA231" s="71"/>
      <c r="AB231" s="31"/>
      <c r="AC231" s="26">
        <f t="shared" si="11"/>
        <v>0</v>
      </c>
      <c r="AD231" s="25"/>
      <c r="AE231" s="25"/>
      <c r="AF231" s="13"/>
      <c r="AG231" s="13"/>
      <c r="AH231" s="13"/>
    </row>
    <row r="232" spans="1:34" x14ac:dyDescent="0.3">
      <c r="A232" s="65">
        <v>470</v>
      </c>
      <c r="B232" s="25"/>
      <c r="C232" s="25"/>
      <c r="D232" s="25"/>
      <c r="E232" s="30" t="str">
        <f t="shared" si="9"/>
        <v>--</v>
      </c>
      <c r="F232" s="13">
        <f>VLOOKUP(E232,'LISTA ITEMS'!$E$2:$G$875,2,FALSE)</f>
        <v>0</v>
      </c>
      <c r="G232" s="25">
        <f>VLOOKUP(E232,'LISTA ITEMS'!$E$2:$G$875,3,FALSE)</f>
        <v>0</v>
      </c>
      <c r="H232" s="76"/>
      <c r="I232" s="75">
        <v>0</v>
      </c>
      <c r="J232" s="27"/>
      <c r="K232" s="13"/>
      <c r="L232" s="67"/>
      <c r="M232" s="56"/>
      <c r="N232" s="55"/>
      <c r="O232" s="13"/>
      <c r="P232" s="71"/>
      <c r="Q232" s="31"/>
      <c r="R232" s="26">
        <f t="shared" si="10"/>
        <v>0</v>
      </c>
      <c r="S232" s="85"/>
      <c r="T232" s="84"/>
      <c r="U232" s="27"/>
      <c r="V232" s="13"/>
      <c r="W232" s="67"/>
      <c r="X232" s="56"/>
      <c r="Y232" s="55"/>
      <c r="Z232" s="13"/>
      <c r="AA232" s="71"/>
      <c r="AB232" s="31"/>
      <c r="AC232" s="26">
        <f t="shared" si="11"/>
        <v>0</v>
      </c>
      <c r="AD232" s="25"/>
      <c r="AE232" s="25"/>
      <c r="AF232" s="13"/>
      <c r="AG232" s="13"/>
      <c r="AH232" s="13"/>
    </row>
    <row r="233" spans="1:34" x14ac:dyDescent="0.3">
      <c r="A233" s="65">
        <v>471</v>
      </c>
      <c r="B233" s="25"/>
      <c r="C233" s="25"/>
      <c r="D233" s="25"/>
      <c r="E233" s="30" t="str">
        <f t="shared" si="9"/>
        <v>--</v>
      </c>
      <c r="F233" s="13">
        <f>VLOOKUP(E233,'LISTA ITEMS'!$E$2:$G$875,2,FALSE)</f>
        <v>0</v>
      </c>
      <c r="G233" s="25">
        <f>VLOOKUP(E233,'LISTA ITEMS'!$E$2:$G$875,3,FALSE)</f>
        <v>0</v>
      </c>
      <c r="H233" s="76"/>
      <c r="I233" s="75">
        <v>0</v>
      </c>
      <c r="J233" s="27"/>
      <c r="K233" s="13"/>
      <c r="L233" s="67"/>
      <c r="M233" s="56"/>
      <c r="N233" s="55"/>
      <c r="O233" s="13"/>
      <c r="P233" s="71"/>
      <c r="Q233" s="31"/>
      <c r="R233" s="26">
        <f t="shared" si="10"/>
        <v>0</v>
      </c>
      <c r="S233" s="85"/>
      <c r="T233" s="84"/>
      <c r="U233" s="27"/>
      <c r="V233" s="13"/>
      <c r="W233" s="67"/>
      <c r="X233" s="56"/>
      <c r="Y233" s="55"/>
      <c r="Z233" s="13"/>
      <c r="AA233" s="71"/>
      <c r="AB233" s="31"/>
      <c r="AC233" s="26">
        <f t="shared" si="11"/>
        <v>0</v>
      </c>
      <c r="AD233" s="25"/>
      <c r="AE233" s="25"/>
      <c r="AF233" s="13"/>
      <c r="AG233" s="13"/>
      <c r="AH233" s="13"/>
    </row>
    <row r="234" spans="1:34" x14ac:dyDescent="0.3">
      <c r="A234" s="65">
        <v>472</v>
      </c>
      <c r="B234" s="25"/>
      <c r="C234" s="25"/>
      <c r="D234" s="25"/>
      <c r="E234" s="30" t="str">
        <f t="shared" si="9"/>
        <v>--</v>
      </c>
      <c r="F234" s="13">
        <f>VLOOKUP(E234,'LISTA ITEMS'!$E$2:$G$875,2,FALSE)</f>
        <v>0</v>
      </c>
      <c r="G234" s="25">
        <f>VLOOKUP(E234,'LISTA ITEMS'!$E$2:$G$875,3,FALSE)</f>
        <v>0</v>
      </c>
      <c r="H234" s="76"/>
      <c r="I234" s="75">
        <v>0</v>
      </c>
      <c r="J234" s="27"/>
      <c r="K234" s="13"/>
      <c r="L234" s="67"/>
      <c r="M234" s="56"/>
      <c r="N234" s="55"/>
      <c r="O234" s="13"/>
      <c r="P234" s="71"/>
      <c r="Q234" s="31"/>
      <c r="R234" s="26">
        <f t="shared" si="10"/>
        <v>0</v>
      </c>
      <c r="S234" s="85"/>
      <c r="T234" s="84"/>
      <c r="U234" s="27"/>
      <c r="V234" s="13"/>
      <c r="W234" s="67"/>
      <c r="X234" s="56"/>
      <c r="Y234" s="55"/>
      <c r="Z234" s="13"/>
      <c r="AA234" s="71"/>
      <c r="AB234" s="31"/>
      <c r="AC234" s="26">
        <f t="shared" si="11"/>
        <v>0</v>
      </c>
      <c r="AD234" s="25"/>
      <c r="AE234" s="25"/>
      <c r="AF234" s="13"/>
      <c r="AG234" s="13"/>
      <c r="AH234" s="13"/>
    </row>
    <row r="235" spans="1:34" x14ac:dyDescent="0.3">
      <c r="A235" s="65">
        <v>473</v>
      </c>
      <c r="B235" s="25"/>
      <c r="C235" s="25"/>
      <c r="D235" s="25"/>
      <c r="E235" s="30" t="str">
        <f t="shared" si="9"/>
        <v>--</v>
      </c>
      <c r="F235" s="13">
        <f>VLOOKUP(E235,'LISTA ITEMS'!$E$2:$G$875,2,FALSE)</f>
        <v>0</v>
      </c>
      <c r="G235" s="25">
        <f>VLOOKUP(E235,'LISTA ITEMS'!$E$2:$G$875,3,FALSE)</f>
        <v>0</v>
      </c>
      <c r="H235" s="76"/>
      <c r="I235" s="75">
        <v>0</v>
      </c>
      <c r="J235" s="27"/>
      <c r="K235" s="13"/>
      <c r="L235" s="67"/>
      <c r="M235" s="56"/>
      <c r="N235" s="55"/>
      <c r="O235" s="13"/>
      <c r="P235" s="71"/>
      <c r="Q235" s="31"/>
      <c r="R235" s="26">
        <f t="shared" si="10"/>
        <v>0</v>
      </c>
      <c r="S235" s="85"/>
      <c r="T235" s="84"/>
      <c r="U235" s="27"/>
      <c r="V235" s="13"/>
      <c r="W235" s="67"/>
      <c r="X235" s="56"/>
      <c r="Y235" s="55"/>
      <c r="Z235" s="13"/>
      <c r="AA235" s="71"/>
      <c r="AB235" s="31"/>
      <c r="AC235" s="26">
        <f t="shared" si="11"/>
        <v>0</v>
      </c>
      <c r="AD235" s="25"/>
      <c r="AE235" s="25"/>
      <c r="AF235" s="13"/>
      <c r="AG235" s="13"/>
      <c r="AH235" s="13"/>
    </row>
    <row r="236" spans="1:34" x14ac:dyDescent="0.3">
      <c r="A236" s="65">
        <v>474</v>
      </c>
      <c r="B236" s="25"/>
      <c r="C236" s="25"/>
      <c r="D236" s="25"/>
      <c r="E236" s="30" t="str">
        <f t="shared" si="9"/>
        <v>--</v>
      </c>
      <c r="F236" s="13">
        <f>VLOOKUP(E236,'LISTA ITEMS'!$E$2:$G$875,2,FALSE)</f>
        <v>0</v>
      </c>
      <c r="G236" s="25">
        <f>VLOOKUP(E236,'LISTA ITEMS'!$E$2:$G$875,3,FALSE)</f>
        <v>0</v>
      </c>
      <c r="H236" s="76"/>
      <c r="I236" s="75">
        <v>0</v>
      </c>
      <c r="J236" s="27"/>
      <c r="K236" s="13"/>
      <c r="L236" s="67"/>
      <c r="M236" s="56"/>
      <c r="N236" s="55"/>
      <c r="O236" s="13"/>
      <c r="P236" s="71"/>
      <c r="Q236" s="31"/>
      <c r="R236" s="26">
        <f t="shared" si="10"/>
        <v>0</v>
      </c>
      <c r="S236" s="85"/>
      <c r="T236" s="84"/>
      <c r="U236" s="27"/>
      <c r="V236" s="13"/>
      <c r="W236" s="67"/>
      <c r="X236" s="56"/>
      <c r="Y236" s="55"/>
      <c r="Z236" s="13"/>
      <c r="AA236" s="71"/>
      <c r="AB236" s="31"/>
      <c r="AC236" s="26">
        <f t="shared" si="11"/>
        <v>0</v>
      </c>
      <c r="AD236" s="25"/>
      <c r="AE236" s="25"/>
      <c r="AF236" s="13"/>
      <c r="AG236" s="13"/>
      <c r="AH236" s="13"/>
    </row>
    <row r="237" spans="1:34" x14ac:dyDescent="0.3">
      <c r="A237" s="65">
        <v>475</v>
      </c>
      <c r="B237" s="25"/>
      <c r="C237" s="25"/>
      <c r="D237" s="25"/>
      <c r="E237" s="30" t="str">
        <f t="shared" si="9"/>
        <v>--</v>
      </c>
      <c r="F237" s="13">
        <f>VLOOKUP(E237,'LISTA ITEMS'!$E$2:$G$875,2,FALSE)</f>
        <v>0</v>
      </c>
      <c r="G237" s="25">
        <f>VLOOKUP(E237,'LISTA ITEMS'!$E$2:$G$875,3,FALSE)</f>
        <v>0</v>
      </c>
      <c r="H237" s="76"/>
      <c r="I237" s="75">
        <v>0</v>
      </c>
      <c r="J237" s="27"/>
      <c r="K237" s="13"/>
      <c r="L237" s="67"/>
      <c r="M237" s="56"/>
      <c r="N237" s="55"/>
      <c r="O237" s="13"/>
      <c r="P237" s="71"/>
      <c r="Q237" s="31"/>
      <c r="R237" s="26">
        <f t="shared" si="10"/>
        <v>0</v>
      </c>
      <c r="S237" s="85"/>
      <c r="T237" s="84"/>
      <c r="U237" s="27"/>
      <c r="V237" s="13"/>
      <c r="W237" s="67"/>
      <c r="X237" s="56"/>
      <c r="Y237" s="55"/>
      <c r="Z237" s="13"/>
      <c r="AA237" s="71"/>
      <c r="AB237" s="31"/>
      <c r="AC237" s="26">
        <f t="shared" si="11"/>
        <v>0</v>
      </c>
      <c r="AD237" s="25"/>
      <c r="AE237" s="25"/>
      <c r="AF237" s="13"/>
      <c r="AG237" s="13"/>
      <c r="AH237" s="13"/>
    </row>
    <row r="238" spans="1:34" ht="18" customHeight="1" x14ac:dyDescent="0.3">
      <c r="A238" s="65">
        <v>476</v>
      </c>
      <c r="B238" s="25"/>
      <c r="C238" s="25"/>
      <c r="D238" s="25"/>
      <c r="E238" s="30" t="str">
        <f t="shared" si="9"/>
        <v>--</v>
      </c>
      <c r="F238" s="13">
        <f>VLOOKUP(E238,'LISTA ITEMS'!$E$2:$G$875,2,FALSE)</f>
        <v>0</v>
      </c>
      <c r="G238" s="25">
        <f>VLOOKUP(E238,'LISTA ITEMS'!$E$2:$G$875,3,FALSE)</f>
        <v>0</v>
      </c>
      <c r="H238" s="76"/>
      <c r="I238" s="75">
        <v>0</v>
      </c>
      <c r="J238" s="27"/>
      <c r="K238" s="13"/>
      <c r="L238" s="67"/>
      <c r="M238" s="56"/>
      <c r="N238" s="55"/>
      <c r="O238" s="13"/>
      <c r="P238" s="71"/>
      <c r="Q238" s="31"/>
      <c r="R238" s="26">
        <f t="shared" si="10"/>
        <v>0</v>
      </c>
      <c r="S238" s="85"/>
      <c r="T238" s="84"/>
      <c r="U238" s="27"/>
      <c r="V238" s="13"/>
      <c r="W238" s="67"/>
      <c r="X238" s="56"/>
      <c r="Y238" s="55"/>
      <c r="Z238" s="13"/>
      <c r="AA238" s="71"/>
      <c r="AB238" s="31"/>
      <c r="AC238" s="26">
        <f t="shared" si="11"/>
        <v>0</v>
      </c>
      <c r="AD238" s="25"/>
      <c r="AE238" s="25"/>
      <c r="AF238" s="13"/>
      <c r="AG238" s="13"/>
      <c r="AH238" s="13"/>
    </row>
    <row r="239" spans="1:34" x14ac:dyDescent="0.3">
      <c r="A239" s="65">
        <v>477</v>
      </c>
      <c r="B239" s="25"/>
      <c r="C239" s="25"/>
      <c r="D239" s="25"/>
      <c r="E239" s="30" t="str">
        <f t="shared" si="9"/>
        <v>--</v>
      </c>
      <c r="F239" s="13">
        <f>VLOOKUP(E239,'LISTA ITEMS'!$E$2:$G$875,2,FALSE)</f>
        <v>0</v>
      </c>
      <c r="G239" s="25">
        <f>VLOOKUP(E239,'LISTA ITEMS'!$E$2:$G$875,3,FALSE)</f>
        <v>0</v>
      </c>
      <c r="H239" s="76"/>
      <c r="I239" s="75">
        <v>0</v>
      </c>
      <c r="J239" s="27"/>
      <c r="K239" s="13"/>
      <c r="L239" s="67"/>
      <c r="M239" s="56"/>
      <c r="N239" s="55"/>
      <c r="O239" s="13"/>
      <c r="P239" s="71"/>
      <c r="Q239" s="31"/>
      <c r="R239" s="26">
        <f t="shared" si="10"/>
        <v>0</v>
      </c>
      <c r="S239" s="85"/>
      <c r="T239" s="84"/>
      <c r="U239" s="27"/>
      <c r="V239" s="13"/>
      <c r="W239" s="67"/>
      <c r="X239" s="56"/>
      <c r="Y239" s="55"/>
      <c r="Z239" s="13"/>
      <c r="AA239" s="71"/>
      <c r="AB239" s="31"/>
      <c r="AC239" s="26">
        <f t="shared" si="11"/>
        <v>0</v>
      </c>
      <c r="AD239" s="25"/>
      <c r="AE239" s="25"/>
      <c r="AF239" s="13"/>
      <c r="AG239" s="13"/>
      <c r="AH239" s="13"/>
    </row>
    <row r="240" spans="1:34" x14ac:dyDescent="0.3">
      <c r="A240" s="65">
        <v>478</v>
      </c>
      <c r="B240" s="25"/>
      <c r="C240" s="25"/>
      <c r="D240" s="25"/>
      <c r="E240" s="30" t="str">
        <f t="shared" si="9"/>
        <v>--</v>
      </c>
      <c r="F240" s="13">
        <f>VLOOKUP(E240,'LISTA ITEMS'!$E$2:$G$875,2,FALSE)</f>
        <v>0</v>
      </c>
      <c r="G240" s="25">
        <f>VLOOKUP(E240,'LISTA ITEMS'!$E$2:$G$875,3,FALSE)</f>
        <v>0</v>
      </c>
      <c r="H240" s="76"/>
      <c r="I240" s="75">
        <v>0</v>
      </c>
      <c r="J240" s="27"/>
      <c r="K240" s="13"/>
      <c r="L240" s="67"/>
      <c r="M240" s="56"/>
      <c r="N240" s="55"/>
      <c r="O240" s="13"/>
      <c r="P240" s="71"/>
      <c r="Q240" s="31"/>
      <c r="R240" s="26">
        <f t="shared" si="10"/>
        <v>0</v>
      </c>
      <c r="S240" s="85"/>
      <c r="T240" s="84"/>
      <c r="U240" s="27"/>
      <c r="V240" s="13"/>
      <c r="W240" s="67"/>
      <c r="X240" s="56"/>
      <c r="Y240" s="55"/>
      <c r="Z240" s="13"/>
      <c r="AA240" s="71"/>
      <c r="AB240" s="31"/>
      <c r="AC240" s="26">
        <f t="shared" si="11"/>
        <v>0</v>
      </c>
      <c r="AD240" s="25"/>
      <c r="AE240" s="25"/>
      <c r="AF240" s="13"/>
      <c r="AG240" s="13"/>
      <c r="AH240" s="13"/>
    </row>
    <row r="241" spans="1:34" x14ac:dyDescent="0.3">
      <c r="A241" s="65">
        <v>479</v>
      </c>
      <c r="B241" s="25"/>
      <c r="C241" s="25"/>
      <c r="D241" s="25"/>
      <c r="E241" s="30" t="str">
        <f t="shared" si="9"/>
        <v>--</v>
      </c>
      <c r="F241" s="13">
        <f>VLOOKUP(E241,'LISTA ITEMS'!$E$2:$G$875,2,FALSE)</f>
        <v>0</v>
      </c>
      <c r="G241" s="25">
        <f>VLOOKUP(E241,'LISTA ITEMS'!$E$2:$G$875,3,FALSE)</f>
        <v>0</v>
      </c>
      <c r="H241" s="76"/>
      <c r="I241" s="75">
        <v>0</v>
      </c>
      <c r="J241" s="27"/>
      <c r="K241" s="13"/>
      <c r="L241" s="67"/>
      <c r="M241" s="56"/>
      <c r="N241" s="55"/>
      <c r="O241" s="13"/>
      <c r="P241" s="71"/>
      <c r="Q241" s="31"/>
      <c r="R241" s="26">
        <f t="shared" si="10"/>
        <v>0</v>
      </c>
      <c r="S241" s="85"/>
      <c r="T241" s="84"/>
      <c r="U241" s="27"/>
      <c r="V241" s="13"/>
      <c r="W241" s="67"/>
      <c r="X241" s="56"/>
      <c r="Y241" s="55"/>
      <c r="Z241" s="13"/>
      <c r="AA241" s="71"/>
      <c r="AB241" s="31"/>
      <c r="AC241" s="26">
        <f t="shared" si="11"/>
        <v>0</v>
      </c>
      <c r="AD241" s="25"/>
      <c r="AE241" s="25"/>
      <c r="AF241" s="13"/>
      <c r="AG241" s="13"/>
      <c r="AH241" s="13"/>
    </row>
    <row r="242" spans="1:34" x14ac:dyDescent="0.3">
      <c r="A242" s="65">
        <v>480</v>
      </c>
      <c r="B242" s="25"/>
      <c r="C242" s="25"/>
      <c r="D242" s="25"/>
      <c r="E242" s="30" t="str">
        <f t="shared" si="9"/>
        <v>--</v>
      </c>
      <c r="F242" s="13">
        <f>VLOOKUP(E242,'LISTA ITEMS'!$E$2:$G$875,2,FALSE)</f>
        <v>0</v>
      </c>
      <c r="G242" s="25">
        <f>VLOOKUP(E242,'LISTA ITEMS'!$E$2:$G$875,3,FALSE)</f>
        <v>0</v>
      </c>
      <c r="H242" s="76"/>
      <c r="I242" s="75">
        <v>0</v>
      </c>
      <c r="J242" s="27"/>
      <c r="K242" s="13"/>
      <c r="L242" s="67"/>
      <c r="M242" s="56"/>
      <c r="N242" s="55"/>
      <c r="O242" s="13"/>
      <c r="P242" s="71"/>
      <c r="Q242" s="31"/>
      <c r="R242" s="26">
        <f t="shared" si="10"/>
        <v>0</v>
      </c>
      <c r="S242" s="85"/>
      <c r="T242" s="84"/>
      <c r="U242" s="27"/>
      <c r="V242" s="13"/>
      <c r="W242" s="67"/>
      <c r="X242" s="56"/>
      <c r="Y242" s="55"/>
      <c r="Z242" s="13"/>
      <c r="AA242" s="71"/>
      <c r="AB242" s="31"/>
      <c r="AC242" s="26">
        <f t="shared" si="11"/>
        <v>0</v>
      </c>
      <c r="AD242" s="25"/>
      <c r="AE242" s="25"/>
      <c r="AF242" s="13"/>
      <c r="AG242" s="13"/>
      <c r="AH242" s="13"/>
    </row>
    <row r="243" spans="1:34" x14ac:dyDescent="0.3">
      <c r="A243" s="65">
        <v>481</v>
      </c>
      <c r="B243" s="25"/>
      <c r="C243" s="25"/>
      <c r="D243" s="25"/>
      <c r="E243" s="30" t="str">
        <f t="shared" si="9"/>
        <v>--</v>
      </c>
      <c r="F243" s="13">
        <f>VLOOKUP(E243,'LISTA ITEMS'!$E$2:$G$875,2,FALSE)</f>
        <v>0</v>
      </c>
      <c r="G243" s="25">
        <f>VLOOKUP(E243,'LISTA ITEMS'!$E$2:$G$875,3,FALSE)</f>
        <v>0</v>
      </c>
      <c r="H243" s="76"/>
      <c r="I243" s="75">
        <v>0</v>
      </c>
      <c r="J243" s="27"/>
      <c r="K243" s="13"/>
      <c r="L243" s="67"/>
      <c r="M243" s="56"/>
      <c r="N243" s="55"/>
      <c r="O243" s="13"/>
      <c r="P243" s="71"/>
      <c r="Q243" s="31"/>
      <c r="R243" s="26">
        <f t="shared" si="10"/>
        <v>0</v>
      </c>
      <c r="S243" s="85"/>
      <c r="T243" s="84"/>
      <c r="U243" s="27"/>
      <c r="V243" s="13"/>
      <c r="W243" s="67"/>
      <c r="X243" s="56"/>
      <c r="Y243" s="55"/>
      <c r="Z243" s="13"/>
      <c r="AA243" s="71"/>
      <c r="AB243" s="31"/>
      <c r="AC243" s="26">
        <f t="shared" si="11"/>
        <v>0</v>
      </c>
      <c r="AD243" s="25"/>
      <c r="AE243" s="25"/>
      <c r="AF243" s="13"/>
      <c r="AG243" s="13"/>
      <c r="AH243" s="13"/>
    </row>
    <row r="244" spans="1:34" x14ac:dyDescent="0.3">
      <c r="A244" s="65">
        <v>482</v>
      </c>
      <c r="B244" s="25"/>
      <c r="C244" s="25"/>
      <c r="D244" s="25"/>
      <c r="E244" s="30" t="str">
        <f t="shared" si="9"/>
        <v>--</v>
      </c>
      <c r="F244" s="13">
        <f>VLOOKUP(E244,'LISTA ITEMS'!$E$2:$G$875,2,FALSE)</f>
        <v>0</v>
      </c>
      <c r="G244" s="25">
        <f>VLOOKUP(E244,'LISTA ITEMS'!$E$2:$G$875,3,FALSE)</f>
        <v>0</v>
      </c>
      <c r="H244" s="76"/>
      <c r="I244" s="75">
        <v>0</v>
      </c>
      <c r="J244" s="27"/>
      <c r="K244" s="13"/>
      <c r="L244" s="67"/>
      <c r="M244" s="56"/>
      <c r="N244" s="55"/>
      <c r="O244" s="13"/>
      <c r="P244" s="71"/>
      <c r="Q244" s="31"/>
      <c r="R244" s="26">
        <f t="shared" si="10"/>
        <v>0</v>
      </c>
      <c r="S244" s="85"/>
      <c r="T244" s="84"/>
      <c r="U244" s="27"/>
      <c r="V244" s="13"/>
      <c r="W244" s="67"/>
      <c r="X244" s="56"/>
      <c r="Y244" s="55"/>
      <c r="Z244" s="13"/>
      <c r="AA244" s="71"/>
      <c r="AB244" s="31"/>
      <c r="AC244" s="26">
        <f t="shared" si="11"/>
        <v>0</v>
      </c>
      <c r="AD244" s="25"/>
      <c r="AE244" s="25"/>
      <c r="AF244" s="13"/>
      <c r="AG244" s="13"/>
      <c r="AH244" s="13"/>
    </row>
    <row r="245" spans="1:34" x14ac:dyDescent="0.3">
      <c r="A245" s="65">
        <v>483</v>
      </c>
      <c r="B245" s="25"/>
      <c r="C245" s="25"/>
      <c r="D245" s="25"/>
      <c r="E245" s="30" t="str">
        <f t="shared" si="9"/>
        <v>--</v>
      </c>
      <c r="F245" s="13">
        <f>VLOOKUP(E245,'LISTA ITEMS'!$E$2:$G$875,2,FALSE)</f>
        <v>0</v>
      </c>
      <c r="G245" s="25">
        <f>VLOOKUP(E245,'LISTA ITEMS'!$E$2:$G$875,3,FALSE)</f>
        <v>0</v>
      </c>
      <c r="H245" s="76"/>
      <c r="I245" s="75">
        <v>0</v>
      </c>
      <c r="J245" s="27"/>
      <c r="K245" s="13"/>
      <c r="L245" s="67"/>
      <c r="M245" s="56"/>
      <c r="N245" s="55"/>
      <c r="O245" s="13"/>
      <c r="P245" s="71"/>
      <c r="Q245" s="31"/>
      <c r="R245" s="26">
        <f t="shared" si="10"/>
        <v>0</v>
      </c>
      <c r="S245" s="85"/>
      <c r="T245" s="84"/>
      <c r="U245" s="27"/>
      <c r="V245" s="13"/>
      <c r="W245" s="67"/>
      <c r="X245" s="56"/>
      <c r="Y245" s="55"/>
      <c r="Z245" s="13"/>
      <c r="AA245" s="71"/>
      <c r="AB245" s="31"/>
      <c r="AC245" s="26">
        <f t="shared" si="11"/>
        <v>0</v>
      </c>
      <c r="AD245" s="25"/>
      <c r="AE245" s="25"/>
      <c r="AF245" s="13"/>
      <c r="AG245" s="13"/>
      <c r="AH245" s="13"/>
    </row>
    <row r="246" spans="1:34" x14ac:dyDescent="0.3">
      <c r="A246" s="65">
        <v>484</v>
      </c>
      <c r="B246" s="25"/>
      <c r="C246" s="25"/>
      <c r="D246" s="25"/>
      <c r="E246" s="30" t="str">
        <f t="shared" si="9"/>
        <v>--</v>
      </c>
      <c r="F246" s="13">
        <f>VLOOKUP(E246,'LISTA ITEMS'!$E$2:$G$875,2,FALSE)</f>
        <v>0</v>
      </c>
      <c r="G246" s="25">
        <f>VLOOKUP(E246,'LISTA ITEMS'!$E$2:$G$875,3,FALSE)</f>
        <v>0</v>
      </c>
      <c r="H246" s="76"/>
      <c r="I246" s="75">
        <v>0</v>
      </c>
      <c r="J246" s="27"/>
      <c r="K246" s="13"/>
      <c r="L246" s="67"/>
      <c r="M246" s="56"/>
      <c r="N246" s="55"/>
      <c r="O246" s="13"/>
      <c r="P246" s="71"/>
      <c r="Q246" s="31"/>
      <c r="R246" s="26">
        <f t="shared" si="10"/>
        <v>0</v>
      </c>
      <c r="S246" s="85"/>
      <c r="T246" s="84"/>
      <c r="U246" s="27"/>
      <c r="V246" s="13"/>
      <c r="W246" s="67"/>
      <c r="X246" s="56"/>
      <c r="Y246" s="55"/>
      <c r="Z246" s="13"/>
      <c r="AA246" s="71"/>
      <c r="AB246" s="31"/>
      <c r="AC246" s="26">
        <f t="shared" si="11"/>
        <v>0</v>
      </c>
      <c r="AD246" s="25"/>
      <c r="AE246" s="25"/>
      <c r="AF246" s="13"/>
      <c r="AG246" s="13"/>
      <c r="AH246" s="13"/>
    </row>
    <row r="247" spans="1:34" x14ac:dyDescent="0.3">
      <c r="A247" s="65">
        <v>485</v>
      </c>
      <c r="B247" s="25"/>
      <c r="C247" s="25"/>
      <c r="D247" s="25"/>
      <c r="E247" s="30" t="str">
        <f t="shared" si="9"/>
        <v>--</v>
      </c>
      <c r="F247" s="13">
        <f>VLOOKUP(E247,'LISTA ITEMS'!$E$2:$G$875,2,FALSE)</f>
        <v>0</v>
      </c>
      <c r="G247" s="25">
        <f>VLOOKUP(E247,'LISTA ITEMS'!$E$2:$G$875,3,FALSE)</f>
        <v>0</v>
      </c>
      <c r="H247" s="76"/>
      <c r="I247" s="75">
        <v>0</v>
      </c>
      <c r="J247" s="27"/>
      <c r="K247" s="13"/>
      <c r="L247" s="67"/>
      <c r="M247" s="56"/>
      <c r="N247" s="55"/>
      <c r="O247" s="13"/>
      <c r="P247" s="71"/>
      <c r="Q247" s="31"/>
      <c r="R247" s="26">
        <f t="shared" si="10"/>
        <v>0</v>
      </c>
      <c r="S247" s="85"/>
      <c r="T247" s="84"/>
      <c r="U247" s="27"/>
      <c r="V247" s="13"/>
      <c r="W247" s="67"/>
      <c r="X247" s="56"/>
      <c r="Y247" s="55"/>
      <c r="Z247" s="13"/>
      <c r="AA247" s="71"/>
      <c r="AB247" s="31"/>
      <c r="AC247" s="26">
        <f t="shared" si="11"/>
        <v>0</v>
      </c>
      <c r="AD247" s="25"/>
      <c r="AE247" s="25"/>
      <c r="AF247" s="13"/>
      <c r="AG247" s="13"/>
      <c r="AH247" s="13"/>
    </row>
    <row r="248" spans="1:34" x14ac:dyDescent="0.3">
      <c r="A248" s="65">
        <v>486</v>
      </c>
      <c r="B248" s="25"/>
      <c r="C248" s="25"/>
      <c r="D248" s="25"/>
      <c r="E248" s="30" t="str">
        <f t="shared" si="9"/>
        <v>--</v>
      </c>
      <c r="F248" s="13">
        <f>VLOOKUP(E248,'LISTA ITEMS'!$E$2:$G$875,2,FALSE)</f>
        <v>0</v>
      </c>
      <c r="G248" s="25">
        <f>VLOOKUP(E248,'LISTA ITEMS'!$E$2:$G$875,3,FALSE)</f>
        <v>0</v>
      </c>
      <c r="H248" s="76"/>
      <c r="I248" s="75">
        <v>0</v>
      </c>
      <c r="J248" s="27"/>
      <c r="K248" s="13"/>
      <c r="L248" s="67"/>
      <c r="M248" s="56"/>
      <c r="N248" s="55"/>
      <c r="O248" s="13"/>
      <c r="P248" s="71"/>
      <c r="Q248" s="31"/>
      <c r="R248" s="26">
        <f t="shared" si="10"/>
        <v>0</v>
      </c>
      <c r="S248" s="85"/>
      <c r="T248" s="84"/>
      <c r="U248" s="27"/>
      <c r="V248" s="13"/>
      <c r="W248" s="67"/>
      <c r="X248" s="56"/>
      <c r="Y248" s="55"/>
      <c r="Z248" s="13"/>
      <c r="AA248" s="71"/>
      <c r="AB248" s="31"/>
      <c r="AC248" s="26">
        <f t="shared" si="11"/>
        <v>0</v>
      </c>
      <c r="AD248" s="25"/>
      <c r="AE248" s="25"/>
      <c r="AF248" s="13"/>
      <c r="AG248" s="13"/>
      <c r="AH248" s="13"/>
    </row>
    <row r="249" spans="1:34" x14ac:dyDescent="0.3">
      <c r="A249" s="65">
        <v>487</v>
      </c>
      <c r="B249" s="25"/>
      <c r="C249" s="25"/>
      <c r="D249" s="25"/>
      <c r="E249" s="30" t="str">
        <f t="shared" si="9"/>
        <v>--</v>
      </c>
      <c r="F249" s="13">
        <f>VLOOKUP(E249,'LISTA ITEMS'!$E$2:$G$875,2,FALSE)</f>
        <v>0</v>
      </c>
      <c r="G249" s="25">
        <f>VLOOKUP(E249,'LISTA ITEMS'!$E$2:$G$875,3,FALSE)</f>
        <v>0</v>
      </c>
      <c r="H249" s="76"/>
      <c r="I249" s="75">
        <v>0</v>
      </c>
      <c r="J249" s="27"/>
      <c r="K249" s="13"/>
      <c r="L249" s="67"/>
      <c r="M249" s="56"/>
      <c r="N249" s="55"/>
      <c r="O249" s="13"/>
      <c r="P249" s="71"/>
      <c r="Q249" s="31"/>
      <c r="R249" s="26">
        <f t="shared" si="10"/>
        <v>0</v>
      </c>
      <c r="S249" s="85"/>
      <c r="T249" s="84"/>
      <c r="U249" s="27"/>
      <c r="V249" s="13"/>
      <c r="W249" s="67"/>
      <c r="X249" s="56"/>
      <c r="Y249" s="55"/>
      <c r="Z249" s="13"/>
      <c r="AA249" s="71"/>
      <c r="AB249" s="31"/>
      <c r="AC249" s="26">
        <f t="shared" si="11"/>
        <v>0</v>
      </c>
      <c r="AD249" s="25"/>
      <c r="AE249" s="25"/>
      <c r="AF249" s="13"/>
      <c r="AG249" s="13"/>
      <c r="AH249" s="13"/>
    </row>
    <row r="250" spans="1:34" x14ac:dyDescent="0.3">
      <c r="A250" s="65">
        <v>488</v>
      </c>
      <c r="B250" s="25"/>
      <c r="C250" s="25"/>
      <c r="D250" s="25"/>
      <c r="E250" s="30" t="str">
        <f t="shared" si="9"/>
        <v>--</v>
      </c>
      <c r="F250" s="13">
        <f>VLOOKUP(E250,'LISTA ITEMS'!$E$2:$G$875,2,FALSE)</f>
        <v>0</v>
      </c>
      <c r="G250" s="25">
        <f>VLOOKUP(E250,'LISTA ITEMS'!$E$2:$G$875,3,FALSE)</f>
        <v>0</v>
      </c>
      <c r="H250" s="76"/>
      <c r="I250" s="75">
        <v>0</v>
      </c>
      <c r="J250" s="27"/>
      <c r="K250" s="13"/>
      <c r="L250" s="67"/>
      <c r="M250" s="56"/>
      <c r="N250" s="55"/>
      <c r="O250" s="13"/>
      <c r="P250" s="71"/>
      <c r="Q250" s="31"/>
      <c r="R250" s="26">
        <f t="shared" si="10"/>
        <v>0</v>
      </c>
      <c r="S250" s="85"/>
      <c r="T250" s="84"/>
      <c r="U250" s="27"/>
      <c r="V250" s="13"/>
      <c r="W250" s="67"/>
      <c r="X250" s="56"/>
      <c r="Y250" s="55"/>
      <c r="Z250" s="13"/>
      <c r="AA250" s="71"/>
      <c r="AB250" s="31"/>
      <c r="AC250" s="26">
        <f t="shared" si="11"/>
        <v>0</v>
      </c>
      <c r="AD250" s="25"/>
      <c r="AE250" s="25"/>
      <c r="AF250" s="13"/>
      <c r="AG250" s="13"/>
      <c r="AH250" s="13"/>
    </row>
    <row r="251" spans="1:34" x14ac:dyDescent="0.3">
      <c r="A251" s="65">
        <v>489</v>
      </c>
      <c r="B251" s="25"/>
      <c r="C251" s="25"/>
      <c r="D251" s="25"/>
      <c r="E251" s="30" t="str">
        <f t="shared" si="9"/>
        <v>--</v>
      </c>
      <c r="F251" s="13">
        <f>VLOOKUP(E251,'LISTA ITEMS'!$E$2:$G$875,2,FALSE)</f>
        <v>0</v>
      </c>
      <c r="G251" s="25">
        <f>VLOOKUP(E251,'LISTA ITEMS'!$E$2:$G$875,3,FALSE)</f>
        <v>0</v>
      </c>
      <c r="H251" s="76"/>
      <c r="I251" s="75">
        <v>0</v>
      </c>
      <c r="J251" s="27"/>
      <c r="K251" s="13"/>
      <c r="L251" s="67"/>
      <c r="M251" s="56"/>
      <c r="N251" s="55"/>
      <c r="O251" s="13"/>
      <c r="P251" s="71"/>
      <c r="Q251" s="31"/>
      <c r="R251" s="26">
        <f t="shared" si="10"/>
        <v>0</v>
      </c>
      <c r="S251" s="85"/>
      <c r="T251" s="84"/>
      <c r="U251" s="27"/>
      <c r="V251" s="13"/>
      <c r="W251" s="67"/>
      <c r="X251" s="56"/>
      <c r="Y251" s="55"/>
      <c r="Z251" s="13"/>
      <c r="AA251" s="71"/>
      <c r="AB251" s="31"/>
      <c r="AC251" s="26">
        <f t="shared" si="11"/>
        <v>0</v>
      </c>
      <c r="AD251" s="25"/>
      <c r="AE251" s="25"/>
      <c r="AF251" s="13"/>
      <c r="AG251" s="13"/>
      <c r="AH251" s="13"/>
    </row>
    <row r="252" spans="1:34" x14ac:dyDescent="0.3">
      <c r="A252" s="65">
        <v>490</v>
      </c>
      <c r="B252" s="25"/>
      <c r="C252" s="25"/>
      <c r="D252" s="25"/>
      <c r="E252" s="30" t="str">
        <f t="shared" si="9"/>
        <v>--</v>
      </c>
      <c r="F252" s="13">
        <f>VLOOKUP(E252,'LISTA ITEMS'!$E$2:$G$875,2,FALSE)</f>
        <v>0</v>
      </c>
      <c r="G252" s="25">
        <f>VLOOKUP(E252,'LISTA ITEMS'!$E$2:$G$875,3,FALSE)</f>
        <v>0</v>
      </c>
      <c r="H252" s="76"/>
      <c r="I252" s="75">
        <v>0</v>
      </c>
      <c r="J252" s="27"/>
      <c r="K252" s="13"/>
      <c r="L252" s="67"/>
      <c r="M252" s="56"/>
      <c r="N252" s="55"/>
      <c r="O252" s="13"/>
      <c r="P252" s="71"/>
      <c r="Q252" s="31"/>
      <c r="R252" s="26">
        <f t="shared" si="10"/>
        <v>0</v>
      </c>
      <c r="S252" s="85"/>
      <c r="T252" s="84"/>
      <c r="U252" s="27"/>
      <c r="V252" s="13"/>
      <c r="W252" s="67"/>
      <c r="X252" s="56"/>
      <c r="Y252" s="55"/>
      <c r="Z252" s="13"/>
      <c r="AA252" s="71"/>
      <c r="AB252" s="31"/>
      <c r="AC252" s="26">
        <f t="shared" si="11"/>
        <v>0</v>
      </c>
      <c r="AD252" s="25"/>
      <c r="AE252" s="25"/>
      <c r="AF252" s="13"/>
      <c r="AG252" s="13"/>
      <c r="AH252" s="13"/>
    </row>
    <row r="253" spans="1:34" x14ac:dyDescent="0.3">
      <c r="A253" s="65">
        <v>491</v>
      </c>
      <c r="B253" s="25"/>
      <c r="C253" s="25"/>
      <c r="D253" s="25"/>
      <c r="E253" s="30" t="str">
        <f t="shared" si="9"/>
        <v>--</v>
      </c>
      <c r="F253" s="13">
        <f>VLOOKUP(E253,'LISTA ITEMS'!$E$2:$G$875,2,FALSE)</f>
        <v>0</v>
      </c>
      <c r="G253" s="25">
        <f>VLOOKUP(E253,'LISTA ITEMS'!$E$2:$G$875,3,FALSE)</f>
        <v>0</v>
      </c>
      <c r="H253" s="76"/>
      <c r="I253" s="75">
        <v>0</v>
      </c>
      <c r="J253" s="27"/>
      <c r="K253" s="13"/>
      <c r="L253" s="67"/>
      <c r="M253" s="56"/>
      <c r="N253" s="55"/>
      <c r="O253" s="13"/>
      <c r="P253" s="71"/>
      <c r="Q253" s="31"/>
      <c r="R253" s="26">
        <f t="shared" si="10"/>
        <v>0</v>
      </c>
      <c r="S253" s="85"/>
      <c r="T253" s="84"/>
      <c r="U253" s="27"/>
      <c r="V253" s="13"/>
      <c r="W253" s="67"/>
      <c r="X253" s="56"/>
      <c r="Y253" s="55"/>
      <c r="Z253" s="13"/>
      <c r="AA253" s="71"/>
      <c r="AB253" s="31"/>
      <c r="AC253" s="26">
        <f t="shared" si="11"/>
        <v>0</v>
      </c>
      <c r="AD253" s="25"/>
      <c r="AE253" s="25"/>
      <c r="AF253" s="13"/>
      <c r="AG253" s="13"/>
      <c r="AH253" s="13"/>
    </row>
    <row r="254" spans="1:34" x14ac:dyDescent="0.3">
      <c r="A254" s="65">
        <v>492</v>
      </c>
      <c r="B254" s="25"/>
      <c r="C254" s="25"/>
      <c r="D254" s="25"/>
      <c r="E254" s="30" t="str">
        <f t="shared" si="9"/>
        <v>--</v>
      </c>
      <c r="F254" s="13">
        <f>VLOOKUP(E254,'LISTA ITEMS'!$E$2:$G$875,2,FALSE)</f>
        <v>0</v>
      </c>
      <c r="G254" s="25">
        <f>VLOOKUP(E254,'LISTA ITEMS'!$E$2:$G$875,3,FALSE)</f>
        <v>0</v>
      </c>
      <c r="H254" s="76"/>
      <c r="I254" s="75">
        <v>0</v>
      </c>
      <c r="J254" s="27"/>
      <c r="K254" s="13"/>
      <c r="L254" s="67"/>
      <c r="M254" s="56"/>
      <c r="N254" s="55"/>
      <c r="O254" s="13"/>
      <c r="P254" s="71"/>
      <c r="Q254" s="31"/>
      <c r="R254" s="26">
        <f t="shared" si="10"/>
        <v>0</v>
      </c>
      <c r="S254" s="85"/>
      <c r="T254" s="84"/>
      <c r="U254" s="27"/>
      <c r="V254" s="13"/>
      <c r="W254" s="67"/>
      <c r="X254" s="56"/>
      <c r="Y254" s="55"/>
      <c r="Z254" s="13"/>
      <c r="AA254" s="71"/>
      <c r="AB254" s="31"/>
      <c r="AC254" s="26">
        <f t="shared" si="11"/>
        <v>0</v>
      </c>
      <c r="AD254" s="25"/>
      <c r="AE254" s="25"/>
      <c r="AF254" s="13"/>
      <c r="AG254" s="13"/>
      <c r="AH254" s="13"/>
    </row>
    <row r="255" spans="1:34" x14ac:dyDescent="0.3">
      <c r="A255" s="65">
        <v>493</v>
      </c>
      <c r="B255" s="25"/>
      <c r="C255" s="25"/>
      <c r="D255" s="25"/>
      <c r="E255" s="30" t="str">
        <f t="shared" si="9"/>
        <v>--</v>
      </c>
      <c r="F255" s="13">
        <f>VLOOKUP(E255,'LISTA ITEMS'!$E$2:$G$875,2,FALSE)</f>
        <v>0</v>
      </c>
      <c r="G255" s="25">
        <f>VLOOKUP(E255,'LISTA ITEMS'!$E$2:$G$875,3,FALSE)</f>
        <v>0</v>
      </c>
      <c r="H255" s="76"/>
      <c r="I255" s="75">
        <v>0</v>
      </c>
      <c r="J255" s="27"/>
      <c r="K255" s="13"/>
      <c r="L255" s="67"/>
      <c r="M255" s="56"/>
      <c r="N255" s="55"/>
      <c r="O255" s="13"/>
      <c r="P255" s="71"/>
      <c r="Q255" s="31"/>
      <c r="R255" s="26">
        <f t="shared" si="10"/>
        <v>0</v>
      </c>
      <c r="S255" s="85"/>
      <c r="T255" s="84"/>
      <c r="U255" s="27"/>
      <c r="V255" s="13"/>
      <c r="W255" s="67"/>
      <c r="X255" s="56"/>
      <c r="Y255" s="55"/>
      <c r="Z255" s="13"/>
      <c r="AA255" s="71"/>
      <c r="AB255" s="31"/>
      <c r="AC255" s="26">
        <f t="shared" si="11"/>
        <v>0</v>
      </c>
      <c r="AD255" s="25"/>
      <c r="AE255" s="25"/>
      <c r="AF255" s="13"/>
      <c r="AG255" s="13"/>
      <c r="AH255" s="13"/>
    </row>
    <row r="256" spans="1:34" x14ac:dyDescent="0.3">
      <c r="A256" s="65">
        <v>494</v>
      </c>
      <c r="B256" s="25"/>
      <c r="C256" s="25"/>
      <c r="D256" s="25"/>
      <c r="E256" s="30" t="str">
        <f t="shared" si="9"/>
        <v>--</v>
      </c>
      <c r="F256" s="13">
        <f>VLOOKUP(E256,'LISTA ITEMS'!$E$2:$G$875,2,FALSE)</f>
        <v>0</v>
      </c>
      <c r="G256" s="25">
        <f>VLOOKUP(E256,'LISTA ITEMS'!$E$2:$G$875,3,FALSE)</f>
        <v>0</v>
      </c>
      <c r="H256" s="76"/>
      <c r="I256" s="75">
        <v>0</v>
      </c>
      <c r="J256" s="27"/>
      <c r="K256" s="13"/>
      <c r="L256" s="67"/>
      <c r="M256" s="56"/>
      <c r="N256" s="55"/>
      <c r="O256" s="13"/>
      <c r="P256" s="71"/>
      <c r="Q256" s="31"/>
      <c r="R256" s="26">
        <f t="shared" si="10"/>
        <v>0</v>
      </c>
      <c r="S256" s="85"/>
      <c r="T256" s="84"/>
      <c r="U256" s="27"/>
      <c r="V256" s="13"/>
      <c r="W256" s="67"/>
      <c r="X256" s="56"/>
      <c r="Y256" s="55"/>
      <c r="Z256" s="13"/>
      <c r="AA256" s="71"/>
      <c r="AB256" s="31"/>
      <c r="AC256" s="26">
        <f t="shared" si="11"/>
        <v>0</v>
      </c>
      <c r="AD256" s="25"/>
      <c r="AE256" s="25"/>
      <c r="AF256" s="13"/>
      <c r="AG256" s="13"/>
      <c r="AH256" s="13"/>
    </row>
    <row r="257" spans="1:34" x14ac:dyDescent="0.3">
      <c r="A257" s="65">
        <v>495</v>
      </c>
      <c r="B257" s="25"/>
      <c r="C257" s="25"/>
      <c r="D257" s="25"/>
      <c r="E257" s="30" t="str">
        <f t="shared" si="9"/>
        <v>--</v>
      </c>
      <c r="F257" s="13">
        <f>VLOOKUP(E257,'LISTA ITEMS'!$E$2:$G$875,2,FALSE)</f>
        <v>0</v>
      </c>
      <c r="G257" s="25">
        <f>VLOOKUP(E257,'LISTA ITEMS'!$E$2:$G$875,3,FALSE)</f>
        <v>0</v>
      </c>
      <c r="H257" s="76"/>
      <c r="I257" s="75">
        <v>0</v>
      </c>
      <c r="J257" s="27"/>
      <c r="K257" s="13"/>
      <c r="L257" s="67"/>
      <c r="M257" s="56"/>
      <c r="N257" s="55"/>
      <c r="O257" s="13"/>
      <c r="P257" s="71"/>
      <c r="Q257" s="31"/>
      <c r="R257" s="26">
        <f t="shared" si="10"/>
        <v>0</v>
      </c>
      <c r="S257" s="85"/>
      <c r="T257" s="84"/>
      <c r="U257" s="27"/>
      <c r="V257" s="13"/>
      <c r="W257" s="67"/>
      <c r="X257" s="56"/>
      <c r="Y257" s="55"/>
      <c r="Z257" s="13"/>
      <c r="AA257" s="71"/>
      <c r="AB257" s="31"/>
      <c r="AC257" s="26">
        <f t="shared" si="11"/>
        <v>0</v>
      </c>
      <c r="AD257" s="25"/>
      <c r="AE257" s="25"/>
      <c r="AF257" s="13"/>
      <c r="AG257" s="13"/>
      <c r="AH257" s="13"/>
    </row>
    <row r="258" spans="1:34" x14ac:dyDescent="0.3">
      <c r="A258" s="65">
        <v>496</v>
      </c>
      <c r="B258" s="25"/>
      <c r="C258" s="25"/>
      <c r="D258" s="25"/>
      <c r="E258" s="30" t="str">
        <f t="shared" si="9"/>
        <v>--</v>
      </c>
      <c r="F258" s="13">
        <f>VLOOKUP(E258,'LISTA ITEMS'!$E$2:$G$875,2,FALSE)</f>
        <v>0</v>
      </c>
      <c r="G258" s="25">
        <f>VLOOKUP(E258,'LISTA ITEMS'!$E$2:$G$875,3,FALSE)</f>
        <v>0</v>
      </c>
      <c r="H258" s="76"/>
      <c r="I258" s="75">
        <v>0</v>
      </c>
      <c r="J258" s="27"/>
      <c r="K258" s="13"/>
      <c r="L258" s="67"/>
      <c r="M258" s="56"/>
      <c r="N258" s="55"/>
      <c r="O258" s="13"/>
      <c r="P258" s="71"/>
      <c r="Q258" s="31"/>
      <c r="R258" s="26">
        <f t="shared" si="10"/>
        <v>0</v>
      </c>
      <c r="S258" s="85"/>
      <c r="T258" s="84"/>
      <c r="U258" s="27"/>
      <c r="V258" s="13"/>
      <c r="W258" s="67"/>
      <c r="X258" s="56"/>
      <c r="Y258" s="55"/>
      <c r="Z258" s="13"/>
      <c r="AA258" s="71"/>
      <c r="AB258" s="31"/>
      <c r="AC258" s="26">
        <f t="shared" si="11"/>
        <v>0</v>
      </c>
      <c r="AD258" s="25"/>
      <c r="AE258" s="25"/>
      <c r="AF258" s="13"/>
      <c r="AG258" s="13"/>
      <c r="AH258" s="13"/>
    </row>
    <row r="259" spans="1:34" x14ac:dyDescent="0.3">
      <c r="A259" s="65">
        <v>497</v>
      </c>
      <c r="B259" s="25"/>
      <c r="C259" s="25"/>
      <c r="D259" s="25"/>
      <c r="E259" s="30" t="str">
        <f t="shared" si="9"/>
        <v>--</v>
      </c>
      <c r="F259" s="13">
        <f>VLOOKUP(E259,'LISTA ITEMS'!$E$2:$G$875,2,FALSE)</f>
        <v>0</v>
      </c>
      <c r="G259" s="25">
        <f>VLOOKUP(E259,'LISTA ITEMS'!$E$2:$G$875,3,FALSE)</f>
        <v>0</v>
      </c>
      <c r="H259" s="76"/>
      <c r="I259" s="75">
        <v>0</v>
      </c>
      <c r="J259" s="27"/>
      <c r="K259" s="13"/>
      <c r="L259" s="67"/>
      <c r="M259" s="56"/>
      <c r="N259" s="55"/>
      <c r="O259" s="13"/>
      <c r="P259" s="71"/>
      <c r="Q259" s="31"/>
      <c r="R259" s="26">
        <f t="shared" si="10"/>
        <v>0</v>
      </c>
      <c r="S259" s="85"/>
      <c r="T259" s="84"/>
      <c r="U259" s="27"/>
      <c r="V259" s="13"/>
      <c r="W259" s="67"/>
      <c r="X259" s="56"/>
      <c r="Y259" s="55"/>
      <c r="Z259" s="13"/>
      <c r="AA259" s="71"/>
      <c r="AB259" s="31"/>
      <c r="AC259" s="26">
        <f t="shared" si="11"/>
        <v>0</v>
      </c>
      <c r="AD259" s="25"/>
      <c r="AE259" s="25"/>
      <c r="AF259" s="13"/>
      <c r="AG259" s="13"/>
      <c r="AH259" s="13"/>
    </row>
    <row r="260" spans="1:34" x14ac:dyDescent="0.3">
      <c r="A260" s="65">
        <v>498</v>
      </c>
      <c r="B260" s="25"/>
      <c r="C260" s="25"/>
      <c r="D260" s="25"/>
      <c r="E260" s="30" t="str">
        <f t="shared" ref="E260:E323" si="12">CONCATENATE(B260,"-",C260,"-",D260)</f>
        <v>--</v>
      </c>
      <c r="F260" s="13">
        <f>VLOOKUP(E260,'LISTA ITEMS'!$E$2:$G$875,2,FALSE)</f>
        <v>0</v>
      </c>
      <c r="G260" s="25">
        <f>VLOOKUP(E260,'LISTA ITEMS'!$E$2:$G$875,3,FALSE)</f>
        <v>0</v>
      </c>
      <c r="H260" s="76"/>
      <c r="I260" s="75">
        <v>0</v>
      </c>
      <c r="J260" s="27"/>
      <c r="K260" s="13"/>
      <c r="L260" s="67"/>
      <c r="M260" s="56"/>
      <c r="N260" s="55"/>
      <c r="O260" s="13"/>
      <c r="P260" s="71"/>
      <c r="Q260" s="31"/>
      <c r="R260" s="26">
        <f t="shared" ref="R260:R323" si="13">+I260+L260+N260-P260</f>
        <v>0</v>
      </c>
      <c r="S260" s="85"/>
      <c r="T260" s="84"/>
      <c r="U260" s="27"/>
      <c r="V260" s="13"/>
      <c r="W260" s="67"/>
      <c r="X260" s="56"/>
      <c r="Y260" s="55"/>
      <c r="Z260" s="13"/>
      <c r="AA260" s="71"/>
      <c r="AB260" s="31"/>
      <c r="AC260" s="26">
        <f t="shared" ref="AC260:AC323" si="14">+R260+W260+Y260-AA260</f>
        <v>0</v>
      </c>
      <c r="AD260" s="25"/>
      <c r="AE260" s="25"/>
      <c r="AF260" s="13"/>
      <c r="AG260" s="13"/>
      <c r="AH260" s="13"/>
    </row>
    <row r="261" spans="1:34" x14ac:dyDescent="0.3">
      <c r="A261" s="65">
        <v>499</v>
      </c>
      <c r="B261" s="25"/>
      <c r="C261" s="25"/>
      <c r="D261" s="25"/>
      <c r="E261" s="30" t="str">
        <f t="shared" si="12"/>
        <v>--</v>
      </c>
      <c r="F261" s="13">
        <f>VLOOKUP(E261,'LISTA ITEMS'!$E$2:$G$875,2,FALSE)</f>
        <v>0</v>
      </c>
      <c r="G261" s="25">
        <f>VLOOKUP(E261,'LISTA ITEMS'!$E$2:$G$875,3,FALSE)</f>
        <v>0</v>
      </c>
      <c r="H261" s="76"/>
      <c r="I261" s="75">
        <v>0</v>
      </c>
      <c r="J261" s="27"/>
      <c r="K261" s="13"/>
      <c r="L261" s="67"/>
      <c r="M261" s="56"/>
      <c r="N261" s="55"/>
      <c r="O261" s="13"/>
      <c r="P261" s="71"/>
      <c r="Q261" s="31"/>
      <c r="R261" s="26">
        <f t="shared" si="13"/>
        <v>0</v>
      </c>
      <c r="S261" s="85"/>
      <c r="T261" s="84"/>
      <c r="U261" s="27"/>
      <c r="V261" s="13"/>
      <c r="W261" s="67"/>
      <c r="X261" s="56"/>
      <c r="Y261" s="55"/>
      <c r="Z261" s="13"/>
      <c r="AA261" s="71"/>
      <c r="AB261" s="31"/>
      <c r="AC261" s="26">
        <f t="shared" si="14"/>
        <v>0</v>
      </c>
      <c r="AD261" s="25"/>
      <c r="AE261" s="25"/>
      <c r="AF261" s="13"/>
      <c r="AG261" s="13"/>
      <c r="AH261" s="13"/>
    </row>
    <row r="262" spans="1:34" x14ac:dyDescent="0.3">
      <c r="A262" s="65">
        <v>500</v>
      </c>
      <c r="B262" s="25"/>
      <c r="C262" s="25"/>
      <c r="D262" s="25"/>
      <c r="E262" s="30" t="str">
        <f t="shared" si="12"/>
        <v>--</v>
      </c>
      <c r="F262" s="13">
        <f>VLOOKUP(E262,'LISTA ITEMS'!$E$2:$G$875,2,FALSE)</f>
        <v>0</v>
      </c>
      <c r="G262" s="25">
        <f>VLOOKUP(E262,'LISTA ITEMS'!$E$2:$G$875,3,FALSE)</f>
        <v>0</v>
      </c>
      <c r="H262" s="76"/>
      <c r="I262" s="75">
        <v>0</v>
      </c>
      <c r="J262" s="27"/>
      <c r="K262" s="13"/>
      <c r="L262" s="67"/>
      <c r="M262" s="56"/>
      <c r="N262" s="55"/>
      <c r="O262" s="13"/>
      <c r="P262" s="71"/>
      <c r="Q262" s="31"/>
      <c r="R262" s="26">
        <f t="shared" si="13"/>
        <v>0</v>
      </c>
      <c r="S262" s="85"/>
      <c r="T262" s="84"/>
      <c r="U262" s="27"/>
      <c r="V262" s="13"/>
      <c r="W262" s="67"/>
      <c r="X262" s="56"/>
      <c r="Y262" s="55"/>
      <c r="Z262" s="13"/>
      <c r="AA262" s="71"/>
      <c r="AB262" s="31"/>
      <c r="AC262" s="26">
        <f t="shared" si="14"/>
        <v>0</v>
      </c>
      <c r="AD262" s="25"/>
      <c r="AE262" s="25"/>
      <c r="AF262" s="13"/>
      <c r="AG262" s="13"/>
      <c r="AH262" s="13"/>
    </row>
    <row r="263" spans="1:34" x14ac:dyDescent="0.3">
      <c r="A263" s="65">
        <v>501</v>
      </c>
      <c r="B263" s="25"/>
      <c r="C263" s="25"/>
      <c r="D263" s="25"/>
      <c r="E263" s="30" t="str">
        <f t="shared" si="12"/>
        <v>--</v>
      </c>
      <c r="F263" s="13">
        <f>VLOOKUP(E263,'LISTA ITEMS'!$E$2:$G$875,2,FALSE)</f>
        <v>0</v>
      </c>
      <c r="G263" s="25">
        <f>VLOOKUP(E263,'LISTA ITEMS'!$E$2:$G$875,3,FALSE)</f>
        <v>0</v>
      </c>
      <c r="H263" s="76"/>
      <c r="I263" s="75">
        <v>0</v>
      </c>
      <c r="J263" s="27"/>
      <c r="K263" s="13"/>
      <c r="L263" s="67"/>
      <c r="M263" s="56"/>
      <c r="N263" s="55"/>
      <c r="O263" s="13"/>
      <c r="P263" s="71"/>
      <c r="Q263" s="31"/>
      <c r="R263" s="26">
        <f t="shared" si="13"/>
        <v>0</v>
      </c>
      <c r="S263" s="85"/>
      <c r="T263" s="84"/>
      <c r="U263" s="27"/>
      <c r="V263" s="13"/>
      <c r="W263" s="67"/>
      <c r="X263" s="56"/>
      <c r="Y263" s="55"/>
      <c r="Z263" s="13"/>
      <c r="AA263" s="71"/>
      <c r="AB263" s="31"/>
      <c r="AC263" s="26">
        <f t="shared" si="14"/>
        <v>0</v>
      </c>
      <c r="AD263" s="25"/>
      <c r="AE263" s="25"/>
      <c r="AF263" s="13"/>
      <c r="AG263" s="13"/>
      <c r="AH263" s="13"/>
    </row>
    <row r="264" spans="1:34" x14ac:dyDescent="0.3">
      <c r="A264" s="65">
        <v>502</v>
      </c>
      <c r="B264" s="25"/>
      <c r="C264" s="25"/>
      <c r="D264" s="25"/>
      <c r="E264" s="30" t="str">
        <f t="shared" si="12"/>
        <v>--</v>
      </c>
      <c r="F264" s="13">
        <f>VLOOKUP(E264,'LISTA ITEMS'!$E$2:$G$875,2,FALSE)</f>
        <v>0</v>
      </c>
      <c r="G264" s="25">
        <f>VLOOKUP(E264,'LISTA ITEMS'!$E$2:$G$875,3,FALSE)</f>
        <v>0</v>
      </c>
      <c r="H264" s="76"/>
      <c r="I264" s="75">
        <v>0</v>
      </c>
      <c r="J264" s="27"/>
      <c r="K264" s="13"/>
      <c r="L264" s="67"/>
      <c r="M264" s="56"/>
      <c r="N264" s="55"/>
      <c r="O264" s="13"/>
      <c r="P264" s="71"/>
      <c r="Q264" s="31"/>
      <c r="R264" s="26">
        <f t="shared" si="13"/>
        <v>0</v>
      </c>
      <c r="S264" s="85"/>
      <c r="T264" s="84"/>
      <c r="U264" s="27"/>
      <c r="V264" s="13"/>
      <c r="W264" s="67"/>
      <c r="X264" s="56"/>
      <c r="Y264" s="55"/>
      <c r="Z264" s="13"/>
      <c r="AA264" s="71"/>
      <c r="AB264" s="31"/>
      <c r="AC264" s="26">
        <f t="shared" si="14"/>
        <v>0</v>
      </c>
      <c r="AD264" s="25"/>
      <c r="AE264" s="25"/>
      <c r="AF264" s="13"/>
      <c r="AG264" s="13"/>
      <c r="AH264" s="13"/>
    </row>
    <row r="265" spans="1:34" x14ac:dyDescent="0.3">
      <c r="A265" s="65">
        <v>503</v>
      </c>
      <c r="B265" s="25"/>
      <c r="C265" s="25"/>
      <c r="D265" s="25"/>
      <c r="E265" s="30" t="str">
        <f t="shared" si="12"/>
        <v>--</v>
      </c>
      <c r="F265" s="13">
        <f>VLOOKUP(E265,'LISTA ITEMS'!$E$2:$G$875,2,FALSE)</f>
        <v>0</v>
      </c>
      <c r="G265" s="25">
        <f>VLOOKUP(E265,'LISTA ITEMS'!$E$2:$G$875,3,FALSE)</f>
        <v>0</v>
      </c>
      <c r="H265" s="76"/>
      <c r="I265" s="75">
        <v>0</v>
      </c>
      <c r="J265" s="27"/>
      <c r="K265" s="13"/>
      <c r="L265" s="67"/>
      <c r="M265" s="56"/>
      <c r="N265" s="55"/>
      <c r="O265" s="13"/>
      <c r="P265" s="71"/>
      <c r="Q265" s="31"/>
      <c r="R265" s="26">
        <f t="shared" si="13"/>
        <v>0</v>
      </c>
      <c r="S265" s="85"/>
      <c r="T265" s="84"/>
      <c r="U265" s="27"/>
      <c r="V265" s="13"/>
      <c r="W265" s="67"/>
      <c r="X265" s="56"/>
      <c r="Y265" s="55"/>
      <c r="Z265" s="13"/>
      <c r="AA265" s="71"/>
      <c r="AB265" s="31"/>
      <c r="AC265" s="26">
        <f t="shared" si="14"/>
        <v>0</v>
      </c>
      <c r="AD265" s="25"/>
      <c r="AE265" s="25"/>
      <c r="AF265" s="13"/>
      <c r="AG265" s="13"/>
      <c r="AH265" s="13"/>
    </row>
    <row r="266" spans="1:34" x14ac:dyDescent="0.3">
      <c r="A266" s="65">
        <v>504</v>
      </c>
      <c r="B266" s="25"/>
      <c r="C266" s="25"/>
      <c r="D266" s="25"/>
      <c r="E266" s="30" t="str">
        <f t="shared" si="12"/>
        <v>--</v>
      </c>
      <c r="F266" s="13">
        <f>VLOOKUP(E266,'LISTA ITEMS'!$E$2:$G$875,2,FALSE)</f>
        <v>0</v>
      </c>
      <c r="G266" s="25">
        <f>VLOOKUP(E266,'LISTA ITEMS'!$E$2:$G$875,3,FALSE)</f>
        <v>0</v>
      </c>
      <c r="H266" s="76"/>
      <c r="I266" s="75">
        <v>0</v>
      </c>
      <c r="J266" s="27"/>
      <c r="K266" s="13"/>
      <c r="L266" s="67"/>
      <c r="M266" s="56"/>
      <c r="N266" s="55"/>
      <c r="O266" s="13"/>
      <c r="P266" s="71"/>
      <c r="Q266" s="31"/>
      <c r="R266" s="26">
        <f t="shared" si="13"/>
        <v>0</v>
      </c>
      <c r="S266" s="85"/>
      <c r="T266" s="84"/>
      <c r="U266" s="27"/>
      <c r="V266" s="13"/>
      <c r="W266" s="67"/>
      <c r="X266" s="56"/>
      <c r="Y266" s="55"/>
      <c r="Z266" s="13"/>
      <c r="AA266" s="71"/>
      <c r="AB266" s="31"/>
      <c r="AC266" s="26">
        <f t="shared" si="14"/>
        <v>0</v>
      </c>
      <c r="AD266" s="25"/>
      <c r="AE266" s="25"/>
      <c r="AF266" s="13"/>
      <c r="AG266" s="13"/>
      <c r="AH266" s="13"/>
    </row>
    <row r="267" spans="1:34" x14ac:dyDescent="0.3">
      <c r="A267" s="65">
        <v>505</v>
      </c>
      <c r="B267" s="25"/>
      <c r="C267" s="25"/>
      <c r="D267" s="25"/>
      <c r="E267" s="30" t="str">
        <f t="shared" si="12"/>
        <v>--</v>
      </c>
      <c r="F267" s="13">
        <f>VLOOKUP(E267,'LISTA ITEMS'!$E$2:$G$875,2,FALSE)</f>
        <v>0</v>
      </c>
      <c r="G267" s="25">
        <f>VLOOKUP(E267,'LISTA ITEMS'!$E$2:$G$875,3,FALSE)</f>
        <v>0</v>
      </c>
      <c r="H267" s="76"/>
      <c r="I267" s="75">
        <v>0</v>
      </c>
      <c r="J267" s="27"/>
      <c r="K267" s="13"/>
      <c r="L267" s="67"/>
      <c r="M267" s="56"/>
      <c r="N267" s="55"/>
      <c r="O267" s="13"/>
      <c r="P267" s="71"/>
      <c r="Q267" s="31"/>
      <c r="R267" s="26">
        <f t="shared" si="13"/>
        <v>0</v>
      </c>
      <c r="S267" s="85"/>
      <c r="T267" s="84"/>
      <c r="U267" s="27"/>
      <c r="V267" s="13"/>
      <c r="W267" s="67"/>
      <c r="X267" s="56"/>
      <c r="Y267" s="55"/>
      <c r="Z267" s="13"/>
      <c r="AA267" s="71"/>
      <c r="AB267" s="31"/>
      <c r="AC267" s="26">
        <f t="shared" si="14"/>
        <v>0</v>
      </c>
      <c r="AD267" s="25"/>
      <c r="AE267" s="25"/>
      <c r="AF267" s="13"/>
      <c r="AG267" s="13"/>
      <c r="AH267" s="13"/>
    </row>
    <row r="268" spans="1:34" x14ac:dyDescent="0.3">
      <c r="A268" s="65">
        <v>506</v>
      </c>
      <c r="B268" s="25"/>
      <c r="C268" s="25"/>
      <c r="D268" s="25"/>
      <c r="E268" s="30" t="str">
        <f t="shared" si="12"/>
        <v>--</v>
      </c>
      <c r="F268" s="13">
        <f>VLOOKUP(E268,'LISTA ITEMS'!$E$2:$G$875,2,FALSE)</f>
        <v>0</v>
      </c>
      <c r="G268" s="25">
        <f>VLOOKUP(E268,'LISTA ITEMS'!$E$2:$G$875,3,FALSE)</f>
        <v>0</v>
      </c>
      <c r="H268" s="76"/>
      <c r="I268" s="75">
        <v>0</v>
      </c>
      <c r="J268" s="27"/>
      <c r="K268" s="13"/>
      <c r="L268" s="67"/>
      <c r="M268" s="56"/>
      <c r="N268" s="55"/>
      <c r="O268" s="13"/>
      <c r="P268" s="71"/>
      <c r="Q268" s="31"/>
      <c r="R268" s="26">
        <f t="shared" si="13"/>
        <v>0</v>
      </c>
      <c r="S268" s="85"/>
      <c r="T268" s="84"/>
      <c r="U268" s="27"/>
      <c r="V268" s="13"/>
      <c r="W268" s="67"/>
      <c r="X268" s="56"/>
      <c r="Y268" s="55"/>
      <c r="Z268" s="13"/>
      <c r="AA268" s="71"/>
      <c r="AB268" s="31"/>
      <c r="AC268" s="26">
        <f t="shared" si="14"/>
        <v>0</v>
      </c>
      <c r="AD268" s="25"/>
      <c r="AE268" s="25"/>
      <c r="AF268" s="13"/>
      <c r="AG268" s="13"/>
      <c r="AH268" s="13"/>
    </row>
    <row r="269" spans="1:34" x14ac:dyDescent="0.3">
      <c r="A269" s="65">
        <v>507</v>
      </c>
      <c r="B269" s="25"/>
      <c r="C269" s="25"/>
      <c r="D269" s="25"/>
      <c r="E269" s="30" t="str">
        <f t="shared" si="12"/>
        <v>--</v>
      </c>
      <c r="F269" s="13">
        <f>VLOOKUP(E269,'LISTA ITEMS'!$E$2:$G$875,2,FALSE)</f>
        <v>0</v>
      </c>
      <c r="G269" s="25">
        <f>VLOOKUP(E269,'LISTA ITEMS'!$E$2:$G$875,3,FALSE)</f>
        <v>0</v>
      </c>
      <c r="H269" s="76"/>
      <c r="I269" s="75">
        <v>0</v>
      </c>
      <c r="J269" s="27"/>
      <c r="K269" s="13"/>
      <c r="L269" s="67"/>
      <c r="M269" s="56"/>
      <c r="N269" s="55"/>
      <c r="O269" s="13"/>
      <c r="P269" s="71"/>
      <c r="Q269" s="31"/>
      <c r="R269" s="26">
        <f t="shared" si="13"/>
        <v>0</v>
      </c>
      <c r="S269" s="85"/>
      <c r="T269" s="84"/>
      <c r="U269" s="27"/>
      <c r="V269" s="13"/>
      <c r="W269" s="67"/>
      <c r="X269" s="56"/>
      <c r="Y269" s="55"/>
      <c r="Z269" s="13"/>
      <c r="AA269" s="71"/>
      <c r="AB269" s="31"/>
      <c r="AC269" s="26">
        <f t="shared" si="14"/>
        <v>0</v>
      </c>
      <c r="AD269" s="25"/>
      <c r="AE269" s="25"/>
      <c r="AF269" s="13"/>
      <c r="AG269" s="13"/>
      <c r="AH269" s="13"/>
    </row>
    <row r="270" spans="1:34" x14ac:dyDescent="0.3">
      <c r="A270" s="65">
        <v>508</v>
      </c>
      <c r="B270" s="25"/>
      <c r="C270" s="25"/>
      <c r="D270" s="25"/>
      <c r="E270" s="30" t="str">
        <f t="shared" si="12"/>
        <v>--</v>
      </c>
      <c r="F270" s="13">
        <f>VLOOKUP(E270,'LISTA ITEMS'!$E$2:$G$875,2,FALSE)</f>
        <v>0</v>
      </c>
      <c r="G270" s="25">
        <f>VLOOKUP(E270,'LISTA ITEMS'!$E$2:$G$875,3,FALSE)</f>
        <v>0</v>
      </c>
      <c r="H270" s="76"/>
      <c r="I270" s="75">
        <v>0</v>
      </c>
      <c r="J270" s="27"/>
      <c r="K270" s="13"/>
      <c r="L270" s="67"/>
      <c r="M270" s="56"/>
      <c r="N270" s="55"/>
      <c r="O270" s="13"/>
      <c r="P270" s="71"/>
      <c r="Q270" s="31"/>
      <c r="R270" s="26">
        <f t="shared" si="13"/>
        <v>0</v>
      </c>
      <c r="S270" s="85"/>
      <c r="T270" s="84"/>
      <c r="U270" s="27"/>
      <c r="V270" s="13"/>
      <c r="W270" s="67"/>
      <c r="X270" s="56"/>
      <c r="Y270" s="55"/>
      <c r="Z270" s="13"/>
      <c r="AA270" s="71"/>
      <c r="AB270" s="31"/>
      <c r="AC270" s="26">
        <f t="shared" si="14"/>
        <v>0</v>
      </c>
      <c r="AD270" s="25"/>
      <c r="AE270" s="25"/>
      <c r="AF270" s="13"/>
      <c r="AG270" s="13"/>
      <c r="AH270" s="13"/>
    </row>
    <row r="271" spans="1:34" x14ac:dyDescent="0.3">
      <c r="A271" s="65">
        <v>509</v>
      </c>
      <c r="B271" s="25"/>
      <c r="C271" s="25"/>
      <c r="D271" s="25"/>
      <c r="E271" s="30" t="str">
        <f t="shared" si="12"/>
        <v>--</v>
      </c>
      <c r="F271" s="13">
        <f>VLOOKUP(E271,'LISTA ITEMS'!$E$2:$G$875,2,FALSE)</f>
        <v>0</v>
      </c>
      <c r="G271" s="25">
        <f>VLOOKUP(E271,'LISTA ITEMS'!$E$2:$G$875,3,FALSE)</f>
        <v>0</v>
      </c>
      <c r="H271" s="76"/>
      <c r="I271" s="75">
        <v>0</v>
      </c>
      <c r="J271" s="27"/>
      <c r="K271" s="13"/>
      <c r="L271" s="67"/>
      <c r="M271" s="56"/>
      <c r="N271" s="55"/>
      <c r="O271" s="13"/>
      <c r="P271" s="71"/>
      <c r="Q271" s="31"/>
      <c r="R271" s="26">
        <f t="shared" si="13"/>
        <v>0</v>
      </c>
      <c r="S271" s="85"/>
      <c r="T271" s="84"/>
      <c r="U271" s="27"/>
      <c r="V271" s="13"/>
      <c r="W271" s="67"/>
      <c r="X271" s="56"/>
      <c r="Y271" s="55"/>
      <c r="Z271" s="13"/>
      <c r="AA271" s="71"/>
      <c r="AB271" s="31"/>
      <c r="AC271" s="26">
        <f t="shared" si="14"/>
        <v>0</v>
      </c>
      <c r="AD271" s="25"/>
      <c r="AE271" s="25"/>
      <c r="AF271" s="13"/>
      <c r="AG271" s="13"/>
      <c r="AH271" s="13"/>
    </row>
    <row r="272" spans="1:34" x14ac:dyDescent="0.3">
      <c r="A272" s="65">
        <v>510</v>
      </c>
      <c r="B272" s="25"/>
      <c r="C272" s="25"/>
      <c r="D272" s="25"/>
      <c r="E272" s="30" t="str">
        <f t="shared" si="12"/>
        <v>--</v>
      </c>
      <c r="F272" s="13">
        <f>VLOOKUP(E272,'LISTA ITEMS'!$E$2:$G$875,2,FALSE)</f>
        <v>0</v>
      </c>
      <c r="G272" s="25">
        <f>VLOOKUP(E272,'LISTA ITEMS'!$E$2:$G$875,3,FALSE)</f>
        <v>0</v>
      </c>
      <c r="H272" s="76"/>
      <c r="I272" s="75">
        <v>0</v>
      </c>
      <c r="J272" s="27"/>
      <c r="K272" s="13"/>
      <c r="L272" s="67"/>
      <c r="M272" s="56"/>
      <c r="N272" s="55"/>
      <c r="O272" s="13"/>
      <c r="P272" s="71"/>
      <c r="Q272" s="31"/>
      <c r="R272" s="26">
        <f t="shared" si="13"/>
        <v>0</v>
      </c>
      <c r="S272" s="85"/>
      <c r="T272" s="84"/>
      <c r="U272" s="27"/>
      <c r="V272" s="13"/>
      <c r="W272" s="67"/>
      <c r="X272" s="56"/>
      <c r="Y272" s="55"/>
      <c r="Z272" s="13"/>
      <c r="AA272" s="71"/>
      <c r="AB272" s="31"/>
      <c r="AC272" s="26">
        <f t="shared" si="14"/>
        <v>0</v>
      </c>
      <c r="AD272" s="25"/>
      <c r="AE272" s="25"/>
      <c r="AF272" s="13"/>
      <c r="AG272" s="13"/>
      <c r="AH272" s="13"/>
    </row>
    <row r="273" spans="1:34" x14ac:dyDescent="0.3">
      <c r="A273" s="65">
        <v>511</v>
      </c>
      <c r="B273" s="25"/>
      <c r="C273" s="25"/>
      <c r="D273" s="25"/>
      <c r="E273" s="30" t="str">
        <f t="shared" si="12"/>
        <v>--</v>
      </c>
      <c r="F273" s="13">
        <f>VLOOKUP(E273,'LISTA ITEMS'!$E$2:$G$875,2,FALSE)</f>
        <v>0</v>
      </c>
      <c r="G273" s="25">
        <f>VLOOKUP(E273,'LISTA ITEMS'!$E$2:$G$875,3,FALSE)</f>
        <v>0</v>
      </c>
      <c r="H273" s="76"/>
      <c r="I273" s="75">
        <v>0</v>
      </c>
      <c r="J273" s="27"/>
      <c r="K273" s="13"/>
      <c r="L273" s="67"/>
      <c r="M273" s="56"/>
      <c r="N273" s="55"/>
      <c r="O273" s="13"/>
      <c r="P273" s="71"/>
      <c r="Q273" s="31"/>
      <c r="R273" s="26">
        <f t="shared" si="13"/>
        <v>0</v>
      </c>
      <c r="S273" s="85"/>
      <c r="T273" s="84"/>
      <c r="U273" s="27"/>
      <c r="V273" s="13"/>
      <c r="W273" s="67"/>
      <c r="X273" s="56"/>
      <c r="Y273" s="55"/>
      <c r="Z273" s="13"/>
      <c r="AA273" s="71"/>
      <c r="AB273" s="31"/>
      <c r="AC273" s="26">
        <f t="shared" si="14"/>
        <v>0</v>
      </c>
      <c r="AD273" s="25"/>
      <c r="AE273" s="25"/>
      <c r="AF273" s="13"/>
      <c r="AG273" s="13"/>
      <c r="AH273" s="13"/>
    </row>
    <row r="274" spans="1:34" x14ac:dyDescent="0.3">
      <c r="A274" s="65">
        <v>512</v>
      </c>
      <c r="B274" s="25"/>
      <c r="C274" s="25"/>
      <c r="D274" s="25"/>
      <c r="E274" s="30" t="str">
        <f t="shared" si="12"/>
        <v>--</v>
      </c>
      <c r="F274" s="13">
        <f>VLOOKUP(E274,'LISTA ITEMS'!$E$2:$G$875,2,FALSE)</f>
        <v>0</v>
      </c>
      <c r="G274" s="25">
        <f>VLOOKUP(E274,'LISTA ITEMS'!$E$2:$G$875,3,FALSE)</f>
        <v>0</v>
      </c>
      <c r="H274" s="76"/>
      <c r="I274" s="75">
        <v>0</v>
      </c>
      <c r="J274" s="27"/>
      <c r="K274" s="13"/>
      <c r="L274" s="67"/>
      <c r="M274" s="56"/>
      <c r="N274" s="55"/>
      <c r="O274" s="13"/>
      <c r="P274" s="71"/>
      <c r="Q274" s="31"/>
      <c r="R274" s="26">
        <f t="shared" si="13"/>
        <v>0</v>
      </c>
      <c r="S274" s="85"/>
      <c r="T274" s="84"/>
      <c r="U274" s="27"/>
      <c r="V274" s="13"/>
      <c r="W274" s="67"/>
      <c r="X274" s="56"/>
      <c r="Y274" s="55"/>
      <c r="Z274" s="13"/>
      <c r="AA274" s="71"/>
      <c r="AB274" s="31"/>
      <c r="AC274" s="26">
        <f t="shared" si="14"/>
        <v>0</v>
      </c>
      <c r="AD274" s="25"/>
      <c r="AE274" s="25"/>
      <c r="AF274" s="13"/>
      <c r="AG274" s="13"/>
      <c r="AH274" s="13"/>
    </row>
    <row r="275" spans="1:34" x14ac:dyDescent="0.3">
      <c r="A275" s="65">
        <v>513</v>
      </c>
      <c r="B275" s="25"/>
      <c r="C275" s="25"/>
      <c r="D275" s="25"/>
      <c r="E275" s="30" t="str">
        <f t="shared" si="12"/>
        <v>--</v>
      </c>
      <c r="F275" s="13">
        <f>VLOOKUP(E275,'LISTA ITEMS'!$E$2:$G$875,2,FALSE)</f>
        <v>0</v>
      </c>
      <c r="G275" s="25">
        <f>VLOOKUP(E275,'LISTA ITEMS'!$E$2:$G$875,3,FALSE)</f>
        <v>0</v>
      </c>
      <c r="H275" s="76"/>
      <c r="I275" s="75">
        <v>0</v>
      </c>
      <c r="J275" s="27"/>
      <c r="K275" s="13"/>
      <c r="L275" s="67"/>
      <c r="M275" s="56"/>
      <c r="N275" s="55"/>
      <c r="O275" s="13"/>
      <c r="P275" s="71"/>
      <c r="Q275" s="31"/>
      <c r="R275" s="26">
        <f t="shared" si="13"/>
        <v>0</v>
      </c>
      <c r="S275" s="85"/>
      <c r="T275" s="84"/>
      <c r="U275" s="27"/>
      <c r="V275" s="13"/>
      <c r="W275" s="67"/>
      <c r="X275" s="56"/>
      <c r="Y275" s="55"/>
      <c r="Z275" s="13"/>
      <c r="AA275" s="71"/>
      <c r="AB275" s="31"/>
      <c r="AC275" s="26">
        <f t="shared" si="14"/>
        <v>0</v>
      </c>
      <c r="AD275" s="25"/>
      <c r="AE275" s="25"/>
      <c r="AF275" s="13"/>
      <c r="AG275" s="13"/>
      <c r="AH275" s="13"/>
    </row>
    <row r="276" spans="1:34" x14ac:dyDescent="0.3">
      <c r="A276" s="65">
        <v>514</v>
      </c>
      <c r="B276" s="25"/>
      <c r="C276" s="25"/>
      <c r="D276" s="25"/>
      <c r="E276" s="30" t="str">
        <f t="shared" si="12"/>
        <v>--</v>
      </c>
      <c r="F276" s="13">
        <f>VLOOKUP(E276,'LISTA ITEMS'!$E$2:$G$875,2,FALSE)</f>
        <v>0</v>
      </c>
      <c r="G276" s="25">
        <f>VLOOKUP(E276,'LISTA ITEMS'!$E$2:$G$875,3,FALSE)</f>
        <v>0</v>
      </c>
      <c r="H276" s="76"/>
      <c r="I276" s="75">
        <v>0</v>
      </c>
      <c r="J276" s="27"/>
      <c r="K276" s="13"/>
      <c r="L276" s="67"/>
      <c r="M276" s="56"/>
      <c r="N276" s="55"/>
      <c r="O276" s="13"/>
      <c r="P276" s="71"/>
      <c r="Q276" s="31"/>
      <c r="R276" s="26">
        <f t="shared" si="13"/>
        <v>0</v>
      </c>
      <c r="S276" s="85"/>
      <c r="T276" s="84"/>
      <c r="U276" s="27"/>
      <c r="V276" s="13"/>
      <c r="W276" s="67"/>
      <c r="X276" s="56"/>
      <c r="Y276" s="55"/>
      <c r="Z276" s="13"/>
      <c r="AA276" s="71"/>
      <c r="AB276" s="31"/>
      <c r="AC276" s="26">
        <f t="shared" si="14"/>
        <v>0</v>
      </c>
      <c r="AD276" s="25"/>
      <c r="AE276" s="25"/>
      <c r="AF276" s="13"/>
      <c r="AG276" s="13"/>
      <c r="AH276" s="13"/>
    </row>
    <row r="277" spans="1:34" x14ac:dyDescent="0.3">
      <c r="A277" s="65">
        <v>515</v>
      </c>
      <c r="B277" s="25"/>
      <c r="C277" s="25"/>
      <c r="D277" s="25"/>
      <c r="E277" s="30" t="str">
        <f t="shared" si="12"/>
        <v>--</v>
      </c>
      <c r="F277" s="13">
        <f>VLOOKUP(E277,'LISTA ITEMS'!$E$2:$G$875,2,FALSE)</f>
        <v>0</v>
      </c>
      <c r="G277" s="25">
        <f>VLOOKUP(E277,'LISTA ITEMS'!$E$2:$G$875,3,FALSE)</f>
        <v>0</v>
      </c>
      <c r="H277" s="76"/>
      <c r="I277" s="75">
        <v>0</v>
      </c>
      <c r="J277" s="27"/>
      <c r="K277" s="13"/>
      <c r="L277" s="67"/>
      <c r="M277" s="56"/>
      <c r="N277" s="55"/>
      <c r="O277" s="13"/>
      <c r="P277" s="71"/>
      <c r="Q277" s="31"/>
      <c r="R277" s="26">
        <f t="shared" si="13"/>
        <v>0</v>
      </c>
      <c r="S277" s="85"/>
      <c r="T277" s="84"/>
      <c r="U277" s="27"/>
      <c r="V277" s="13"/>
      <c r="W277" s="67"/>
      <c r="X277" s="56"/>
      <c r="Y277" s="55"/>
      <c r="Z277" s="13"/>
      <c r="AA277" s="71"/>
      <c r="AB277" s="31"/>
      <c r="AC277" s="26">
        <f t="shared" si="14"/>
        <v>0</v>
      </c>
      <c r="AD277" s="25"/>
      <c r="AE277" s="25"/>
      <c r="AF277" s="13"/>
      <c r="AG277" s="13"/>
      <c r="AH277" s="13"/>
    </row>
    <row r="278" spans="1:34" x14ac:dyDescent="0.3">
      <c r="A278" s="65">
        <v>516</v>
      </c>
      <c r="B278" s="25"/>
      <c r="C278" s="25"/>
      <c r="D278" s="25"/>
      <c r="E278" s="30" t="str">
        <f t="shared" si="12"/>
        <v>--</v>
      </c>
      <c r="F278" s="13">
        <f>VLOOKUP(E278,'LISTA ITEMS'!$E$2:$G$875,2,FALSE)</f>
        <v>0</v>
      </c>
      <c r="G278" s="25">
        <f>VLOOKUP(E278,'LISTA ITEMS'!$E$2:$G$875,3,FALSE)</f>
        <v>0</v>
      </c>
      <c r="H278" s="76"/>
      <c r="I278" s="75">
        <v>0</v>
      </c>
      <c r="J278" s="27"/>
      <c r="K278" s="13"/>
      <c r="L278" s="67"/>
      <c r="M278" s="56"/>
      <c r="N278" s="55"/>
      <c r="O278" s="13"/>
      <c r="P278" s="71"/>
      <c r="Q278" s="31"/>
      <c r="R278" s="26">
        <f t="shared" si="13"/>
        <v>0</v>
      </c>
      <c r="S278" s="85"/>
      <c r="T278" s="84"/>
      <c r="U278" s="27"/>
      <c r="V278" s="13"/>
      <c r="W278" s="67"/>
      <c r="X278" s="56"/>
      <c r="Y278" s="55"/>
      <c r="Z278" s="13"/>
      <c r="AA278" s="71"/>
      <c r="AB278" s="31"/>
      <c r="AC278" s="26">
        <f t="shared" si="14"/>
        <v>0</v>
      </c>
      <c r="AD278" s="25"/>
      <c r="AE278" s="25"/>
      <c r="AF278" s="13"/>
      <c r="AG278" s="13"/>
      <c r="AH278" s="13"/>
    </row>
    <row r="279" spans="1:34" x14ac:dyDescent="0.3">
      <c r="A279" s="65">
        <v>517</v>
      </c>
      <c r="B279" s="25"/>
      <c r="C279" s="25"/>
      <c r="D279" s="25"/>
      <c r="E279" s="30" t="str">
        <f t="shared" si="12"/>
        <v>--</v>
      </c>
      <c r="F279" s="13">
        <f>VLOOKUP(E279,'LISTA ITEMS'!$E$2:$G$875,2,FALSE)</f>
        <v>0</v>
      </c>
      <c r="G279" s="25">
        <f>VLOOKUP(E279,'LISTA ITEMS'!$E$2:$G$875,3,FALSE)</f>
        <v>0</v>
      </c>
      <c r="H279" s="76"/>
      <c r="I279" s="75">
        <v>0</v>
      </c>
      <c r="J279" s="27"/>
      <c r="K279" s="13"/>
      <c r="L279" s="67"/>
      <c r="M279" s="56"/>
      <c r="N279" s="55"/>
      <c r="O279" s="13"/>
      <c r="P279" s="71"/>
      <c r="Q279" s="31"/>
      <c r="R279" s="26">
        <f t="shared" si="13"/>
        <v>0</v>
      </c>
      <c r="S279" s="85"/>
      <c r="T279" s="84"/>
      <c r="U279" s="27"/>
      <c r="V279" s="13"/>
      <c r="W279" s="67"/>
      <c r="X279" s="56"/>
      <c r="Y279" s="55"/>
      <c r="Z279" s="13"/>
      <c r="AA279" s="71"/>
      <c r="AB279" s="31"/>
      <c r="AC279" s="26">
        <f t="shared" si="14"/>
        <v>0</v>
      </c>
      <c r="AD279" s="25"/>
      <c r="AE279" s="25"/>
      <c r="AF279" s="13"/>
      <c r="AG279" s="13"/>
      <c r="AH279" s="13"/>
    </row>
    <row r="280" spans="1:34" x14ac:dyDescent="0.3">
      <c r="A280" s="65">
        <v>518</v>
      </c>
      <c r="B280" s="25"/>
      <c r="C280" s="25"/>
      <c r="D280" s="25"/>
      <c r="E280" s="30" t="str">
        <f t="shared" si="12"/>
        <v>--</v>
      </c>
      <c r="F280" s="13">
        <f>VLOOKUP(E280,'LISTA ITEMS'!$E$2:$G$875,2,FALSE)</f>
        <v>0</v>
      </c>
      <c r="G280" s="25">
        <f>VLOOKUP(E280,'LISTA ITEMS'!$E$2:$G$875,3,FALSE)</f>
        <v>0</v>
      </c>
      <c r="H280" s="76"/>
      <c r="I280" s="75">
        <v>0</v>
      </c>
      <c r="J280" s="27"/>
      <c r="K280" s="13"/>
      <c r="L280" s="67"/>
      <c r="M280" s="56"/>
      <c r="N280" s="55"/>
      <c r="O280" s="13"/>
      <c r="P280" s="71"/>
      <c r="Q280" s="31"/>
      <c r="R280" s="26">
        <f t="shared" si="13"/>
        <v>0</v>
      </c>
      <c r="S280" s="85"/>
      <c r="T280" s="84"/>
      <c r="U280" s="27"/>
      <c r="V280" s="13"/>
      <c r="W280" s="67"/>
      <c r="X280" s="56"/>
      <c r="Y280" s="55"/>
      <c r="Z280" s="13"/>
      <c r="AA280" s="71"/>
      <c r="AB280" s="31"/>
      <c r="AC280" s="26">
        <f t="shared" si="14"/>
        <v>0</v>
      </c>
      <c r="AD280" s="25"/>
      <c r="AE280" s="25"/>
      <c r="AF280" s="13"/>
      <c r="AG280" s="13"/>
      <c r="AH280" s="13"/>
    </row>
    <row r="281" spans="1:34" x14ac:dyDescent="0.3">
      <c r="A281" s="65">
        <v>519</v>
      </c>
      <c r="B281" s="25"/>
      <c r="C281" s="25"/>
      <c r="D281" s="25"/>
      <c r="E281" s="30" t="str">
        <f t="shared" si="12"/>
        <v>--</v>
      </c>
      <c r="F281" s="13">
        <f>VLOOKUP(E281,'LISTA ITEMS'!$E$2:$G$875,2,FALSE)</f>
        <v>0</v>
      </c>
      <c r="G281" s="25">
        <f>VLOOKUP(E281,'LISTA ITEMS'!$E$2:$G$875,3,FALSE)</f>
        <v>0</v>
      </c>
      <c r="H281" s="76"/>
      <c r="I281" s="75">
        <v>0</v>
      </c>
      <c r="J281" s="27"/>
      <c r="K281" s="13"/>
      <c r="L281" s="67"/>
      <c r="M281" s="56"/>
      <c r="N281" s="55"/>
      <c r="O281" s="13"/>
      <c r="P281" s="71"/>
      <c r="Q281" s="31"/>
      <c r="R281" s="26">
        <f t="shared" si="13"/>
        <v>0</v>
      </c>
      <c r="S281" s="85"/>
      <c r="T281" s="84"/>
      <c r="U281" s="27"/>
      <c r="V281" s="13"/>
      <c r="W281" s="67"/>
      <c r="X281" s="56"/>
      <c r="Y281" s="55"/>
      <c r="Z281" s="13"/>
      <c r="AA281" s="71"/>
      <c r="AB281" s="31"/>
      <c r="AC281" s="26">
        <f t="shared" si="14"/>
        <v>0</v>
      </c>
      <c r="AD281" s="25"/>
      <c r="AE281" s="25"/>
      <c r="AF281" s="13"/>
      <c r="AG281" s="13"/>
      <c r="AH281" s="13"/>
    </row>
    <row r="282" spans="1:34" x14ac:dyDescent="0.3">
      <c r="A282" s="65">
        <v>520</v>
      </c>
      <c r="B282" s="25"/>
      <c r="C282" s="25"/>
      <c r="D282" s="25"/>
      <c r="E282" s="30" t="str">
        <f t="shared" si="12"/>
        <v>--</v>
      </c>
      <c r="F282" s="13">
        <f>VLOOKUP(E282,'LISTA ITEMS'!$E$2:$G$875,2,FALSE)</f>
        <v>0</v>
      </c>
      <c r="G282" s="25">
        <f>VLOOKUP(E282,'LISTA ITEMS'!$E$2:$G$875,3,FALSE)</f>
        <v>0</v>
      </c>
      <c r="H282" s="76"/>
      <c r="I282" s="75">
        <v>0</v>
      </c>
      <c r="J282" s="27"/>
      <c r="K282" s="13"/>
      <c r="L282" s="67"/>
      <c r="M282" s="56"/>
      <c r="N282" s="55"/>
      <c r="O282" s="13"/>
      <c r="P282" s="71"/>
      <c r="Q282" s="31"/>
      <c r="R282" s="26">
        <f t="shared" si="13"/>
        <v>0</v>
      </c>
      <c r="S282" s="85"/>
      <c r="T282" s="84"/>
      <c r="U282" s="27"/>
      <c r="V282" s="13"/>
      <c r="W282" s="67"/>
      <c r="X282" s="56"/>
      <c r="Y282" s="55"/>
      <c r="Z282" s="13"/>
      <c r="AA282" s="71"/>
      <c r="AB282" s="31"/>
      <c r="AC282" s="26">
        <f t="shared" si="14"/>
        <v>0</v>
      </c>
      <c r="AD282" s="25"/>
      <c r="AE282" s="25"/>
      <c r="AF282" s="13"/>
      <c r="AG282" s="13"/>
      <c r="AH282" s="13"/>
    </row>
    <row r="283" spans="1:34" x14ac:dyDescent="0.3">
      <c r="A283" s="65">
        <v>521</v>
      </c>
      <c r="B283" s="25"/>
      <c r="C283" s="25"/>
      <c r="D283" s="25"/>
      <c r="E283" s="30" t="str">
        <f t="shared" si="12"/>
        <v>--</v>
      </c>
      <c r="F283" s="13">
        <f>VLOOKUP(E283,'LISTA ITEMS'!$E$2:$G$875,2,FALSE)</f>
        <v>0</v>
      </c>
      <c r="G283" s="25">
        <f>VLOOKUP(E283,'LISTA ITEMS'!$E$2:$G$875,3,FALSE)</f>
        <v>0</v>
      </c>
      <c r="H283" s="76"/>
      <c r="I283" s="75">
        <v>0</v>
      </c>
      <c r="J283" s="27"/>
      <c r="K283" s="13"/>
      <c r="L283" s="67"/>
      <c r="M283" s="56"/>
      <c r="N283" s="55"/>
      <c r="O283" s="13"/>
      <c r="P283" s="71"/>
      <c r="Q283" s="31"/>
      <c r="R283" s="26">
        <f t="shared" si="13"/>
        <v>0</v>
      </c>
      <c r="S283" s="85"/>
      <c r="T283" s="84"/>
      <c r="U283" s="27"/>
      <c r="V283" s="13"/>
      <c r="W283" s="67"/>
      <c r="X283" s="56"/>
      <c r="Y283" s="55"/>
      <c r="Z283" s="13"/>
      <c r="AA283" s="71"/>
      <c r="AB283" s="31"/>
      <c r="AC283" s="26">
        <f t="shared" si="14"/>
        <v>0</v>
      </c>
      <c r="AD283" s="25"/>
      <c r="AE283" s="25"/>
      <c r="AF283" s="13"/>
      <c r="AG283" s="13"/>
      <c r="AH283" s="13"/>
    </row>
    <row r="284" spans="1:34" x14ac:dyDescent="0.3">
      <c r="A284" s="65">
        <v>522</v>
      </c>
      <c r="B284" s="25"/>
      <c r="C284" s="25"/>
      <c r="D284" s="25"/>
      <c r="E284" s="30" t="str">
        <f t="shared" si="12"/>
        <v>--</v>
      </c>
      <c r="F284" s="13">
        <f>VLOOKUP(E284,'LISTA ITEMS'!$E$2:$G$875,2,FALSE)</f>
        <v>0</v>
      </c>
      <c r="G284" s="25">
        <f>VLOOKUP(E284,'LISTA ITEMS'!$E$2:$G$875,3,FALSE)</f>
        <v>0</v>
      </c>
      <c r="H284" s="76"/>
      <c r="I284" s="75">
        <v>0</v>
      </c>
      <c r="J284" s="27"/>
      <c r="K284" s="13"/>
      <c r="L284" s="67"/>
      <c r="M284" s="56"/>
      <c r="N284" s="55"/>
      <c r="O284" s="13"/>
      <c r="P284" s="71"/>
      <c r="Q284" s="31"/>
      <c r="R284" s="26">
        <f t="shared" si="13"/>
        <v>0</v>
      </c>
      <c r="S284" s="85"/>
      <c r="T284" s="84"/>
      <c r="U284" s="27"/>
      <c r="V284" s="13"/>
      <c r="W284" s="67"/>
      <c r="X284" s="56"/>
      <c r="Y284" s="55"/>
      <c r="Z284" s="13"/>
      <c r="AA284" s="71"/>
      <c r="AB284" s="31"/>
      <c r="AC284" s="26">
        <f t="shared" si="14"/>
        <v>0</v>
      </c>
      <c r="AD284" s="25"/>
      <c r="AE284" s="25"/>
      <c r="AF284" s="13"/>
      <c r="AG284" s="13"/>
      <c r="AH284" s="13"/>
    </row>
    <row r="285" spans="1:34" x14ac:dyDescent="0.3">
      <c r="A285" s="65">
        <v>523</v>
      </c>
      <c r="B285" s="25"/>
      <c r="C285" s="25"/>
      <c r="D285" s="25"/>
      <c r="E285" s="30" t="str">
        <f t="shared" si="12"/>
        <v>--</v>
      </c>
      <c r="F285" s="13">
        <f>VLOOKUP(E285,'LISTA ITEMS'!$E$2:$G$875,2,FALSE)</f>
        <v>0</v>
      </c>
      <c r="G285" s="25">
        <f>VLOOKUP(E285,'LISTA ITEMS'!$E$2:$G$875,3,FALSE)</f>
        <v>0</v>
      </c>
      <c r="H285" s="76"/>
      <c r="I285" s="75">
        <v>0</v>
      </c>
      <c r="J285" s="27"/>
      <c r="K285" s="13"/>
      <c r="L285" s="67"/>
      <c r="M285" s="56"/>
      <c r="N285" s="55"/>
      <c r="O285" s="13"/>
      <c r="P285" s="71"/>
      <c r="Q285" s="31"/>
      <c r="R285" s="26">
        <f t="shared" si="13"/>
        <v>0</v>
      </c>
      <c r="S285" s="85"/>
      <c r="T285" s="84"/>
      <c r="U285" s="27"/>
      <c r="V285" s="13"/>
      <c r="W285" s="67"/>
      <c r="X285" s="56"/>
      <c r="Y285" s="55"/>
      <c r="Z285" s="13"/>
      <c r="AA285" s="71"/>
      <c r="AB285" s="31"/>
      <c r="AC285" s="26">
        <f t="shared" si="14"/>
        <v>0</v>
      </c>
      <c r="AD285" s="25"/>
      <c r="AE285" s="25"/>
      <c r="AF285" s="13"/>
      <c r="AG285" s="13"/>
      <c r="AH285" s="13"/>
    </row>
    <row r="286" spans="1:34" x14ac:dyDescent="0.3">
      <c r="A286" s="65">
        <v>524</v>
      </c>
      <c r="B286" s="25"/>
      <c r="C286" s="25"/>
      <c r="D286" s="25"/>
      <c r="E286" s="30" t="str">
        <f t="shared" si="12"/>
        <v>--</v>
      </c>
      <c r="F286" s="13">
        <f>VLOOKUP(E286,'LISTA ITEMS'!$E$2:$G$875,2,FALSE)</f>
        <v>0</v>
      </c>
      <c r="G286" s="25">
        <f>VLOOKUP(E286,'LISTA ITEMS'!$E$2:$G$875,3,FALSE)</f>
        <v>0</v>
      </c>
      <c r="H286" s="76"/>
      <c r="I286" s="75">
        <v>0</v>
      </c>
      <c r="J286" s="27"/>
      <c r="K286" s="13"/>
      <c r="L286" s="67"/>
      <c r="M286" s="56"/>
      <c r="N286" s="55"/>
      <c r="O286" s="13"/>
      <c r="P286" s="71"/>
      <c r="Q286" s="31"/>
      <c r="R286" s="26">
        <f t="shared" si="13"/>
        <v>0</v>
      </c>
      <c r="S286" s="85"/>
      <c r="T286" s="84"/>
      <c r="U286" s="27"/>
      <c r="V286" s="13"/>
      <c r="W286" s="67"/>
      <c r="X286" s="56"/>
      <c r="Y286" s="55"/>
      <c r="Z286" s="13"/>
      <c r="AA286" s="71"/>
      <c r="AB286" s="31"/>
      <c r="AC286" s="26">
        <f t="shared" si="14"/>
        <v>0</v>
      </c>
      <c r="AD286" s="25"/>
      <c r="AE286" s="25"/>
      <c r="AF286" s="13"/>
      <c r="AG286" s="13"/>
      <c r="AH286" s="13"/>
    </row>
    <row r="287" spans="1:34" x14ac:dyDescent="0.3">
      <c r="A287" s="65">
        <v>525</v>
      </c>
      <c r="B287" s="25"/>
      <c r="C287" s="25"/>
      <c r="D287" s="25"/>
      <c r="E287" s="30" t="str">
        <f t="shared" si="12"/>
        <v>--</v>
      </c>
      <c r="F287" s="13">
        <f>VLOOKUP(E287,'LISTA ITEMS'!$E$2:$G$875,2,FALSE)</f>
        <v>0</v>
      </c>
      <c r="G287" s="25">
        <f>VLOOKUP(E287,'LISTA ITEMS'!$E$2:$G$875,3,FALSE)</f>
        <v>0</v>
      </c>
      <c r="H287" s="76"/>
      <c r="I287" s="75">
        <v>0</v>
      </c>
      <c r="J287" s="27"/>
      <c r="K287" s="13"/>
      <c r="L287" s="67"/>
      <c r="M287" s="56"/>
      <c r="N287" s="55"/>
      <c r="O287" s="13"/>
      <c r="P287" s="71"/>
      <c r="Q287" s="31"/>
      <c r="R287" s="26">
        <f t="shared" si="13"/>
        <v>0</v>
      </c>
      <c r="S287" s="85"/>
      <c r="T287" s="84"/>
      <c r="U287" s="27"/>
      <c r="V287" s="13"/>
      <c r="W287" s="67"/>
      <c r="X287" s="56"/>
      <c r="Y287" s="55"/>
      <c r="Z287" s="13"/>
      <c r="AA287" s="71"/>
      <c r="AB287" s="31"/>
      <c r="AC287" s="26">
        <f t="shared" si="14"/>
        <v>0</v>
      </c>
      <c r="AD287" s="25"/>
      <c r="AE287" s="25"/>
      <c r="AF287" s="13"/>
      <c r="AG287" s="13"/>
      <c r="AH287" s="13"/>
    </row>
    <row r="288" spans="1:34" x14ac:dyDescent="0.3">
      <c r="A288" s="65">
        <v>526</v>
      </c>
      <c r="B288" s="25"/>
      <c r="C288" s="25"/>
      <c r="D288" s="25"/>
      <c r="E288" s="30" t="str">
        <f t="shared" si="12"/>
        <v>--</v>
      </c>
      <c r="F288" s="13">
        <f>VLOOKUP(E288,'LISTA ITEMS'!$E$2:$G$875,2,FALSE)</f>
        <v>0</v>
      </c>
      <c r="G288" s="25">
        <f>VLOOKUP(E288,'LISTA ITEMS'!$E$2:$G$875,3,FALSE)</f>
        <v>0</v>
      </c>
      <c r="H288" s="76"/>
      <c r="I288" s="75">
        <v>0</v>
      </c>
      <c r="J288" s="27"/>
      <c r="K288" s="13"/>
      <c r="L288" s="67"/>
      <c r="M288" s="56"/>
      <c r="N288" s="55"/>
      <c r="O288" s="13"/>
      <c r="P288" s="71"/>
      <c r="Q288" s="31"/>
      <c r="R288" s="26">
        <f t="shared" si="13"/>
        <v>0</v>
      </c>
      <c r="S288" s="85"/>
      <c r="T288" s="84"/>
      <c r="U288" s="27"/>
      <c r="V288" s="13"/>
      <c r="W288" s="67"/>
      <c r="X288" s="56"/>
      <c r="Y288" s="55"/>
      <c r="Z288" s="13"/>
      <c r="AA288" s="71"/>
      <c r="AB288" s="31"/>
      <c r="AC288" s="26">
        <f t="shared" si="14"/>
        <v>0</v>
      </c>
      <c r="AD288" s="25"/>
      <c r="AE288" s="25"/>
      <c r="AF288" s="13"/>
      <c r="AG288" s="13"/>
      <c r="AH288" s="13"/>
    </row>
    <row r="289" spans="1:34" x14ac:dyDescent="0.3">
      <c r="A289" s="65">
        <v>527</v>
      </c>
      <c r="B289" s="25"/>
      <c r="C289" s="25"/>
      <c r="D289" s="25"/>
      <c r="E289" s="30" t="str">
        <f t="shared" si="12"/>
        <v>--</v>
      </c>
      <c r="F289" s="13">
        <f>VLOOKUP(E289,'LISTA ITEMS'!$E$2:$G$875,2,FALSE)</f>
        <v>0</v>
      </c>
      <c r="G289" s="25">
        <f>VLOOKUP(E289,'LISTA ITEMS'!$E$2:$G$875,3,FALSE)</f>
        <v>0</v>
      </c>
      <c r="H289" s="76"/>
      <c r="I289" s="75">
        <v>0</v>
      </c>
      <c r="J289" s="27"/>
      <c r="K289" s="13"/>
      <c r="L289" s="67"/>
      <c r="M289" s="56"/>
      <c r="N289" s="55"/>
      <c r="O289" s="13"/>
      <c r="P289" s="71"/>
      <c r="Q289" s="31"/>
      <c r="R289" s="26">
        <f t="shared" si="13"/>
        <v>0</v>
      </c>
      <c r="S289" s="85"/>
      <c r="T289" s="84"/>
      <c r="U289" s="27"/>
      <c r="V289" s="13"/>
      <c r="W289" s="67"/>
      <c r="X289" s="56"/>
      <c r="Y289" s="55"/>
      <c r="Z289" s="13"/>
      <c r="AA289" s="71"/>
      <c r="AB289" s="31"/>
      <c r="AC289" s="26">
        <f t="shared" si="14"/>
        <v>0</v>
      </c>
      <c r="AD289" s="25"/>
      <c r="AE289" s="25"/>
      <c r="AF289" s="13"/>
      <c r="AG289" s="13"/>
      <c r="AH289" s="13"/>
    </row>
    <row r="290" spans="1:34" x14ac:dyDescent="0.3">
      <c r="A290" s="65">
        <v>528</v>
      </c>
      <c r="B290" s="25"/>
      <c r="C290" s="25"/>
      <c r="D290" s="25"/>
      <c r="E290" s="30" t="str">
        <f t="shared" si="12"/>
        <v>--</v>
      </c>
      <c r="F290" s="13">
        <f>VLOOKUP(E290,'LISTA ITEMS'!$E$2:$G$875,2,FALSE)</f>
        <v>0</v>
      </c>
      <c r="G290" s="25">
        <f>VLOOKUP(E290,'LISTA ITEMS'!$E$2:$G$875,3,FALSE)</f>
        <v>0</v>
      </c>
      <c r="H290" s="76"/>
      <c r="I290" s="75">
        <v>0</v>
      </c>
      <c r="J290" s="27"/>
      <c r="K290" s="13"/>
      <c r="L290" s="67"/>
      <c r="M290" s="56"/>
      <c r="N290" s="55"/>
      <c r="O290" s="13"/>
      <c r="P290" s="71"/>
      <c r="Q290" s="31"/>
      <c r="R290" s="26">
        <f t="shared" si="13"/>
        <v>0</v>
      </c>
      <c r="S290" s="85"/>
      <c r="T290" s="84"/>
      <c r="U290" s="27"/>
      <c r="V290" s="13"/>
      <c r="W290" s="67"/>
      <c r="X290" s="56"/>
      <c r="Y290" s="55"/>
      <c r="Z290" s="13"/>
      <c r="AA290" s="71"/>
      <c r="AB290" s="31"/>
      <c r="AC290" s="26">
        <f t="shared" si="14"/>
        <v>0</v>
      </c>
      <c r="AD290" s="25"/>
      <c r="AE290" s="25"/>
      <c r="AF290" s="13"/>
      <c r="AG290" s="13"/>
      <c r="AH290" s="13"/>
    </row>
    <row r="291" spans="1:34" x14ac:dyDescent="0.3">
      <c r="A291" s="65">
        <v>529</v>
      </c>
      <c r="B291" s="25"/>
      <c r="C291" s="25"/>
      <c r="D291" s="25"/>
      <c r="E291" s="30" t="str">
        <f t="shared" si="12"/>
        <v>--</v>
      </c>
      <c r="F291" s="13">
        <f>VLOOKUP(E291,'LISTA ITEMS'!$E$2:$G$875,2,FALSE)</f>
        <v>0</v>
      </c>
      <c r="G291" s="25">
        <f>VLOOKUP(E291,'LISTA ITEMS'!$E$2:$G$875,3,FALSE)</f>
        <v>0</v>
      </c>
      <c r="H291" s="76"/>
      <c r="I291" s="75">
        <v>0</v>
      </c>
      <c r="J291" s="27"/>
      <c r="K291" s="13"/>
      <c r="L291" s="67"/>
      <c r="M291" s="56"/>
      <c r="N291" s="55"/>
      <c r="O291" s="13"/>
      <c r="P291" s="71"/>
      <c r="Q291" s="31"/>
      <c r="R291" s="26">
        <f t="shared" si="13"/>
        <v>0</v>
      </c>
      <c r="S291" s="85"/>
      <c r="T291" s="84"/>
      <c r="U291" s="27"/>
      <c r="V291" s="13"/>
      <c r="W291" s="67"/>
      <c r="X291" s="56"/>
      <c r="Y291" s="55"/>
      <c r="Z291" s="13"/>
      <c r="AA291" s="71"/>
      <c r="AB291" s="31"/>
      <c r="AC291" s="26">
        <f t="shared" si="14"/>
        <v>0</v>
      </c>
      <c r="AD291" s="25"/>
      <c r="AE291" s="25"/>
      <c r="AF291" s="13"/>
      <c r="AG291" s="13"/>
      <c r="AH291" s="13"/>
    </row>
    <row r="292" spans="1:34" x14ac:dyDescent="0.3">
      <c r="A292" s="65">
        <v>530</v>
      </c>
      <c r="B292" s="25"/>
      <c r="C292" s="25"/>
      <c r="D292" s="25"/>
      <c r="E292" s="30" t="str">
        <f t="shared" si="12"/>
        <v>--</v>
      </c>
      <c r="F292" s="13">
        <f>VLOOKUP(E292,'LISTA ITEMS'!$E$2:$G$875,2,FALSE)</f>
        <v>0</v>
      </c>
      <c r="G292" s="25">
        <f>VLOOKUP(E292,'LISTA ITEMS'!$E$2:$G$875,3,FALSE)</f>
        <v>0</v>
      </c>
      <c r="H292" s="76"/>
      <c r="I292" s="75">
        <v>0</v>
      </c>
      <c r="J292" s="27"/>
      <c r="K292" s="13"/>
      <c r="L292" s="67"/>
      <c r="M292" s="56"/>
      <c r="N292" s="55"/>
      <c r="O292" s="13"/>
      <c r="P292" s="71"/>
      <c r="Q292" s="31"/>
      <c r="R292" s="26">
        <f t="shared" si="13"/>
        <v>0</v>
      </c>
      <c r="S292" s="85"/>
      <c r="T292" s="84"/>
      <c r="U292" s="27"/>
      <c r="V292" s="13"/>
      <c r="W292" s="67"/>
      <c r="X292" s="56"/>
      <c r="Y292" s="55"/>
      <c r="Z292" s="13"/>
      <c r="AA292" s="71"/>
      <c r="AB292" s="31"/>
      <c r="AC292" s="26">
        <f t="shared" si="14"/>
        <v>0</v>
      </c>
      <c r="AD292" s="25"/>
      <c r="AE292" s="25"/>
      <c r="AF292" s="13"/>
      <c r="AG292" s="13"/>
      <c r="AH292" s="13"/>
    </row>
    <row r="293" spans="1:34" x14ac:dyDescent="0.3">
      <c r="A293" s="65">
        <v>531</v>
      </c>
      <c r="B293" s="25"/>
      <c r="C293" s="25"/>
      <c r="D293" s="25"/>
      <c r="E293" s="30" t="str">
        <f t="shared" si="12"/>
        <v>--</v>
      </c>
      <c r="F293" s="13">
        <f>VLOOKUP(E293,'LISTA ITEMS'!$E$2:$G$875,2,FALSE)</f>
        <v>0</v>
      </c>
      <c r="G293" s="25">
        <f>VLOOKUP(E293,'LISTA ITEMS'!$E$2:$G$875,3,FALSE)</f>
        <v>0</v>
      </c>
      <c r="H293" s="76"/>
      <c r="I293" s="75">
        <v>0</v>
      </c>
      <c r="J293" s="27"/>
      <c r="K293" s="13"/>
      <c r="L293" s="67"/>
      <c r="M293" s="56"/>
      <c r="N293" s="55"/>
      <c r="O293" s="13"/>
      <c r="P293" s="71"/>
      <c r="Q293" s="31"/>
      <c r="R293" s="26">
        <f t="shared" si="13"/>
        <v>0</v>
      </c>
      <c r="S293" s="85"/>
      <c r="T293" s="84"/>
      <c r="U293" s="27"/>
      <c r="V293" s="13"/>
      <c r="W293" s="67"/>
      <c r="X293" s="56"/>
      <c r="Y293" s="55"/>
      <c r="Z293" s="13"/>
      <c r="AA293" s="71"/>
      <c r="AB293" s="31"/>
      <c r="AC293" s="26">
        <f t="shared" si="14"/>
        <v>0</v>
      </c>
      <c r="AD293" s="25"/>
      <c r="AE293" s="25"/>
      <c r="AF293" s="13"/>
      <c r="AG293" s="13"/>
      <c r="AH293" s="13"/>
    </row>
    <row r="294" spans="1:34" x14ac:dyDescent="0.3">
      <c r="A294" s="65">
        <v>532</v>
      </c>
      <c r="B294" s="25"/>
      <c r="C294" s="25"/>
      <c r="D294" s="25"/>
      <c r="E294" s="30" t="str">
        <f t="shared" si="12"/>
        <v>--</v>
      </c>
      <c r="F294" s="13">
        <f>VLOOKUP(E294,'LISTA ITEMS'!$E$2:$G$875,2,FALSE)</f>
        <v>0</v>
      </c>
      <c r="G294" s="25">
        <f>VLOOKUP(E294,'LISTA ITEMS'!$E$2:$G$875,3,FALSE)</f>
        <v>0</v>
      </c>
      <c r="H294" s="76"/>
      <c r="I294" s="75">
        <v>0</v>
      </c>
      <c r="J294" s="27"/>
      <c r="K294" s="13"/>
      <c r="L294" s="67"/>
      <c r="M294" s="56"/>
      <c r="N294" s="55"/>
      <c r="O294" s="13"/>
      <c r="P294" s="71"/>
      <c r="Q294" s="31"/>
      <c r="R294" s="26">
        <f t="shared" si="13"/>
        <v>0</v>
      </c>
      <c r="S294" s="85"/>
      <c r="T294" s="84"/>
      <c r="U294" s="27"/>
      <c r="V294" s="13"/>
      <c r="W294" s="67"/>
      <c r="X294" s="56"/>
      <c r="Y294" s="55"/>
      <c r="Z294" s="13"/>
      <c r="AA294" s="71"/>
      <c r="AB294" s="31"/>
      <c r="AC294" s="26">
        <f t="shared" si="14"/>
        <v>0</v>
      </c>
      <c r="AD294" s="25"/>
      <c r="AE294" s="25"/>
      <c r="AF294" s="13"/>
      <c r="AG294" s="13"/>
      <c r="AH294" s="13"/>
    </row>
    <row r="295" spans="1:34" x14ac:dyDescent="0.3">
      <c r="A295" s="65">
        <v>533</v>
      </c>
      <c r="B295" s="25"/>
      <c r="C295" s="25"/>
      <c r="D295" s="25"/>
      <c r="E295" s="30" t="str">
        <f t="shared" si="12"/>
        <v>--</v>
      </c>
      <c r="F295" s="13">
        <f>VLOOKUP(E295,'LISTA ITEMS'!$E$2:$G$875,2,FALSE)</f>
        <v>0</v>
      </c>
      <c r="G295" s="25">
        <f>VLOOKUP(E295,'LISTA ITEMS'!$E$2:$G$875,3,FALSE)</f>
        <v>0</v>
      </c>
      <c r="H295" s="76"/>
      <c r="I295" s="75">
        <v>0</v>
      </c>
      <c r="J295" s="27"/>
      <c r="K295" s="13"/>
      <c r="L295" s="67"/>
      <c r="M295" s="56"/>
      <c r="N295" s="55"/>
      <c r="O295" s="13"/>
      <c r="P295" s="71"/>
      <c r="Q295" s="31"/>
      <c r="R295" s="26">
        <f t="shared" si="13"/>
        <v>0</v>
      </c>
      <c r="S295" s="85"/>
      <c r="T295" s="84"/>
      <c r="U295" s="27"/>
      <c r="V295" s="13"/>
      <c r="W295" s="67"/>
      <c r="X295" s="56"/>
      <c r="Y295" s="55"/>
      <c r="Z295" s="13"/>
      <c r="AA295" s="71"/>
      <c r="AB295" s="31"/>
      <c r="AC295" s="26">
        <f t="shared" si="14"/>
        <v>0</v>
      </c>
      <c r="AD295" s="25"/>
      <c r="AE295" s="25"/>
      <c r="AF295" s="13"/>
      <c r="AG295" s="13"/>
      <c r="AH295" s="13"/>
    </row>
    <row r="296" spans="1:34" x14ac:dyDescent="0.3">
      <c r="A296" s="65">
        <v>534</v>
      </c>
      <c r="B296" s="25"/>
      <c r="C296" s="25"/>
      <c r="D296" s="25"/>
      <c r="E296" s="30" t="str">
        <f t="shared" si="12"/>
        <v>--</v>
      </c>
      <c r="F296" s="13">
        <f>VLOOKUP(E296,'LISTA ITEMS'!$E$2:$G$875,2,FALSE)</f>
        <v>0</v>
      </c>
      <c r="G296" s="25">
        <f>VLOOKUP(E296,'LISTA ITEMS'!$E$2:$G$875,3,FALSE)</f>
        <v>0</v>
      </c>
      <c r="H296" s="76"/>
      <c r="I296" s="75">
        <v>0</v>
      </c>
      <c r="J296" s="27"/>
      <c r="K296" s="13"/>
      <c r="L296" s="67"/>
      <c r="M296" s="56"/>
      <c r="N296" s="55"/>
      <c r="O296" s="13"/>
      <c r="P296" s="71"/>
      <c r="Q296" s="31"/>
      <c r="R296" s="26">
        <f t="shared" si="13"/>
        <v>0</v>
      </c>
      <c r="S296" s="85"/>
      <c r="T296" s="84"/>
      <c r="U296" s="27"/>
      <c r="V296" s="13"/>
      <c r="W296" s="67"/>
      <c r="X296" s="56"/>
      <c r="Y296" s="55"/>
      <c r="Z296" s="13"/>
      <c r="AA296" s="71"/>
      <c r="AB296" s="31"/>
      <c r="AC296" s="26">
        <f t="shared" si="14"/>
        <v>0</v>
      </c>
      <c r="AD296" s="25"/>
      <c r="AE296" s="25"/>
      <c r="AF296" s="13"/>
      <c r="AG296" s="13"/>
      <c r="AH296" s="13"/>
    </row>
    <row r="297" spans="1:34" x14ac:dyDescent="0.3">
      <c r="A297" s="65">
        <v>535</v>
      </c>
      <c r="B297" s="25"/>
      <c r="C297" s="25"/>
      <c r="D297" s="25"/>
      <c r="E297" s="30" t="str">
        <f t="shared" si="12"/>
        <v>--</v>
      </c>
      <c r="F297" s="13">
        <f>VLOOKUP(E297,'LISTA ITEMS'!$E$2:$G$875,2,FALSE)</f>
        <v>0</v>
      </c>
      <c r="G297" s="25">
        <f>VLOOKUP(E297,'LISTA ITEMS'!$E$2:$G$875,3,FALSE)</f>
        <v>0</v>
      </c>
      <c r="H297" s="76"/>
      <c r="I297" s="75">
        <v>0</v>
      </c>
      <c r="J297" s="27"/>
      <c r="K297" s="13"/>
      <c r="L297" s="67"/>
      <c r="M297" s="56"/>
      <c r="N297" s="55"/>
      <c r="O297" s="13"/>
      <c r="P297" s="71"/>
      <c r="Q297" s="31"/>
      <c r="R297" s="26">
        <f t="shared" si="13"/>
        <v>0</v>
      </c>
      <c r="S297" s="85"/>
      <c r="T297" s="84"/>
      <c r="U297" s="27"/>
      <c r="V297" s="13"/>
      <c r="W297" s="67"/>
      <c r="X297" s="56"/>
      <c r="Y297" s="55"/>
      <c r="Z297" s="13"/>
      <c r="AA297" s="71"/>
      <c r="AB297" s="31"/>
      <c r="AC297" s="26">
        <f t="shared" si="14"/>
        <v>0</v>
      </c>
      <c r="AD297" s="25"/>
      <c r="AE297" s="25"/>
      <c r="AF297" s="13"/>
      <c r="AG297" s="13"/>
      <c r="AH297" s="13"/>
    </row>
    <row r="298" spans="1:34" x14ac:dyDescent="0.3">
      <c r="A298" s="65">
        <v>536</v>
      </c>
      <c r="B298" s="25"/>
      <c r="C298" s="25"/>
      <c r="D298" s="25"/>
      <c r="E298" s="30" t="str">
        <f t="shared" si="12"/>
        <v>--</v>
      </c>
      <c r="F298" s="13">
        <f>VLOOKUP(E298,'LISTA ITEMS'!$E$2:$G$875,2,FALSE)</f>
        <v>0</v>
      </c>
      <c r="G298" s="25">
        <f>VLOOKUP(E298,'LISTA ITEMS'!$E$2:$G$875,3,FALSE)</f>
        <v>0</v>
      </c>
      <c r="H298" s="76"/>
      <c r="I298" s="75">
        <v>0</v>
      </c>
      <c r="J298" s="27"/>
      <c r="K298" s="13"/>
      <c r="L298" s="67"/>
      <c r="M298" s="56"/>
      <c r="N298" s="55"/>
      <c r="O298" s="13"/>
      <c r="P298" s="71"/>
      <c r="Q298" s="31"/>
      <c r="R298" s="26">
        <f t="shared" si="13"/>
        <v>0</v>
      </c>
      <c r="S298" s="85"/>
      <c r="T298" s="84"/>
      <c r="U298" s="27"/>
      <c r="V298" s="13"/>
      <c r="W298" s="67"/>
      <c r="X298" s="56"/>
      <c r="Y298" s="55"/>
      <c r="Z298" s="13"/>
      <c r="AA298" s="71"/>
      <c r="AB298" s="31"/>
      <c r="AC298" s="26">
        <f t="shared" si="14"/>
        <v>0</v>
      </c>
      <c r="AD298" s="25"/>
      <c r="AE298" s="25"/>
      <c r="AF298" s="13"/>
      <c r="AG298" s="13"/>
      <c r="AH298" s="13"/>
    </row>
    <row r="299" spans="1:34" x14ac:dyDescent="0.3">
      <c r="A299" s="65">
        <v>537</v>
      </c>
      <c r="B299" s="25"/>
      <c r="C299" s="25"/>
      <c r="D299" s="25"/>
      <c r="E299" s="30" t="str">
        <f t="shared" si="12"/>
        <v>--</v>
      </c>
      <c r="F299" s="13">
        <f>VLOOKUP(E299,'LISTA ITEMS'!$E$2:$G$875,2,FALSE)</f>
        <v>0</v>
      </c>
      <c r="G299" s="25">
        <f>VLOOKUP(E299,'LISTA ITEMS'!$E$2:$G$875,3,FALSE)</f>
        <v>0</v>
      </c>
      <c r="H299" s="76"/>
      <c r="I299" s="75">
        <v>0</v>
      </c>
      <c r="J299" s="27"/>
      <c r="K299" s="13"/>
      <c r="L299" s="67"/>
      <c r="M299" s="56"/>
      <c r="N299" s="55"/>
      <c r="O299" s="13"/>
      <c r="P299" s="71"/>
      <c r="Q299" s="31"/>
      <c r="R299" s="26">
        <f t="shared" si="13"/>
        <v>0</v>
      </c>
      <c r="S299" s="85"/>
      <c r="T299" s="84"/>
      <c r="U299" s="27"/>
      <c r="V299" s="13"/>
      <c r="W299" s="67"/>
      <c r="X299" s="56"/>
      <c r="Y299" s="55"/>
      <c r="Z299" s="13"/>
      <c r="AA299" s="71"/>
      <c r="AB299" s="31"/>
      <c r="AC299" s="26">
        <f t="shared" si="14"/>
        <v>0</v>
      </c>
      <c r="AD299" s="25"/>
      <c r="AE299" s="25"/>
      <c r="AF299" s="13"/>
      <c r="AG299" s="13"/>
      <c r="AH299" s="13"/>
    </row>
    <row r="300" spans="1:34" x14ac:dyDescent="0.3">
      <c r="A300" s="65">
        <v>538</v>
      </c>
      <c r="B300" s="25"/>
      <c r="C300" s="25"/>
      <c r="D300" s="25"/>
      <c r="E300" s="30" t="str">
        <f t="shared" si="12"/>
        <v>--</v>
      </c>
      <c r="F300" s="13">
        <f>VLOOKUP(E300,'LISTA ITEMS'!$E$2:$G$875,2,FALSE)</f>
        <v>0</v>
      </c>
      <c r="G300" s="25">
        <f>VLOOKUP(E300,'LISTA ITEMS'!$E$2:$G$875,3,FALSE)</f>
        <v>0</v>
      </c>
      <c r="H300" s="76"/>
      <c r="I300" s="75">
        <v>0</v>
      </c>
      <c r="J300" s="27"/>
      <c r="K300" s="13"/>
      <c r="L300" s="67"/>
      <c r="M300" s="56"/>
      <c r="N300" s="55"/>
      <c r="O300" s="13"/>
      <c r="P300" s="71"/>
      <c r="Q300" s="31"/>
      <c r="R300" s="26">
        <f t="shared" si="13"/>
        <v>0</v>
      </c>
      <c r="S300" s="85"/>
      <c r="T300" s="84"/>
      <c r="U300" s="27"/>
      <c r="V300" s="13"/>
      <c r="W300" s="67"/>
      <c r="X300" s="56"/>
      <c r="Y300" s="55"/>
      <c r="Z300" s="13"/>
      <c r="AA300" s="71"/>
      <c r="AB300" s="31"/>
      <c r="AC300" s="26">
        <f t="shared" si="14"/>
        <v>0</v>
      </c>
      <c r="AD300" s="25"/>
      <c r="AE300" s="25"/>
      <c r="AF300" s="13"/>
      <c r="AG300" s="13"/>
      <c r="AH300" s="13"/>
    </row>
    <row r="301" spans="1:34" x14ac:dyDescent="0.3">
      <c r="A301" s="65">
        <v>539</v>
      </c>
      <c r="B301" s="25"/>
      <c r="C301" s="25"/>
      <c r="D301" s="25"/>
      <c r="E301" s="30" t="str">
        <f t="shared" si="12"/>
        <v>--</v>
      </c>
      <c r="F301" s="13">
        <f>VLOOKUP(E301,'LISTA ITEMS'!$E$2:$G$875,2,FALSE)</f>
        <v>0</v>
      </c>
      <c r="G301" s="25">
        <f>VLOOKUP(E301,'LISTA ITEMS'!$E$2:$G$875,3,FALSE)</f>
        <v>0</v>
      </c>
      <c r="H301" s="76"/>
      <c r="I301" s="75">
        <v>0</v>
      </c>
      <c r="J301" s="27"/>
      <c r="K301" s="13"/>
      <c r="L301" s="67"/>
      <c r="M301" s="56"/>
      <c r="N301" s="55"/>
      <c r="O301" s="13"/>
      <c r="P301" s="71"/>
      <c r="Q301" s="31"/>
      <c r="R301" s="26">
        <f t="shared" si="13"/>
        <v>0</v>
      </c>
      <c r="S301" s="85"/>
      <c r="T301" s="84"/>
      <c r="U301" s="27"/>
      <c r="V301" s="13"/>
      <c r="W301" s="67"/>
      <c r="X301" s="56"/>
      <c r="Y301" s="55"/>
      <c r="Z301" s="13"/>
      <c r="AA301" s="71"/>
      <c r="AB301" s="31"/>
      <c r="AC301" s="26">
        <f t="shared" si="14"/>
        <v>0</v>
      </c>
      <c r="AD301" s="25"/>
      <c r="AE301" s="25"/>
      <c r="AF301" s="13"/>
      <c r="AG301" s="13"/>
      <c r="AH301" s="13"/>
    </row>
    <row r="302" spans="1:34" x14ac:dyDescent="0.3">
      <c r="A302" s="65">
        <v>540</v>
      </c>
      <c r="B302" s="25"/>
      <c r="C302" s="25"/>
      <c r="D302" s="25"/>
      <c r="E302" s="30" t="str">
        <f t="shared" si="12"/>
        <v>--</v>
      </c>
      <c r="F302" s="13">
        <f>VLOOKUP(E302,'LISTA ITEMS'!$E$2:$G$875,2,FALSE)</f>
        <v>0</v>
      </c>
      <c r="G302" s="25">
        <f>VLOOKUP(E302,'LISTA ITEMS'!$E$2:$G$875,3,FALSE)</f>
        <v>0</v>
      </c>
      <c r="H302" s="76"/>
      <c r="I302" s="75">
        <v>0</v>
      </c>
      <c r="J302" s="27"/>
      <c r="K302" s="13"/>
      <c r="L302" s="67"/>
      <c r="M302" s="56"/>
      <c r="N302" s="55"/>
      <c r="O302" s="13"/>
      <c r="P302" s="71"/>
      <c r="Q302" s="31"/>
      <c r="R302" s="26">
        <f t="shared" si="13"/>
        <v>0</v>
      </c>
      <c r="S302" s="85"/>
      <c r="T302" s="84"/>
      <c r="U302" s="27"/>
      <c r="V302" s="13"/>
      <c r="W302" s="67"/>
      <c r="X302" s="56"/>
      <c r="Y302" s="55"/>
      <c r="Z302" s="13"/>
      <c r="AA302" s="71"/>
      <c r="AB302" s="31"/>
      <c r="AC302" s="26">
        <f t="shared" si="14"/>
        <v>0</v>
      </c>
      <c r="AD302" s="25"/>
      <c r="AE302" s="25"/>
      <c r="AF302" s="13"/>
      <c r="AG302" s="13"/>
      <c r="AH302" s="13"/>
    </row>
    <row r="303" spans="1:34" x14ac:dyDescent="0.3">
      <c r="A303" s="65">
        <v>541</v>
      </c>
      <c r="B303" s="25"/>
      <c r="C303" s="25"/>
      <c r="D303" s="25"/>
      <c r="E303" s="30" t="str">
        <f t="shared" si="12"/>
        <v>--</v>
      </c>
      <c r="F303" s="13">
        <f>VLOOKUP(E303,'LISTA ITEMS'!$E$2:$G$875,2,FALSE)</f>
        <v>0</v>
      </c>
      <c r="G303" s="25">
        <f>VLOOKUP(E303,'LISTA ITEMS'!$E$2:$G$875,3,FALSE)</f>
        <v>0</v>
      </c>
      <c r="H303" s="76"/>
      <c r="I303" s="75">
        <v>0</v>
      </c>
      <c r="J303" s="27"/>
      <c r="K303" s="13"/>
      <c r="L303" s="67"/>
      <c r="M303" s="56"/>
      <c r="N303" s="55"/>
      <c r="O303" s="13"/>
      <c r="P303" s="71"/>
      <c r="Q303" s="31"/>
      <c r="R303" s="26">
        <f t="shared" si="13"/>
        <v>0</v>
      </c>
      <c r="S303" s="85"/>
      <c r="T303" s="84"/>
      <c r="U303" s="27"/>
      <c r="V303" s="13"/>
      <c r="W303" s="67"/>
      <c r="X303" s="56"/>
      <c r="Y303" s="55"/>
      <c r="Z303" s="13"/>
      <c r="AA303" s="71"/>
      <c r="AB303" s="31"/>
      <c r="AC303" s="26">
        <f t="shared" si="14"/>
        <v>0</v>
      </c>
      <c r="AD303" s="25"/>
      <c r="AE303" s="25"/>
      <c r="AF303" s="13"/>
      <c r="AG303" s="13"/>
      <c r="AH303" s="13"/>
    </row>
    <row r="304" spans="1:34" x14ac:dyDescent="0.3">
      <c r="A304" s="65">
        <v>542</v>
      </c>
      <c r="B304" s="25"/>
      <c r="C304" s="25"/>
      <c r="D304" s="25"/>
      <c r="E304" s="30" t="str">
        <f t="shared" si="12"/>
        <v>--</v>
      </c>
      <c r="F304" s="13">
        <f>VLOOKUP(E304,'LISTA ITEMS'!$E$2:$G$875,2,FALSE)</f>
        <v>0</v>
      </c>
      <c r="G304" s="25">
        <f>VLOOKUP(E304,'LISTA ITEMS'!$E$2:$G$875,3,FALSE)</f>
        <v>0</v>
      </c>
      <c r="H304" s="76"/>
      <c r="I304" s="75">
        <v>0</v>
      </c>
      <c r="J304" s="27"/>
      <c r="K304" s="13"/>
      <c r="L304" s="67"/>
      <c r="M304" s="56"/>
      <c r="N304" s="55"/>
      <c r="O304" s="13"/>
      <c r="P304" s="71"/>
      <c r="Q304" s="31"/>
      <c r="R304" s="26">
        <f t="shared" si="13"/>
        <v>0</v>
      </c>
      <c r="S304" s="85"/>
      <c r="T304" s="84"/>
      <c r="U304" s="27"/>
      <c r="V304" s="13"/>
      <c r="W304" s="67"/>
      <c r="X304" s="56"/>
      <c r="Y304" s="55"/>
      <c r="Z304" s="13"/>
      <c r="AA304" s="71"/>
      <c r="AB304" s="31"/>
      <c r="AC304" s="26">
        <f t="shared" si="14"/>
        <v>0</v>
      </c>
      <c r="AD304" s="25"/>
      <c r="AE304" s="25"/>
      <c r="AF304" s="13"/>
      <c r="AG304" s="13"/>
      <c r="AH304" s="13"/>
    </row>
    <row r="305" spans="1:34" x14ac:dyDescent="0.3">
      <c r="A305" s="65">
        <v>543</v>
      </c>
      <c r="B305" s="25"/>
      <c r="C305" s="25"/>
      <c r="D305" s="25"/>
      <c r="E305" s="30" t="str">
        <f t="shared" si="12"/>
        <v>--</v>
      </c>
      <c r="F305" s="13">
        <f>VLOOKUP(E305,'LISTA ITEMS'!$E$2:$G$875,2,FALSE)</f>
        <v>0</v>
      </c>
      <c r="G305" s="25">
        <f>VLOOKUP(E305,'LISTA ITEMS'!$E$2:$G$875,3,FALSE)</f>
        <v>0</v>
      </c>
      <c r="H305" s="76"/>
      <c r="I305" s="75">
        <v>0</v>
      </c>
      <c r="J305" s="27"/>
      <c r="K305" s="13"/>
      <c r="L305" s="67"/>
      <c r="M305" s="56"/>
      <c r="N305" s="55"/>
      <c r="O305" s="13"/>
      <c r="P305" s="71"/>
      <c r="Q305" s="31"/>
      <c r="R305" s="26">
        <f t="shared" si="13"/>
        <v>0</v>
      </c>
      <c r="S305" s="85"/>
      <c r="T305" s="84"/>
      <c r="U305" s="27"/>
      <c r="V305" s="13"/>
      <c r="W305" s="67"/>
      <c r="X305" s="56"/>
      <c r="Y305" s="55"/>
      <c r="Z305" s="13"/>
      <c r="AA305" s="71"/>
      <c r="AB305" s="31"/>
      <c r="AC305" s="26">
        <f t="shared" si="14"/>
        <v>0</v>
      </c>
      <c r="AD305" s="25"/>
      <c r="AE305" s="25"/>
      <c r="AF305" s="13"/>
      <c r="AG305" s="13"/>
      <c r="AH305" s="13"/>
    </row>
    <row r="306" spans="1:34" x14ac:dyDescent="0.3">
      <c r="A306" s="65">
        <v>544</v>
      </c>
      <c r="B306" s="25"/>
      <c r="C306" s="25"/>
      <c r="D306" s="25"/>
      <c r="E306" s="30" t="str">
        <f t="shared" si="12"/>
        <v>--</v>
      </c>
      <c r="F306" s="13">
        <f>VLOOKUP(E306,'LISTA ITEMS'!$E$2:$G$875,2,FALSE)</f>
        <v>0</v>
      </c>
      <c r="G306" s="25">
        <f>VLOOKUP(E306,'LISTA ITEMS'!$E$2:$G$875,3,FALSE)</f>
        <v>0</v>
      </c>
      <c r="H306" s="76"/>
      <c r="I306" s="75">
        <v>0</v>
      </c>
      <c r="J306" s="27"/>
      <c r="K306" s="13"/>
      <c r="L306" s="67"/>
      <c r="M306" s="56"/>
      <c r="N306" s="55"/>
      <c r="O306" s="13"/>
      <c r="P306" s="71"/>
      <c r="Q306" s="31"/>
      <c r="R306" s="26">
        <f t="shared" si="13"/>
        <v>0</v>
      </c>
      <c r="S306" s="85"/>
      <c r="T306" s="84"/>
      <c r="U306" s="27"/>
      <c r="V306" s="13"/>
      <c r="W306" s="67"/>
      <c r="X306" s="56"/>
      <c r="Y306" s="55"/>
      <c r="Z306" s="13"/>
      <c r="AA306" s="71"/>
      <c r="AB306" s="31"/>
      <c r="AC306" s="26">
        <f t="shared" si="14"/>
        <v>0</v>
      </c>
      <c r="AD306" s="25"/>
      <c r="AE306" s="25"/>
      <c r="AF306" s="13"/>
      <c r="AG306" s="13"/>
      <c r="AH306" s="13"/>
    </row>
    <row r="307" spans="1:34" x14ac:dyDescent="0.3">
      <c r="A307" s="65">
        <v>545</v>
      </c>
      <c r="B307" s="25"/>
      <c r="C307" s="25"/>
      <c r="D307" s="25"/>
      <c r="E307" s="30" t="str">
        <f t="shared" si="12"/>
        <v>--</v>
      </c>
      <c r="F307" s="13">
        <f>VLOOKUP(E307,'LISTA ITEMS'!$E$2:$G$875,2,FALSE)</f>
        <v>0</v>
      </c>
      <c r="G307" s="25">
        <f>VLOOKUP(E307,'LISTA ITEMS'!$E$2:$G$875,3,FALSE)</f>
        <v>0</v>
      </c>
      <c r="H307" s="76"/>
      <c r="I307" s="75">
        <v>0</v>
      </c>
      <c r="J307" s="27"/>
      <c r="K307" s="13"/>
      <c r="L307" s="67"/>
      <c r="M307" s="56"/>
      <c r="N307" s="55"/>
      <c r="O307" s="13"/>
      <c r="P307" s="71"/>
      <c r="Q307" s="31"/>
      <c r="R307" s="26">
        <f t="shared" si="13"/>
        <v>0</v>
      </c>
      <c r="S307" s="85"/>
      <c r="T307" s="84"/>
      <c r="U307" s="27"/>
      <c r="V307" s="13"/>
      <c r="W307" s="67"/>
      <c r="X307" s="56"/>
      <c r="Y307" s="55"/>
      <c r="Z307" s="13"/>
      <c r="AA307" s="71"/>
      <c r="AB307" s="31"/>
      <c r="AC307" s="26">
        <f t="shared" si="14"/>
        <v>0</v>
      </c>
      <c r="AD307" s="25"/>
      <c r="AE307" s="25"/>
      <c r="AF307" s="13"/>
      <c r="AG307" s="13"/>
      <c r="AH307" s="13"/>
    </row>
    <row r="308" spans="1:34" x14ac:dyDescent="0.3">
      <c r="A308" s="65">
        <v>546</v>
      </c>
      <c r="B308" s="25"/>
      <c r="C308" s="25"/>
      <c r="D308" s="25"/>
      <c r="E308" s="30" t="str">
        <f t="shared" si="12"/>
        <v>--</v>
      </c>
      <c r="F308" s="13">
        <f>VLOOKUP(E308,'LISTA ITEMS'!$E$2:$G$875,2,FALSE)</f>
        <v>0</v>
      </c>
      <c r="G308" s="25">
        <f>VLOOKUP(E308,'LISTA ITEMS'!$E$2:$G$875,3,FALSE)</f>
        <v>0</v>
      </c>
      <c r="H308" s="76"/>
      <c r="I308" s="75">
        <v>0</v>
      </c>
      <c r="J308" s="27"/>
      <c r="K308" s="13"/>
      <c r="L308" s="67"/>
      <c r="M308" s="56"/>
      <c r="N308" s="55"/>
      <c r="O308" s="13"/>
      <c r="P308" s="71"/>
      <c r="Q308" s="31"/>
      <c r="R308" s="26">
        <f t="shared" si="13"/>
        <v>0</v>
      </c>
      <c r="S308" s="85"/>
      <c r="T308" s="84"/>
      <c r="U308" s="27"/>
      <c r="V308" s="13"/>
      <c r="W308" s="67"/>
      <c r="X308" s="56"/>
      <c r="Y308" s="55"/>
      <c r="Z308" s="13"/>
      <c r="AA308" s="71"/>
      <c r="AB308" s="31"/>
      <c r="AC308" s="26">
        <f t="shared" si="14"/>
        <v>0</v>
      </c>
      <c r="AD308" s="25"/>
      <c r="AE308" s="25"/>
      <c r="AF308" s="13"/>
      <c r="AG308" s="13"/>
      <c r="AH308" s="13"/>
    </row>
    <row r="309" spans="1:34" x14ac:dyDescent="0.3">
      <c r="A309" s="65">
        <v>547</v>
      </c>
      <c r="B309" s="25"/>
      <c r="C309" s="25"/>
      <c r="D309" s="25"/>
      <c r="E309" s="30" t="str">
        <f t="shared" si="12"/>
        <v>--</v>
      </c>
      <c r="F309" s="13">
        <f>VLOOKUP(E309,'LISTA ITEMS'!$E$2:$G$875,2,FALSE)</f>
        <v>0</v>
      </c>
      <c r="G309" s="25">
        <f>VLOOKUP(E309,'LISTA ITEMS'!$E$2:$G$875,3,FALSE)</f>
        <v>0</v>
      </c>
      <c r="H309" s="76"/>
      <c r="I309" s="75">
        <v>0</v>
      </c>
      <c r="J309" s="27"/>
      <c r="K309" s="13"/>
      <c r="L309" s="67"/>
      <c r="M309" s="56"/>
      <c r="N309" s="55"/>
      <c r="O309" s="13"/>
      <c r="P309" s="71"/>
      <c r="Q309" s="31"/>
      <c r="R309" s="26">
        <f t="shared" si="13"/>
        <v>0</v>
      </c>
      <c r="S309" s="85"/>
      <c r="T309" s="84"/>
      <c r="U309" s="27"/>
      <c r="V309" s="13"/>
      <c r="W309" s="67"/>
      <c r="X309" s="56"/>
      <c r="Y309" s="55"/>
      <c r="Z309" s="13"/>
      <c r="AA309" s="71"/>
      <c r="AB309" s="31"/>
      <c r="AC309" s="26">
        <f t="shared" si="14"/>
        <v>0</v>
      </c>
      <c r="AD309" s="25"/>
      <c r="AE309" s="25"/>
      <c r="AF309" s="13"/>
      <c r="AG309" s="13"/>
      <c r="AH309" s="13"/>
    </row>
    <row r="310" spans="1:34" x14ac:dyDescent="0.3">
      <c r="A310" s="65">
        <v>548</v>
      </c>
      <c r="B310" s="25"/>
      <c r="C310" s="25"/>
      <c r="D310" s="25"/>
      <c r="E310" s="30" t="str">
        <f t="shared" si="12"/>
        <v>--</v>
      </c>
      <c r="F310" s="13">
        <f>VLOOKUP(E310,'LISTA ITEMS'!$E$2:$G$875,2,FALSE)</f>
        <v>0</v>
      </c>
      <c r="G310" s="25">
        <f>VLOOKUP(E310,'LISTA ITEMS'!$E$2:$G$875,3,FALSE)</f>
        <v>0</v>
      </c>
      <c r="H310" s="76"/>
      <c r="I310" s="75">
        <v>0</v>
      </c>
      <c r="J310" s="27"/>
      <c r="K310" s="13"/>
      <c r="L310" s="67"/>
      <c r="M310" s="56"/>
      <c r="N310" s="55"/>
      <c r="O310" s="13"/>
      <c r="P310" s="71"/>
      <c r="Q310" s="31"/>
      <c r="R310" s="26">
        <f t="shared" si="13"/>
        <v>0</v>
      </c>
      <c r="S310" s="85"/>
      <c r="T310" s="84"/>
      <c r="U310" s="27"/>
      <c r="V310" s="13"/>
      <c r="W310" s="67"/>
      <c r="X310" s="56"/>
      <c r="Y310" s="55"/>
      <c r="Z310" s="13"/>
      <c r="AA310" s="71"/>
      <c r="AB310" s="31"/>
      <c r="AC310" s="26">
        <f t="shared" si="14"/>
        <v>0</v>
      </c>
      <c r="AD310" s="25"/>
      <c r="AE310" s="25"/>
      <c r="AF310" s="13"/>
      <c r="AG310" s="13"/>
      <c r="AH310" s="13"/>
    </row>
    <row r="311" spans="1:34" x14ac:dyDescent="0.3">
      <c r="A311" s="65">
        <v>549</v>
      </c>
      <c r="B311" s="25"/>
      <c r="C311" s="25"/>
      <c r="D311" s="25"/>
      <c r="E311" s="30" t="str">
        <f t="shared" si="12"/>
        <v>--</v>
      </c>
      <c r="F311" s="13">
        <f>VLOOKUP(E311,'LISTA ITEMS'!$E$2:$G$875,2,FALSE)</f>
        <v>0</v>
      </c>
      <c r="G311" s="25">
        <f>VLOOKUP(E311,'LISTA ITEMS'!$E$2:$G$875,3,FALSE)</f>
        <v>0</v>
      </c>
      <c r="H311" s="76"/>
      <c r="I311" s="75">
        <v>0</v>
      </c>
      <c r="J311" s="27"/>
      <c r="K311" s="13"/>
      <c r="L311" s="67"/>
      <c r="M311" s="56"/>
      <c r="N311" s="55"/>
      <c r="O311" s="13"/>
      <c r="P311" s="71"/>
      <c r="Q311" s="31"/>
      <c r="R311" s="26">
        <f t="shared" si="13"/>
        <v>0</v>
      </c>
      <c r="S311" s="85"/>
      <c r="T311" s="84"/>
      <c r="U311" s="27"/>
      <c r="V311" s="13"/>
      <c r="W311" s="67"/>
      <c r="X311" s="56"/>
      <c r="Y311" s="55"/>
      <c r="Z311" s="13"/>
      <c r="AA311" s="71"/>
      <c r="AB311" s="31"/>
      <c r="AC311" s="26">
        <f t="shared" si="14"/>
        <v>0</v>
      </c>
      <c r="AD311" s="25"/>
      <c r="AE311" s="25"/>
      <c r="AF311" s="13"/>
      <c r="AG311" s="13"/>
      <c r="AH311" s="13"/>
    </row>
    <row r="312" spans="1:34" x14ac:dyDescent="0.3">
      <c r="A312" s="65">
        <v>550</v>
      </c>
      <c r="B312" s="25"/>
      <c r="C312" s="25"/>
      <c r="D312" s="25"/>
      <c r="E312" s="30" t="str">
        <f t="shared" si="12"/>
        <v>--</v>
      </c>
      <c r="F312" s="13">
        <f>VLOOKUP(E312,'LISTA ITEMS'!$E$2:$G$875,2,FALSE)</f>
        <v>0</v>
      </c>
      <c r="G312" s="25">
        <f>VLOOKUP(E312,'LISTA ITEMS'!$E$2:$G$875,3,FALSE)</f>
        <v>0</v>
      </c>
      <c r="H312" s="76"/>
      <c r="I312" s="75">
        <v>0</v>
      </c>
      <c r="J312" s="27"/>
      <c r="K312" s="13"/>
      <c r="L312" s="67"/>
      <c r="M312" s="56"/>
      <c r="N312" s="55"/>
      <c r="O312" s="13"/>
      <c r="P312" s="71"/>
      <c r="Q312" s="31"/>
      <c r="R312" s="26">
        <f t="shared" si="13"/>
        <v>0</v>
      </c>
      <c r="S312" s="85"/>
      <c r="T312" s="84"/>
      <c r="U312" s="27"/>
      <c r="V312" s="13"/>
      <c r="W312" s="67"/>
      <c r="X312" s="56"/>
      <c r="Y312" s="55"/>
      <c r="Z312" s="13"/>
      <c r="AA312" s="71"/>
      <c r="AB312" s="31"/>
      <c r="AC312" s="26">
        <f t="shared" si="14"/>
        <v>0</v>
      </c>
      <c r="AD312" s="25"/>
      <c r="AE312" s="25"/>
      <c r="AF312" s="13"/>
      <c r="AG312" s="13"/>
      <c r="AH312" s="13"/>
    </row>
    <row r="313" spans="1:34" x14ac:dyDescent="0.3">
      <c r="A313" s="65">
        <v>551</v>
      </c>
      <c r="B313" s="25"/>
      <c r="C313" s="25"/>
      <c r="D313" s="25"/>
      <c r="E313" s="30" t="str">
        <f t="shared" si="12"/>
        <v>--</v>
      </c>
      <c r="F313" s="13">
        <f>VLOOKUP(E313,'LISTA ITEMS'!$E$2:$G$875,2,FALSE)</f>
        <v>0</v>
      </c>
      <c r="G313" s="25">
        <f>VLOOKUP(E313,'LISTA ITEMS'!$E$2:$G$875,3,FALSE)</f>
        <v>0</v>
      </c>
      <c r="H313" s="76"/>
      <c r="I313" s="75">
        <v>0</v>
      </c>
      <c r="J313" s="27"/>
      <c r="K313" s="13"/>
      <c r="L313" s="67"/>
      <c r="M313" s="56"/>
      <c r="N313" s="55"/>
      <c r="O313" s="13"/>
      <c r="P313" s="71"/>
      <c r="Q313" s="31"/>
      <c r="R313" s="26">
        <f t="shared" si="13"/>
        <v>0</v>
      </c>
      <c r="S313" s="85"/>
      <c r="T313" s="84"/>
      <c r="U313" s="27"/>
      <c r="V313" s="13"/>
      <c r="W313" s="67"/>
      <c r="X313" s="56"/>
      <c r="Y313" s="55"/>
      <c r="Z313" s="13"/>
      <c r="AA313" s="71"/>
      <c r="AB313" s="31"/>
      <c r="AC313" s="26">
        <f t="shared" si="14"/>
        <v>0</v>
      </c>
      <c r="AD313" s="25"/>
      <c r="AE313" s="25"/>
      <c r="AF313" s="13"/>
      <c r="AG313" s="13"/>
      <c r="AH313" s="13"/>
    </row>
    <row r="314" spans="1:34" x14ac:dyDescent="0.3">
      <c r="A314" s="65">
        <v>552</v>
      </c>
      <c r="B314" s="25"/>
      <c r="C314" s="25"/>
      <c r="D314" s="25"/>
      <c r="E314" s="30" t="str">
        <f t="shared" si="12"/>
        <v>--</v>
      </c>
      <c r="F314" s="13">
        <f>VLOOKUP(E314,'LISTA ITEMS'!$E$2:$G$875,2,FALSE)</f>
        <v>0</v>
      </c>
      <c r="G314" s="25">
        <f>VLOOKUP(E314,'LISTA ITEMS'!$E$2:$G$875,3,FALSE)</f>
        <v>0</v>
      </c>
      <c r="H314" s="76"/>
      <c r="I314" s="75">
        <v>0</v>
      </c>
      <c r="J314" s="27"/>
      <c r="K314" s="13"/>
      <c r="L314" s="67"/>
      <c r="M314" s="56"/>
      <c r="N314" s="55"/>
      <c r="O314" s="13"/>
      <c r="P314" s="71"/>
      <c r="Q314" s="31"/>
      <c r="R314" s="26">
        <f t="shared" si="13"/>
        <v>0</v>
      </c>
      <c r="S314" s="85"/>
      <c r="T314" s="84"/>
      <c r="U314" s="27"/>
      <c r="V314" s="13"/>
      <c r="W314" s="67"/>
      <c r="X314" s="56"/>
      <c r="Y314" s="55"/>
      <c r="Z314" s="13"/>
      <c r="AA314" s="71"/>
      <c r="AB314" s="31"/>
      <c r="AC314" s="26">
        <f t="shared" si="14"/>
        <v>0</v>
      </c>
      <c r="AD314" s="25"/>
      <c r="AE314" s="25"/>
      <c r="AF314" s="13"/>
      <c r="AG314" s="13"/>
      <c r="AH314" s="13"/>
    </row>
    <row r="315" spans="1:34" x14ac:dyDescent="0.3">
      <c r="A315" s="65">
        <v>553</v>
      </c>
      <c r="B315" s="25"/>
      <c r="C315" s="25"/>
      <c r="D315" s="25"/>
      <c r="E315" s="30" t="str">
        <f t="shared" si="12"/>
        <v>--</v>
      </c>
      <c r="F315" s="13">
        <f>VLOOKUP(E315,'LISTA ITEMS'!$E$2:$G$875,2,FALSE)</f>
        <v>0</v>
      </c>
      <c r="G315" s="25">
        <f>VLOOKUP(E315,'LISTA ITEMS'!$E$2:$G$875,3,FALSE)</f>
        <v>0</v>
      </c>
      <c r="H315" s="76"/>
      <c r="I315" s="75">
        <v>0</v>
      </c>
      <c r="J315" s="27"/>
      <c r="K315" s="13"/>
      <c r="L315" s="67"/>
      <c r="M315" s="56"/>
      <c r="N315" s="55"/>
      <c r="O315" s="13"/>
      <c r="P315" s="71"/>
      <c r="Q315" s="31"/>
      <c r="R315" s="26">
        <f t="shared" si="13"/>
        <v>0</v>
      </c>
      <c r="S315" s="85"/>
      <c r="T315" s="84"/>
      <c r="U315" s="27"/>
      <c r="V315" s="13"/>
      <c r="W315" s="67"/>
      <c r="X315" s="56"/>
      <c r="Y315" s="55"/>
      <c r="Z315" s="13"/>
      <c r="AA315" s="71"/>
      <c r="AB315" s="31"/>
      <c r="AC315" s="26">
        <f t="shared" si="14"/>
        <v>0</v>
      </c>
      <c r="AD315" s="25"/>
      <c r="AE315" s="25"/>
      <c r="AF315" s="13"/>
      <c r="AG315" s="13"/>
      <c r="AH315" s="13"/>
    </row>
    <row r="316" spans="1:34" x14ac:dyDescent="0.3">
      <c r="A316" s="65">
        <v>554</v>
      </c>
      <c r="B316" s="25"/>
      <c r="C316" s="25"/>
      <c r="D316" s="25"/>
      <c r="E316" s="30" t="str">
        <f t="shared" si="12"/>
        <v>--</v>
      </c>
      <c r="F316" s="13">
        <f>VLOOKUP(E316,'LISTA ITEMS'!$E$2:$G$875,2,FALSE)</f>
        <v>0</v>
      </c>
      <c r="G316" s="25">
        <f>VLOOKUP(E316,'LISTA ITEMS'!$E$2:$G$875,3,FALSE)</f>
        <v>0</v>
      </c>
      <c r="H316" s="76"/>
      <c r="I316" s="75">
        <v>0</v>
      </c>
      <c r="J316" s="27"/>
      <c r="K316" s="13"/>
      <c r="L316" s="67"/>
      <c r="M316" s="56"/>
      <c r="N316" s="55"/>
      <c r="O316" s="13"/>
      <c r="P316" s="71"/>
      <c r="Q316" s="31"/>
      <c r="R316" s="26">
        <f t="shared" si="13"/>
        <v>0</v>
      </c>
      <c r="S316" s="85"/>
      <c r="T316" s="84"/>
      <c r="U316" s="27"/>
      <c r="V316" s="13"/>
      <c r="W316" s="67"/>
      <c r="X316" s="56"/>
      <c r="Y316" s="55"/>
      <c r="Z316" s="13"/>
      <c r="AA316" s="71"/>
      <c r="AB316" s="31"/>
      <c r="AC316" s="26">
        <f t="shared" si="14"/>
        <v>0</v>
      </c>
      <c r="AD316" s="25"/>
      <c r="AE316" s="25"/>
      <c r="AF316" s="13"/>
      <c r="AG316" s="13"/>
      <c r="AH316" s="13"/>
    </row>
    <row r="317" spans="1:34" x14ac:dyDescent="0.3">
      <c r="A317" s="65">
        <v>555</v>
      </c>
      <c r="B317" s="25"/>
      <c r="C317" s="25"/>
      <c r="D317" s="25"/>
      <c r="E317" s="30" t="str">
        <f t="shared" si="12"/>
        <v>--</v>
      </c>
      <c r="F317" s="13">
        <f>VLOOKUP(E317,'LISTA ITEMS'!$E$2:$G$875,2,FALSE)</f>
        <v>0</v>
      </c>
      <c r="G317" s="25">
        <f>VLOOKUP(E317,'LISTA ITEMS'!$E$2:$G$875,3,FALSE)</f>
        <v>0</v>
      </c>
      <c r="H317" s="76"/>
      <c r="I317" s="75">
        <v>0</v>
      </c>
      <c r="J317" s="27"/>
      <c r="K317" s="13"/>
      <c r="L317" s="67"/>
      <c r="M317" s="56"/>
      <c r="N317" s="55"/>
      <c r="O317" s="13"/>
      <c r="P317" s="71"/>
      <c r="Q317" s="31"/>
      <c r="R317" s="26">
        <f t="shared" si="13"/>
        <v>0</v>
      </c>
      <c r="S317" s="85"/>
      <c r="T317" s="84"/>
      <c r="U317" s="27"/>
      <c r="V317" s="13"/>
      <c r="W317" s="67"/>
      <c r="X317" s="56"/>
      <c r="Y317" s="55"/>
      <c r="Z317" s="13"/>
      <c r="AA317" s="71"/>
      <c r="AB317" s="31"/>
      <c r="AC317" s="26">
        <f t="shared" si="14"/>
        <v>0</v>
      </c>
      <c r="AD317" s="25"/>
      <c r="AE317" s="25"/>
      <c r="AF317" s="13"/>
      <c r="AG317" s="13"/>
      <c r="AH317" s="13"/>
    </row>
    <row r="318" spans="1:34" x14ac:dyDescent="0.3">
      <c r="A318" s="65">
        <v>556</v>
      </c>
      <c r="B318" s="25"/>
      <c r="C318" s="25"/>
      <c r="D318" s="25"/>
      <c r="E318" s="30" t="str">
        <f t="shared" si="12"/>
        <v>--</v>
      </c>
      <c r="F318" s="13">
        <f>VLOOKUP(E318,'LISTA ITEMS'!$E$2:$G$875,2,FALSE)</f>
        <v>0</v>
      </c>
      <c r="G318" s="25">
        <f>VLOOKUP(E318,'LISTA ITEMS'!$E$2:$G$875,3,FALSE)</f>
        <v>0</v>
      </c>
      <c r="H318" s="76"/>
      <c r="I318" s="75">
        <v>0</v>
      </c>
      <c r="J318" s="27"/>
      <c r="K318" s="13"/>
      <c r="L318" s="67"/>
      <c r="M318" s="56"/>
      <c r="N318" s="55"/>
      <c r="O318" s="13"/>
      <c r="P318" s="71"/>
      <c r="Q318" s="31"/>
      <c r="R318" s="26">
        <f t="shared" si="13"/>
        <v>0</v>
      </c>
      <c r="S318" s="85"/>
      <c r="T318" s="84"/>
      <c r="U318" s="27"/>
      <c r="V318" s="13"/>
      <c r="W318" s="67"/>
      <c r="X318" s="56"/>
      <c r="Y318" s="55"/>
      <c r="Z318" s="13"/>
      <c r="AA318" s="71"/>
      <c r="AB318" s="31"/>
      <c r="AC318" s="26">
        <f t="shared" si="14"/>
        <v>0</v>
      </c>
      <c r="AD318" s="25"/>
      <c r="AE318" s="25"/>
      <c r="AF318" s="13"/>
      <c r="AG318" s="13"/>
      <c r="AH318" s="13"/>
    </row>
    <row r="319" spans="1:34" x14ac:dyDescent="0.3">
      <c r="A319" s="65">
        <v>557</v>
      </c>
      <c r="B319" s="25"/>
      <c r="C319" s="25"/>
      <c r="D319" s="25"/>
      <c r="E319" s="30" t="str">
        <f t="shared" si="12"/>
        <v>--</v>
      </c>
      <c r="F319" s="13">
        <f>VLOOKUP(E319,'LISTA ITEMS'!$E$2:$G$875,2,FALSE)</f>
        <v>0</v>
      </c>
      <c r="G319" s="25">
        <f>VLOOKUP(E319,'LISTA ITEMS'!$E$2:$G$875,3,FALSE)</f>
        <v>0</v>
      </c>
      <c r="H319" s="76"/>
      <c r="I319" s="75">
        <v>0</v>
      </c>
      <c r="J319" s="27"/>
      <c r="K319" s="13"/>
      <c r="L319" s="67"/>
      <c r="M319" s="56"/>
      <c r="N319" s="55"/>
      <c r="O319" s="13"/>
      <c r="P319" s="71"/>
      <c r="Q319" s="31"/>
      <c r="R319" s="26">
        <f t="shared" si="13"/>
        <v>0</v>
      </c>
      <c r="S319" s="85"/>
      <c r="T319" s="84"/>
      <c r="U319" s="27"/>
      <c r="V319" s="13"/>
      <c r="W319" s="67"/>
      <c r="X319" s="56"/>
      <c r="Y319" s="55"/>
      <c r="Z319" s="13"/>
      <c r="AA319" s="71"/>
      <c r="AB319" s="31"/>
      <c r="AC319" s="26">
        <f t="shared" si="14"/>
        <v>0</v>
      </c>
      <c r="AD319" s="25"/>
      <c r="AE319" s="25"/>
      <c r="AF319" s="13"/>
      <c r="AG319" s="13"/>
      <c r="AH319" s="13"/>
    </row>
    <row r="320" spans="1:34" x14ac:dyDescent="0.3">
      <c r="A320" s="65">
        <v>558</v>
      </c>
      <c r="B320" s="25"/>
      <c r="C320" s="25"/>
      <c r="D320" s="25"/>
      <c r="E320" s="30" t="str">
        <f t="shared" si="12"/>
        <v>--</v>
      </c>
      <c r="F320" s="13">
        <f>VLOOKUP(E320,'LISTA ITEMS'!$E$2:$G$875,2,FALSE)</f>
        <v>0</v>
      </c>
      <c r="G320" s="25">
        <f>VLOOKUP(E320,'LISTA ITEMS'!$E$2:$G$875,3,FALSE)</f>
        <v>0</v>
      </c>
      <c r="H320" s="76"/>
      <c r="I320" s="75">
        <v>0</v>
      </c>
      <c r="J320" s="27"/>
      <c r="K320" s="13"/>
      <c r="L320" s="67"/>
      <c r="M320" s="56"/>
      <c r="N320" s="55"/>
      <c r="O320" s="13"/>
      <c r="P320" s="71"/>
      <c r="Q320" s="31"/>
      <c r="R320" s="26">
        <f t="shared" si="13"/>
        <v>0</v>
      </c>
      <c r="S320" s="85"/>
      <c r="T320" s="84"/>
      <c r="U320" s="27"/>
      <c r="V320" s="13"/>
      <c r="W320" s="67"/>
      <c r="X320" s="56"/>
      <c r="Y320" s="55"/>
      <c r="Z320" s="13"/>
      <c r="AA320" s="71"/>
      <c r="AB320" s="31"/>
      <c r="AC320" s="26">
        <f t="shared" si="14"/>
        <v>0</v>
      </c>
      <c r="AD320" s="25"/>
      <c r="AE320" s="25"/>
      <c r="AF320" s="13"/>
      <c r="AG320" s="13"/>
      <c r="AH320" s="13"/>
    </row>
    <row r="321" spans="1:34" x14ac:dyDescent="0.3">
      <c r="A321" s="65">
        <v>559</v>
      </c>
      <c r="B321" s="25"/>
      <c r="C321" s="25"/>
      <c r="D321" s="25"/>
      <c r="E321" s="30" t="str">
        <f t="shared" si="12"/>
        <v>--</v>
      </c>
      <c r="F321" s="13">
        <f>VLOOKUP(E321,'LISTA ITEMS'!$E$2:$G$875,2,FALSE)</f>
        <v>0</v>
      </c>
      <c r="G321" s="25">
        <f>VLOOKUP(E321,'LISTA ITEMS'!$E$2:$G$875,3,FALSE)</f>
        <v>0</v>
      </c>
      <c r="H321" s="76"/>
      <c r="I321" s="75">
        <v>0</v>
      </c>
      <c r="J321" s="27"/>
      <c r="K321" s="13"/>
      <c r="L321" s="67"/>
      <c r="M321" s="56"/>
      <c r="N321" s="55"/>
      <c r="O321" s="13"/>
      <c r="P321" s="71"/>
      <c r="Q321" s="31"/>
      <c r="R321" s="26">
        <f t="shared" si="13"/>
        <v>0</v>
      </c>
      <c r="S321" s="85"/>
      <c r="T321" s="84"/>
      <c r="U321" s="27"/>
      <c r="V321" s="13"/>
      <c r="W321" s="67"/>
      <c r="X321" s="56"/>
      <c r="Y321" s="55"/>
      <c r="Z321" s="13"/>
      <c r="AA321" s="71"/>
      <c r="AB321" s="31"/>
      <c r="AC321" s="26">
        <f t="shared" si="14"/>
        <v>0</v>
      </c>
      <c r="AD321" s="25"/>
      <c r="AE321" s="25"/>
      <c r="AF321" s="13"/>
      <c r="AG321" s="13"/>
      <c r="AH321" s="13"/>
    </row>
    <row r="322" spans="1:34" x14ac:dyDescent="0.3">
      <c r="A322" s="65">
        <v>560</v>
      </c>
      <c r="B322" s="25"/>
      <c r="C322" s="25"/>
      <c r="D322" s="25"/>
      <c r="E322" s="30" t="str">
        <f t="shared" si="12"/>
        <v>--</v>
      </c>
      <c r="F322" s="13">
        <f>VLOOKUP(E322,'LISTA ITEMS'!$E$2:$G$875,2,FALSE)</f>
        <v>0</v>
      </c>
      <c r="G322" s="25">
        <f>VLOOKUP(E322,'LISTA ITEMS'!$E$2:$G$875,3,FALSE)</f>
        <v>0</v>
      </c>
      <c r="H322" s="76"/>
      <c r="I322" s="75">
        <v>0</v>
      </c>
      <c r="J322" s="27"/>
      <c r="K322" s="13"/>
      <c r="L322" s="67"/>
      <c r="M322" s="56"/>
      <c r="N322" s="55"/>
      <c r="O322" s="13"/>
      <c r="P322" s="71"/>
      <c r="Q322" s="31"/>
      <c r="R322" s="26">
        <f t="shared" si="13"/>
        <v>0</v>
      </c>
      <c r="S322" s="85"/>
      <c r="T322" s="84"/>
      <c r="U322" s="27"/>
      <c r="V322" s="13"/>
      <c r="W322" s="67"/>
      <c r="X322" s="56"/>
      <c r="Y322" s="55"/>
      <c r="Z322" s="13"/>
      <c r="AA322" s="71"/>
      <c r="AB322" s="31"/>
      <c r="AC322" s="26">
        <f t="shared" si="14"/>
        <v>0</v>
      </c>
      <c r="AD322" s="25"/>
      <c r="AE322" s="25"/>
      <c r="AF322" s="13"/>
      <c r="AG322" s="13"/>
      <c r="AH322" s="13"/>
    </row>
    <row r="323" spans="1:34" x14ac:dyDescent="0.3">
      <c r="A323" s="65">
        <v>561</v>
      </c>
      <c r="B323" s="25"/>
      <c r="C323" s="25"/>
      <c r="D323" s="25"/>
      <c r="E323" s="30" t="str">
        <f t="shared" si="12"/>
        <v>--</v>
      </c>
      <c r="F323" s="13">
        <f>VLOOKUP(E323,'LISTA ITEMS'!$E$2:$G$875,2,FALSE)</f>
        <v>0</v>
      </c>
      <c r="G323" s="25">
        <f>VLOOKUP(E323,'LISTA ITEMS'!$E$2:$G$875,3,FALSE)</f>
        <v>0</v>
      </c>
      <c r="H323" s="76"/>
      <c r="I323" s="75">
        <v>0</v>
      </c>
      <c r="J323" s="27"/>
      <c r="K323" s="13"/>
      <c r="L323" s="67"/>
      <c r="M323" s="56"/>
      <c r="N323" s="55"/>
      <c r="O323" s="13"/>
      <c r="P323" s="71"/>
      <c r="Q323" s="31"/>
      <c r="R323" s="26">
        <f t="shared" si="13"/>
        <v>0</v>
      </c>
      <c r="S323" s="85"/>
      <c r="T323" s="84"/>
      <c r="U323" s="27"/>
      <c r="V323" s="13"/>
      <c r="W323" s="67"/>
      <c r="X323" s="56"/>
      <c r="Y323" s="55"/>
      <c r="Z323" s="13"/>
      <c r="AA323" s="71"/>
      <c r="AB323" s="31"/>
      <c r="AC323" s="26">
        <f t="shared" si="14"/>
        <v>0</v>
      </c>
      <c r="AD323" s="25"/>
      <c r="AE323" s="25"/>
      <c r="AF323" s="13"/>
      <c r="AG323" s="13"/>
      <c r="AH323" s="13"/>
    </row>
    <row r="324" spans="1:34" x14ac:dyDescent="0.3">
      <c r="A324" s="65">
        <v>562</v>
      </c>
      <c r="B324" s="25"/>
      <c r="C324" s="25"/>
      <c r="D324" s="25"/>
      <c r="E324" s="30" t="str">
        <f t="shared" ref="E324:E387" si="15">CONCATENATE(B324,"-",C324,"-",D324)</f>
        <v>--</v>
      </c>
      <c r="F324" s="13">
        <f>VLOOKUP(E324,'LISTA ITEMS'!$E$2:$G$875,2,FALSE)</f>
        <v>0</v>
      </c>
      <c r="G324" s="25">
        <f>VLOOKUP(E324,'LISTA ITEMS'!$E$2:$G$875,3,FALSE)</f>
        <v>0</v>
      </c>
      <c r="H324" s="76"/>
      <c r="I324" s="75">
        <v>0</v>
      </c>
      <c r="J324" s="27"/>
      <c r="K324" s="13"/>
      <c r="L324" s="67"/>
      <c r="M324" s="56"/>
      <c r="N324" s="55"/>
      <c r="O324" s="13"/>
      <c r="P324" s="71"/>
      <c r="Q324" s="31"/>
      <c r="R324" s="26">
        <f t="shared" ref="R324:R387" si="16">+I324+L324+N324-P324</f>
        <v>0</v>
      </c>
      <c r="S324" s="85"/>
      <c r="T324" s="84"/>
      <c r="U324" s="27"/>
      <c r="V324" s="13"/>
      <c r="W324" s="67"/>
      <c r="X324" s="56"/>
      <c r="Y324" s="55"/>
      <c r="Z324" s="13"/>
      <c r="AA324" s="71"/>
      <c r="AB324" s="31"/>
      <c r="AC324" s="26">
        <f t="shared" ref="AC324:AC387" si="17">+R324+W324+Y324-AA324</f>
        <v>0</v>
      </c>
      <c r="AD324" s="25"/>
      <c r="AE324" s="25"/>
      <c r="AF324" s="13"/>
      <c r="AG324" s="13"/>
      <c r="AH324" s="13"/>
    </row>
    <row r="325" spans="1:34" x14ac:dyDescent="0.3">
      <c r="A325" s="65">
        <v>563</v>
      </c>
      <c r="B325" s="25"/>
      <c r="C325" s="25"/>
      <c r="D325" s="25"/>
      <c r="E325" s="30" t="str">
        <f t="shared" si="15"/>
        <v>--</v>
      </c>
      <c r="F325" s="13">
        <f>VLOOKUP(E325,'LISTA ITEMS'!$E$2:$G$875,2,FALSE)</f>
        <v>0</v>
      </c>
      <c r="G325" s="25">
        <f>VLOOKUP(E325,'LISTA ITEMS'!$E$2:$G$875,3,FALSE)</f>
        <v>0</v>
      </c>
      <c r="H325" s="76"/>
      <c r="I325" s="75">
        <v>0</v>
      </c>
      <c r="J325" s="27"/>
      <c r="K325" s="13"/>
      <c r="L325" s="67"/>
      <c r="M325" s="56"/>
      <c r="N325" s="55"/>
      <c r="O325" s="13"/>
      <c r="P325" s="71"/>
      <c r="Q325" s="31"/>
      <c r="R325" s="26">
        <f t="shared" si="16"/>
        <v>0</v>
      </c>
      <c r="S325" s="85"/>
      <c r="T325" s="84"/>
      <c r="U325" s="27"/>
      <c r="V325" s="13"/>
      <c r="W325" s="67"/>
      <c r="X325" s="56"/>
      <c r="Y325" s="55"/>
      <c r="Z325" s="13"/>
      <c r="AA325" s="71"/>
      <c r="AB325" s="31"/>
      <c r="AC325" s="26">
        <f t="shared" si="17"/>
        <v>0</v>
      </c>
      <c r="AD325" s="25"/>
      <c r="AE325" s="25"/>
      <c r="AF325" s="13"/>
      <c r="AG325" s="13"/>
      <c r="AH325" s="13"/>
    </row>
    <row r="326" spans="1:34" x14ac:dyDescent="0.3">
      <c r="A326" s="65">
        <v>564</v>
      </c>
      <c r="B326" s="25"/>
      <c r="C326" s="25"/>
      <c r="D326" s="25"/>
      <c r="E326" s="30" t="str">
        <f t="shared" si="15"/>
        <v>--</v>
      </c>
      <c r="F326" s="13">
        <f>VLOOKUP(E326,'LISTA ITEMS'!$E$2:$G$875,2,FALSE)</f>
        <v>0</v>
      </c>
      <c r="G326" s="25">
        <f>VLOOKUP(E326,'LISTA ITEMS'!$E$2:$G$875,3,FALSE)</f>
        <v>0</v>
      </c>
      <c r="H326" s="76"/>
      <c r="I326" s="75">
        <v>0</v>
      </c>
      <c r="J326" s="27"/>
      <c r="K326" s="13"/>
      <c r="L326" s="67"/>
      <c r="M326" s="56"/>
      <c r="N326" s="55"/>
      <c r="O326" s="13"/>
      <c r="P326" s="71"/>
      <c r="Q326" s="31"/>
      <c r="R326" s="26">
        <f t="shared" si="16"/>
        <v>0</v>
      </c>
      <c r="S326" s="85"/>
      <c r="T326" s="84"/>
      <c r="U326" s="27"/>
      <c r="V326" s="13"/>
      <c r="W326" s="67"/>
      <c r="X326" s="56"/>
      <c r="Y326" s="55"/>
      <c r="Z326" s="13"/>
      <c r="AA326" s="71"/>
      <c r="AB326" s="31"/>
      <c r="AC326" s="26">
        <f t="shared" si="17"/>
        <v>0</v>
      </c>
      <c r="AD326" s="25"/>
      <c r="AE326" s="25"/>
      <c r="AF326" s="13"/>
      <c r="AG326" s="13"/>
      <c r="AH326" s="13"/>
    </row>
    <row r="327" spans="1:34" x14ac:dyDescent="0.3">
      <c r="A327" s="65">
        <v>565</v>
      </c>
      <c r="B327" s="25"/>
      <c r="C327" s="25"/>
      <c r="D327" s="25"/>
      <c r="E327" s="30" t="str">
        <f t="shared" si="15"/>
        <v>--</v>
      </c>
      <c r="F327" s="13">
        <f>VLOOKUP(E327,'LISTA ITEMS'!$E$2:$G$875,2,FALSE)</f>
        <v>0</v>
      </c>
      <c r="G327" s="25">
        <f>VLOOKUP(E327,'LISTA ITEMS'!$E$2:$G$875,3,FALSE)</f>
        <v>0</v>
      </c>
      <c r="H327" s="76"/>
      <c r="I327" s="75">
        <v>0</v>
      </c>
      <c r="J327" s="27"/>
      <c r="K327" s="13"/>
      <c r="L327" s="67"/>
      <c r="M327" s="56"/>
      <c r="N327" s="55"/>
      <c r="O327" s="13"/>
      <c r="P327" s="71"/>
      <c r="Q327" s="31"/>
      <c r="R327" s="26">
        <f t="shared" si="16"/>
        <v>0</v>
      </c>
      <c r="S327" s="85"/>
      <c r="T327" s="84"/>
      <c r="U327" s="27"/>
      <c r="V327" s="13"/>
      <c r="W327" s="67"/>
      <c r="X327" s="56"/>
      <c r="Y327" s="55"/>
      <c r="Z327" s="13"/>
      <c r="AA327" s="71"/>
      <c r="AB327" s="31"/>
      <c r="AC327" s="26">
        <f t="shared" si="17"/>
        <v>0</v>
      </c>
      <c r="AD327" s="25"/>
      <c r="AE327" s="25"/>
      <c r="AF327" s="13"/>
      <c r="AG327" s="13"/>
      <c r="AH327" s="13"/>
    </row>
    <row r="328" spans="1:34" x14ac:dyDescent="0.3">
      <c r="A328" s="65">
        <v>566</v>
      </c>
      <c r="B328" s="25"/>
      <c r="C328" s="25"/>
      <c r="D328" s="25"/>
      <c r="E328" s="30" t="str">
        <f t="shared" si="15"/>
        <v>--</v>
      </c>
      <c r="F328" s="13">
        <f>VLOOKUP(E328,'LISTA ITEMS'!$E$2:$G$875,2,FALSE)</f>
        <v>0</v>
      </c>
      <c r="G328" s="25">
        <f>VLOOKUP(E328,'LISTA ITEMS'!$E$2:$G$875,3,FALSE)</f>
        <v>0</v>
      </c>
      <c r="H328" s="76"/>
      <c r="I328" s="75">
        <v>0</v>
      </c>
      <c r="J328" s="27"/>
      <c r="K328" s="13"/>
      <c r="L328" s="67"/>
      <c r="M328" s="56"/>
      <c r="N328" s="55"/>
      <c r="O328" s="13"/>
      <c r="P328" s="71"/>
      <c r="Q328" s="31"/>
      <c r="R328" s="26">
        <f t="shared" si="16"/>
        <v>0</v>
      </c>
      <c r="S328" s="85"/>
      <c r="T328" s="84"/>
      <c r="U328" s="27"/>
      <c r="V328" s="13"/>
      <c r="W328" s="67"/>
      <c r="X328" s="56"/>
      <c r="Y328" s="55"/>
      <c r="Z328" s="13"/>
      <c r="AA328" s="71"/>
      <c r="AB328" s="31"/>
      <c r="AC328" s="26">
        <f t="shared" si="17"/>
        <v>0</v>
      </c>
      <c r="AD328" s="25"/>
      <c r="AE328" s="25"/>
      <c r="AF328" s="13"/>
      <c r="AG328" s="13"/>
      <c r="AH328" s="13"/>
    </row>
    <row r="329" spans="1:34" x14ac:dyDescent="0.3">
      <c r="A329" s="65">
        <v>567</v>
      </c>
      <c r="B329" s="25"/>
      <c r="C329" s="25"/>
      <c r="D329" s="25"/>
      <c r="E329" s="30" t="str">
        <f t="shared" si="15"/>
        <v>--</v>
      </c>
      <c r="F329" s="13">
        <f>VLOOKUP(E329,'LISTA ITEMS'!$E$2:$G$875,2,FALSE)</f>
        <v>0</v>
      </c>
      <c r="G329" s="25">
        <f>VLOOKUP(E329,'LISTA ITEMS'!$E$2:$G$875,3,FALSE)</f>
        <v>0</v>
      </c>
      <c r="H329" s="76"/>
      <c r="I329" s="75">
        <v>0</v>
      </c>
      <c r="J329" s="27"/>
      <c r="K329" s="13"/>
      <c r="L329" s="67"/>
      <c r="M329" s="56"/>
      <c r="N329" s="55"/>
      <c r="O329" s="13"/>
      <c r="P329" s="71"/>
      <c r="Q329" s="31"/>
      <c r="R329" s="26">
        <f t="shared" si="16"/>
        <v>0</v>
      </c>
      <c r="S329" s="85"/>
      <c r="T329" s="84"/>
      <c r="U329" s="27"/>
      <c r="V329" s="13"/>
      <c r="W329" s="67"/>
      <c r="X329" s="56"/>
      <c r="Y329" s="55"/>
      <c r="Z329" s="13"/>
      <c r="AA329" s="71"/>
      <c r="AB329" s="31"/>
      <c r="AC329" s="26">
        <f t="shared" si="17"/>
        <v>0</v>
      </c>
      <c r="AD329" s="25"/>
      <c r="AE329" s="25"/>
      <c r="AF329" s="13"/>
      <c r="AG329" s="13"/>
      <c r="AH329" s="13"/>
    </row>
    <row r="330" spans="1:34" x14ac:dyDescent="0.3">
      <c r="A330" s="65">
        <v>568</v>
      </c>
      <c r="B330" s="25"/>
      <c r="C330" s="25"/>
      <c r="D330" s="25"/>
      <c r="E330" s="30" t="str">
        <f t="shared" si="15"/>
        <v>--</v>
      </c>
      <c r="F330" s="13">
        <f>VLOOKUP(E330,'LISTA ITEMS'!$E$2:$G$875,2,FALSE)</f>
        <v>0</v>
      </c>
      <c r="G330" s="25">
        <f>VLOOKUP(E330,'LISTA ITEMS'!$E$2:$G$875,3,FALSE)</f>
        <v>0</v>
      </c>
      <c r="H330" s="76"/>
      <c r="I330" s="75">
        <v>0</v>
      </c>
      <c r="J330" s="27"/>
      <c r="K330" s="13"/>
      <c r="L330" s="67"/>
      <c r="M330" s="56"/>
      <c r="N330" s="55"/>
      <c r="O330" s="13"/>
      <c r="P330" s="71"/>
      <c r="Q330" s="31"/>
      <c r="R330" s="26">
        <f t="shared" si="16"/>
        <v>0</v>
      </c>
      <c r="S330" s="85"/>
      <c r="T330" s="84"/>
      <c r="U330" s="27"/>
      <c r="V330" s="13"/>
      <c r="W330" s="67"/>
      <c r="X330" s="56"/>
      <c r="Y330" s="55"/>
      <c r="Z330" s="13"/>
      <c r="AA330" s="71"/>
      <c r="AB330" s="31"/>
      <c r="AC330" s="26">
        <f t="shared" si="17"/>
        <v>0</v>
      </c>
      <c r="AD330" s="25"/>
      <c r="AE330" s="25"/>
      <c r="AF330" s="13"/>
      <c r="AG330" s="13"/>
      <c r="AH330" s="13"/>
    </row>
    <row r="331" spans="1:34" x14ac:dyDescent="0.3">
      <c r="A331" s="65">
        <v>569</v>
      </c>
      <c r="B331" s="25"/>
      <c r="C331" s="25"/>
      <c r="D331" s="25"/>
      <c r="E331" s="30" t="str">
        <f t="shared" si="15"/>
        <v>--</v>
      </c>
      <c r="F331" s="13">
        <f>VLOOKUP(E331,'LISTA ITEMS'!$E$2:$G$875,2,FALSE)</f>
        <v>0</v>
      </c>
      <c r="G331" s="25">
        <f>VLOOKUP(E331,'LISTA ITEMS'!$E$2:$G$875,3,FALSE)</f>
        <v>0</v>
      </c>
      <c r="H331" s="76"/>
      <c r="I331" s="75">
        <v>0</v>
      </c>
      <c r="J331" s="27"/>
      <c r="K331" s="13"/>
      <c r="L331" s="67"/>
      <c r="M331" s="56"/>
      <c r="N331" s="55"/>
      <c r="O331" s="13"/>
      <c r="P331" s="71"/>
      <c r="Q331" s="31"/>
      <c r="R331" s="26">
        <f t="shared" si="16"/>
        <v>0</v>
      </c>
      <c r="S331" s="85"/>
      <c r="T331" s="84"/>
      <c r="U331" s="27"/>
      <c r="V331" s="13"/>
      <c r="W331" s="67"/>
      <c r="X331" s="56"/>
      <c r="Y331" s="55"/>
      <c r="Z331" s="13"/>
      <c r="AA331" s="71"/>
      <c r="AB331" s="31"/>
      <c r="AC331" s="26">
        <f t="shared" si="17"/>
        <v>0</v>
      </c>
      <c r="AD331" s="25"/>
      <c r="AE331" s="25"/>
      <c r="AF331" s="13"/>
      <c r="AG331" s="13"/>
      <c r="AH331" s="13"/>
    </row>
    <row r="332" spans="1:34" x14ac:dyDescent="0.3">
      <c r="A332" s="65">
        <v>570</v>
      </c>
      <c r="B332" s="25"/>
      <c r="C332" s="25"/>
      <c r="D332" s="25"/>
      <c r="E332" s="30" t="str">
        <f t="shared" si="15"/>
        <v>--</v>
      </c>
      <c r="F332" s="13">
        <f>VLOOKUP(E332,'LISTA ITEMS'!$E$2:$G$875,2,FALSE)</f>
        <v>0</v>
      </c>
      <c r="G332" s="25">
        <f>VLOOKUP(E332,'LISTA ITEMS'!$E$2:$G$875,3,FALSE)</f>
        <v>0</v>
      </c>
      <c r="H332" s="76"/>
      <c r="I332" s="75">
        <v>0</v>
      </c>
      <c r="J332" s="27"/>
      <c r="K332" s="13"/>
      <c r="L332" s="67"/>
      <c r="M332" s="56"/>
      <c r="N332" s="55"/>
      <c r="O332" s="13"/>
      <c r="P332" s="71"/>
      <c r="Q332" s="31"/>
      <c r="R332" s="26">
        <f t="shared" si="16"/>
        <v>0</v>
      </c>
      <c r="S332" s="85"/>
      <c r="T332" s="84"/>
      <c r="U332" s="27"/>
      <c r="V332" s="13"/>
      <c r="W332" s="67"/>
      <c r="X332" s="56"/>
      <c r="Y332" s="55"/>
      <c r="Z332" s="13"/>
      <c r="AA332" s="71"/>
      <c r="AB332" s="31"/>
      <c r="AC332" s="26">
        <f t="shared" si="17"/>
        <v>0</v>
      </c>
      <c r="AD332" s="25"/>
      <c r="AE332" s="25"/>
      <c r="AF332" s="13"/>
      <c r="AG332" s="13"/>
      <c r="AH332" s="13"/>
    </row>
    <row r="333" spans="1:34" x14ac:dyDescent="0.3">
      <c r="A333" s="65">
        <v>27</v>
      </c>
      <c r="B333" s="25">
        <v>8</v>
      </c>
      <c r="C333" s="25">
        <v>4</v>
      </c>
      <c r="D333" s="25">
        <v>205</v>
      </c>
      <c r="E333" s="89" t="str">
        <f t="shared" si="15"/>
        <v>8-4-205</v>
      </c>
      <c r="F333" s="108" t="str">
        <f>VLOOKUP(E333,'LISTA ITEMS'!$E$2:$G$875,2,FALSE)</f>
        <v>ABRAZADERA EN U C/TUERCA HEZAGONAL</v>
      </c>
      <c r="G333" s="77" t="str">
        <f>VLOOKUP(E333,'LISTA ITEMS'!$E$2:$G$875,3,FALSE)</f>
        <v>UND</v>
      </c>
      <c r="H333" s="74">
        <v>46083</v>
      </c>
      <c r="I333" s="75">
        <v>400</v>
      </c>
      <c r="J333" s="27"/>
      <c r="K333" s="70">
        <v>46098</v>
      </c>
      <c r="L333" s="67">
        <v>0</v>
      </c>
      <c r="M333" s="54">
        <v>46098</v>
      </c>
      <c r="N333" s="55">
        <v>0</v>
      </c>
      <c r="O333" s="70">
        <v>46098</v>
      </c>
      <c r="P333" s="71">
        <v>0</v>
      </c>
      <c r="Q333" s="36">
        <v>46098</v>
      </c>
      <c r="R333" s="26">
        <f t="shared" si="16"/>
        <v>400</v>
      </c>
      <c r="S333" s="85"/>
      <c r="T333" s="84"/>
      <c r="U333" s="27"/>
      <c r="V333" s="70"/>
      <c r="W333" s="67"/>
      <c r="X333" s="54"/>
      <c r="Y333" s="55"/>
      <c r="Z333" s="70"/>
      <c r="AA333" s="71"/>
      <c r="AB333" s="31"/>
      <c r="AC333" s="26">
        <f t="shared" si="17"/>
        <v>400</v>
      </c>
      <c r="AD333" s="25"/>
      <c r="AE333" s="25"/>
      <c r="AF333" s="48">
        <v>7</v>
      </c>
      <c r="AG333" s="48">
        <v>1</v>
      </c>
      <c r="AH333" s="48" t="s">
        <v>251</v>
      </c>
    </row>
    <row r="334" spans="1:34" x14ac:dyDescent="0.3">
      <c r="A334" s="65">
        <v>230</v>
      </c>
      <c r="B334" s="25">
        <v>16</v>
      </c>
      <c r="C334" s="25">
        <v>4</v>
      </c>
      <c r="D334" s="25">
        <v>408</v>
      </c>
      <c r="E334" s="89" t="str">
        <f t="shared" si="15"/>
        <v>16-4-408</v>
      </c>
      <c r="F334" s="108" t="str">
        <f>VLOOKUP(E334,'LISTA ITEMS'!$E$2:$G$875,2,FALSE)</f>
        <v>ABRAZADERA ESPECIAL P/TUBO PVC 32mm</v>
      </c>
      <c r="G334" s="77" t="str">
        <f>VLOOKUP(E334,'LISTA ITEMS'!$E$2:$G$875,3,FALSE)</f>
        <v>UND</v>
      </c>
      <c r="H334" s="74">
        <v>46083</v>
      </c>
      <c r="I334" s="75">
        <v>0</v>
      </c>
      <c r="J334" s="27"/>
      <c r="K334" s="70">
        <v>46098</v>
      </c>
      <c r="L334" s="67">
        <v>0</v>
      </c>
      <c r="M334" s="54">
        <v>46098</v>
      </c>
      <c r="N334" s="55">
        <v>100</v>
      </c>
      <c r="O334" s="70">
        <v>46098</v>
      </c>
      <c r="P334" s="71">
        <v>100</v>
      </c>
      <c r="Q334" s="36">
        <v>46098</v>
      </c>
      <c r="R334" s="26">
        <f t="shared" si="16"/>
        <v>0</v>
      </c>
      <c r="S334" s="85"/>
      <c r="T334" s="84"/>
      <c r="U334" s="27"/>
      <c r="V334" s="70"/>
      <c r="W334" s="67"/>
      <c r="X334" s="54"/>
      <c r="Y334" s="55"/>
      <c r="Z334" s="70"/>
      <c r="AA334" s="71"/>
      <c r="AB334" s="31"/>
      <c r="AC334" s="26">
        <f t="shared" si="17"/>
        <v>0</v>
      </c>
      <c r="AD334" s="25"/>
      <c r="AE334" s="25"/>
      <c r="AF334" s="13"/>
      <c r="AG334" s="13"/>
      <c r="AH334" s="13"/>
    </row>
    <row r="335" spans="1:34" ht="28.8" x14ac:dyDescent="0.3">
      <c r="A335" s="65">
        <v>209</v>
      </c>
      <c r="B335" s="25">
        <v>16</v>
      </c>
      <c r="C335" s="25">
        <v>70</v>
      </c>
      <c r="D335" s="25">
        <v>387</v>
      </c>
      <c r="E335" s="89" t="str">
        <f t="shared" si="15"/>
        <v>16-70-387</v>
      </c>
      <c r="F335" s="108" t="str">
        <f>VLOOKUP(E335,'LISTA ITEMS'!$E$2:$G$875,2,FALSE)</f>
        <v>ACTUADOR 230V PARA V/FANCOIL 22CX230NC2 (WATTS)</v>
      </c>
      <c r="G335" s="77" t="str">
        <f>VLOOKUP(E335,'LISTA ITEMS'!$E$2:$G$875,3,FALSE)</f>
        <v>UND</v>
      </c>
      <c r="H335" s="74">
        <v>46083</v>
      </c>
      <c r="I335" s="75">
        <v>6</v>
      </c>
      <c r="J335" s="27"/>
      <c r="K335" s="70">
        <v>46098</v>
      </c>
      <c r="L335" s="67">
        <v>0</v>
      </c>
      <c r="M335" s="54">
        <v>46098</v>
      </c>
      <c r="N335" s="55">
        <v>0</v>
      </c>
      <c r="O335" s="70">
        <v>46098</v>
      </c>
      <c r="P335" s="71">
        <v>0</v>
      </c>
      <c r="Q335" s="36">
        <v>46098</v>
      </c>
      <c r="R335" s="26">
        <f t="shared" si="16"/>
        <v>6</v>
      </c>
      <c r="S335" s="85"/>
      <c r="T335" s="84"/>
      <c r="U335" s="27"/>
      <c r="V335" s="70"/>
      <c r="W335" s="67"/>
      <c r="X335" s="54"/>
      <c r="Y335" s="55"/>
      <c r="Z335" s="70"/>
      <c r="AA335" s="71"/>
      <c r="AB335" s="31"/>
      <c r="AC335" s="26">
        <f t="shared" si="17"/>
        <v>6</v>
      </c>
      <c r="AD335" s="25"/>
      <c r="AE335" s="25"/>
      <c r="AF335" s="13"/>
      <c r="AG335" s="13"/>
      <c r="AH335" s="13"/>
    </row>
    <row r="336" spans="1:34" ht="28.8" x14ac:dyDescent="0.3">
      <c r="A336" s="65">
        <v>221</v>
      </c>
      <c r="B336" s="25">
        <v>7</v>
      </c>
      <c r="C336" s="25">
        <v>78</v>
      </c>
      <c r="D336" s="25">
        <v>399</v>
      </c>
      <c r="E336" s="89" t="str">
        <f t="shared" si="15"/>
        <v>7-78-399</v>
      </c>
      <c r="F336" s="108" t="str">
        <f>VLOOKUP(E336,'LISTA ITEMS'!$E$2:$G$875,2,FALSE)</f>
        <v>ACUMULADOR AEROTERMICO HTW-AT-200SR290A</v>
      </c>
      <c r="G336" s="77" t="str">
        <f>VLOOKUP(E336,'LISTA ITEMS'!$E$2:$G$875,3,FALSE)</f>
        <v>UND</v>
      </c>
      <c r="H336" s="74">
        <v>46083</v>
      </c>
      <c r="I336" s="75">
        <v>2</v>
      </c>
      <c r="J336" s="27"/>
      <c r="K336" s="70">
        <v>46098</v>
      </c>
      <c r="L336" s="67">
        <v>0</v>
      </c>
      <c r="M336" s="54">
        <v>46098</v>
      </c>
      <c r="N336" s="55">
        <v>0</v>
      </c>
      <c r="O336" s="70">
        <v>46098</v>
      </c>
      <c r="P336" s="71">
        <v>0</v>
      </c>
      <c r="Q336" s="36">
        <v>46098</v>
      </c>
      <c r="R336" s="26">
        <f t="shared" si="16"/>
        <v>2</v>
      </c>
      <c r="S336" s="85"/>
      <c r="T336" s="84"/>
      <c r="U336" s="27"/>
      <c r="V336" s="70"/>
      <c r="W336" s="67"/>
      <c r="X336" s="54"/>
      <c r="Y336" s="55"/>
      <c r="Z336" s="70"/>
      <c r="AA336" s="71"/>
      <c r="AB336" s="31"/>
      <c r="AC336" s="26">
        <f t="shared" si="17"/>
        <v>2</v>
      </c>
      <c r="AD336" s="25"/>
      <c r="AE336" s="25"/>
      <c r="AF336" s="13"/>
      <c r="AG336" s="13"/>
      <c r="AH336" s="13"/>
    </row>
    <row r="337" spans="1:34" ht="28.8" x14ac:dyDescent="0.3">
      <c r="A337" s="65">
        <v>228</v>
      </c>
      <c r="B337" s="25">
        <v>7</v>
      </c>
      <c r="C337" s="25">
        <v>82</v>
      </c>
      <c r="D337" s="25">
        <v>406</v>
      </c>
      <c r="E337" s="89" t="str">
        <f t="shared" si="15"/>
        <v>7-82-406</v>
      </c>
      <c r="F337" s="108" t="str">
        <f>VLOOKUP(E337,'LISTA ITEMS'!$E$2:$G$875,2,FALSE)</f>
        <v>AIRE ACONDICIONADO COMPLETO SPLIT D/PARED SU12H6 (SUNECO)</v>
      </c>
      <c r="G337" s="77" t="str">
        <f>VLOOKUP(E337,'LISTA ITEMS'!$E$2:$G$875,3,FALSE)</f>
        <v>UND</v>
      </c>
      <c r="H337" s="74">
        <v>46083</v>
      </c>
      <c r="I337" s="75">
        <v>1</v>
      </c>
      <c r="J337" s="27"/>
      <c r="K337" s="70">
        <v>46098</v>
      </c>
      <c r="L337" s="67">
        <v>0</v>
      </c>
      <c r="M337" s="54">
        <v>46098</v>
      </c>
      <c r="N337" s="55">
        <v>0</v>
      </c>
      <c r="O337" s="70">
        <v>46098</v>
      </c>
      <c r="P337" s="71">
        <v>0</v>
      </c>
      <c r="Q337" s="36">
        <v>46098</v>
      </c>
      <c r="R337" s="26">
        <f t="shared" si="16"/>
        <v>1</v>
      </c>
      <c r="S337" s="85"/>
      <c r="T337" s="84"/>
      <c r="U337" s="27"/>
      <c r="V337" s="70"/>
      <c r="W337" s="67"/>
      <c r="X337" s="54"/>
      <c r="Y337" s="55"/>
      <c r="Z337" s="70"/>
      <c r="AA337" s="71"/>
      <c r="AB337" s="31"/>
      <c r="AC337" s="26">
        <f t="shared" si="17"/>
        <v>1</v>
      </c>
      <c r="AD337" s="25"/>
      <c r="AE337" s="25"/>
      <c r="AF337" s="13"/>
      <c r="AG337" s="13"/>
      <c r="AH337" s="13"/>
    </row>
    <row r="338" spans="1:34" ht="28.8" x14ac:dyDescent="0.3">
      <c r="A338" s="65">
        <v>16</v>
      </c>
      <c r="B338" s="25">
        <v>15</v>
      </c>
      <c r="C338" s="25">
        <v>25</v>
      </c>
      <c r="D338" s="25">
        <v>195</v>
      </c>
      <c r="E338" s="89" t="str">
        <f t="shared" si="15"/>
        <v>15-25-195</v>
      </c>
      <c r="F338" s="108" t="str">
        <f>VLOOKUP(E338,'LISTA ITEMS'!$E$2:$G$875,2,FALSE)</f>
        <v>ANCLAJE METALICO ROSCADO PARA PLADUR TIPO K (WURTH)</v>
      </c>
      <c r="G338" s="77" t="str">
        <f>VLOOKUP(E338,'LISTA ITEMS'!$E$2:$G$875,3,FALSE)</f>
        <v>UND</v>
      </c>
      <c r="H338" s="74">
        <v>46083</v>
      </c>
      <c r="I338" s="75">
        <v>16</v>
      </c>
      <c r="J338" s="27"/>
      <c r="K338" s="70">
        <v>46098</v>
      </c>
      <c r="L338" s="67">
        <v>0</v>
      </c>
      <c r="M338" s="54">
        <v>46098</v>
      </c>
      <c r="N338" s="55">
        <v>0</v>
      </c>
      <c r="O338" s="70">
        <v>46098</v>
      </c>
      <c r="P338" s="71">
        <v>0</v>
      </c>
      <c r="Q338" s="36">
        <v>46098</v>
      </c>
      <c r="R338" s="26">
        <f t="shared" si="16"/>
        <v>16</v>
      </c>
      <c r="S338" s="85"/>
      <c r="T338" s="84"/>
      <c r="U338" s="27"/>
      <c r="V338" s="70"/>
      <c r="W338" s="67"/>
      <c r="X338" s="54"/>
      <c r="Y338" s="55"/>
      <c r="Z338" s="70"/>
      <c r="AA338" s="71"/>
      <c r="AB338" s="31"/>
      <c r="AC338" s="26">
        <f t="shared" si="17"/>
        <v>16</v>
      </c>
      <c r="AD338" s="25"/>
      <c r="AE338" s="25"/>
      <c r="AF338" s="48">
        <v>7</v>
      </c>
      <c r="AG338" s="48">
        <v>1</v>
      </c>
      <c r="AH338" s="48" t="s">
        <v>45</v>
      </c>
    </row>
    <row r="339" spans="1:34" ht="28.8" x14ac:dyDescent="0.3">
      <c r="A339" s="65">
        <v>73</v>
      </c>
      <c r="B339" s="25">
        <v>13</v>
      </c>
      <c r="C339" s="25">
        <v>25</v>
      </c>
      <c r="D339" s="25">
        <v>255</v>
      </c>
      <c r="E339" s="89" t="str">
        <f t="shared" si="15"/>
        <v>13-25-255</v>
      </c>
      <c r="F339" s="108" t="str">
        <f>VLOOKUP(E339,'LISTA ITEMS'!$E$2:$G$875,2,FALSE)</f>
        <v>ANCLAJE PLASTICO MULTIUSO C/COLLARIN 10X61MM</v>
      </c>
      <c r="G339" s="77" t="str">
        <f>VLOOKUP(E339,'LISTA ITEMS'!$E$2:$G$875,3,FALSE)</f>
        <v>UND</v>
      </c>
      <c r="H339" s="74">
        <v>46083</v>
      </c>
      <c r="I339" s="75">
        <v>1720</v>
      </c>
      <c r="J339" s="27"/>
      <c r="K339" s="70">
        <v>46098</v>
      </c>
      <c r="L339" s="67">
        <v>10</v>
      </c>
      <c r="M339" s="54">
        <v>46098</v>
      </c>
      <c r="N339" s="55">
        <v>200</v>
      </c>
      <c r="O339" s="70">
        <v>46098</v>
      </c>
      <c r="P339" s="71">
        <v>50</v>
      </c>
      <c r="Q339" s="36">
        <v>46098</v>
      </c>
      <c r="R339" s="26">
        <f t="shared" si="16"/>
        <v>1880</v>
      </c>
      <c r="S339" s="85"/>
      <c r="T339" s="84"/>
      <c r="U339" s="27"/>
      <c r="V339" s="70"/>
      <c r="W339" s="67"/>
      <c r="X339" s="54"/>
      <c r="Y339" s="55"/>
      <c r="Z339" s="70"/>
      <c r="AA339" s="71"/>
      <c r="AB339" s="31"/>
      <c r="AC339" s="26">
        <f t="shared" si="17"/>
        <v>1880</v>
      </c>
      <c r="AD339" s="25"/>
      <c r="AE339" s="25"/>
      <c r="AF339" s="48">
        <v>7</v>
      </c>
      <c r="AG339" s="48">
        <v>2</v>
      </c>
      <c r="AH339" s="48" t="s">
        <v>339</v>
      </c>
    </row>
    <row r="340" spans="1:34" ht="28.8" x14ac:dyDescent="0.3">
      <c r="A340" s="65">
        <v>74</v>
      </c>
      <c r="B340" s="25">
        <v>13</v>
      </c>
      <c r="C340" s="25">
        <v>25</v>
      </c>
      <c r="D340" s="25">
        <v>256</v>
      </c>
      <c r="E340" s="89" t="str">
        <f t="shared" si="15"/>
        <v>13-25-256</v>
      </c>
      <c r="F340" s="108" t="str">
        <f>VLOOKUP(E340,'LISTA ITEMS'!$E$2:$G$875,2,FALSE)</f>
        <v>ANCLAJE PLASTICO MULTIUSO C/COLLARIN 12X71MM</v>
      </c>
      <c r="G340" s="77" t="str">
        <f>VLOOKUP(E340,'LISTA ITEMS'!$E$2:$G$875,3,FALSE)</f>
        <v>UND</v>
      </c>
      <c r="H340" s="74">
        <v>46083</v>
      </c>
      <c r="I340" s="75">
        <v>150</v>
      </c>
      <c r="J340" s="27"/>
      <c r="K340" s="70">
        <v>46098</v>
      </c>
      <c r="L340" s="67">
        <v>0</v>
      </c>
      <c r="M340" s="54">
        <v>46098</v>
      </c>
      <c r="N340" s="55">
        <v>0</v>
      </c>
      <c r="O340" s="70">
        <v>46098</v>
      </c>
      <c r="P340" s="71">
        <v>0</v>
      </c>
      <c r="Q340" s="36">
        <v>46098</v>
      </c>
      <c r="R340" s="26">
        <f t="shared" si="16"/>
        <v>150</v>
      </c>
      <c r="S340" s="85"/>
      <c r="T340" s="84"/>
      <c r="U340" s="27"/>
      <c r="V340" s="70"/>
      <c r="W340" s="67"/>
      <c r="X340" s="54"/>
      <c r="Y340" s="55"/>
      <c r="Z340" s="70"/>
      <c r="AA340" s="71"/>
      <c r="AB340" s="31"/>
      <c r="AC340" s="26">
        <f t="shared" si="17"/>
        <v>150</v>
      </c>
      <c r="AD340" s="25"/>
      <c r="AE340" s="25"/>
      <c r="AF340" s="48">
        <v>7</v>
      </c>
      <c r="AG340" s="48">
        <v>2</v>
      </c>
      <c r="AH340" s="48" t="s">
        <v>339</v>
      </c>
    </row>
    <row r="341" spans="1:34" ht="28.8" x14ac:dyDescent="0.3">
      <c r="A341" s="65">
        <v>71</v>
      </c>
      <c r="B341" s="25">
        <v>13</v>
      </c>
      <c r="C341" s="25">
        <v>25</v>
      </c>
      <c r="D341" s="25">
        <v>253</v>
      </c>
      <c r="E341" s="89" t="str">
        <f t="shared" si="15"/>
        <v>13-25-253</v>
      </c>
      <c r="F341" s="108" t="str">
        <f>VLOOKUP(E341,'LISTA ITEMS'!$E$2:$G$875,2,FALSE)</f>
        <v>ANCLAJE PLASTICO MULTIUSO C/COLLARIN 6X36MM</v>
      </c>
      <c r="G341" s="77" t="str">
        <f>VLOOKUP(E341,'LISTA ITEMS'!$E$2:$G$875,3,FALSE)</f>
        <v>UND</v>
      </c>
      <c r="H341" s="74">
        <v>46083</v>
      </c>
      <c r="I341" s="75">
        <v>1000</v>
      </c>
      <c r="J341" s="27"/>
      <c r="K341" s="70">
        <v>46098</v>
      </c>
      <c r="L341" s="67">
        <v>0</v>
      </c>
      <c r="M341" s="54">
        <v>46098</v>
      </c>
      <c r="N341" s="55">
        <v>0</v>
      </c>
      <c r="O341" s="70">
        <v>46098</v>
      </c>
      <c r="P341" s="71">
        <v>0</v>
      </c>
      <c r="Q341" s="36">
        <v>46098</v>
      </c>
      <c r="R341" s="26">
        <f t="shared" si="16"/>
        <v>1000</v>
      </c>
      <c r="S341" s="85"/>
      <c r="T341" s="84"/>
      <c r="U341" s="27"/>
      <c r="V341" s="70"/>
      <c r="W341" s="67"/>
      <c r="X341" s="54"/>
      <c r="Y341" s="55"/>
      <c r="Z341" s="70"/>
      <c r="AA341" s="71"/>
      <c r="AB341" s="31"/>
      <c r="AC341" s="26">
        <f t="shared" si="17"/>
        <v>1000</v>
      </c>
      <c r="AD341" s="25"/>
      <c r="AE341" s="25"/>
      <c r="AF341" s="48">
        <v>7</v>
      </c>
      <c r="AG341" s="48">
        <v>2</v>
      </c>
      <c r="AH341" s="48" t="s">
        <v>339</v>
      </c>
    </row>
    <row r="342" spans="1:34" ht="28.8" x14ac:dyDescent="0.3">
      <c r="A342" s="65">
        <v>72</v>
      </c>
      <c r="B342" s="25">
        <v>13</v>
      </c>
      <c r="C342" s="25">
        <v>25</v>
      </c>
      <c r="D342" s="25">
        <v>254</v>
      </c>
      <c r="E342" s="89" t="str">
        <f t="shared" si="15"/>
        <v>13-25-254</v>
      </c>
      <c r="F342" s="108" t="str">
        <f>VLOOKUP(E342,'LISTA ITEMS'!$E$2:$G$875,2,FALSE)</f>
        <v>ANCLAJE PLASTICO MULTIUSO C/COLLARIN 8X51MM</v>
      </c>
      <c r="G342" s="77" t="str">
        <f>VLOOKUP(E342,'LISTA ITEMS'!$E$2:$G$875,3,FALSE)</f>
        <v>UND</v>
      </c>
      <c r="H342" s="74">
        <v>46083</v>
      </c>
      <c r="I342" s="75">
        <v>600</v>
      </c>
      <c r="J342" s="27"/>
      <c r="K342" s="70">
        <v>46098</v>
      </c>
      <c r="L342" s="67">
        <v>0</v>
      </c>
      <c r="M342" s="54">
        <v>46098</v>
      </c>
      <c r="N342" s="55">
        <v>0</v>
      </c>
      <c r="O342" s="70">
        <v>46098</v>
      </c>
      <c r="P342" s="71">
        <v>0</v>
      </c>
      <c r="Q342" s="36">
        <v>46098</v>
      </c>
      <c r="R342" s="26">
        <f t="shared" si="16"/>
        <v>600</v>
      </c>
      <c r="S342" s="85"/>
      <c r="T342" s="84"/>
      <c r="U342" s="27"/>
      <c r="V342" s="70"/>
      <c r="W342" s="67"/>
      <c r="X342" s="54"/>
      <c r="Y342" s="55"/>
      <c r="Z342" s="70"/>
      <c r="AA342" s="71"/>
      <c r="AB342" s="31"/>
      <c r="AC342" s="26">
        <f t="shared" si="17"/>
        <v>600</v>
      </c>
      <c r="AD342" s="25"/>
      <c r="AE342" s="25"/>
      <c r="AF342" s="48">
        <v>7</v>
      </c>
      <c r="AG342" s="48">
        <v>2</v>
      </c>
      <c r="AH342" s="48" t="s">
        <v>339</v>
      </c>
    </row>
    <row r="343" spans="1:34" ht="28.8" x14ac:dyDescent="0.3">
      <c r="A343" s="65">
        <v>70</v>
      </c>
      <c r="B343" s="25">
        <v>13</v>
      </c>
      <c r="C343" s="25">
        <v>25</v>
      </c>
      <c r="D343" s="25">
        <v>252</v>
      </c>
      <c r="E343" s="89" t="str">
        <f t="shared" si="15"/>
        <v>13-25-252</v>
      </c>
      <c r="F343" s="108" t="str">
        <f>VLOOKUP(E343,'LISTA ITEMS'!$E$2:$G$875,2,FALSE)</f>
        <v>ANCLAJE PLASTICO MULTIUSO NYLON 2ALAS 14X100</v>
      </c>
      <c r="G343" s="77" t="str">
        <f>VLOOKUP(E343,'LISTA ITEMS'!$E$2:$G$875,3,FALSE)</f>
        <v>UND</v>
      </c>
      <c r="H343" s="74">
        <v>46083</v>
      </c>
      <c r="I343" s="75">
        <v>50</v>
      </c>
      <c r="J343" s="27"/>
      <c r="K343" s="70">
        <v>46098</v>
      </c>
      <c r="L343" s="67">
        <v>0</v>
      </c>
      <c r="M343" s="54">
        <v>46098</v>
      </c>
      <c r="N343" s="55">
        <v>0</v>
      </c>
      <c r="O343" s="70">
        <v>46098</v>
      </c>
      <c r="P343" s="71">
        <v>0</v>
      </c>
      <c r="Q343" s="36">
        <v>46098</v>
      </c>
      <c r="R343" s="26">
        <f t="shared" si="16"/>
        <v>50</v>
      </c>
      <c r="S343" s="85"/>
      <c r="T343" s="84"/>
      <c r="U343" s="27"/>
      <c r="V343" s="70"/>
      <c r="W343" s="67"/>
      <c r="X343" s="54"/>
      <c r="Y343" s="55"/>
      <c r="Z343" s="70"/>
      <c r="AA343" s="71"/>
      <c r="AB343" s="31"/>
      <c r="AC343" s="26">
        <f t="shared" si="17"/>
        <v>50</v>
      </c>
      <c r="AD343" s="25"/>
      <c r="AE343" s="25"/>
      <c r="AF343" s="48">
        <v>7</v>
      </c>
      <c r="AG343" s="48">
        <v>2</v>
      </c>
      <c r="AH343" s="48" t="s">
        <v>339</v>
      </c>
    </row>
    <row r="344" spans="1:34" ht="28.8" x14ac:dyDescent="0.3">
      <c r="A344" s="65">
        <v>15</v>
      </c>
      <c r="B344" s="25">
        <v>13</v>
      </c>
      <c r="C344" s="25">
        <v>25</v>
      </c>
      <c r="D344" s="25">
        <v>194</v>
      </c>
      <c r="E344" s="89" t="str">
        <f t="shared" si="15"/>
        <v>13-25-194</v>
      </c>
      <c r="F344" s="108" t="str">
        <f>VLOOKUP(E344,'LISTA ITEMS'!$E$2:$G$875,2,FALSE)</f>
        <v>ANCLAJE PLASTICO ROSCADO PARA CARTON Y PLADUR TIPO K (WURTH)</v>
      </c>
      <c r="G344" s="77" t="str">
        <f>VLOOKUP(E344,'LISTA ITEMS'!$E$2:$G$875,3,FALSE)</f>
        <v>UND</v>
      </c>
      <c r="H344" s="74">
        <v>46083</v>
      </c>
      <c r="I344" s="75">
        <v>160</v>
      </c>
      <c r="J344" s="27"/>
      <c r="K344" s="70">
        <v>46098</v>
      </c>
      <c r="L344" s="67">
        <v>0</v>
      </c>
      <c r="M344" s="54">
        <v>46098</v>
      </c>
      <c r="N344" s="55">
        <v>0</v>
      </c>
      <c r="O344" s="70">
        <v>46098</v>
      </c>
      <c r="P344" s="71">
        <v>0</v>
      </c>
      <c r="Q344" s="36">
        <v>46098</v>
      </c>
      <c r="R344" s="26">
        <f t="shared" si="16"/>
        <v>160</v>
      </c>
      <c r="S344" s="85"/>
      <c r="T344" s="84"/>
      <c r="U344" s="27"/>
      <c r="V344" s="70"/>
      <c r="W344" s="67"/>
      <c r="X344" s="54"/>
      <c r="Y344" s="55"/>
      <c r="Z344" s="70"/>
      <c r="AA344" s="71"/>
      <c r="AB344" s="31"/>
      <c r="AC344" s="26">
        <f t="shared" si="17"/>
        <v>160</v>
      </c>
      <c r="AD344" s="25"/>
      <c r="AE344" s="25"/>
      <c r="AF344" s="48">
        <v>7</v>
      </c>
      <c r="AG344" s="48">
        <v>1</v>
      </c>
      <c r="AH344" s="48" t="s">
        <v>45</v>
      </c>
    </row>
    <row r="345" spans="1:34" x14ac:dyDescent="0.3">
      <c r="A345" s="65">
        <v>21</v>
      </c>
      <c r="B345" s="25">
        <v>8</v>
      </c>
      <c r="C345" s="25">
        <v>28</v>
      </c>
      <c r="D345" s="25">
        <v>200</v>
      </c>
      <c r="E345" s="89" t="str">
        <f t="shared" si="15"/>
        <v>8-28-200</v>
      </c>
      <c r="F345" s="108" t="str">
        <f>VLOOKUP(E345,'LISTA ITEMS'!$E$2:$G$875,2,FALSE)</f>
        <v>ARANDELA A/GALVANIZADO 6.4X18X1.5</v>
      </c>
      <c r="G345" s="77" t="str">
        <f>VLOOKUP(E345,'LISTA ITEMS'!$E$2:$G$875,3,FALSE)</f>
        <v>UND</v>
      </c>
      <c r="H345" s="74">
        <v>46083</v>
      </c>
      <c r="I345" s="75">
        <v>200</v>
      </c>
      <c r="J345" s="27"/>
      <c r="K345" s="70">
        <v>46098</v>
      </c>
      <c r="L345" s="67">
        <v>0</v>
      </c>
      <c r="M345" s="54">
        <v>46098</v>
      </c>
      <c r="N345" s="55">
        <v>0</v>
      </c>
      <c r="O345" s="70">
        <v>46098</v>
      </c>
      <c r="P345" s="71">
        <v>0</v>
      </c>
      <c r="Q345" s="36">
        <v>46098</v>
      </c>
      <c r="R345" s="26">
        <f t="shared" si="16"/>
        <v>200</v>
      </c>
      <c r="S345" s="85"/>
      <c r="T345" s="84"/>
      <c r="U345" s="27"/>
      <c r="V345" s="70"/>
      <c r="W345" s="67"/>
      <c r="X345" s="54"/>
      <c r="Y345" s="55"/>
      <c r="Z345" s="70"/>
      <c r="AA345" s="71"/>
      <c r="AB345" s="31"/>
      <c r="AC345" s="26">
        <f t="shared" si="17"/>
        <v>200</v>
      </c>
      <c r="AD345" s="25"/>
      <c r="AE345" s="25"/>
      <c r="AF345" s="48">
        <v>7</v>
      </c>
      <c r="AG345" s="48">
        <v>1</v>
      </c>
      <c r="AH345" s="48" t="s">
        <v>45</v>
      </c>
    </row>
    <row r="346" spans="1:34" x14ac:dyDescent="0.3">
      <c r="A346" s="65">
        <v>22</v>
      </c>
      <c r="B346" s="25">
        <v>8</v>
      </c>
      <c r="C346" s="25">
        <v>28</v>
      </c>
      <c r="D346" s="25">
        <v>201</v>
      </c>
      <c r="E346" s="89" t="str">
        <f t="shared" si="15"/>
        <v>8-28-201</v>
      </c>
      <c r="F346" s="108" t="str">
        <f>VLOOKUP(E346,'LISTA ITEMS'!$E$2:$G$875,2,FALSE)</f>
        <v>ARANDELA A/GALVANIZADO 8.4X20X1.25</v>
      </c>
      <c r="G346" s="77" t="str">
        <f>VLOOKUP(E346,'LISTA ITEMS'!$E$2:$G$875,3,FALSE)</f>
        <v>UND</v>
      </c>
      <c r="H346" s="74">
        <v>46083</v>
      </c>
      <c r="I346" s="75">
        <v>100</v>
      </c>
      <c r="J346" s="27"/>
      <c r="K346" s="70">
        <v>46098</v>
      </c>
      <c r="L346" s="67">
        <v>0</v>
      </c>
      <c r="M346" s="54">
        <v>46098</v>
      </c>
      <c r="N346" s="55">
        <v>0</v>
      </c>
      <c r="O346" s="70">
        <v>46098</v>
      </c>
      <c r="P346" s="71">
        <v>0</v>
      </c>
      <c r="Q346" s="36">
        <v>46098</v>
      </c>
      <c r="R346" s="26">
        <f t="shared" si="16"/>
        <v>100</v>
      </c>
      <c r="S346" s="85"/>
      <c r="T346" s="84"/>
      <c r="U346" s="27"/>
      <c r="V346" s="70"/>
      <c r="W346" s="67"/>
      <c r="X346" s="54"/>
      <c r="Y346" s="55"/>
      <c r="Z346" s="70"/>
      <c r="AA346" s="71"/>
      <c r="AB346" s="31"/>
      <c r="AC346" s="26">
        <f t="shared" si="17"/>
        <v>100</v>
      </c>
      <c r="AD346" s="25"/>
      <c r="AE346" s="25"/>
      <c r="AF346" s="48">
        <v>7</v>
      </c>
      <c r="AG346" s="48">
        <v>1</v>
      </c>
      <c r="AH346" s="48" t="s">
        <v>45</v>
      </c>
    </row>
    <row r="347" spans="1:34" ht="28.8" x14ac:dyDescent="0.3">
      <c r="A347" s="65">
        <v>76</v>
      </c>
      <c r="B347" s="25">
        <v>8</v>
      </c>
      <c r="C347" s="25">
        <v>28</v>
      </c>
      <c r="D347" s="25">
        <v>258</v>
      </c>
      <c r="E347" s="89" t="str">
        <f t="shared" si="15"/>
        <v>8-28-258</v>
      </c>
      <c r="F347" s="108" t="str">
        <f>VLOOKUP(E347,'LISTA ITEMS'!$E$2:$G$875,2,FALSE)</f>
        <v>ARANDELA A/GALVANIZADO P/CARROCERIA 8.4X25X1.25</v>
      </c>
      <c r="G347" s="77" t="str">
        <f>VLOOKUP(E347,'LISTA ITEMS'!$E$2:$G$875,3,FALSE)</f>
        <v>UND</v>
      </c>
      <c r="H347" s="74">
        <v>46083</v>
      </c>
      <c r="I347" s="75">
        <v>450</v>
      </c>
      <c r="J347" s="27"/>
      <c r="K347" s="70">
        <v>46098</v>
      </c>
      <c r="L347" s="67">
        <v>0</v>
      </c>
      <c r="M347" s="54">
        <v>46098</v>
      </c>
      <c r="N347" s="55">
        <v>0</v>
      </c>
      <c r="O347" s="70">
        <v>46098</v>
      </c>
      <c r="P347" s="71">
        <v>0</v>
      </c>
      <c r="Q347" s="36">
        <v>46098</v>
      </c>
      <c r="R347" s="26">
        <f t="shared" si="16"/>
        <v>450</v>
      </c>
      <c r="S347" s="85"/>
      <c r="T347" s="84"/>
      <c r="U347" s="27"/>
      <c r="V347" s="70"/>
      <c r="W347" s="67"/>
      <c r="X347" s="54"/>
      <c r="Y347" s="55"/>
      <c r="Z347" s="70"/>
      <c r="AA347" s="71"/>
      <c r="AB347" s="31"/>
      <c r="AC347" s="26">
        <f t="shared" si="17"/>
        <v>450</v>
      </c>
      <c r="AD347" s="25"/>
      <c r="AE347" s="25"/>
      <c r="AF347" s="48">
        <v>7</v>
      </c>
      <c r="AG347" s="48">
        <v>2</v>
      </c>
      <c r="AH347" s="48" t="s">
        <v>45</v>
      </c>
    </row>
    <row r="348" spans="1:34" ht="28.8" x14ac:dyDescent="0.3">
      <c r="A348" s="65">
        <v>75</v>
      </c>
      <c r="B348" s="25">
        <v>8</v>
      </c>
      <c r="C348" s="25">
        <v>28</v>
      </c>
      <c r="D348" s="25">
        <v>257</v>
      </c>
      <c r="E348" s="89" t="str">
        <f t="shared" si="15"/>
        <v>8-28-257</v>
      </c>
      <c r="F348" s="108" t="str">
        <f>VLOOKUP(E348,'LISTA ITEMS'!$E$2:$G$875,2,FALSE)</f>
        <v>ARANDELA A/GALVANIZADO P/CARROCERIA 8.4X30X1.5</v>
      </c>
      <c r="G348" s="77" t="str">
        <f>VLOOKUP(E348,'LISTA ITEMS'!$E$2:$G$875,3,FALSE)</f>
        <v>UND</v>
      </c>
      <c r="H348" s="74">
        <v>46083</v>
      </c>
      <c r="I348" s="75">
        <v>800</v>
      </c>
      <c r="J348" s="27"/>
      <c r="K348" s="70">
        <v>46098</v>
      </c>
      <c r="L348" s="67">
        <v>0</v>
      </c>
      <c r="M348" s="54">
        <v>46098</v>
      </c>
      <c r="N348" s="55">
        <v>0</v>
      </c>
      <c r="O348" s="70">
        <v>46098</v>
      </c>
      <c r="P348" s="71">
        <v>0</v>
      </c>
      <c r="Q348" s="36">
        <v>46098</v>
      </c>
      <c r="R348" s="26">
        <f t="shared" si="16"/>
        <v>800</v>
      </c>
      <c r="S348" s="85"/>
      <c r="T348" s="84"/>
      <c r="U348" s="27"/>
      <c r="V348" s="70"/>
      <c r="W348" s="67"/>
      <c r="X348" s="54"/>
      <c r="Y348" s="55"/>
      <c r="Z348" s="70"/>
      <c r="AA348" s="71"/>
      <c r="AB348" s="31"/>
      <c r="AC348" s="26">
        <f t="shared" si="17"/>
        <v>800</v>
      </c>
      <c r="AD348" s="25"/>
      <c r="AE348" s="25"/>
      <c r="AF348" s="48">
        <v>7</v>
      </c>
      <c r="AG348" s="48">
        <v>2</v>
      </c>
      <c r="AH348" s="48" t="s">
        <v>45</v>
      </c>
    </row>
    <row r="349" spans="1:34" ht="28.8" x14ac:dyDescent="0.3">
      <c r="A349" s="65">
        <v>82</v>
      </c>
      <c r="B349" s="25">
        <v>1</v>
      </c>
      <c r="C349" s="25">
        <v>28</v>
      </c>
      <c r="D349" s="25">
        <v>264</v>
      </c>
      <c r="E349" s="89" t="str">
        <f t="shared" si="15"/>
        <v>1-28-264</v>
      </c>
      <c r="F349" s="108" t="str">
        <f>VLOOKUP(E349,'LISTA ITEMS'!$E$2:$G$875,2,FALSE)</f>
        <v>ARANDELA A/INOX 11X20mm PARA TORN. M8/M10</v>
      </c>
      <c r="G349" s="77" t="str">
        <f>VLOOKUP(E349,'LISTA ITEMS'!$E$2:$G$875,3,FALSE)</f>
        <v>UND</v>
      </c>
      <c r="H349" s="74">
        <v>46083</v>
      </c>
      <c r="I349" s="75">
        <v>214</v>
      </c>
      <c r="J349" s="27"/>
      <c r="K349" s="70">
        <v>46098</v>
      </c>
      <c r="L349" s="67">
        <v>0</v>
      </c>
      <c r="M349" s="54">
        <v>46098</v>
      </c>
      <c r="N349" s="55">
        <v>0</v>
      </c>
      <c r="O349" s="70">
        <v>46098</v>
      </c>
      <c r="P349" s="71">
        <v>0</v>
      </c>
      <c r="Q349" s="36">
        <v>46098</v>
      </c>
      <c r="R349" s="26">
        <f t="shared" si="16"/>
        <v>214</v>
      </c>
      <c r="S349" s="85"/>
      <c r="T349" s="84"/>
      <c r="U349" s="27"/>
      <c r="V349" s="70"/>
      <c r="W349" s="67"/>
      <c r="X349" s="54"/>
      <c r="Y349" s="55"/>
      <c r="Z349" s="70"/>
      <c r="AA349" s="71"/>
      <c r="AB349" s="31"/>
      <c r="AC349" s="26">
        <f t="shared" si="17"/>
        <v>214</v>
      </c>
      <c r="AD349" s="25"/>
      <c r="AE349" s="25"/>
      <c r="AF349" s="48">
        <v>7</v>
      </c>
      <c r="AG349" s="48">
        <v>2</v>
      </c>
      <c r="AH349" s="48" t="s">
        <v>45</v>
      </c>
    </row>
    <row r="350" spans="1:34" x14ac:dyDescent="0.3">
      <c r="A350" s="65">
        <v>81</v>
      </c>
      <c r="B350" s="25">
        <v>1</v>
      </c>
      <c r="C350" s="25">
        <v>28</v>
      </c>
      <c r="D350" s="25">
        <v>263</v>
      </c>
      <c r="E350" s="89" t="str">
        <f t="shared" si="15"/>
        <v>1-28-263</v>
      </c>
      <c r="F350" s="108" t="str">
        <f>VLOOKUP(E350,'LISTA ITEMS'!$E$2:$G$875,2,FALSE)</f>
        <v>ARANDELA A/INOX 9X1.5 PARA TORN. M8</v>
      </c>
      <c r="G350" s="77" t="str">
        <f>VLOOKUP(E350,'LISTA ITEMS'!$E$2:$G$875,3,FALSE)</f>
        <v>UND</v>
      </c>
      <c r="H350" s="74">
        <v>46083</v>
      </c>
      <c r="I350" s="75">
        <v>486</v>
      </c>
      <c r="J350" s="27"/>
      <c r="K350" s="70">
        <v>46098</v>
      </c>
      <c r="L350" s="67">
        <v>0</v>
      </c>
      <c r="M350" s="54">
        <v>46098</v>
      </c>
      <c r="N350" s="55">
        <v>0</v>
      </c>
      <c r="O350" s="70">
        <v>46098</v>
      </c>
      <c r="P350" s="71">
        <v>0</v>
      </c>
      <c r="Q350" s="36">
        <v>46098</v>
      </c>
      <c r="R350" s="26">
        <f t="shared" si="16"/>
        <v>486</v>
      </c>
      <c r="S350" s="85"/>
      <c r="T350" s="84"/>
      <c r="U350" s="27"/>
      <c r="V350" s="70"/>
      <c r="W350" s="67"/>
      <c r="X350" s="54"/>
      <c r="Y350" s="55"/>
      <c r="Z350" s="70"/>
      <c r="AA350" s="71"/>
      <c r="AB350" s="31"/>
      <c r="AC350" s="26">
        <f t="shared" si="17"/>
        <v>486</v>
      </c>
      <c r="AD350" s="25"/>
      <c r="AE350" s="25"/>
      <c r="AF350" s="48">
        <v>7</v>
      </c>
      <c r="AG350" s="48">
        <v>2</v>
      </c>
      <c r="AH350" s="48" t="s">
        <v>45</v>
      </c>
    </row>
    <row r="351" spans="1:34" ht="28.8" x14ac:dyDescent="0.3">
      <c r="A351" s="65">
        <v>79</v>
      </c>
      <c r="B351" s="25">
        <v>1</v>
      </c>
      <c r="C351" s="25">
        <v>28</v>
      </c>
      <c r="D351" s="25">
        <v>261</v>
      </c>
      <c r="E351" s="89" t="str">
        <f t="shared" si="15"/>
        <v>1-28-261</v>
      </c>
      <c r="F351" s="108" t="str">
        <f>VLOOKUP(E351,'LISTA ITEMS'!$E$2:$G$875,2,FALSE)</f>
        <v>ARANDELA DE PRESION A/INOX PARA TORN. M8</v>
      </c>
      <c r="G351" s="77" t="str">
        <f>VLOOKUP(E351,'LISTA ITEMS'!$E$2:$G$875,3,FALSE)</f>
        <v>UND</v>
      </c>
      <c r="H351" s="74">
        <v>46083</v>
      </c>
      <c r="I351" s="75">
        <v>273</v>
      </c>
      <c r="J351" s="27"/>
      <c r="K351" s="70">
        <v>46098</v>
      </c>
      <c r="L351" s="67">
        <v>0</v>
      </c>
      <c r="M351" s="54">
        <v>46098</v>
      </c>
      <c r="N351" s="55">
        <v>0</v>
      </c>
      <c r="O351" s="70">
        <v>46098</v>
      </c>
      <c r="P351" s="71">
        <v>0</v>
      </c>
      <c r="Q351" s="36">
        <v>46098</v>
      </c>
      <c r="R351" s="26">
        <f t="shared" si="16"/>
        <v>273</v>
      </c>
      <c r="S351" s="85"/>
      <c r="T351" s="84"/>
      <c r="U351" s="27"/>
      <c r="V351" s="70"/>
      <c r="W351" s="67"/>
      <c r="X351" s="54"/>
      <c r="Y351" s="55"/>
      <c r="Z351" s="70"/>
      <c r="AA351" s="71"/>
      <c r="AB351" s="31"/>
      <c r="AC351" s="26">
        <f t="shared" si="17"/>
        <v>273</v>
      </c>
      <c r="AD351" s="25"/>
      <c r="AE351" s="25"/>
      <c r="AF351" s="48">
        <v>7</v>
      </c>
      <c r="AG351" s="48">
        <v>2</v>
      </c>
      <c r="AH351" s="48" t="s">
        <v>45</v>
      </c>
    </row>
    <row r="352" spans="1:34" ht="28.8" x14ac:dyDescent="0.3">
      <c r="A352" s="65">
        <v>24</v>
      </c>
      <c r="B352" s="25">
        <v>8</v>
      </c>
      <c r="C352" s="25">
        <v>29</v>
      </c>
      <c r="D352" s="25">
        <v>202</v>
      </c>
      <c r="E352" s="89" t="str">
        <f t="shared" si="15"/>
        <v>8-29-202</v>
      </c>
      <c r="F352" s="108" t="str">
        <f>VLOOKUP(E352,'LISTA ITEMS'!$E$2:$G$875,2,FALSE)</f>
        <v>ARGOLLA  A/GALVANIZADO R/PARCIAL Ꝋ23 12X190</v>
      </c>
      <c r="G352" s="77" t="str">
        <f>VLOOKUP(E352,'LISTA ITEMS'!$E$2:$G$875,3,FALSE)</f>
        <v>UND</v>
      </c>
      <c r="H352" s="74">
        <v>46083</v>
      </c>
      <c r="I352" s="75">
        <v>47</v>
      </c>
      <c r="J352" s="27"/>
      <c r="K352" s="70">
        <v>46098</v>
      </c>
      <c r="L352" s="67">
        <v>0</v>
      </c>
      <c r="M352" s="54">
        <v>46098</v>
      </c>
      <c r="N352" s="55">
        <v>0</v>
      </c>
      <c r="O352" s="70">
        <v>46098</v>
      </c>
      <c r="P352" s="71">
        <v>0</v>
      </c>
      <c r="Q352" s="36">
        <v>46098</v>
      </c>
      <c r="R352" s="26">
        <f t="shared" si="16"/>
        <v>47</v>
      </c>
      <c r="S352" s="85"/>
      <c r="T352" s="84"/>
      <c r="U352" s="27"/>
      <c r="V352" s="70"/>
      <c r="W352" s="67"/>
      <c r="X352" s="54"/>
      <c r="Y352" s="55"/>
      <c r="Z352" s="70"/>
      <c r="AA352" s="71"/>
      <c r="AB352" s="31"/>
      <c r="AC352" s="26">
        <f t="shared" si="17"/>
        <v>47</v>
      </c>
      <c r="AD352" s="25"/>
      <c r="AE352" s="25"/>
      <c r="AF352" s="48">
        <v>7</v>
      </c>
      <c r="AG352" s="48">
        <v>1</v>
      </c>
      <c r="AH352" s="48" t="s">
        <v>252</v>
      </c>
    </row>
    <row r="353" spans="1:34" x14ac:dyDescent="0.3">
      <c r="A353" s="65">
        <v>179</v>
      </c>
      <c r="B353" s="25">
        <v>8</v>
      </c>
      <c r="C353" s="25">
        <v>64</v>
      </c>
      <c r="D353" s="25">
        <v>358</v>
      </c>
      <c r="E353" s="89" t="str">
        <f t="shared" si="15"/>
        <v>8-64-358</v>
      </c>
      <c r="F353" s="108" t="str">
        <f>VLOOKUP(E353,'LISTA ITEMS'!$E$2:$G$875,2,FALSE)</f>
        <v>BARILLA ROSCADA M8 A/GALV X1000</v>
      </c>
      <c r="G353" s="77" t="str">
        <f>VLOOKUP(E353,'LISTA ITEMS'!$E$2:$G$875,3,FALSE)</f>
        <v>UND</v>
      </c>
      <c r="H353" s="74">
        <v>46083</v>
      </c>
      <c r="I353" s="75">
        <v>123</v>
      </c>
      <c r="J353" s="27"/>
      <c r="K353" s="70">
        <v>46098</v>
      </c>
      <c r="L353" s="67">
        <v>10</v>
      </c>
      <c r="M353" s="54">
        <v>46098</v>
      </c>
      <c r="N353" s="55">
        <v>0</v>
      </c>
      <c r="O353" s="70">
        <v>46098</v>
      </c>
      <c r="P353" s="71">
        <v>20</v>
      </c>
      <c r="Q353" s="36">
        <v>46098</v>
      </c>
      <c r="R353" s="26">
        <f t="shared" si="16"/>
        <v>113</v>
      </c>
      <c r="S353" s="85"/>
      <c r="T353" s="84"/>
      <c r="U353" s="27"/>
      <c r="V353" s="70"/>
      <c r="W353" s="67"/>
      <c r="X353" s="54"/>
      <c r="Y353" s="55"/>
      <c r="Z353" s="70"/>
      <c r="AA353" s="71"/>
      <c r="AB353" s="31"/>
      <c r="AC353" s="26">
        <f t="shared" si="17"/>
        <v>113</v>
      </c>
      <c r="AD353" s="25"/>
      <c r="AE353" s="25"/>
      <c r="AF353" s="48">
        <v>7</v>
      </c>
      <c r="AG353" s="48">
        <v>1</v>
      </c>
      <c r="AH353" s="48" t="s">
        <v>271</v>
      </c>
    </row>
    <row r="354" spans="1:34" ht="43.2" x14ac:dyDescent="0.3">
      <c r="A354" s="65">
        <v>87</v>
      </c>
      <c r="B354" s="25">
        <v>10</v>
      </c>
      <c r="C354" s="25">
        <v>15</v>
      </c>
      <c r="D354" s="25">
        <v>269</v>
      </c>
      <c r="E354" s="89" t="str">
        <f t="shared" si="15"/>
        <v>10-15-269</v>
      </c>
      <c r="F354" s="108" t="str">
        <f>VLOOKUP(E354,'LISTA ITEMS'!$E$2:$G$875,2,FALSE)</f>
        <v xml:space="preserve">BARRA ALUMINIO PARA ESTRUCTURA </v>
      </c>
      <c r="G354" s="77" t="str">
        <f>VLOOKUP(E354,'LISTA ITEMS'!$E$2:$G$875,3,FALSE)</f>
        <v>UND</v>
      </c>
      <c r="H354" s="74">
        <v>46083</v>
      </c>
      <c r="I354" s="75">
        <v>441</v>
      </c>
      <c r="J354" s="27"/>
      <c r="K354" s="70">
        <v>46098</v>
      </c>
      <c r="L354" s="67">
        <v>34</v>
      </c>
      <c r="M354" s="54">
        <v>46098</v>
      </c>
      <c r="N354" s="55">
        <v>0</v>
      </c>
      <c r="O354" s="70">
        <v>46098</v>
      </c>
      <c r="P354" s="71">
        <v>118</v>
      </c>
      <c r="Q354" s="36">
        <v>46098</v>
      </c>
      <c r="R354" s="26">
        <f t="shared" si="16"/>
        <v>357</v>
      </c>
      <c r="S354" s="85"/>
      <c r="T354" s="84"/>
      <c r="U354" s="27"/>
      <c r="V354" s="70"/>
      <c r="W354" s="67"/>
      <c r="X354" s="54"/>
      <c r="Y354" s="55"/>
      <c r="Z354" s="70"/>
      <c r="AA354" s="71"/>
      <c r="AB354" s="31"/>
      <c r="AC354" s="26">
        <f t="shared" si="17"/>
        <v>357</v>
      </c>
      <c r="AD354" s="25"/>
      <c r="AE354" s="25"/>
      <c r="AF354" s="48">
        <v>8</v>
      </c>
      <c r="AG354" s="48">
        <v>4</v>
      </c>
      <c r="AH354" s="48" t="s">
        <v>367</v>
      </c>
    </row>
    <row r="355" spans="1:34" ht="28.8" x14ac:dyDescent="0.3">
      <c r="A355" s="65">
        <v>85</v>
      </c>
      <c r="B355" s="25">
        <v>4</v>
      </c>
      <c r="C355" s="25">
        <v>15</v>
      </c>
      <c r="D355" s="25">
        <v>267</v>
      </c>
      <c r="E355" s="89" t="str">
        <f t="shared" si="15"/>
        <v>4-15-267</v>
      </c>
      <c r="F355" s="108" t="str">
        <f>VLOOKUP(E355,'LISTA ITEMS'!$E$2:$G$875,2,FALSE)</f>
        <v>BARRA PERFORADA PARA REFUERZO 20X10X2MT GALV.</v>
      </c>
      <c r="G355" s="77" t="str">
        <f>VLOOKUP(E355,'LISTA ITEMS'!$E$2:$G$875,3,FALSE)</f>
        <v>UND</v>
      </c>
      <c r="H355" s="74">
        <v>46083</v>
      </c>
      <c r="I355" s="75">
        <v>34</v>
      </c>
      <c r="J355" s="27"/>
      <c r="K355" s="70">
        <v>46098</v>
      </c>
      <c r="L355" s="67">
        <v>0</v>
      </c>
      <c r="M355" s="54">
        <v>46098</v>
      </c>
      <c r="N355" s="55">
        <v>0</v>
      </c>
      <c r="O355" s="70">
        <v>46098</v>
      </c>
      <c r="P355" s="71">
        <v>0</v>
      </c>
      <c r="Q355" s="36">
        <v>46098</v>
      </c>
      <c r="R355" s="26">
        <f t="shared" si="16"/>
        <v>34</v>
      </c>
      <c r="S355" s="85"/>
      <c r="T355" s="84"/>
      <c r="U355" s="27"/>
      <c r="V355" s="70"/>
      <c r="W355" s="67"/>
      <c r="X355" s="54"/>
      <c r="Y355" s="55"/>
      <c r="Z355" s="70"/>
      <c r="AA355" s="71"/>
      <c r="AB355" s="31"/>
      <c r="AC355" s="26">
        <f t="shared" si="17"/>
        <v>34</v>
      </c>
      <c r="AD355" s="25"/>
      <c r="AE355" s="25"/>
      <c r="AF355" s="48">
        <v>8</v>
      </c>
      <c r="AG355" s="48">
        <v>2</v>
      </c>
      <c r="AH355" s="48" t="s">
        <v>251</v>
      </c>
    </row>
    <row r="356" spans="1:34" ht="28.8" x14ac:dyDescent="0.3">
      <c r="A356" s="65">
        <v>118</v>
      </c>
      <c r="B356" s="25">
        <v>4</v>
      </c>
      <c r="C356" s="25">
        <v>15</v>
      </c>
      <c r="D356" s="25">
        <v>326</v>
      </c>
      <c r="E356" s="89" t="str">
        <f t="shared" si="15"/>
        <v>4-15-326</v>
      </c>
      <c r="F356" s="108" t="str">
        <f>VLOOKUP(E356,'LISTA ITEMS'!$E$2:$G$875,2,FALSE)</f>
        <v>BARRA PERFORADA PARA REFUERZO 27x18x2MT GALV.</v>
      </c>
      <c r="G356" s="77" t="str">
        <f>VLOOKUP(E356,'LISTA ITEMS'!$E$2:$G$875,3,FALSE)</f>
        <v>UND</v>
      </c>
      <c r="H356" s="74">
        <v>46083</v>
      </c>
      <c r="I356" s="75">
        <v>10</v>
      </c>
      <c r="J356" s="27"/>
      <c r="K356" s="70">
        <v>46098</v>
      </c>
      <c r="L356" s="67">
        <v>14</v>
      </c>
      <c r="M356" s="54">
        <v>46098</v>
      </c>
      <c r="N356" s="55">
        <v>0</v>
      </c>
      <c r="O356" s="70">
        <v>46098</v>
      </c>
      <c r="P356" s="71">
        <v>43</v>
      </c>
      <c r="Q356" s="36">
        <v>46098</v>
      </c>
      <c r="R356" s="26">
        <f t="shared" si="16"/>
        <v>-19</v>
      </c>
      <c r="S356" s="85"/>
      <c r="T356" s="84"/>
      <c r="U356" s="27"/>
      <c r="V356" s="70"/>
      <c r="W356" s="67"/>
      <c r="X356" s="54"/>
      <c r="Y356" s="55"/>
      <c r="Z356" s="70"/>
      <c r="AA356" s="71"/>
      <c r="AB356" s="31"/>
      <c r="AC356" s="26">
        <f t="shared" si="17"/>
        <v>-19</v>
      </c>
      <c r="AD356" s="25"/>
      <c r="AE356" s="25"/>
      <c r="AF356" s="48">
        <v>8</v>
      </c>
      <c r="AG356" s="48">
        <v>2</v>
      </c>
      <c r="AH356" s="48" t="s">
        <v>252</v>
      </c>
    </row>
    <row r="357" spans="1:34" x14ac:dyDescent="0.3">
      <c r="A357" s="65">
        <v>97</v>
      </c>
      <c r="B357" s="25">
        <v>7</v>
      </c>
      <c r="C357" s="25">
        <v>54</v>
      </c>
      <c r="D357" s="25">
        <v>295</v>
      </c>
      <c r="E357" s="89" t="str">
        <f t="shared" si="15"/>
        <v>7-54-295</v>
      </c>
      <c r="F357" s="108" t="str">
        <f>VLOOKUP(E357,'LISTA ITEMS'!$E$2:$G$875,2,FALSE)</f>
        <v>BATERIA LFP LITHIUM DL5.OC (DYNESS)</v>
      </c>
      <c r="G357" s="77" t="str">
        <f>VLOOKUP(E357,'LISTA ITEMS'!$E$2:$G$875,3,FALSE)</f>
        <v>UND</v>
      </c>
      <c r="H357" s="74">
        <v>46083</v>
      </c>
      <c r="I357" s="75">
        <v>18</v>
      </c>
      <c r="J357" s="27"/>
      <c r="K357" s="70">
        <v>46098</v>
      </c>
      <c r="L357" s="67">
        <v>0</v>
      </c>
      <c r="M357" s="54">
        <v>46098</v>
      </c>
      <c r="N357" s="55">
        <v>0</v>
      </c>
      <c r="O357" s="70">
        <v>46098</v>
      </c>
      <c r="P357" s="71">
        <v>0</v>
      </c>
      <c r="Q357" s="36">
        <v>46098</v>
      </c>
      <c r="R357" s="26">
        <f t="shared" si="16"/>
        <v>18</v>
      </c>
      <c r="S357" s="85"/>
      <c r="T357" s="84"/>
      <c r="U357" s="27"/>
      <c r="V357" s="70"/>
      <c r="W357" s="67"/>
      <c r="X357" s="54"/>
      <c r="Y357" s="55"/>
      <c r="Z357" s="70"/>
      <c r="AA357" s="71"/>
      <c r="AB357" s="31"/>
      <c r="AC357" s="26">
        <f t="shared" si="17"/>
        <v>18</v>
      </c>
      <c r="AD357" s="25"/>
      <c r="AE357" s="25"/>
      <c r="AF357" s="48">
        <v>5</v>
      </c>
      <c r="AG357" s="48" t="s">
        <v>119</v>
      </c>
      <c r="AH357" s="48" t="s">
        <v>316</v>
      </c>
    </row>
    <row r="358" spans="1:34" ht="28.8" x14ac:dyDescent="0.3">
      <c r="A358" s="65">
        <v>115</v>
      </c>
      <c r="B358" s="25">
        <v>7</v>
      </c>
      <c r="C358" s="25">
        <v>54</v>
      </c>
      <c r="D358" s="25">
        <v>323</v>
      </c>
      <c r="E358" s="30" t="str">
        <f t="shared" si="15"/>
        <v>7-54-323</v>
      </c>
      <c r="F358" s="13" t="str">
        <f>VLOOKUP(E358,'LISTA ITEMS'!$E$2:$G$875,2,FALSE)</f>
        <v>BATERIA LPF LITHIUM B3 48V 3.6kWh (DYNESS)</v>
      </c>
      <c r="G358" s="25" t="str">
        <f>VLOOKUP(E358,'LISTA ITEMS'!$E$2:$G$875,3,FALSE)</f>
        <v>UND</v>
      </c>
      <c r="H358" s="74">
        <v>46083</v>
      </c>
      <c r="I358" s="75">
        <v>1</v>
      </c>
      <c r="J358" s="27"/>
      <c r="K358" s="70">
        <v>46098</v>
      </c>
      <c r="L358" s="67">
        <v>0</v>
      </c>
      <c r="M358" s="54">
        <v>46098</v>
      </c>
      <c r="N358" s="55">
        <v>1</v>
      </c>
      <c r="O358" s="70">
        <v>46098</v>
      </c>
      <c r="P358" s="71">
        <v>1</v>
      </c>
      <c r="Q358" s="36">
        <v>46098</v>
      </c>
      <c r="R358" s="26">
        <f t="shared" si="16"/>
        <v>1</v>
      </c>
      <c r="S358" s="85"/>
      <c r="T358" s="84"/>
      <c r="U358" s="27"/>
      <c r="V358" s="70"/>
      <c r="W358" s="67"/>
      <c r="X358" s="54"/>
      <c r="Y358" s="55"/>
      <c r="Z358" s="70"/>
      <c r="AA358" s="71"/>
      <c r="AB358" s="31"/>
      <c r="AC358" s="26">
        <f t="shared" si="17"/>
        <v>1</v>
      </c>
      <c r="AD358" s="25" t="s">
        <v>463</v>
      </c>
      <c r="AE358" s="25"/>
      <c r="AF358" s="48">
        <v>6</v>
      </c>
      <c r="AG358" s="48" t="s">
        <v>119</v>
      </c>
      <c r="AH358" s="48" t="s">
        <v>316</v>
      </c>
    </row>
    <row r="359" spans="1:34" ht="28.8" x14ac:dyDescent="0.3">
      <c r="A359" s="65">
        <v>226</v>
      </c>
      <c r="B359" s="25">
        <v>7</v>
      </c>
      <c r="C359" s="25">
        <v>54</v>
      </c>
      <c r="D359" s="25">
        <v>404</v>
      </c>
      <c r="E359" s="30" t="str">
        <f t="shared" si="15"/>
        <v>7-54-404</v>
      </c>
      <c r="F359" s="13" t="str">
        <f>VLOOKUP(E359,'LISTA ITEMS'!$E$2:$G$875,2,FALSE)</f>
        <v>BATERIA RECARGABLE LITHIUM DL10 POWERBOX G2 (DYNESS)</v>
      </c>
      <c r="G359" s="25" t="str">
        <f>VLOOKUP(E359,'LISTA ITEMS'!$E$2:$G$875,3,FALSE)</f>
        <v>UND</v>
      </c>
      <c r="H359" s="74">
        <v>46083</v>
      </c>
      <c r="I359" s="75">
        <v>1</v>
      </c>
      <c r="J359" s="27"/>
      <c r="K359" s="70">
        <v>46098</v>
      </c>
      <c r="L359" s="67">
        <v>0</v>
      </c>
      <c r="M359" s="54">
        <v>46098</v>
      </c>
      <c r="N359" s="55">
        <v>0</v>
      </c>
      <c r="O359" s="70">
        <v>46098</v>
      </c>
      <c r="P359" s="71">
        <v>0</v>
      </c>
      <c r="Q359" s="36">
        <v>46098</v>
      </c>
      <c r="R359" s="26">
        <f t="shared" si="16"/>
        <v>1</v>
      </c>
      <c r="S359" s="85"/>
      <c r="T359" s="84"/>
      <c r="U359" s="27"/>
      <c r="V359" s="70"/>
      <c r="W359" s="67"/>
      <c r="X359" s="54"/>
      <c r="Y359" s="55"/>
      <c r="Z359" s="70"/>
      <c r="AA359" s="71"/>
      <c r="AB359" s="31"/>
      <c r="AC359" s="26">
        <f t="shared" si="17"/>
        <v>1</v>
      </c>
      <c r="AD359" s="52" t="s">
        <v>422</v>
      </c>
      <c r="AE359" s="52" t="s">
        <v>422</v>
      </c>
      <c r="AF359" s="25" t="s">
        <v>418</v>
      </c>
      <c r="AG359" s="25" t="s">
        <v>119</v>
      </c>
      <c r="AH359" s="13" t="s">
        <v>316</v>
      </c>
    </row>
    <row r="360" spans="1:34" ht="28.8" x14ac:dyDescent="0.3">
      <c r="A360" s="65">
        <v>241</v>
      </c>
      <c r="B360" s="25">
        <v>7</v>
      </c>
      <c r="C360" s="25">
        <v>54</v>
      </c>
      <c r="D360" s="25">
        <v>420</v>
      </c>
      <c r="E360" s="30" t="str">
        <f t="shared" si="15"/>
        <v>7-54-420</v>
      </c>
      <c r="F360" s="13" t="str">
        <f>VLOOKUP(E360,'LISTA ITEMS'!$E$2:$G$875,2,FALSE)</f>
        <v>BATERIA SWITCH ON/OF 275A/48V M10 (VICTRON ENERGI)</v>
      </c>
      <c r="G360" s="25" t="str">
        <f>VLOOKUP(E360,'LISTA ITEMS'!$E$2:$G$875,3,FALSE)</f>
        <v>UND</v>
      </c>
      <c r="H360" s="74">
        <v>46092</v>
      </c>
      <c r="I360" s="75">
        <v>0</v>
      </c>
      <c r="J360" s="27"/>
      <c r="K360" s="70">
        <v>46098</v>
      </c>
      <c r="L360" s="67">
        <v>0</v>
      </c>
      <c r="M360" s="54">
        <v>46098</v>
      </c>
      <c r="N360" s="55">
        <v>1</v>
      </c>
      <c r="O360" s="70">
        <v>46098</v>
      </c>
      <c r="P360" s="71">
        <v>1</v>
      </c>
      <c r="Q360" s="36">
        <v>46098</v>
      </c>
      <c r="R360" s="26">
        <f t="shared" si="16"/>
        <v>0</v>
      </c>
      <c r="S360" s="85"/>
      <c r="T360" s="84"/>
      <c r="U360" s="27"/>
      <c r="V360" s="70"/>
      <c r="W360" s="67"/>
      <c r="X360" s="54"/>
      <c r="Y360" s="55"/>
      <c r="Z360" s="70"/>
      <c r="AA360" s="71"/>
      <c r="AB360" s="31"/>
      <c r="AC360" s="26">
        <f t="shared" si="17"/>
        <v>0</v>
      </c>
      <c r="AD360" s="25"/>
      <c r="AE360" s="25"/>
      <c r="AF360" s="13"/>
      <c r="AG360" s="13"/>
      <c r="AH360" s="13"/>
    </row>
    <row r="361" spans="1:34" x14ac:dyDescent="0.3">
      <c r="A361" s="65">
        <v>5</v>
      </c>
      <c r="B361" s="25">
        <v>13</v>
      </c>
      <c r="C361" s="25">
        <v>22</v>
      </c>
      <c r="D361" s="25">
        <v>184</v>
      </c>
      <c r="E361" s="30" t="str">
        <f t="shared" si="15"/>
        <v>13-22-184</v>
      </c>
      <c r="F361" s="13" t="str">
        <f>VLOOKUP(E361,'LISTA ITEMS'!$E$2:$G$875,2,FALSE)</f>
        <v>BRIDA P/EXTERIOR NEGRA</v>
      </c>
      <c r="G361" s="25" t="str">
        <f>VLOOKUP(E361,'LISTA ITEMS'!$E$2:$G$875,3,FALSE)</f>
        <v>UND</v>
      </c>
      <c r="H361" s="74">
        <v>46083</v>
      </c>
      <c r="I361" s="75">
        <v>100</v>
      </c>
      <c r="J361" s="27"/>
      <c r="K361" s="70">
        <v>46098</v>
      </c>
      <c r="L361" s="67">
        <v>300</v>
      </c>
      <c r="M361" s="54">
        <v>46098</v>
      </c>
      <c r="N361" s="55">
        <v>0</v>
      </c>
      <c r="O361" s="70">
        <v>46098</v>
      </c>
      <c r="P361" s="71">
        <v>1450</v>
      </c>
      <c r="Q361" s="36">
        <v>46098</v>
      </c>
      <c r="R361" s="26">
        <f t="shared" si="16"/>
        <v>-1050</v>
      </c>
      <c r="S361" s="85"/>
      <c r="T361" s="84"/>
      <c r="U361" s="27"/>
      <c r="V361" s="70"/>
      <c r="W361" s="67"/>
      <c r="X361" s="54"/>
      <c r="Y361" s="55"/>
      <c r="Z361" s="70"/>
      <c r="AA361" s="71"/>
      <c r="AB361" s="31"/>
      <c r="AC361" s="26">
        <f t="shared" si="17"/>
        <v>-1050</v>
      </c>
      <c r="AD361" s="25"/>
      <c r="AE361" s="25"/>
      <c r="AF361" s="48">
        <v>7</v>
      </c>
      <c r="AG361" s="48">
        <v>1</v>
      </c>
      <c r="AH361" s="48" t="s">
        <v>44</v>
      </c>
    </row>
    <row r="362" spans="1:34" x14ac:dyDescent="0.3">
      <c r="A362" s="65">
        <v>3</v>
      </c>
      <c r="B362" s="25">
        <v>13</v>
      </c>
      <c r="C362" s="25">
        <v>22</v>
      </c>
      <c r="D362" s="25">
        <v>182</v>
      </c>
      <c r="E362" s="30" t="str">
        <f t="shared" si="15"/>
        <v>13-22-182</v>
      </c>
      <c r="F362" s="13" t="str">
        <f>VLOOKUP(E362,'LISTA ITEMS'!$E$2:$G$875,2,FALSE)</f>
        <v>BRIDA P/INTERIOR BLANCA</v>
      </c>
      <c r="G362" s="25" t="str">
        <f>VLOOKUP(E362,'LISTA ITEMS'!$E$2:$G$875,3,FALSE)</f>
        <v>UND</v>
      </c>
      <c r="H362" s="74">
        <v>46083</v>
      </c>
      <c r="I362" s="75">
        <v>2000</v>
      </c>
      <c r="J362" s="27"/>
      <c r="K362" s="70">
        <v>46098</v>
      </c>
      <c r="L362" s="67">
        <v>0</v>
      </c>
      <c r="M362" s="54">
        <v>46098</v>
      </c>
      <c r="N362" s="55">
        <v>0</v>
      </c>
      <c r="O362" s="70">
        <v>46098</v>
      </c>
      <c r="P362" s="71">
        <v>0</v>
      </c>
      <c r="Q362" s="36">
        <v>46098</v>
      </c>
      <c r="R362" s="26">
        <f t="shared" si="16"/>
        <v>2000</v>
      </c>
      <c r="S362" s="85"/>
      <c r="T362" s="84"/>
      <c r="U362" s="27"/>
      <c r="V362" s="70"/>
      <c r="W362" s="67"/>
      <c r="X362" s="54"/>
      <c r="Y362" s="55"/>
      <c r="Z362" s="70"/>
      <c r="AA362" s="71"/>
      <c r="AB362" s="31"/>
      <c r="AC362" s="26">
        <f t="shared" si="17"/>
        <v>2000</v>
      </c>
      <c r="AD362" s="25"/>
      <c r="AE362" s="25"/>
      <c r="AF362" s="48">
        <v>7</v>
      </c>
      <c r="AG362" s="48">
        <v>2</v>
      </c>
      <c r="AH362" s="48" t="s">
        <v>44</v>
      </c>
    </row>
    <row r="363" spans="1:34" x14ac:dyDescent="0.3">
      <c r="A363" s="65">
        <v>4</v>
      </c>
      <c r="B363" s="25">
        <v>13</v>
      </c>
      <c r="C363" s="25">
        <v>22</v>
      </c>
      <c r="D363" s="25">
        <v>183</v>
      </c>
      <c r="E363" s="30" t="str">
        <f t="shared" si="15"/>
        <v>13-22-183</v>
      </c>
      <c r="F363" s="13" t="str">
        <f>VLOOKUP(E363,'LISTA ITEMS'!$E$2:$G$875,2,FALSE)</f>
        <v>BRIDA P/INTERIOR NEGRA</v>
      </c>
      <c r="G363" s="25" t="str">
        <f>VLOOKUP(E363,'LISTA ITEMS'!$E$2:$G$875,3,FALSE)</f>
        <v>UND</v>
      </c>
      <c r="H363" s="74">
        <v>46083</v>
      </c>
      <c r="I363" s="75">
        <v>1900</v>
      </c>
      <c r="J363" s="27"/>
      <c r="K363" s="70">
        <v>46098</v>
      </c>
      <c r="L363" s="67">
        <v>0</v>
      </c>
      <c r="M363" s="54">
        <v>46098</v>
      </c>
      <c r="N363" s="55">
        <v>0</v>
      </c>
      <c r="O363" s="70">
        <v>46098</v>
      </c>
      <c r="P363" s="71">
        <v>0</v>
      </c>
      <c r="Q363" s="36">
        <v>46098</v>
      </c>
      <c r="R363" s="26">
        <f t="shared" si="16"/>
        <v>1900</v>
      </c>
      <c r="S363" s="85"/>
      <c r="T363" s="84"/>
      <c r="U363" s="27"/>
      <c r="V363" s="70"/>
      <c r="W363" s="67"/>
      <c r="X363" s="54"/>
      <c r="Y363" s="55"/>
      <c r="Z363" s="70"/>
      <c r="AA363" s="71"/>
      <c r="AB363" s="31"/>
      <c r="AC363" s="26">
        <f t="shared" si="17"/>
        <v>1900</v>
      </c>
      <c r="AD363" s="25"/>
      <c r="AE363" s="25"/>
      <c r="AF363" s="48">
        <v>7</v>
      </c>
      <c r="AG363" s="48">
        <v>2</v>
      </c>
      <c r="AH363" s="48" t="s">
        <v>44</v>
      </c>
    </row>
    <row r="364" spans="1:34" x14ac:dyDescent="0.3">
      <c r="A364" s="65">
        <v>211</v>
      </c>
      <c r="B364" s="25">
        <v>18</v>
      </c>
      <c r="C364" s="25">
        <v>71</v>
      </c>
      <c r="D364" s="25">
        <v>389</v>
      </c>
      <c r="E364" s="30" t="str">
        <f t="shared" si="15"/>
        <v>18-71-389</v>
      </c>
      <c r="F364" s="13" t="str">
        <f>VLOOKUP(E364,'LISTA ITEMS'!$E$2:$G$875,2,FALSE)</f>
        <v>BROCA HELICOIDAL CONICA 8,5mm</v>
      </c>
      <c r="G364" s="25" t="str">
        <f>VLOOKUP(E364,'LISTA ITEMS'!$E$2:$G$875,3,FALSE)</f>
        <v>UND</v>
      </c>
      <c r="H364" s="74">
        <v>46083</v>
      </c>
      <c r="I364" s="75">
        <v>2</v>
      </c>
      <c r="J364" s="27"/>
      <c r="K364" s="70">
        <v>46098</v>
      </c>
      <c r="L364" s="67">
        <v>0</v>
      </c>
      <c r="M364" s="54">
        <v>46098</v>
      </c>
      <c r="N364" s="55">
        <v>0</v>
      </c>
      <c r="O364" s="70">
        <v>46098</v>
      </c>
      <c r="P364" s="71">
        <v>0</v>
      </c>
      <c r="Q364" s="36">
        <v>46098</v>
      </c>
      <c r="R364" s="26">
        <f t="shared" si="16"/>
        <v>2</v>
      </c>
      <c r="S364" s="85"/>
      <c r="T364" s="84"/>
      <c r="U364" s="27"/>
      <c r="V364" s="70"/>
      <c r="W364" s="67"/>
      <c r="X364" s="54"/>
      <c r="Y364" s="55"/>
      <c r="Z364" s="70"/>
      <c r="AA364" s="71"/>
      <c r="AB364" s="31"/>
      <c r="AC364" s="26">
        <f t="shared" si="17"/>
        <v>2</v>
      </c>
      <c r="AD364" s="25"/>
      <c r="AE364" s="25"/>
      <c r="AF364" s="13"/>
      <c r="AG364" s="13"/>
      <c r="AH364" s="13"/>
    </row>
    <row r="365" spans="1:34" ht="28.8" x14ac:dyDescent="0.3">
      <c r="A365" s="65">
        <v>240</v>
      </c>
      <c r="B365" s="25">
        <v>16</v>
      </c>
      <c r="C365" s="25">
        <v>31</v>
      </c>
      <c r="D365" s="25">
        <v>419</v>
      </c>
      <c r="E365" s="30" t="str">
        <f t="shared" si="15"/>
        <v>16-31-419</v>
      </c>
      <c r="F365" s="13" t="str">
        <f>VLOOKUP(E365,'LISTA ITEMS'!$E$2:$G$875,2,FALSE)</f>
        <v>CABLE DE COMUNICACIÓN INTERFAZ VE DIRECTA A USB (VICTRON ENERGY)</v>
      </c>
      <c r="G365" s="25" t="str">
        <f>VLOOKUP(E365,'LISTA ITEMS'!$E$2:$G$875,3,FALSE)</f>
        <v>UND</v>
      </c>
      <c r="H365" s="74">
        <v>46092</v>
      </c>
      <c r="I365" s="75">
        <v>0</v>
      </c>
      <c r="J365" s="27"/>
      <c r="K365" s="70">
        <v>46098</v>
      </c>
      <c r="L365" s="67">
        <v>0</v>
      </c>
      <c r="M365" s="54">
        <v>46098</v>
      </c>
      <c r="N365" s="55">
        <v>1</v>
      </c>
      <c r="O365" s="70">
        <v>46098</v>
      </c>
      <c r="P365" s="71">
        <v>1</v>
      </c>
      <c r="Q365" s="36">
        <v>46098</v>
      </c>
      <c r="R365" s="26">
        <f t="shared" si="16"/>
        <v>0</v>
      </c>
      <c r="S365" s="85"/>
      <c r="T365" s="84"/>
      <c r="U365" s="27"/>
      <c r="V365" s="70"/>
      <c r="W365" s="67"/>
      <c r="X365" s="54"/>
      <c r="Y365" s="55"/>
      <c r="Z365" s="70"/>
      <c r="AA365" s="71"/>
      <c r="AB365" s="31"/>
      <c r="AC365" s="26">
        <f t="shared" si="17"/>
        <v>0</v>
      </c>
      <c r="AD365" s="25" t="s">
        <v>459</v>
      </c>
      <c r="AE365" s="25"/>
      <c r="AF365" s="13"/>
      <c r="AG365" s="13"/>
      <c r="AH365" s="13"/>
    </row>
    <row r="366" spans="1:34" ht="28.8" x14ac:dyDescent="0.3">
      <c r="A366" s="65">
        <v>238</v>
      </c>
      <c r="B366" s="25">
        <v>16</v>
      </c>
      <c r="C366" s="25">
        <v>31</v>
      </c>
      <c r="D366" s="25">
        <v>417</v>
      </c>
      <c r="E366" s="30" t="str">
        <f t="shared" si="15"/>
        <v>16-31-417</v>
      </c>
      <c r="F366" s="13" t="str">
        <f>VLOOKUP(E366,'LISTA ITEMS'!$E$2:$G$875,2,FALSE)</f>
        <v>CABLE DE COMUNICACIÓN VE.Can to  CAN-bus BMS Type A 5m (VICTRON ENERGY)</v>
      </c>
      <c r="G366" s="25" t="str">
        <f>VLOOKUP(E366,'LISTA ITEMS'!$E$2:$G$875,3,FALSE)</f>
        <v>UND</v>
      </c>
      <c r="H366" s="74">
        <v>46092</v>
      </c>
      <c r="I366" s="75">
        <v>0</v>
      </c>
      <c r="J366" s="27"/>
      <c r="K366" s="70">
        <v>46098</v>
      </c>
      <c r="L366" s="67">
        <v>0</v>
      </c>
      <c r="M366" s="54">
        <v>46098</v>
      </c>
      <c r="N366" s="55">
        <v>1</v>
      </c>
      <c r="O366" s="70">
        <v>46098</v>
      </c>
      <c r="P366" s="71">
        <v>1</v>
      </c>
      <c r="Q366" s="36">
        <v>46098</v>
      </c>
      <c r="R366" s="26">
        <f t="shared" si="16"/>
        <v>0</v>
      </c>
      <c r="S366" s="85"/>
      <c r="T366" s="84"/>
      <c r="U366" s="27"/>
      <c r="V366" s="70"/>
      <c r="W366" s="67"/>
      <c r="X366" s="54"/>
      <c r="Y366" s="55"/>
      <c r="Z366" s="70"/>
      <c r="AA366" s="71"/>
      <c r="AB366" s="31"/>
      <c r="AC366" s="26">
        <f t="shared" si="17"/>
        <v>0</v>
      </c>
      <c r="AD366" s="25" t="s">
        <v>454</v>
      </c>
      <c r="AE366" s="25"/>
      <c r="AF366" s="13"/>
      <c r="AG366" s="13"/>
      <c r="AH366" s="13"/>
    </row>
    <row r="367" spans="1:34" x14ac:dyDescent="0.3">
      <c r="A367" s="65">
        <v>237</v>
      </c>
      <c r="B367" s="25">
        <v>16</v>
      </c>
      <c r="C367" s="25">
        <v>31</v>
      </c>
      <c r="D367" s="25">
        <v>412</v>
      </c>
      <c r="E367" s="30" t="str">
        <f t="shared" si="15"/>
        <v>16-31-412</v>
      </c>
      <c r="F367" s="13" t="str">
        <f>VLOOKUP(E367,'LISTA ITEMS'!$E$2:$G$875,2,FALSE)</f>
        <v>CABLE UTP RJ45 1.8m (VICTRON ENERGY)</v>
      </c>
      <c r="G367" s="25" t="str">
        <f>VLOOKUP(E367,'LISTA ITEMS'!$E$2:$G$875,3,FALSE)</f>
        <v>UND</v>
      </c>
      <c r="H367" s="74">
        <v>46092</v>
      </c>
      <c r="I367" s="75">
        <v>0</v>
      </c>
      <c r="J367" s="27"/>
      <c r="K367" s="70">
        <v>46098</v>
      </c>
      <c r="L367" s="67">
        <v>0</v>
      </c>
      <c r="M367" s="54">
        <v>46098</v>
      </c>
      <c r="N367" s="55">
        <v>1</v>
      </c>
      <c r="O367" s="70">
        <v>46098</v>
      </c>
      <c r="P367" s="71">
        <v>0</v>
      </c>
      <c r="Q367" s="36">
        <v>46098</v>
      </c>
      <c r="R367" s="26">
        <f t="shared" si="16"/>
        <v>1</v>
      </c>
      <c r="S367" s="85"/>
      <c r="T367" s="84"/>
      <c r="U367" s="27"/>
      <c r="V367" s="70"/>
      <c r="W367" s="67"/>
      <c r="X367" s="54"/>
      <c r="Y367" s="55"/>
      <c r="Z367" s="70"/>
      <c r="AA367" s="71"/>
      <c r="AB367" s="31"/>
      <c r="AC367" s="26">
        <f t="shared" si="17"/>
        <v>1</v>
      </c>
      <c r="AD367" s="25"/>
      <c r="AE367" s="25"/>
      <c r="AF367" s="13"/>
      <c r="AG367" s="13"/>
      <c r="AH367" s="13"/>
    </row>
    <row r="368" spans="1:34" x14ac:dyDescent="0.3">
      <c r="A368" s="65">
        <v>205</v>
      </c>
      <c r="B368" s="25">
        <v>16</v>
      </c>
      <c r="C368" s="25">
        <v>45</v>
      </c>
      <c r="D368" s="25">
        <v>383</v>
      </c>
      <c r="E368" s="30" t="str">
        <f t="shared" si="15"/>
        <v>16-45-383</v>
      </c>
      <c r="F368" s="13" t="str">
        <f>VLOOKUP(E368,'LISTA ITEMS'!$E$2:$G$875,2,FALSE)</f>
        <v xml:space="preserve">CAJA BLANCA P/BATERIA (DYNNES) </v>
      </c>
      <c r="G368" s="25" t="str">
        <f>VLOOKUP(E368,'LISTA ITEMS'!$E$2:$G$875,3,FALSE)</f>
        <v>UND</v>
      </c>
      <c r="H368" s="74">
        <v>46083</v>
      </c>
      <c r="I368" s="75">
        <v>7</v>
      </c>
      <c r="J368" s="27"/>
      <c r="K368" s="70">
        <v>46098</v>
      </c>
      <c r="L368" s="67">
        <v>0</v>
      </c>
      <c r="M368" s="54">
        <v>46098</v>
      </c>
      <c r="N368" s="55">
        <v>0</v>
      </c>
      <c r="O368" s="70">
        <v>46098</v>
      </c>
      <c r="P368" s="71">
        <v>0</v>
      </c>
      <c r="Q368" s="36">
        <v>46098</v>
      </c>
      <c r="R368" s="26">
        <f t="shared" si="16"/>
        <v>7</v>
      </c>
      <c r="S368" s="85"/>
      <c r="T368" s="84"/>
      <c r="U368" s="27"/>
      <c r="V368" s="70"/>
      <c r="W368" s="67"/>
      <c r="X368" s="54"/>
      <c r="Y368" s="55"/>
      <c r="Z368" s="70"/>
      <c r="AA368" s="71"/>
      <c r="AB368" s="31"/>
      <c r="AC368" s="26">
        <f t="shared" si="17"/>
        <v>7</v>
      </c>
      <c r="AD368" s="25"/>
      <c r="AE368" s="25"/>
      <c r="AF368" s="13"/>
      <c r="AG368" s="13"/>
      <c r="AH368" s="13"/>
    </row>
    <row r="369" spans="1:34" ht="28.8" x14ac:dyDescent="0.3">
      <c r="A369" s="65">
        <v>121</v>
      </c>
      <c r="B369" s="25">
        <v>16</v>
      </c>
      <c r="C369" s="25">
        <v>45</v>
      </c>
      <c r="D369" s="25">
        <v>275</v>
      </c>
      <c r="E369" s="30" t="str">
        <f t="shared" si="15"/>
        <v>16-45-275</v>
      </c>
      <c r="F369" s="13" t="str">
        <f>VLOOKUP(E369,'LISTA ITEMS'!$E$2:$G$875,2,FALSE)</f>
        <v>CAJA DISTRIBUCION INTERIOR 18 ELEM. (SOLERA)</v>
      </c>
      <c r="G369" s="25" t="str">
        <f>VLOOKUP(E369,'LISTA ITEMS'!$E$2:$G$875,3,FALSE)</f>
        <v>UND</v>
      </c>
      <c r="H369" s="74">
        <v>46083</v>
      </c>
      <c r="I369" s="75">
        <v>5</v>
      </c>
      <c r="J369" s="27"/>
      <c r="K369" s="70">
        <v>46098</v>
      </c>
      <c r="L369" s="67">
        <v>0</v>
      </c>
      <c r="M369" s="54">
        <v>46098</v>
      </c>
      <c r="N369" s="55">
        <v>10</v>
      </c>
      <c r="O369" s="70">
        <v>46098</v>
      </c>
      <c r="P369" s="71">
        <v>3</v>
      </c>
      <c r="Q369" s="36">
        <v>46098</v>
      </c>
      <c r="R369" s="26">
        <f t="shared" si="16"/>
        <v>12</v>
      </c>
      <c r="S369" s="85"/>
      <c r="T369" s="84"/>
      <c r="U369" s="27"/>
      <c r="V369" s="70"/>
      <c r="W369" s="67"/>
      <c r="X369" s="54"/>
      <c r="Y369" s="55"/>
      <c r="Z369" s="70"/>
      <c r="AA369" s="71"/>
      <c r="AB369" s="31"/>
      <c r="AC369" s="26">
        <f t="shared" si="17"/>
        <v>12</v>
      </c>
      <c r="AD369" s="25"/>
      <c r="AE369" s="25"/>
      <c r="AF369" s="48">
        <v>8</v>
      </c>
      <c r="AG369" s="48">
        <v>3</v>
      </c>
      <c r="AH369" s="48" t="s">
        <v>251</v>
      </c>
    </row>
    <row r="370" spans="1:34" ht="28.8" x14ac:dyDescent="0.3">
      <c r="A370" s="65">
        <v>122</v>
      </c>
      <c r="B370" s="25">
        <v>16</v>
      </c>
      <c r="C370" s="25">
        <v>45</v>
      </c>
      <c r="D370" s="25">
        <v>317</v>
      </c>
      <c r="E370" s="30" t="str">
        <f t="shared" si="15"/>
        <v>16-45-317</v>
      </c>
      <c r="F370" s="13" t="str">
        <f>VLOOKUP(E370,'LISTA ITEMS'!$E$2:$G$875,2,FALSE)</f>
        <v>CAJA DISTRIBUCION INTERIOR 8 ELEM. (SOLERA)</v>
      </c>
      <c r="G370" s="25" t="str">
        <f>VLOOKUP(E370,'LISTA ITEMS'!$E$2:$G$875,3,FALSE)</f>
        <v>UND</v>
      </c>
      <c r="H370" s="74">
        <v>46083</v>
      </c>
      <c r="I370" s="75">
        <v>16</v>
      </c>
      <c r="J370" s="27"/>
      <c r="K370" s="70">
        <v>46098</v>
      </c>
      <c r="L370" s="67">
        <v>0</v>
      </c>
      <c r="M370" s="54">
        <v>46098</v>
      </c>
      <c r="N370" s="55">
        <v>0</v>
      </c>
      <c r="O370" s="70">
        <v>46098</v>
      </c>
      <c r="P370" s="71">
        <v>1</v>
      </c>
      <c r="Q370" s="36">
        <v>46098</v>
      </c>
      <c r="R370" s="26">
        <f t="shared" si="16"/>
        <v>15</v>
      </c>
      <c r="S370" s="85"/>
      <c r="T370" s="84"/>
      <c r="U370" s="27"/>
      <c r="V370" s="70"/>
      <c r="W370" s="67"/>
      <c r="X370" s="54"/>
      <c r="Y370" s="55"/>
      <c r="Z370" s="70"/>
      <c r="AA370" s="71"/>
      <c r="AB370" s="31"/>
      <c r="AC370" s="26">
        <f t="shared" si="17"/>
        <v>15</v>
      </c>
      <c r="AD370" s="25"/>
      <c r="AE370" s="25"/>
      <c r="AF370" s="48">
        <v>8</v>
      </c>
      <c r="AG370" s="48">
        <v>3</v>
      </c>
      <c r="AH370" s="48" t="s">
        <v>251</v>
      </c>
    </row>
    <row r="371" spans="1:34" x14ac:dyDescent="0.3">
      <c r="A371" s="65">
        <v>100</v>
      </c>
      <c r="B371" s="25">
        <v>16</v>
      </c>
      <c r="C371" s="25">
        <v>45</v>
      </c>
      <c r="D371" s="25">
        <v>300</v>
      </c>
      <c r="E371" s="30" t="str">
        <f t="shared" si="15"/>
        <v>16-45-300</v>
      </c>
      <c r="F371" s="13" t="str">
        <f>VLOOKUP(E371,'LISTA ITEMS'!$E$2:$G$875,2,FALSE)</f>
        <v>CAJA ESTANCA (COCHERA) EXTERIOR 24PT (IDE)</v>
      </c>
      <c r="G371" s="25" t="str">
        <f>VLOOKUP(E371,'LISTA ITEMS'!$E$2:$G$875,3,FALSE)</f>
        <v>UND</v>
      </c>
      <c r="H371" s="74">
        <v>46083</v>
      </c>
      <c r="I371" s="75">
        <v>1</v>
      </c>
      <c r="J371" s="27"/>
      <c r="K371" s="70">
        <v>46098</v>
      </c>
      <c r="L371" s="67">
        <v>0</v>
      </c>
      <c r="M371" s="54">
        <v>46098</v>
      </c>
      <c r="N371" s="55">
        <v>0</v>
      </c>
      <c r="O371" s="70">
        <v>46098</v>
      </c>
      <c r="P371" s="71">
        <v>0</v>
      </c>
      <c r="Q371" s="36">
        <v>46098</v>
      </c>
      <c r="R371" s="26">
        <f t="shared" si="16"/>
        <v>1</v>
      </c>
      <c r="S371" s="85"/>
      <c r="T371" s="84">
        <v>0</v>
      </c>
      <c r="U371" s="27"/>
      <c r="V371" s="70"/>
      <c r="W371" s="67"/>
      <c r="X371" s="54"/>
      <c r="Y371" s="55"/>
      <c r="Z371" s="70"/>
      <c r="AA371" s="71"/>
      <c r="AB371" s="31"/>
      <c r="AC371" s="26">
        <f t="shared" si="17"/>
        <v>1</v>
      </c>
      <c r="AD371" s="25"/>
      <c r="AE371" s="25"/>
      <c r="AF371" s="48">
        <v>10</v>
      </c>
      <c r="AG371" s="48">
        <v>2</v>
      </c>
      <c r="AH371" s="48" t="s">
        <v>252</v>
      </c>
    </row>
    <row r="372" spans="1:34" x14ac:dyDescent="0.3">
      <c r="A372" s="65">
        <v>203</v>
      </c>
      <c r="B372" s="25">
        <v>13</v>
      </c>
      <c r="C372" s="25">
        <v>67</v>
      </c>
      <c r="D372" s="25">
        <v>381</v>
      </c>
      <c r="E372" s="30" t="str">
        <f t="shared" si="15"/>
        <v>13-67-381</v>
      </c>
      <c r="F372" s="13" t="str">
        <f>VLOOKUP(E372,'LISTA ITEMS'!$E$2:$G$875,2,FALSE)</f>
        <v>CANALETA PLASTICA 40X40</v>
      </c>
      <c r="G372" s="25" t="str">
        <f>VLOOKUP(E372,'LISTA ITEMS'!$E$2:$G$875,3,FALSE)</f>
        <v>UND</v>
      </c>
      <c r="H372" s="74">
        <v>46083</v>
      </c>
      <c r="I372" s="75">
        <v>34</v>
      </c>
      <c r="J372" s="27"/>
      <c r="K372" s="70">
        <v>46098</v>
      </c>
      <c r="L372" s="67">
        <v>0</v>
      </c>
      <c r="M372" s="54">
        <v>46098</v>
      </c>
      <c r="N372" s="55">
        <v>0</v>
      </c>
      <c r="O372" s="70">
        <v>46098</v>
      </c>
      <c r="P372" s="71">
        <v>0</v>
      </c>
      <c r="Q372" s="36">
        <v>46098</v>
      </c>
      <c r="R372" s="26">
        <f t="shared" si="16"/>
        <v>34</v>
      </c>
      <c r="S372" s="85"/>
      <c r="T372" s="84"/>
      <c r="U372" s="27"/>
      <c r="V372" s="70"/>
      <c r="W372" s="67"/>
      <c r="X372" s="54"/>
      <c r="Y372" s="55"/>
      <c r="Z372" s="70"/>
      <c r="AA372" s="71"/>
      <c r="AB372" s="31"/>
      <c r="AC372" s="26">
        <f t="shared" si="17"/>
        <v>34</v>
      </c>
      <c r="AD372" s="25"/>
      <c r="AE372" s="25"/>
      <c r="AF372" s="13"/>
      <c r="AG372" s="13"/>
      <c r="AH372" s="13"/>
    </row>
    <row r="373" spans="1:34" x14ac:dyDescent="0.3">
      <c r="A373" s="65">
        <v>204</v>
      </c>
      <c r="B373" s="25">
        <v>13</v>
      </c>
      <c r="C373" s="25">
        <v>67</v>
      </c>
      <c r="D373" s="25">
        <v>382</v>
      </c>
      <c r="E373" s="30" t="str">
        <f t="shared" si="15"/>
        <v>13-67-382</v>
      </c>
      <c r="F373" s="13" t="str">
        <f>VLOOKUP(E373,'LISTA ITEMS'!$E$2:$G$875,2,FALSE)</f>
        <v>CANALETA PLASTICA 60X40</v>
      </c>
      <c r="G373" s="25" t="str">
        <f>VLOOKUP(E373,'LISTA ITEMS'!$E$2:$G$875,3,FALSE)</f>
        <v>UND</v>
      </c>
      <c r="H373" s="74">
        <v>46083</v>
      </c>
      <c r="I373" s="75">
        <v>34</v>
      </c>
      <c r="J373" s="27"/>
      <c r="K373" s="70">
        <v>46098</v>
      </c>
      <c r="L373" s="67">
        <v>0</v>
      </c>
      <c r="M373" s="54">
        <v>46098</v>
      </c>
      <c r="N373" s="55">
        <v>0</v>
      </c>
      <c r="O373" s="70">
        <v>46098</v>
      </c>
      <c r="P373" s="71">
        <v>0</v>
      </c>
      <c r="Q373" s="36">
        <v>46098</v>
      </c>
      <c r="R373" s="26">
        <f t="shared" si="16"/>
        <v>34</v>
      </c>
      <c r="S373" s="85"/>
      <c r="T373" s="84"/>
      <c r="U373" s="27"/>
      <c r="V373" s="70"/>
      <c r="W373" s="67"/>
      <c r="X373" s="54"/>
      <c r="Y373" s="55"/>
      <c r="Z373" s="70"/>
      <c r="AA373" s="71"/>
      <c r="AB373" s="31"/>
      <c r="AC373" s="26">
        <f t="shared" si="17"/>
        <v>34</v>
      </c>
      <c r="AD373" s="25"/>
      <c r="AE373" s="25"/>
      <c r="AF373" s="13"/>
      <c r="AG373" s="13"/>
      <c r="AH373" s="13"/>
    </row>
    <row r="374" spans="1:34" x14ac:dyDescent="0.3">
      <c r="A374" s="65">
        <v>212</v>
      </c>
      <c r="B374" s="25">
        <v>13</v>
      </c>
      <c r="C374" s="25">
        <v>67</v>
      </c>
      <c r="D374" s="25">
        <v>390</v>
      </c>
      <c r="E374" s="30" t="str">
        <f t="shared" si="15"/>
        <v>13-67-390</v>
      </c>
      <c r="F374" s="13" t="str">
        <f>VLOOKUP(E374,'LISTA ITEMS'!$E$2:$G$875,2,FALSE)</f>
        <v>CANALETA PLASTICA 60X60</v>
      </c>
      <c r="G374" s="25" t="str">
        <f>VLOOKUP(E374,'LISTA ITEMS'!$E$2:$G$875,3,FALSE)</f>
        <v>UND</v>
      </c>
      <c r="H374" s="74">
        <v>46083</v>
      </c>
      <c r="I374" s="75">
        <v>24</v>
      </c>
      <c r="J374" s="27"/>
      <c r="K374" s="70">
        <v>46098</v>
      </c>
      <c r="L374" s="67">
        <v>0</v>
      </c>
      <c r="M374" s="54">
        <v>46098</v>
      </c>
      <c r="N374" s="55">
        <v>0</v>
      </c>
      <c r="O374" s="70">
        <v>46098</v>
      </c>
      <c r="P374" s="71">
        <v>0</v>
      </c>
      <c r="Q374" s="36">
        <v>46098</v>
      </c>
      <c r="R374" s="26">
        <f t="shared" si="16"/>
        <v>24</v>
      </c>
      <c r="S374" s="85"/>
      <c r="T374" s="84"/>
      <c r="U374" s="27"/>
      <c r="V374" s="70"/>
      <c r="W374" s="67"/>
      <c r="X374" s="54"/>
      <c r="Y374" s="55"/>
      <c r="Z374" s="70"/>
      <c r="AA374" s="71"/>
      <c r="AB374" s="31"/>
      <c r="AC374" s="26">
        <f t="shared" si="17"/>
        <v>24</v>
      </c>
      <c r="AD374" s="25"/>
      <c r="AE374" s="25"/>
      <c r="AF374" s="13"/>
      <c r="AG374" s="13"/>
      <c r="AH374" s="13"/>
    </row>
    <row r="375" spans="1:34" x14ac:dyDescent="0.3">
      <c r="A375" s="65">
        <v>68</v>
      </c>
      <c r="B375" s="25">
        <v>4</v>
      </c>
      <c r="C375" s="25">
        <v>39</v>
      </c>
      <c r="D375" s="25">
        <v>250</v>
      </c>
      <c r="E375" s="30" t="str">
        <f t="shared" si="15"/>
        <v>4-39-250</v>
      </c>
      <c r="F375" s="13" t="str">
        <f>VLOOKUP(E375,'LISTA ITEMS'!$E$2:$G$875,2,FALSE)</f>
        <v>CASQUILLO ESPACIADOR GALV M8X25</v>
      </c>
      <c r="G375" s="25" t="str">
        <f>VLOOKUP(E375,'LISTA ITEMS'!$E$2:$G$875,3,FALSE)</f>
        <v>UND</v>
      </c>
      <c r="H375" s="74">
        <v>46083</v>
      </c>
      <c r="I375" s="75">
        <v>720</v>
      </c>
      <c r="J375" s="27"/>
      <c r="K375" s="70">
        <v>46098</v>
      </c>
      <c r="L375" s="67">
        <v>0</v>
      </c>
      <c r="M375" s="54">
        <v>46098</v>
      </c>
      <c r="N375" s="55">
        <v>0</v>
      </c>
      <c r="O375" s="70">
        <v>46098</v>
      </c>
      <c r="P375" s="71">
        <v>0</v>
      </c>
      <c r="Q375" s="36">
        <v>46098</v>
      </c>
      <c r="R375" s="26">
        <f t="shared" si="16"/>
        <v>720</v>
      </c>
      <c r="S375" s="85"/>
      <c r="T375" s="84"/>
      <c r="U375" s="27"/>
      <c r="V375" s="70"/>
      <c r="W375" s="67"/>
      <c r="X375" s="54"/>
      <c r="Y375" s="55"/>
      <c r="Z375" s="70"/>
      <c r="AA375" s="71"/>
      <c r="AB375" s="31"/>
      <c r="AC375" s="26">
        <f t="shared" si="17"/>
        <v>720</v>
      </c>
      <c r="AD375" s="25"/>
      <c r="AE375" s="25"/>
      <c r="AF375" s="48">
        <v>7</v>
      </c>
      <c r="AG375" s="48">
        <v>2</v>
      </c>
      <c r="AH375" s="48" t="s">
        <v>339</v>
      </c>
    </row>
    <row r="376" spans="1:34" x14ac:dyDescent="0.3">
      <c r="A376" s="65">
        <v>223</v>
      </c>
      <c r="B376" s="25">
        <v>7</v>
      </c>
      <c r="C376" s="25">
        <v>80</v>
      </c>
      <c r="D376" s="25">
        <v>401</v>
      </c>
      <c r="E376" s="30" t="str">
        <f t="shared" si="15"/>
        <v>7-80-401</v>
      </c>
      <c r="F376" s="13" t="str">
        <f>VLOOKUP(E376,'LISTA ITEMS'!$E$2:$G$875,2,FALSE)</f>
        <v>CHIMENEA NETFLAME 10KW CANALIZABLE</v>
      </c>
      <c r="G376" s="25" t="str">
        <f>VLOOKUP(E376,'LISTA ITEMS'!$E$2:$G$875,3,FALSE)</f>
        <v>UND</v>
      </c>
      <c r="H376" s="74">
        <v>46083</v>
      </c>
      <c r="I376" s="75">
        <v>1</v>
      </c>
      <c r="J376" s="27"/>
      <c r="K376" s="70">
        <v>46098</v>
      </c>
      <c r="L376" s="67">
        <v>0</v>
      </c>
      <c r="M376" s="54">
        <v>46098</v>
      </c>
      <c r="N376" s="55">
        <v>0</v>
      </c>
      <c r="O376" s="70">
        <v>46098</v>
      </c>
      <c r="P376" s="71">
        <v>0</v>
      </c>
      <c r="Q376" s="36">
        <v>46098</v>
      </c>
      <c r="R376" s="26">
        <f t="shared" si="16"/>
        <v>1</v>
      </c>
      <c r="S376" s="85"/>
      <c r="T376" s="84"/>
      <c r="U376" s="27"/>
      <c r="V376" s="70"/>
      <c r="W376" s="67"/>
      <c r="X376" s="54"/>
      <c r="Y376" s="55"/>
      <c r="Z376" s="70"/>
      <c r="AA376" s="71"/>
      <c r="AB376" s="31"/>
      <c r="AC376" s="26">
        <f t="shared" si="17"/>
        <v>1</v>
      </c>
      <c r="AD376" s="25"/>
      <c r="AE376" s="25"/>
      <c r="AF376" s="13"/>
      <c r="AG376" s="13"/>
      <c r="AH376" s="13"/>
    </row>
    <row r="377" spans="1:34" x14ac:dyDescent="0.3">
      <c r="A377" s="65">
        <v>13</v>
      </c>
      <c r="B377" s="25">
        <v>6</v>
      </c>
      <c r="C377" s="25">
        <v>23</v>
      </c>
      <c r="D377" s="25">
        <v>192</v>
      </c>
      <c r="E377" s="30" t="str">
        <f t="shared" si="15"/>
        <v>6-23-192</v>
      </c>
      <c r="F377" s="13" t="str">
        <f>VLOOKUP(E377,'LISTA ITEMS'!$E$2:$G$875,2,FALSE)</f>
        <v xml:space="preserve">CINTA ACERO PERFORADA PARA MONTAJE </v>
      </c>
      <c r="G377" s="25" t="str">
        <f>VLOOKUP(E377,'LISTA ITEMS'!$E$2:$G$875,3,FALSE)</f>
        <v>UND</v>
      </c>
      <c r="H377" s="74">
        <v>46083</v>
      </c>
      <c r="I377" s="75">
        <v>-2</v>
      </c>
      <c r="J377" s="27"/>
      <c r="K377" s="70">
        <v>46098</v>
      </c>
      <c r="L377" s="67">
        <v>1</v>
      </c>
      <c r="M377" s="54">
        <v>46098</v>
      </c>
      <c r="N377" s="55">
        <v>0</v>
      </c>
      <c r="O377" s="70">
        <v>46098</v>
      </c>
      <c r="P377" s="71">
        <v>5</v>
      </c>
      <c r="Q377" s="36">
        <v>46098</v>
      </c>
      <c r="R377" s="26">
        <f t="shared" si="16"/>
        <v>-6</v>
      </c>
      <c r="S377" s="85"/>
      <c r="T377" s="84"/>
      <c r="U377" s="27"/>
      <c r="V377" s="70"/>
      <c r="W377" s="67"/>
      <c r="X377" s="54"/>
      <c r="Y377" s="55"/>
      <c r="Z377" s="70"/>
      <c r="AA377" s="71"/>
      <c r="AB377" s="31"/>
      <c r="AC377" s="26">
        <f t="shared" si="17"/>
        <v>-6</v>
      </c>
      <c r="AD377" s="25"/>
      <c r="AE377" s="25"/>
      <c r="AF377" s="48">
        <v>7</v>
      </c>
      <c r="AG377" s="48">
        <v>1</v>
      </c>
      <c r="AH377" s="48" t="s">
        <v>339</v>
      </c>
    </row>
    <row r="378" spans="1:34" x14ac:dyDescent="0.3">
      <c r="A378" s="65">
        <v>10</v>
      </c>
      <c r="B378" s="25">
        <v>13</v>
      </c>
      <c r="C378" s="25">
        <v>23</v>
      </c>
      <c r="D378" s="25">
        <v>189</v>
      </c>
      <c r="E378" s="30" t="str">
        <f t="shared" si="15"/>
        <v>13-23-189</v>
      </c>
      <c r="F378" s="13" t="str">
        <f>VLOOKUP(E378,'LISTA ITEMS'!$E$2:$G$875,2,FALSE)</f>
        <v>CINTA AZUL AISLANTE PVC 19MM</v>
      </c>
      <c r="G378" s="25" t="str">
        <f>VLOOKUP(E378,'LISTA ITEMS'!$E$2:$G$875,3,FALSE)</f>
        <v>UND</v>
      </c>
      <c r="H378" s="74">
        <v>46083</v>
      </c>
      <c r="I378" s="75">
        <v>8</v>
      </c>
      <c r="J378" s="27"/>
      <c r="K378" s="70">
        <v>46098</v>
      </c>
      <c r="L378" s="67">
        <v>0</v>
      </c>
      <c r="M378" s="54">
        <v>46098</v>
      </c>
      <c r="N378" s="55">
        <v>0</v>
      </c>
      <c r="O378" s="70">
        <v>46098</v>
      </c>
      <c r="P378" s="71">
        <v>0</v>
      </c>
      <c r="Q378" s="36">
        <v>46098</v>
      </c>
      <c r="R378" s="26">
        <f t="shared" si="16"/>
        <v>8</v>
      </c>
      <c r="S378" s="85"/>
      <c r="T378" s="84"/>
      <c r="U378" s="27"/>
      <c r="V378" s="70"/>
      <c r="W378" s="67"/>
      <c r="X378" s="54"/>
      <c r="Y378" s="55"/>
      <c r="Z378" s="70"/>
      <c r="AA378" s="71"/>
      <c r="AB378" s="31"/>
      <c r="AC378" s="26">
        <f t="shared" si="17"/>
        <v>8</v>
      </c>
      <c r="AD378" s="25"/>
      <c r="AE378" s="25"/>
      <c r="AF378" s="48">
        <v>7</v>
      </c>
      <c r="AG378" s="48">
        <v>1</v>
      </c>
      <c r="AH378" s="48" t="s">
        <v>339</v>
      </c>
    </row>
    <row r="379" spans="1:34" x14ac:dyDescent="0.3">
      <c r="A379" s="65">
        <v>11</v>
      </c>
      <c r="B379" s="25">
        <v>13</v>
      </c>
      <c r="C379" s="25">
        <v>23</v>
      </c>
      <c r="D379" s="25">
        <v>190</v>
      </c>
      <c r="E379" s="30" t="str">
        <f t="shared" si="15"/>
        <v>13-23-190</v>
      </c>
      <c r="F379" s="13" t="str">
        <f>VLOOKUP(E379,'LISTA ITEMS'!$E$2:$G$875,2,FALSE)</f>
        <v>CINTA BLANCA AISLANTE PVC 19MM</v>
      </c>
      <c r="G379" s="25" t="str">
        <f>VLOOKUP(E379,'LISTA ITEMS'!$E$2:$G$875,3,FALSE)</f>
        <v>UND</v>
      </c>
      <c r="H379" s="74">
        <v>46083</v>
      </c>
      <c r="I379" s="75">
        <v>7</v>
      </c>
      <c r="J379" s="27"/>
      <c r="K379" s="70">
        <v>46098</v>
      </c>
      <c r="L379" s="67">
        <v>0</v>
      </c>
      <c r="M379" s="54">
        <v>46098</v>
      </c>
      <c r="N379" s="55">
        <v>0</v>
      </c>
      <c r="O379" s="70">
        <v>46098</v>
      </c>
      <c r="P379" s="71">
        <v>0</v>
      </c>
      <c r="Q379" s="36">
        <v>46098</v>
      </c>
      <c r="R379" s="26">
        <f t="shared" si="16"/>
        <v>7</v>
      </c>
      <c r="S379" s="85"/>
      <c r="T379" s="84"/>
      <c r="U379" s="27"/>
      <c r="V379" s="70"/>
      <c r="W379" s="67"/>
      <c r="X379" s="54"/>
      <c r="Y379" s="55"/>
      <c r="Z379" s="70"/>
      <c r="AA379" s="71"/>
      <c r="AB379" s="31"/>
      <c r="AC379" s="26">
        <f t="shared" si="17"/>
        <v>7</v>
      </c>
      <c r="AD379" s="25"/>
      <c r="AE379" s="25"/>
      <c r="AF379" s="48">
        <v>7</v>
      </c>
      <c r="AG379" s="48">
        <v>1</v>
      </c>
      <c r="AH379" s="48" t="s">
        <v>339</v>
      </c>
    </row>
    <row r="380" spans="1:34" x14ac:dyDescent="0.3">
      <c r="A380" s="65">
        <v>6</v>
      </c>
      <c r="B380" s="25">
        <v>13</v>
      </c>
      <c r="C380" s="25">
        <v>23</v>
      </c>
      <c r="D380" s="25">
        <v>185</v>
      </c>
      <c r="E380" s="30" t="str">
        <f t="shared" si="15"/>
        <v>13-23-185</v>
      </c>
      <c r="F380" s="13" t="str">
        <f>VLOOKUP(E380,'LISTA ITEMS'!$E$2:$G$875,2,FALSE)</f>
        <v>CINTA BLANCA AISLANTE PVC 50MM</v>
      </c>
      <c r="G380" s="25" t="str">
        <f>VLOOKUP(E380,'LISTA ITEMS'!$E$2:$G$875,3,FALSE)</f>
        <v>UND</v>
      </c>
      <c r="H380" s="74">
        <v>46083</v>
      </c>
      <c r="I380" s="75">
        <v>1</v>
      </c>
      <c r="J380" s="27"/>
      <c r="K380" s="70">
        <v>46098</v>
      </c>
      <c r="L380" s="67">
        <v>0</v>
      </c>
      <c r="M380" s="54">
        <v>46098</v>
      </c>
      <c r="N380" s="55">
        <v>0</v>
      </c>
      <c r="O380" s="70">
        <v>46098</v>
      </c>
      <c r="P380" s="71">
        <v>2</v>
      </c>
      <c r="Q380" s="36">
        <v>46098</v>
      </c>
      <c r="R380" s="26">
        <f t="shared" si="16"/>
        <v>-1</v>
      </c>
      <c r="S380" s="85"/>
      <c r="T380" s="84"/>
      <c r="U380" s="27"/>
      <c r="V380" s="70"/>
      <c r="W380" s="67"/>
      <c r="X380" s="54"/>
      <c r="Y380" s="55"/>
      <c r="Z380" s="70"/>
      <c r="AA380" s="71"/>
      <c r="AB380" s="31"/>
      <c r="AC380" s="26">
        <f t="shared" si="17"/>
        <v>-1</v>
      </c>
      <c r="AD380" s="25"/>
      <c r="AE380" s="25"/>
      <c r="AF380" s="48">
        <v>7</v>
      </c>
      <c r="AG380" s="48">
        <v>1</v>
      </c>
      <c r="AH380" s="48" t="s">
        <v>339</v>
      </c>
    </row>
    <row r="381" spans="1:34" x14ac:dyDescent="0.3">
      <c r="A381" s="65">
        <v>153</v>
      </c>
      <c r="B381" s="25">
        <v>13</v>
      </c>
      <c r="C381" s="25">
        <v>23</v>
      </c>
      <c r="D381" s="25">
        <v>334</v>
      </c>
      <c r="E381" s="30" t="str">
        <f t="shared" si="15"/>
        <v>13-23-334</v>
      </c>
      <c r="F381" s="13" t="str">
        <f>VLOOKUP(E381,'LISTA ITEMS'!$E$2:$G$875,2,FALSE)</f>
        <v>CINTA GRIS AISLANTE PVC 19MM</v>
      </c>
      <c r="G381" s="25" t="str">
        <f>VLOOKUP(E381,'LISTA ITEMS'!$E$2:$G$875,3,FALSE)</f>
        <v>UND</v>
      </c>
      <c r="H381" s="74">
        <v>46083</v>
      </c>
      <c r="I381" s="75">
        <v>1</v>
      </c>
      <c r="J381" s="27"/>
      <c r="K381" s="70">
        <v>46098</v>
      </c>
      <c r="L381" s="67">
        <v>0</v>
      </c>
      <c r="M381" s="54">
        <v>46098</v>
      </c>
      <c r="N381" s="55">
        <v>0</v>
      </c>
      <c r="O381" s="70">
        <v>46098</v>
      </c>
      <c r="P381" s="71">
        <v>0</v>
      </c>
      <c r="Q381" s="36">
        <v>46098</v>
      </c>
      <c r="R381" s="26">
        <f t="shared" si="16"/>
        <v>1</v>
      </c>
      <c r="S381" s="85"/>
      <c r="T381" s="84"/>
      <c r="U381" s="27"/>
      <c r="V381" s="70"/>
      <c r="W381" s="67"/>
      <c r="X381" s="54"/>
      <c r="Y381" s="55"/>
      <c r="Z381" s="70"/>
      <c r="AA381" s="71"/>
      <c r="AB381" s="31"/>
      <c r="AC381" s="26">
        <f t="shared" si="17"/>
        <v>1</v>
      </c>
      <c r="AD381" s="25"/>
      <c r="AE381" s="25"/>
      <c r="AF381" s="47">
        <v>7</v>
      </c>
      <c r="AG381" s="47">
        <v>1</v>
      </c>
      <c r="AH381" s="47" t="s">
        <v>339</v>
      </c>
    </row>
    <row r="382" spans="1:34" x14ac:dyDescent="0.3">
      <c r="A382" s="65">
        <v>154</v>
      </c>
      <c r="B382" s="25">
        <v>13</v>
      </c>
      <c r="C382" s="25">
        <v>23</v>
      </c>
      <c r="D382" s="25">
        <v>335</v>
      </c>
      <c r="E382" s="30" t="str">
        <f t="shared" si="15"/>
        <v>13-23-335</v>
      </c>
      <c r="F382" s="13" t="str">
        <f>VLOOKUP(E382,'LISTA ITEMS'!$E$2:$G$875,2,FALSE)</f>
        <v>CINTA MARRON AISLANTE PVC 19MM</v>
      </c>
      <c r="G382" s="25" t="str">
        <f>VLOOKUP(E382,'LISTA ITEMS'!$E$2:$G$875,3,FALSE)</f>
        <v>UND</v>
      </c>
      <c r="H382" s="74">
        <v>46083</v>
      </c>
      <c r="I382" s="75">
        <v>11</v>
      </c>
      <c r="J382" s="27"/>
      <c r="K382" s="70">
        <v>46098</v>
      </c>
      <c r="L382" s="67">
        <v>0</v>
      </c>
      <c r="M382" s="54">
        <v>46098</v>
      </c>
      <c r="N382" s="55">
        <v>0</v>
      </c>
      <c r="O382" s="70">
        <v>46098</v>
      </c>
      <c r="P382" s="71">
        <v>0</v>
      </c>
      <c r="Q382" s="36">
        <v>46098</v>
      </c>
      <c r="R382" s="26">
        <f t="shared" si="16"/>
        <v>11</v>
      </c>
      <c r="S382" s="85"/>
      <c r="T382" s="84"/>
      <c r="U382" s="27"/>
      <c r="V382" s="70"/>
      <c r="W382" s="67"/>
      <c r="X382" s="54"/>
      <c r="Y382" s="55"/>
      <c r="Z382" s="70"/>
      <c r="AA382" s="71"/>
      <c r="AB382" s="31"/>
      <c r="AC382" s="26">
        <f t="shared" si="17"/>
        <v>11</v>
      </c>
      <c r="AD382" s="25"/>
      <c r="AE382" s="25"/>
      <c r="AF382" s="47">
        <v>7</v>
      </c>
      <c r="AG382" s="47">
        <v>1</v>
      </c>
      <c r="AH382" s="47" t="s">
        <v>339</v>
      </c>
    </row>
    <row r="383" spans="1:34" x14ac:dyDescent="0.3">
      <c r="A383" s="65">
        <v>12</v>
      </c>
      <c r="B383" s="25">
        <v>13</v>
      </c>
      <c r="C383" s="25">
        <v>23</v>
      </c>
      <c r="D383" s="25">
        <v>191</v>
      </c>
      <c r="E383" s="30" t="str">
        <f t="shared" si="15"/>
        <v>13-23-191</v>
      </c>
      <c r="F383" s="13" t="str">
        <f>VLOOKUP(E383,'LISTA ITEMS'!$E$2:$G$875,2,FALSE)</f>
        <v>CINTA NEGRA AISLANTE PVC 19MM</v>
      </c>
      <c r="G383" s="25" t="str">
        <f>VLOOKUP(E383,'LISTA ITEMS'!$E$2:$G$875,3,FALSE)</f>
        <v>UND</v>
      </c>
      <c r="H383" s="74">
        <v>46083</v>
      </c>
      <c r="I383" s="75">
        <v>10</v>
      </c>
      <c r="J383" s="27"/>
      <c r="K383" s="70">
        <v>46098</v>
      </c>
      <c r="L383" s="67">
        <v>0</v>
      </c>
      <c r="M383" s="54">
        <v>46098</v>
      </c>
      <c r="N383" s="55">
        <v>0</v>
      </c>
      <c r="O383" s="70">
        <v>46098</v>
      </c>
      <c r="P383" s="71">
        <v>0</v>
      </c>
      <c r="Q383" s="36">
        <v>46098</v>
      </c>
      <c r="R383" s="26">
        <f t="shared" si="16"/>
        <v>10</v>
      </c>
      <c r="S383" s="85"/>
      <c r="T383" s="84"/>
      <c r="U383" s="27"/>
      <c r="V383" s="70"/>
      <c r="W383" s="67"/>
      <c r="X383" s="54"/>
      <c r="Y383" s="55"/>
      <c r="Z383" s="70"/>
      <c r="AA383" s="71"/>
      <c r="AB383" s="31"/>
      <c r="AC383" s="26">
        <f t="shared" si="17"/>
        <v>10</v>
      </c>
      <c r="AD383" s="25"/>
      <c r="AE383" s="25"/>
      <c r="AF383" s="48">
        <v>7</v>
      </c>
      <c r="AG383" s="48">
        <v>1</v>
      </c>
      <c r="AH383" s="48" t="s">
        <v>339</v>
      </c>
    </row>
    <row r="384" spans="1:34" x14ac:dyDescent="0.3">
      <c r="A384" s="65">
        <v>7</v>
      </c>
      <c r="B384" s="25">
        <v>13</v>
      </c>
      <c r="C384" s="25">
        <v>23</v>
      </c>
      <c r="D384" s="25">
        <v>186</v>
      </c>
      <c r="E384" s="30" t="str">
        <f t="shared" si="15"/>
        <v>13-23-186</v>
      </c>
      <c r="F384" s="13" t="str">
        <f>VLOOKUP(E384,'LISTA ITEMS'!$E$2:$G$875,2,FALSE)</f>
        <v>CINTA NEGRA AISLANTE PVC 50MM</v>
      </c>
      <c r="G384" s="25" t="str">
        <f>VLOOKUP(E384,'LISTA ITEMS'!$E$2:$G$875,3,FALSE)</f>
        <v>UND</v>
      </c>
      <c r="H384" s="74">
        <v>46083</v>
      </c>
      <c r="I384" s="75">
        <v>2</v>
      </c>
      <c r="J384" s="27"/>
      <c r="K384" s="70">
        <v>46098</v>
      </c>
      <c r="L384" s="67">
        <v>0</v>
      </c>
      <c r="M384" s="54">
        <v>46098</v>
      </c>
      <c r="N384" s="55">
        <v>0</v>
      </c>
      <c r="O384" s="70">
        <v>46098</v>
      </c>
      <c r="P384" s="71">
        <v>0</v>
      </c>
      <c r="Q384" s="36">
        <v>46098</v>
      </c>
      <c r="R384" s="26">
        <f t="shared" si="16"/>
        <v>2</v>
      </c>
      <c r="S384" s="85"/>
      <c r="T384" s="84"/>
      <c r="U384" s="27"/>
      <c r="V384" s="70"/>
      <c r="W384" s="67"/>
      <c r="X384" s="54"/>
      <c r="Y384" s="55"/>
      <c r="Z384" s="70"/>
      <c r="AA384" s="71"/>
      <c r="AB384" s="31"/>
      <c r="AC384" s="26">
        <f t="shared" si="17"/>
        <v>2</v>
      </c>
      <c r="AD384" s="25"/>
      <c r="AE384" s="25"/>
      <c r="AF384" s="47">
        <v>7</v>
      </c>
      <c r="AG384" s="47">
        <v>1</v>
      </c>
      <c r="AH384" s="47" t="s">
        <v>339</v>
      </c>
    </row>
    <row r="385" spans="1:34" x14ac:dyDescent="0.3">
      <c r="A385" s="65">
        <v>9</v>
      </c>
      <c r="B385" s="25">
        <v>13</v>
      </c>
      <c r="C385" s="25">
        <v>23</v>
      </c>
      <c r="D385" s="25">
        <v>188</v>
      </c>
      <c r="E385" s="30" t="str">
        <f t="shared" si="15"/>
        <v>13-23-188</v>
      </c>
      <c r="F385" s="13" t="str">
        <f>VLOOKUP(E385,'LISTA ITEMS'!$E$2:$G$875,2,FALSE)</f>
        <v>CINTA ROJA AISLANTE PVC 19MM</v>
      </c>
      <c r="G385" s="25" t="str">
        <f>VLOOKUP(E385,'LISTA ITEMS'!$E$2:$G$875,3,FALSE)</f>
        <v>UND</v>
      </c>
      <c r="H385" s="74">
        <v>46083</v>
      </c>
      <c r="I385" s="75">
        <v>7</v>
      </c>
      <c r="J385" s="27"/>
      <c r="K385" s="70">
        <v>46098</v>
      </c>
      <c r="L385" s="67">
        <v>0</v>
      </c>
      <c r="M385" s="54">
        <v>46098</v>
      </c>
      <c r="N385" s="55">
        <v>0</v>
      </c>
      <c r="O385" s="70">
        <v>46098</v>
      </c>
      <c r="P385" s="71">
        <v>0</v>
      </c>
      <c r="Q385" s="36">
        <v>46098</v>
      </c>
      <c r="R385" s="26">
        <f t="shared" si="16"/>
        <v>7</v>
      </c>
      <c r="S385" s="85"/>
      <c r="T385" s="84"/>
      <c r="U385" s="27"/>
      <c r="V385" s="70"/>
      <c r="W385" s="67"/>
      <c r="X385" s="54"/>
      <c r="Y385" s="55"/>
      <c r="Z385" s="70"/>
      <c r="AA385" s="71"/>
      <c r="AB385" s="31"/>
      <c r="AC385" s="26">
        <f t="shared" si="17"/>
        <v>7</v>
      </c>
      <c r="AD385" s="25"/>
      <c r="AE385" s="25"/>
      <c r="AF385" s="48">
        <v>7</v>
      </c>
      <c r="AG385" s="48">
        <v>1</v>
      </c>
      <c r="AH385" s="48" t="s">
        <v>339</v>
      </c>
    </row>
    <row r="386" spans="1:34" x14ac:dyDescent="0.3">
      <c r="A386" s="65">
        <v>8</v>
      </c>
      <c r="B386" s="25">
        <v>13</v>
      </c>
      <c r="C386" s="25">
        <v>23</v>
      </c>
      <c r="D386" s="25">
        <v>187</v>
      </c>
      <c r="E386" s="30" t="str">
        <f t="shared" si="15"/>
        <v>13-23-187</v>
      </c>
      <c r="F386" s="13" t="str">
        <f>VLOOKUP(E386,'LISTA ITEMS'!$E$2:$G$875,2,FALSE)</f>
        <v>CINTA VERDE AMARILLA AISLANTE PVC 19MM</v>
      </c>
      <c r="G386" s="25" t="str">
        <f>VLOOKUP(E386,'LISTA ITEMS'!$E$2:$G$875,3,FALSE)</f>
        <v>UND</v>
      </c>
      <c r="H386" s="74">
        <v>46083</v>
      </c>
      <c r="I386" s="75">
        <v>2</v>
      </c>
      <c r="J386" s="27"/>
      <c r="K386" s="70">
        <v>46098</v>
      </c>
      <c r="L386" s="67">
        <v>0</v>
      </c>
      <c r="M386" s="54">
        <v>46098</v>
      </c>
      <c r="N386" s="55">
        <v>0</v>
      </c>
      <c r="O386" s="70">
        <v>46098</v>
      </c>
      <c r="P386" s="71">
        <v>2</v>
      </c>
      <c r="Q386" s="36">
        <v>46098</v>
      </c>
      <c r="R386" s="26">
        <f t="shared" si="16"/>
        <v>0</v>
      </c>
      <c r="S386" s="85"/>
      <c r="T386" s="84"/>
      <c r="U386" s="27"/>
      <c r="V386" s="70"/>
      <c r="W386" s="67"/>
      <c r="X386" s="54"/>
      <c r="Y386" s="55"/>
      <c r="Z386" s="70"/>
      <c r="AA386" s="71"/>
      <c r="AB386" s="31"/>
      <c r="AC386" s="26">
        <f t="shared" si="17"/>
        <v>0</v>
      </c>
      <c r="AD386" s="25"/>
      <c r="AE386" s="25"/>
      <c r="AF386" s="47">
        <v>7</v>
      </c>
      <c r="AG386" s="47">
        <v>1</v>
      </c>
      <c r="AH386" s="47" t="s">
        <v>339</v>
      </c>
    </row>
    <row r="387" spans="1:34" x14ac:dyDescent="0.3">
      <c r="A387" s="65">
        <v>123</v>
      </c>
      <c r="B387" s="25">
        <v>16</v>
      </c>
      <c r="C387" s="25">
        <v>59</v>
      </c>
      <c r="D387" s="25">
        <v>322</v>
      </c>
      <c r="E387" s="30" t="str">
        <f t="shared" si="15"/>
        <v>16-59-322</v>
      </c>
      <c r="F387" s="13" t="str">
        <f>VLOOKUP(E387,'LISTA ITEMS'!$E$2:$G$875,2,FALSE)</f>
        <v>CLAVIJA CAUCHO NEGRA 10/16A</v>
      </c>
      <c r="G387" s="25" t="str">
        <f>VLOOKUP(E387,'LISTA ITEMS'!$E$2:$G$875,3,FALSE)</f>
        <v>UND</v>
      </c>
      <c r="H387" s="74">
        <v>46083</v>
      </c>
      <c r="I387" s="75">
        <v>0</v>
      </c>
      <c r="J387" s="27"/>
      <c r="K387" s="70">
        <v>46098</v>
      </c>
      <c r="L387" s="67">
        <v>0</v>
      </c>
      <c r="M387" s="54">
        <v>46098</v>
      </c>
      <c r="N387" s="55">
        <v>0</v>
      </c>
      <c r="O387" s="70">
        <v>46098</v>
      </c>
      <c r="P387" s="71">
        <v>0</v>
      </c>
      <c r="Q387" s="36">
        <v>46098</v>
      </c>
      <c r="R387" s="26">
        <f t="shared" si="16"/>
        <v>0</v>
      </c>
      <c r="S387" s="85"/>
      <c r="T387" s="84"/>
      <c r="U387" s="27"/>
      <c r="V387" s="70"/>
      <c r="W387" s="67"/>
      <c r="X387" s="54"/>
      <c r="Y387" s="55"/>
      <c r="Z387" s="70"/>
      <c r="AA387" s="71"/>
      <c r="AB387" s="31"/>
      <c r="AC387" s="26">
        <f t="shared" si="17"/>
        <v>0</v>
      </c>
      <c r="AD387" s="25"/>
      <c r="AE387" s="25"/>
      <c r="AF387" s="48">
        <v>7</v>
      </c>
      <c r="AG387" s="48">
        <v>4</v>
      </c>
      <c r="AH387" s="48" t="s">
        <v>339</v>
      </c>
    </row>
    <row r="388" spans="1:34" x14ac:dyDescent="0.3">
      <c r="A388" s="65">
        <v>127</v>
      </c>
      <c r="B388" s="25">
        <v>16</v>
      </c>
      <c r="C388" s="25">
        <v>49</v>
      </c>
      <c r="D388" s="25">
        <v>282</v>
      </c>
      <c r="E388" s="30" t="str">
        <f t="shared" ref="E388:E451" si="18">CONCATENATE(B388,"-",C388,"-",D388)</f>
        <v>16-49-282</v>
      </c>
      <c r="F388" s="13" t="str">
        <f>VLOOKUP(E388,'LISTA ITEMS'!$E$2:$G$875,2,FALSE)</f>
        <v>CONTACTOR MODULAR RV32 (REVALCO)</v>
      </c>
      <c r="G388" s="25" t="str">
        <f>VLOOKUP(E388,'LISTA ITEMS'!$E$2:$G$875,3,FALSE)</f>
        <v>UND</v>
      </c>
      <c r="H388" s="74">
        <v>46083</v>
      </c>
      <c r="I388" s="75">
        <v>-3</v>
      </c>
      <c r="J388" s="27"/>
      <c r="K388" s="70">
        <v>46098</v>
      </c>
      <c r="L388" s="67">
        <v>0</v>
      </c>
      <c r="M388" s="54">
        <v>46098</v>
      </c>
      <c r="N388" s="55">
        <v>0</v>
      </c>
      <c r="O388" s="70">
        <v>46098</v>
      </c>
      <c r="P388" s="71">
        <v>0</v>
      </c>
      <c r="Q388" s="36">
        <v>46098</v>
      </c>
      <c r="R388" s="26">
        <f t="shared" ref="R388:R451" si="19">+I388+L388+N388-P388</f>
        <v>-3</v>
      </c>
      <c r="S388" s="85"/>
      <c r="T388" s="84">
        <v>0</v>
      </c>
      <c r="U388" s="27"/>
      <c r="V388" s="70"/>
      <c r="W388" s="67"/>
      <c r="X388" s="54"/>
      <c r="Y388" s="55"/>
      <c r="Z388" s="70"/>
      <c r="AA388" s="71"/>
      <c r="AB388" s="31"/>
      <c r="AC388" s="26">
        <f t="shared" ref="AC388:AC451" si="20">+R388+W388+Y388-AA388</f>
        <v>-3</v>
      </c>
      <c r="AD388" s="25"/>
      <c r="AE388" s="25"/>
      <c r="AF388" s="48">
        <v>10</v>
      </c>
      <c r="AG388" s="48">
        <v>2</v>
      </c>
      <c r="AH388" s="48" t="s">
        <v>338</v>
      </c>
    </row>
    <row r="389" spans="1:34" ht="57.6" x14ac:dyDescent="0.3">
      <c r="A389" s="65">
        <v>164</v>
      </c>
      <c r="B389" s="25">
        <v>7</v>
      </c>
      <c r="C389" s="25">
        <v>36</v>
      </c>
      <c r="D389" s="25">
        <v>231</v>
      </c>
      <c r="E389" s="30" t="str">
        <f t="shared" si="18"/>
        <v>7-36-231</v>
      </c>
      <c r="F389" s="13" t="str">
        <f>VLOOKUP(E389,'LISTA ITEMS'!$E$2:$G$875,2,FALSE)</f>
        <v>CONTROLADOR SMART SOLAR MPPT 250/100-TR VICTROM ENERGY</v>
      </c>
      <c r="G389" s="25" t="str">
        <f>VLOOKUP(E389,'LISTA ITEMS'!$E$2:$G$875,3,FALSE)</f>
        <v>UND</v>
      </c>
      <c r="H389" s="74">
        <v>46083</v>
      </c>
      <c r="I389" s="75">
        <v>2</v>
      </c>
      <c r="J389" s="27"/>
      <c r="K389" s="70">
        <v>46098</v>
      </c>
      <c r="L389" s="67">
        <v>0</v>
      </c>
      <c r="M389" s="54">
        <v>46098</v>
      </c>
      <c r="N389" s="55">
        <v>0</v>
      </c>
      <c r="O389" s="70">
        <v>46098</v>
      </c>
      <c r="P389" s="71">
        <v>0</v>
      </c>
      <c r="Q389" s="36">
        <v>46098</v>
      </c>
      <c r="R389" s="26">
        <f t="shared" si="19"/>
        <v>2</v>
      </c>
      <c r="S389" s="85"/>
      <c r="T389" s="84"/>
      <c r="U389" s="27"/>
      <c r="V389" s="70"/>
      <c r="W389" s="67"/>
      <c r="X389" s="54"/>
      <c r="Y389" s="55"/>
      <c r="Z389" s="70"/>
      <c r="AA389" s="71"/>
      <c r="AB389" s="31"/>
      <c r="AC389" s="26">
        <f t="shared" si="20"/>
        <v>2</v>
      </c>
      <c r="AD389" s="51" t="s">
        <v>369</v>
      </c>
      <c r="AE389" s="51" t="s">
        <v>369</v>
      </c>
      <c r="AF389" s="47">
        <v>8</v>
      </c>
      <c r="AG389" s="47">
        <v>3</v>
      </c>
      <c r="AH389" s="47" t="s">
        <v>311</v>
      </c>
    </row>
    <row r="390" spans="1:34" x14ac:dyDescent="0.3">
      <c r="A390" s="65">
        <v>214</v>
      </c>
      <c r="B390" s="25">
        <v>16</v>
      </c>
      <c r="C390" s="25">
        <v>73</v>
      </c>
      <c r="D390" s="25">
        <v>392</v>
      </c>
      <c r="E390" s="30" t="str">
        <f t="shared" si="18"/>
        <v>16-73-392</v>
      </c>
      <c r="F390" s="13" t="str">
        <f>VLOOKUP(E390,'LISTA ITEMS'!$E$2:$G$875,2,FALSE)</f>
        <v>CRISTAL PARA PUERTA EAM/EH/MV</v>
      </c>
      <c r="G390" s="25" t="str">
        <f>VLOOKUP(E390,'LISTA ITEMS'!$E$2:$G$875,3,FALSE)</f>
        <v>UND</v>
      </c>
      <c r="H390" s="74">
        <v>46083</v>
      </c>
      <c r="I390" s="75">
        <v>2</v>
      </c>
      <c r="J390" s="27"/>
      <c r="K390" s="70">
        <v>46098</v>
      </c>
      <c r="L390" s="67">
        <v>0</v>
      </c>
      <c r="M390" s="54">
        <v>46098</v>
      </c>
      <c r="N390" s="55">
        <v>0</v>
      </c>
      <c r="O390" s="70">
        <v>46098</v>
      </c>
      <c r="P390" s="71">
        <v>0</v>
      </c>
      <c r="Q390" s="36">
        <v>46098</v>
      </c>
      <c r="R390" s="26">
        <f t="shared" si="19"/>
        <v>2</v>
      </c>
      <c r="S390" s="85"/>
      <c r="T390" s="84"/>
      <c r="U390" s="27"/>
      <c r="V390" s="70"/>
      <c r="W390" s="67"/>
      <c r="X390" s="54"/>
      <c r="Y390" s="55"/>
      <c r="Z390" s="70"/>
      <c r="AA390" s="71"/>
      <c r="AB390" s="31"/>
      <c r="AC390" s="26">
        <f t="shared" si="20"/>
        <v>2</v>
      </c>
      <c r="AD390" s="25"/>
      <c r="AE390" s="25"/>
      <c r="AF390" s="13"/>
      <c r="AG390" s="13"/>
      <c r="AH390" s="13"/>
    </row>
    <row r="391" spans="1:34" x14ac:dyDescent="0.3">
      <c r="A391" s="65">
        <v>45</v>
      </c>
      <c r="B391" s="25">
        <v>9</v>
      </c>
      <c r="C391" s="25">
        <v>32</v>
      </c>
      <c r="D391" s="25">
        <v>223</v>
      </c>
      <c r="E391" s="30" t="str">
        <f t="shared" si="18"/>
        <v>9-32-223</v>
      </c>
      <c r="F391" s="13" t="str">
        <f>VLOOKUP(E391,'LISTA ITEMS'!$E$2:$G$875,2,FALSE)</f>
        <v>CURVA PVC M-25 GRIS TIPO A</v>
      </c>
      <c r="G391" s="25" t="str">
        <f>VLOOKUP(E391,'LISTA ITEMS'!$E$2:$G$875,3,FALSE)</f>
        <v>UND</v>
      </c>
      <c r="H391" s="74">
        <v>46083</v>
      </c>
      <c r="I391" s="75">
        <v>472</v>
      </c>
      <c r="J391" s="27"/>
      <c r="K391" s="70">
        <v>46098</v>
      </c>
      <c r="L391" s="67">
        <v>36</v>
      </c>
      <c r="M391" s="54">
        <v>46098</v>
      </c>
      <c r="N391" s="55">
        <v>200</v>
      </c>
      <c r="O391" s="70">
        <v>46098</v>
      </c>
      <c r="P391" s="71">
        <v>129</v>
      </c>
      <c r="Q391" s="36">
        <v>46098</v>
      </c>
      <c r="R391" s="26">
        <f t="shared" si="19"/>
        <v>579</v>
      </c>
      <c r="S391" s="85"/>
      <c r="T391" s="84"/>
      <c r="U391" s="27"/>
      <c r="V391" s="70"/>
      <c r="W391" s="67"/>
      <c r="X391" s="54"/>
      <c r="Y391" s="55"/>
      <c r="Z391" s="70"/>
      <c r="AA391" s="71"/>
      <c r="AB391" s="31"/>
      <c r="AC391" s="26">
        <f t="shared" si="20"/>
        <v>579</v>
      </c>
      <c r="AD391" s="25"/>
      <c r="AE391" s="25"/>
      <c r="AF391" s="48">
        <v>10</v>
      </c>
      <c r="AG391" s="48">
        <v>1</v>
      </c>
      <c r="AH391" s="48" t="s">
        <v>312</v>
      </c>
    </row>
    <row r="392" spans="1:34" x14ac:dyDescent="0.3">
      <c r="A392" s="65">
        <v>46</v>
      </c>
      <c r="B392" s="25">
        <v>9</v>
      </c>
      <c r="C392" s="25">
        <v>32</v>
      </c>
      <c r="D392" s="25">
        <v>224</v>
      </c>
      <c r="E392" s="30" t="str">
        <f t="shared" si="18"/>
        <v>9-32-224</v>
      </c>
      <c r="F392" s="13" t="str">
        <f>VLOOKUP(E392,'LISTA ITEMS'!$E$2:$G$875,2,FALSE)</f>
        <v>CURVA PVC M-25 GRIS TIPO B</v>
      </c>
      <c r="G392" s="25" t="str">
        <f>VLOOKUP(E392,'LISTA ITEMS'!$E$2:$G$875,3,FALSE)</f>
        <v>UND</v>
      </c>
      <c r="H392" s="74">
        <v>46083</v>
      </c>
      <c r="I392" s="75">
        <v>80</v>
      </c>
      <c r="J392" s="27"/>
      <c r="K392" s="70">
        <v>46098</v>
      </c>
      <c r="L392" s="67">
        <v>0</v>
      </c>
      <c r="M392" s="54">
        <v>46098</v>
      </c>
      <c r="N392" s="55">
        <v>0</v>
      </c>
      <c r="O392" s="70">
        <v>46098</v>
      </c>
      <c r="P392" s="71">
        <v>5</v>
      </c>
      <c r="Q392" s="36">
        <v>46098</v>
      </c>
      <c r="R392" s="26">
        <f t="shared" si="19"/>
        <v>75</v>
      </c>
      <c r="S392" s="85"/>
      <c r="T392" s="84"/>
      <c r="U392" s="27"/>
      <c r="V392" s="70"/>
      <c r="W392" s="67"/>
      <c r="X392" s="54"/>
      <c r="Y392" s="55"/>
      <c r="Z392" s="70"/>
      <c r="AA392" s="71"/>
      <c r="AB392" s="31"/>
      <c r="AC392" s="26">
        <f t="shared" si="20"/>
        <v>75</v>
      </c>
      <c r="AD392" s="25"/>
      <c r="AE392" s="25"/>
      <c r="AF392" s="48">
        <v>10</v>
      </c>
      <c r="AG392" s="48">
        <v>1</v>
      </c>
      <c r="AH392" s="48" t="s">
        <v>312</v>
      </c>
    </row>
    <row r="393" spans="1:34" x14ac:dyDescent="0.3">
      <c r="A393" s="65">
        <v>47</v>
      </c>
      <c r="B393" s="25">
        <v>9</v>
      </c>
      <c r="C393" s="25">
        <v>32</v>
      </c>
      <c r="D393" s="25">
        <v>225</v>
      </c>
      <c r="E393" s="30" t="str">
        <f t="shared" si="18"/>
        <v>9-32-225</v>
      </c>
      <c r="F393" s="13" t="str">
        <f>VLOOKUP(E393,'LISTA ITEMS'!$E$2:$G$875,2,FALSE)</f>
        <v>CURVA PVC M-40 GRIS</v>
      </c>
      <c r="G393" s="25" t="str">
        <f>VLOOKUP(E393,'LISTA ITEMS'!$E$2:$G$875,3,FALSE)</f>
        <v>UND</v>
      </c>
      <c r="H393" s="74">
        <v>46083</v>
      </c>
      <c r="I393" s="75">
        <v>37</v>
      </c>
      <c r="J393" s="27"/>
      <c r="K393" s="70">
        <v>46098</v>
      </c>
      <c r="L393" s="67">
        <v>0</v>
      </c>
      <c r="M393" s="54">
        <v>46098</v>
      </c>
      <c r="N393" s="55">
        <v>0</v>
      </c>
      <c r="O393" s="70">
        <v>46098</v>
      </c>
      <c r="P393" s="71">
        <v>0</v>
      </c>
      <c r="Q393" s="36">
        <v>46098</v>
      </c>
      <c r="R393" s="26">
        <f t="shared" si="19"/>
        <v>37</v>
      </c>
      <c r="S393" s="85"/>
      <c r="T393" s="84"/>
      <c r="U393" s="27"/>
      <c r="V393" s="70"/>
      <c r="W393" s="67"/>
      <c r="X393" s="54"/>
      <c r="Y393" s="55"/>
      <c r="Z393" s="70"/>
      <c r="AA393" s="71"/>
      <c r="AB393" s="31"/>
      <c r="AC393" s="26">
        <f t="shared" si="20"/>
        <v>37</v>
      </c>
      <c r="AD393" s="25"/>
      <c r="AE393" s="25"/>
      <c r="AF393" s="48">
        <v>10</v>
      </c>
      <c r="AG393" s="48">
        <v>1</v>
      </c>
      <c r="AH393" s="48" t="s">
        <v>312</v>
      </c>
    </row>
    <row r="394" spans="1:34" x14ac:dyDescent="0.3">
      <c r="A394" s="65">
        <v>222</v>
      </c>
      <c r="B394" s="25">
        <v>7</v>
      </c>
      <c r="C394" s="25">
        <v>79</v>
      </c>
      <c r="D394" s="25">
        <v>400</v>
      </c>
      <c r="E394" s="30" t="str">
        <f t="shared" si="18"/>
        <v>7-79-400</v>
      </c>
      <c r="F394" s="13" t="str">
        <f>VLOOKUP(E394,'LISTA ITEMS'!$E$2:$G$875,2,FALSE)</f>
        <v>DESCALCIFICADOR KINETICO ESSENTIAL 11lts</v>
      </c>
      <c r="G394" s="25" t="str">
        <f>VLOOKUP(E394,'LISTA ITEMS'!$E$2:$G$875,3,FALSE)</f>
        <v>UND</v>
      </c>
      <c r="H394" s="74">
        <v>46083</v>
      </c>
      <c r="I394" s="75">
        <v>1</v>
      </c>
      <c r="J394" s="27"/>
      <c r="K394" s="70">
        <v>46098</v>
      </c>
      <c r="L394" s="67">
        <v>0</v>
      </c>
      <c r="M394" s="54">
        <v>46098</v>
      </c>
      <c r="N394" s="55">
        <v>0</v>
      </c>
      <c r="O394" s="70">
        <v>46098</v>
      </c>
      <c r="P394" s="71">
        <v>0</v>
      </c>
      <c r="Q394" s="36">
        <v>46098</v>
      </c>
      <c r="R394" s="26">
        <f t="shared" si="19"/>
        <v>1</v>
      </c>
      <c r="S394" s="85"/>
      <c r="T394" s="84"/>
      <c r="U394" s="27"/>
      <c r="V394" s="70"/>
      <c r="W394" s="67"/>
      <c r="X394" s="54"/>
      <c r="Y394" s="55"/>
      <c r="Z394" s="70"/>
      <c r="AA394" s="71"/>
      <c r="AB394" s="31"/>
      <c r="AC394" s="26">
        <f t="shared" si="20"/>
        <v>1</v>
      </c>
      <c r="AD394" s="25"/>
      <c r="AE394" s="25"/>
      <c r="AF394" s="13"/>
      <c r="AG394" s="13"/>
      <c r="AH394" s="13"/>
    </row>
    <row r="395" spans="1:34" ht="28.8" x14ac:dyDescent="0.3">
      <c r="A395" s="65">
        <v>130</v>
      </c>
      <c r="B395" s="25">
        <v>16</v>
      </c>
      <c r="C395" s="25">
        <v>47</v>
      </c>
      <c r="D395" s="25">
        <v>338</v>
      </c>
      <c r="E395" s="30" t="str">
        <f t="shared" si="18"/>
        <v>16-47-338</v>
      </c>
      <c r="F395" s="13" t="str">
        <f>VLOOKUP(E395,'LISTA ITEMS'!$E$2:$G$875,2,FALSE)</f>
        <v>DIFERENCIAL TRIFASICO EPR4A040030 4P-40A-30mA (MAXGE)</v>
      </c>
      <c r="G395" s="25" t="str">
        <f>VLOOKUP(E395,'LISTA ITEMS'!$E$2:$G$875,3,FALSE)</f>
        <v>UND</v>
      </c>
      <c r="H395" s="74">
        <v>46083</v>
      </c>
      <c r="I395" s="75">
        <v>8</v>
      </c>
      <c r="J395" s="27"/>
      <c r="K395" s="70">
        <v>46098</v>
      </c>
      <c r="L395" s="67">
        <v>0</v>
      </c>
      <c r="M395" s="54">
        <v>46098</v>
      </c>
      <c r="N395" s="55">
        <v>0</v>
      </c>
      <c r="O395" s="70">
        <v>46098</v>
      </c>
      <c r="P395" s="71">
        <v>1</v>
      </c>
      <c r="Q395" s="36">
        <v>46098</v>
      </c>
      <c r="R395" s="26">
        <f t="shared" si="19"/>
        <v>7</v>
      </c>
      <c r="S395" s="85"/>
      <c r="T395" s="84"/>
      <c r="U395" s="27"/>
      <c r="V395" s="70"/>
      <c r="W395" s="67"/>
      <c r="X395" s="54"/>
      <c r="Y395" s="55"/>
      <c r="Z395" s="70"/>
      <c r="AA395" s="71"/>
      <c r="AB395" s="31"/>
      <c r="AC395" s="26">
        <f t="shared" si="20"/>
        <v>7</v>
      </c>
      <c r="AD395" s="25"/>
      <c r="AE395" s="25"/>
      <c r="AF395" s="48">
        <v>10</v>
      </c>
      <c r="AG395" s="48">
        <v>1</v>
      </c>
      <c r="AH395" s="48" t="s">
        <v>251</v>
      </c>
    </row>
    <row r="396" spans="1:34" ht="28.8" x14ac:dyDescent="0.3">
      <c r="A396" s="65">
        <v>131</v>
      </c>
      <c r="B396" s="25">
        <v>16</v>
      </c>
      <c r="C396" s="25">
        <v>47</v>
      </c>
      <c r="D396" s="25">
        <v>337</v>
      </c>
      <c r="E396" s="30" t="str">
        <f t="shared" si="18"/>
        <v>16-47-337</v>
      </c>
      <c r="F396" s="13" t="str">
        <f>VLOOKUP(E396,'LISTA ITEMS'!$E$2:$G$875,2,FALSE)</f>
        <v>DIFERENCIAL TRIFASICO EPR4C063300 (AC TYPE) 4P-63A-300mA AC 10KA (MAXGE)</v>
      </c>
      <c r="G396" s="25" t="str">
        <f>VLOOKUP(E396,'LISTA ITEMS'!$E$2:$G$875,3,FALSE)</f>
        <v>UND</v>
      </c>
      <c r="H396" s="74">
        <v>46083</v>
      </c>
      <c r="I396" s="75">
        <v>1</v>
      </c>
      <c r="J396" s="27"/>
      <c r="K396" s="70">
        <v>46098</v>
      </c>
      <c r="L396" s="67">
        <v>0</v>
      </c>
      <c r="M396" s="54">
        <v>46098</v>
      </c>
      <c r="N396" s="55">
        <v>0</v>
      </c>
      <c r="O396" s="70">
        <v>46098</v>
      </c>
      <c r="P396" s="71">
        <v>0</v>
      </c>
      <c r="Q396" s="36">
        <v>46098</v>
      </c>
      <c r="R396" s="26">
        <f t="shared" si="19"/>
        <v>1</v>
      </c>
      <c r="S396" s="85"/>
      <c r="T396" s="84"/>
      <c r="U396" s="27"/>
      <c r="V396" s="70"/>
      <c r="W396" s="67"/>
      <c r="X396" s="54"/>
      <c r="Y396" s="55"/>
      <c r="Z396" s="70"/>
      <c r="AA396" s="71"/>
      <c r="AB396" s="31"/>
      <c r="AC396" s="26">
        <f t="shared" si="20"/>
        <v>1</v>
      </c>
      <c r="AD396" s="25"/>
      <c r="AE396" s="25"/>
      <c r="AF396" s="48">
        <v>10</v>
      </c>
      <c r="AG396" s="48">
        <v>1</v>
      </c>
      <c r="AH396" s="48" t="s">
        <v>251</v>
      </c>
    </row>
    <row r="397" spans="1:34" ht="28.8" x14ac:dyDescent="0.3">
      <c r="A397" s="65">
        <v>170</v>
      </c>
      <c r="B397" s="25">
        <v>16</v>
      </c>
      <c r="C397" s="25">
        <v>47</v>
      </c>
      <c r="D397" s="25">
        <v>349</v>
      </c>
      <c r="E397" s="30" t="str">
        <f t="shared" si="18"/>
        <v>16-47-349</v>
      </c>
      <c r="F397" s="13" t="str">
        <f>VLOOKUP(E397,'LISTA ITEMS'!$E$2:$G$875,2,FALSE)</f>
        <v>DIFERENCIAL TRIFASICO TIPO A/C 4P-40A-30mA (AEG)</v>
      </c>
      <c r="G397" s="25" t="str">
        <f>VLOOKUP(E397,'LISTA ITEMS'!$E$2:$G$875,3,FALSE)</f>
        <v>UND</v>
      </c>
      <c r="H397" s="74">
        <v>46083</v>
      </c>
      <c r="I397" s="75">
        <v>1</v>
      </c>
      <c r="J397" s="27"/>
      <c r="K397" s="70">
        <v>46098</v>
      </c>
      <c r="L397" s="67">
        <v>0</v>
      </c>
      <c r="M397" s="54">
        <v>46098</v>
      </c>
      <c r="N397" s="55">
        <v>0</v>
      </c>
      <c r="O397" s="70">
        <v>46098</v>
      </c>
      <c r="P397" s="71">
        <v>2</v>
      </c>
      <c r="Q397" s="36">
        <v>46098</v>
      </c>
      <c r="R397" s="26">
        <f t="shared" si="19"/>
        <v>-1</v>
      </c>
      <c r="S397" s="85"/>
      <c r="T397" s="84"/>
      <c r="U397" s="27"/>
      <c r="V397" s="70"/>
      <c r="W397" s="67"/>
      <c r="X397" s="54"/>
      <c r="Y397" s="55"/>
      <c r="Z397" s="70"/>
      <c r="AA397" s="71"/>
      <c r="AB397" s="31"/>
      <c r="AC397" s="26">
        <f t="shared" si="20"/>
        <v>-1</v>
      </c>
      <c r="AD397" s="25"/>
      <c r="AE397" s="25"/>
      <c r="AF397" s="48">
        <v>10</v>
      </c>
      <c r="AG397" s="48">
        <v>1</v>
      </c>
      <c r="AH397" s="48" t="s">
        <v>251</v>
      </c>
    </row>
    <row r="398" spans="1:34" x14ac:dyDescent="0.3">
      <c r="A398" s="65">
        <v>14</v>
      </c>
      <c r="B398" s="25">
        <v>14</v>
      </c>
      <c r="C398" s="25">
        <v>24</v>
      </c>
      <c r="D398" s="25">
        <v>193</v>
      </c>
      <c r="E398" s="30" t="str">
        <f t="shared" si="18"/>
        <v>14-24-193</v>
      </c>
      <c r="F398" s="13" t="str">
        <f>VLOOKUP(E398,'LISTA ITEMS'!$E$2:$G$875,2,FALSE)</f>
        <v>DISCO CORTE ACERO/INOX A1 2EN1</v>
      </c>
      <c r="G398" s="25" t="str">
        <f>VLOOKUP(E398,'LISTA ITEMS'!$E$2:$G$875,3,FALSE)</f>
        <v>UND</v>
      </c>
      <c r="H398" s="74">
        <v>46083</v>
      </c>
      <c r="I398" s="75">
        <v>3</v>
      </c>
      <c r="J398" s="27"/>
      <c r="K398" s="70">
        <v>46098</v>
      </c>
      <c r="L398" s="67">
        <v>5</v>
      </c>
      <c r="M398" s="54">
        <v>46098</v>
      </c>
      <c r="N398" s="55">
        <v>25</v>
      </c>
      <c r="O398" s="70">
        <v>46098</v>
      </c>
      <c r="P398" s="71">
        <v>45</v>
      </c>
      <c r="Q398" s="36">
        <v>46098</v>
      </c>
      <c r="R398" s="26">
        <f t="shared" si="19"/>
        <v>-12</v>
      </c>
      <c r="S398" s="85"/>
      <c r="T398" s="84"/>
      <c r="U398" s="27"/>
      <c r="V398" s="70"/>
      <c r="W398" s="67"/>
      <c r="X398" s="54"/>
      <c r="Y398" s="55"/>
      <c r="Z398" s="70"/>
      <c r="AA398" s="71"/>
      <c r="AB398" s="31"/>
      <c r="AC398" s="26">
        <f t="shared" si="20"/>
        <v>-12</v>
      </c>
      <c r="AD398" s="25"/>
      <c r="AE398" s="25"/>
      <c r="AF398" s="48">
        <v>7</v>
      </c>
      <c r="AG398" s="48">
        <v>1</v>
      </c>
      <c r="AH398" s="48" t="s">
        <v>339</v>
      </c>
    </row>
    <row r="399" spans="1:34" x14ac:dyDescent="0.3">
      <c r="A399" s="65">
        <v>132</v>
      </c>
      <c r="B399" s="25">
        <v>10</v>
      </c>
      <c r="C399" s="25">
        <v>43</v>
      </c>
      <c r="D399" s="25">
        <v>270</v>
      </c>
      <c r="E399" s="30" t="str">
        <f t="shared" si="18"/>
        <v>10-43-270</v>
      </c>
      <c r="F399" s="13" t="str">
        <f>VLOOKUP(E399,'LISTA ITEMS'!$E$2:$G$875,2,FALSE)</f>
        <v>EMPALME ALUMINIO P/BARRA</v>
      </c>
      <c r="G399" s="25" t="str">
        <f>VLOOKUP(E399,'LISTA ITEMS'!$E$2:$G$875,3,FALSE)</f>
        <v>UND</v>
      </c>
      <c r="H399" s="74">
        <v>46083</v>
      </c>
      <c r="I399" s="75">
        <v>230</v>
      </c>
      <c r="J399" s="27"/>
      <c r="K399" s="70">
        <v>46098</v>
      </c>
      <c r="L399" s="67">
        <v>17</v>
      </c>
      <c r="M399" s="54">
        <v>46098</v>
      </c>
      <c r="N399" s="55">
        <v>50</v>
      </c>
      <c r="O399" s="70">
        <v>46098</v>
      </c>
      <c r="P399" s="71">
        <v>74</v>
      </c>
      <c r="Q399" s="36">
        <v>46098</v>
      </c>
      <c r="R399" s="26">
        <f t="shared" si="19"/>
        <v>223</v>
      </c>
      <c r="S399" s="85"/>
      <c r="T399" s="84"/>
      <c r="U399" s="27"/>
      <c r="V399" s="70"/>
      <c r="W399" s="67"/>
      <c r="X399" s="54"/>
      <c r="Y399" s="55"/>
      <c r="Z399" s="70"/>
      <c r="AA399" s="71"/>
      <c r="AB399" s="31"/>
      <c r="AC399" s="26">
        <f t="shared" si="20"/>
        <v>223</v>
      </c>
      <c r="AD399" s="25"/>
      <c r="AE399" s="25"/>
      <c r="AF399" s="48">
        <v>10</v>
      </c>
      <c r="AG399" s="48">
        <v>1</v>
      </c>
      <c r="AH399" s="48" t="s">
        <v>311</v>
      </c>
    </row>
    <row r="400" spans="1:34" x14ac:dyDescent="0.3">
      <c r="A400" s="65">
        <v>215</v>
      </c>
      <c r="B400" s="25">
        <v>7</v>
      </c>
      <c r="C400" s="25">
        <v>26</v>
      </c>
      <c r="D400" s="25">
        <v>393</v>
      </c>
      <c r="E400" s="30" t="str">
        <f t="shared" si="18"/>
        <v>7-26-393</v>
      </c>
      <c r="F400" s="13" t="str">
        <f>VLOOKUP(E400,'LISTA ITEMS'!$E$2:$G$875,2,FALSE)</f>
        <v>ESTACION DE CARGA THOR 22AS-S GROWATT</v>
      </c>
      <c r="G400" s="25" t="str">
        <f>VLOOKUP(E400,'LISTA ITEMS'!$E$2:$G$875,3,FALSE)</f>
        <v>UND</v>
      </c>
      <c r="H400" s="74">
        <v>46083</v>
      </c>
      <c r="I400" s="75">
        <v>2</v>
      </c>
      <c r="J400" s="27"/>
      <c r="K400" s="70">
        <v>46098</v>
      </c>
      <c r="L400" s="67">
        <v>0</v>
      </c>
      <c r="M400" s="54">
        <v>46098</v>
      </c>
      <c r="N400" s="55">
        <v>0</v>
      </c>
      <c r="O400" s="70">
        <v>46098</v>
      </c>
      <c r="P400" s="71">
        <v>1</v>
      </c>
      <c r="Q400" s="36">
        <v>46098</v>
      </c>
      <c r="R400" s="26">
        <f t="shared" si="19"/>
        <v>1</v>
      </c>
      <c r="S400" s="85"/>
      <c r="T400" s="84"/>
      <c r="U400" s="27"/>
      <c r="V400" s="70"/>
      <c r="W400" s="67"/>
      <c r="X400" s="54"/>
      <c r="Y400" s="55"/>
      <c r="Z400" s="70"/>
      <c r="AA400" s="71"/>
      <c r="AB400" s="31"/>
      <c r="AC400" s="26">
        <f t="shared" si="20"/>
        <v>1</v>
      </c>
      <c r="AD400" s="25"/>
      <c r="AE400" s="25"/>
      <c r="AF400" s="13"/>
      <c r="AG400" s="13"/>
      <c r="AH400" s="13"/>
    </row>
    <row r="401" spans="1:34" ht="28.8" x14ac:dyDescent="0.3">
      <c r="A401" s="65">
        <v>17</v>
      </c>
      <c r="B401" s="25">
        <v>7</v>
      </c>
      <c r="C401" s="25">
        <v>26</v>
      </c>
      <c r="D401" s="25">
        <v>196</v>
      </c>
      <c r="E401" s="88" t="str">
        <f t="shared" si="18"/>
        <v>7-26-196</v>
      </c>
      <c r="F401" s="13" t="str">
        <f>VLOOKUP(E401,'LISTA ITEMS'!$E$2:$G$875,2,FALSE)</f>
        <v>ESTACION DE CARGA THOR O7AS-P-V1 GROWATT</v>
      </c>
      <c r="G401" s="25" t="str">
        <f>VLOOKUP(E401,'LISTA ITEMS'!$E$2:$G$875,3,FALSE)</f>
        <v>UND</v>
      </c>
      <c r="H401" s="74">
        <v>46083</v>
      </c>
      <c r="I401" s="75">
        <v>1</v>
      </c>
      <c r="J401" s="27"/>
      <c r="K401" s="70">
        <v>46098</v>
      </c>
      <c r="L401" s="67">
        <v>0</v>
      </c>
      <c r="M401" s="54">
        <v>46098</v>
      </c>
      <c r="N401" s="55">
        <v>0</v>
      </c>
      <c r="O401" s="70">
        <v>46098</v>
      </c>
      <c r="P401" s="71">
        <v>0</v>
      </c>
      <c r="Q401" s="36">
        <v>46098</v>
      </c>
      <c r="R401" s="26">
        <f t="shared" si="19"/>
        <v>1</v>
      </c>
      <c r="S401" s="85"/>
      <c r="T401" s="84"/>
      <c r="U401" s="27"/>
      <c r="V401" s="70"/>
      <c r="W401" s="67"/>
      <c r="X401" s="54"/>
      <c r="Y401" s="55"/>
      <c r="Z401" s="70"/>
      <c r="AA401" s="71"/>
      <c r="AB401" s="31"/>
      <c r="AC401" s="26">
        <f t="shared" si="20"/>
        <v>1</v>
      </c>
      <c r="AD401" s="25"/>
      <c r="AE401" s="25"/>
      <c r="AF401" s="48">
        <v>7</v>
      </c>
      <c r="AG401" s="48">
        <v>1</v>
      </c>
      <c r="AH401" s="48" t="s">
        <v>45</v>
      </c>
    </row>
    <row r="402" spans="1:34" x14ac:dyDescent="0.3">
      <c r="A402" s="65">
        <v>91</v>
      </c>
      <c r="B402" s="25">
        <v>16</v>
      </c>
      <c r="C402" s="25">
        <v>50</v>
      </c>
      <c r="D402" s="25">
        <v>283</v>
      </c>
      <c r="E402" s="30" t="str">
        <f t="shared" si="18"/>
        <v>16-50-283</v>
      </c>
      <c r="F402" s="13" t="str">
        <f>VLOOKUP(E402,'LISTA ITEMS'!$E$2:$G$875,2,FALSE)</f>
        <v>FUSIBLE 32A-1000VDC (SASSIN)</v>
      </c>
      <c r="G402" s="25" t="str">
        <f>VLOOKUP(E402,'LISTA ITEMS'!$E$2:$G$875,3,FALSE)</f>
        <v>UND</v>
      </c>
      <c r="H402" s="74">
        <v>46083</v>
      </c>
      <c r="I402" s="75">
        <v>22</v>
      </c>
      <c r="J402" s="27"/>
      <c r="K402" s="70">
        <v>46098</v>
      </c>
      <c r="L402" s="67">
        <v>0</v>
      </c>
      <c r="M402" s="54">
        <v>46098</v>
      </c>
      <c r="N402" s="55">
        <v>0</v>
      </c>
      <c r="O402" s="70">
        <v>46098</v>
      </c>
      <c r="P402" s="71">
        <v>4</v>
      </c>
      <c r="Q402" s="36">
        <v>46098</v>
      </c>
      <c r="R402" s="26">
        <f t="shared" si="19"/>
        <v>18</v>
      </c>
      <c r="S402" s="85"/>
      <c r="T402" s="84">
        <v>0</v>
      </c>
      <c r="U402" s="27"/>
      <c r="V402" s="70"/>
      <c r="W402" s="67"/>
      <c r="X402" s="54"/>
      <c r="Y402" s="55"/>
      <c r="Z402" s="70"/>
      <c r="AA402" s="71"/>
      <c r="AB402" s="31"/>
      <c r="AC402" s="26">
        <f t="shared" si="20"/>
        <v>18</v>
      </c>
      <c r="AD402" s="25"/>
      <c r="AE402" s="25"/>
      <c r="AF402" s="48">
        <v>10</v>
      </c>
      <c r="AG402" s="48">
        <v>2</v>
      </c>
      <c r="AH402" s="48" t="s">
        <v>251</v>
      </c>
    </row>
    <row r="403" spans="1:34" x14ac:dyDescent="0.3">
      <c r="A403" s="65">
        <v>227</v>
      </c>
      <c r="B403" s="25">
        <v>19</v>
      </c>
      <c r="C403" s="25">
        <v>81</v>
      </c>
      <c r="D403" s="25">
        <v>405</v>
      </c>
      <c r="E403" s="30" t="str">
        <f t="shared" si="18"/>
        <v>19-81-405</v>
      </c>
      <c r="F403" s="13" t="str">
        <f>VLOOKUP(E403,'LISTA ITEMS'!$E$2:$G$875,2,FALSE)</f>
        <v>GUANTE PRO NEGRO T-9</v>
      </c>
      <c r="G403" s="25" t="str">
        <f>VLOOKUP(E403,'LISTA ITEMS'!$E$2:$G$875,3,FALSE)</f>
        <v>PAR</v>
      </c>
      <c r="H403" s="74">
        <v>46083</v>
      </c>
      <c r="I403" s="75">
        <v>24</v>
      </c>
      <c r="J403" s="27"/>
      <c r="K403" s="70">
        <v>46098</v>
      </c>
      <c r="L403" s="67">
        <v>0</v>
      </c>
      <c r="M403" s="54">
        <v>46098</v>
      </c>
      <c r="N403" s="55">
        <v>0</v>
      </c>
      <c r="O403" s="70">
        <v>46098</v>
      </c>
      <c r="P403" s="71">
        <v>0</v>
      </c>
      <c r="Q403" s="36">
        <v>46098</v>
      </c>
      <c r="R403" s="26">
        <f t="shared" si="19"/>
        <v>24</v>
      </c>
      <c r="S403" s="85"/>
      <c r="T403" s="84"/>
      <c r="U403" s="27"/>
      <c r="V403" s="70"/>
      <c r="W403" s="67"/>
      <c r="X403" s="54"/>
      <c r="Y403" s="55"/>
      <c r="Z403" s="70"/>
      <c r="AA403" s="71"/>
      <c r="AB403" s="31"/>
      <c r="AC403" s="26">
        <f t="shared" si="20"/>
        <v>24</v>
      </c>
      <c r="AD403" s="25"/>
      <c r="AE403" s="25"/>
      <c r="AF403" s="13"/>
      <c r="AG403" s="13"/>
      <c r="AH403" s="13"/>
    </row>
    <row r="404" spans="1:34" ht="43.2" x14ac:dyDescent="0.3">
      <c r="A404" s="65">
        <v>112</v>
      </c>
      <c r="B404" s="25">
        <v>16</v>
      </c>
      <c r="C404" s="25">
        <v>58</v>
      </c>
      <c r="D404" s="25">
        <v>312</v>
      </c>
      <c r="E404" s="30" t="str">
        <f t="shared" si="18"/>
        <v>16-58-312</v>
      </c>
      <c r="F404" s="13" t="str">
        <f>VLOOKUP(E404,'LISTA ITEMS'!$E$2:$G$875,2,FALSE)</f>
        <v>INTERRUPTOR DIFERENCIAL PROTECTOR PERSONA CONTRA DESCARGAS RX3 40A (LEGRAND)</v>
      </c>
      <c r="G404" s="25" t="str">
        <f>VLOOKUP(E404,'LISTA ITEMS'!$E$2:$G$875,3,FALSE)</f>
        <v>UND</v>
      </c>
      <c r="H404" s="74">
        <v>46083</v>
      </c>
      <c r="I404" s="75">
        <v>1</v>
      </c>
      <c r="J404" s="27"/>
      <c r="K404" s="70">
        <v>46098</v>
      </c>
      <c r="L404" s="67">
        <v>0</v>
      </c>
      <c r="M404" s="54">
        <v>46098</v>
      </c>
      <c r="N404" s="55">
        <v>0</v>
      </c>
      <c r="O404" s="70">
        <v>46098</v>
      </c>
      <c r="P404" s="71">
        <v>0</v>
      </c>
      <c r="Q404" s="36">
        <v>46098</v>
      </c>
      <c r="R404" s="26">
        <f t="shared" si="19"/>
        <v>1</v>
      </c>
      <c r="S404" s="85"/>
      <c r="T404" s="84"/>
      <c r="U404" s="27"/>
      <c r="V404" s="70"/>
      <c r="W404" s="67"/>
      <c r="X404" s="54"/>
      <c r="Y404" s="55"/>
      <c r="Z404" s="70"/>
      <c r="AA404" s="71"/>
      <c r="AB404" s="31"/>
      <c r="AC404" s="26">
        <f t="shared" si="20"/>
        <v>1</v>
      </c>
      <c r="AD404" s="25"/>
      <c r="AE404" s="25"/>
      <c r="AF404" s="48">
        <v>10</v>
      </c>
      <c r="AG404" s="48">
        <v>2</v>
      </c>
      <c r="AH404" s="48" t="s">
        <v>251</v>
      </c>
    </row>
    <row r="405" spans="1:34" ht="28.8" x14ac:dyDescent="0.3">
      <c r="A405" s="65">
        <v>116</v>
      </c>
      <c r="B405" s="25">
        <v>7</v>
      </c>
      <c r="C405" s="25">
        <v>35</v>
      </c>
      <c r="D405" s="25">
        <v>327</v>
      </c>
      <c r="E405" s="30" t="str">
        <f t="shared" si="18"/>
        <v>7-35-327</v>
      </c>
      <c r="F405" s="13" t="str">
        <f>VLOOKUP(E405,'LISTA ITEMS'!$E$2:$G$875,2,FALSE)</f>
        <v xml:space="preserve">INVERSOR 48/5000/70-50-230V MULTIPLUS (VICTROM ENERGY)  </v>
      </c>
      <c r="G405" s="25" t="str">
        <f>VLOOKUP(E405,'LISTA ITEMS'!$E$2:$G$875,3,FALSE)</f>
        <v>UND</v>
      </c>
      <c r="H405" s="74">
        <v>46083</v>
      </c>
      <c r="I405" s="75">
        <v>1</v>
      </c>
      <c r="J405" s="27"/>
      <c r="K405" s="70">
        <v>46098</v>
      </c>
      <c r="L405" s="67">
        <v>0</v>
      </c>
      <c r="M405" s="54">
        <v>46098</v>
      </c>
      <c r="N405" s="55">
        <v>1</v>
      </c>
      <c r="O405" s="70">
        <v>46098</v>
      </c>
      <c r="P405" s="71">
        <v>2</v>
      </c>
      <c r="Q405" s="36">
        <v>46098</v>
      </c>
      <c r="R405" s="26">
        <f t="shared" si="19"/>
        <v>0</v>
      </c>
      <c r="S405" s="85"/>
      <c r="T405" s="84"/>
      <c r="U405" s="27"/>
      <c r="V405" s="70"/>
      <c r="W405" s="67"/>
      <c r="X405" s="54"/>
      <c r="Y405" s="55"/>
      <c r="Z405" s="70"/>
      <c r="AA405" s="71"/>
      <c r="AB405" s="31"/>
      <c r="AC405" s="26">
        <f t="shared" si="20"/>
        <v>0</v>
      </c>
      <c r="AD405" s="78" t="s">
        <v>461</v>
      </c>
      <c r="AE405" s="51" t="s">
        <v>429</v>
      </c>
      <c r="AF405" s="48">
        <v>8</v>
      </c>
      <c r="AG405" s="48">
        <v>3</v>
      </c>
      <c r="AH405" s="48" t="s">
        <v>311</v>
      </c>
    </row>
    <row r="406" spans="1:34" ht="28.8" x14ac:dyDescent="0.3">
      <c r="A406" s="65">
        <v>162</v>
      </c>
      <c r="B406" s="25">
        <v>7</v>
      </c>
      <c r="C406" s="25">
        <v>35</v>
      </c>
      <c r="D406" s="25">
        <v>229</v>
      </c>
      <c r="E406" s="30" t="str">
        <f t="shared" si="18"/>
        <v>7-35-229</v>
      </c>
      <c r="F406" s="13" t="str">
        <f>VLOOKUP(E406,'LISTA ITEMS'!$E$2:$G$875,2,FALSE)</f>
        <v>INVERSOR AXPERT MK5-3K-24V-PLUS MARCA ROHS COMPLIANT</v>
      </c>
      <c r="G406" s="25" t="str">
        <f>VLOOKUP(E406,'LISTA ITEMS'!$E$2:$G$875,3,FALSE)</f>
        <v>UND</v>
      </c>
      <c r="H406" s="74">
        <v>46083</v>
      </c>
      <c r="I406" s="75">
        <v>1</v>
      </c>
      <c r="J406" s="27"/>
      <c r="K406" s="70">
        <v>46098</v>
      </c>
      <c r="L406" s="67">
        <v>0</v>
      </c>
      <c r="M406" s="54">
        <v>46098</v>
      </c>
      <c r="N406" s="55">
        <v>0</v>
      </c>
      <c r="O406" s="70">
        <v>46098</v>
      </c>
      <c r="P406" s="71">
        <v>0</v>
      </c>
      <c r="Q406" s="36">
        <v>46098</v>
      </c>
      <c r="R406" s="26">
        <f t="shared" si="19"/>
        <v>1</v>
      </c>
      <c r="S406" s="85"/>
      <c r="T406" s="84"/>
      <c r="U406" s="27"/>
      <c r="V406" s="70"/>
      <c r="W406" s="67"/>
      <c r="X406" s="54"/>
      <c r="Y406" s="55"/>
      <c r="Z406" s="70"/>
      <c r="AA406" s="71"/>
      <c r="AB406" s="31"/>
      <c r="AC406" s="26">
        <f t="shared" si="20"/>
        <v>1</v>
      </c>
      <c r="AD406" s="52">
        <v>92332011100255</v>
      </c>
      <c r="AE406" s="52">
        <v>92332011100256</v>
      </c>
      <c r="AF406" s="47">
        <v>10</v>
      </c>
      <c r="AG406" s="47">
        <v>1</v>
      </c>
      <c r="AH406" s="47" t="s">
        <v>311</v>
      </c>
    </row>
    <row r="407" spans="1:34" ht="43.2" x14ac:dyDescent="0.3">
      <c r="A407" s="65">
        <v>232</v>
      </c>
      <c r="B407" s="25">
        <v>16</v>
      </c>
      <c r="C407" s="25">
        <v>35</v>
      </c>
      <c r="D407" s="25">
        <v>410</v>
      </c>
      <c r="E407" s="30" t="str">
        <f t="shared" si="18"/>
        <v>16-35-410</v>
      </c>
      <c r="F407" s="13" t="str">
        <f>VLOOKUP(E407,'LISTA ITEMS'!$E$2:$G$875,2,FALSE)</f>
        <v>INVERSOR C/RED TRIFASICO 10KTL3-HU 10KW SUPPLY C/BACKUP INCORPORADO Y PREPARADO PARA BATERIA APX (GROTWATT)</v>
      </c>
      <c r="G407" s="25" t="str">
        <f>VLOOKUP(E407,'LISTA ITEMS'!$E$2:$G$875,3,FALSE)</f>
        <v>UND</v>
      </c>
      <c r="H407" s="74">
        <v>46083</v>
      </c>
      <c r="I407" s="75">
        <v>0</v>
      </c>
      <c r="J407" s="27"/>
      <c r="K407" s="70">
        <v>46098</v>
      </c>
      <c r="L407" s="67">
        <v>0</v>
      </c>
      <c r="M407" s="54">
        <v>46098</v>
      </c>
      <c r="N407" s="55">
        <v>2</v>
      </c>
      <c r="O407" s="70">
        <v>46098</v>
      </c>
      <c r="P407" s="71">
        <v>4</v>
      </c>
      <c r="Q407" s="36">
        <v>46098</v>
      </c>
      <c r="R407" s="26">
        <f t="shared" si="19"/>
        <v>-2</v>
      </c>
      <c r="S407" s="85"/>
      <c r="T407" s="84"/>
      <c r="U407" s="27"/>
      <c r="V407" s="70"/>
      <c r="W407" s="67"/>
      <c r="X407" s="54"/>
      <c r="Y407" s="55"/>
      <c r="Z407" s="70"/>
      <c r="AA407" s="71"/>
      <c r="AB407" s="31"/>
      <c r="AC407" s="26">
        <f t="shared" si="20"/>
        <v>-2</v>
      </c>
      <c r="AD407" s="25" t="s">
        <v>440</v>
      </c>
      <c r="AE407" s="25"/>
      <c r="AF407" s="13"/>
      <c r="AG407" s="13"/>
      <c r="AH407" s="13"/>
    </row>
    <row r="408" spans="1:34" ht="43.2" x14ac:dyDescent="0.3">
      <c r="A408" s="65">
        <v>166</v>
      </c>
      <c r="B408" s="25">
        <v>7</v>
      </c>
      <c r="C408" s="25">
        <v>35</v>
      </c>
      <c r="D408" s="25">
        <v>274</v>
      </c>
      <c r="E408" s="30" t="str">
        <f t="shared" si="18"/>
        <v>7-35-274</v>
      </c>
      <c r="F408" s="13" t="str">
        <f>VLOOKUP(E408,'LISTA ITEMS'!$E$2:$G$875,2,FALSE)</f>
        <v>INVERSOR HIBRIDO MONOFASICO SPE 10000ES 10KW BATER. BAJO VOLTAJE Y BACKUP INCORP. (GROWATT)</v>
      </c>
      <c r="G408" s="25" t="str">
        <f>VLOOKUP(E408,'LISTA ITEMS'!$E$2:$G$875,3,FALSE)</f>
        <v>UND</v>
      </c>
      <c r="H408" s="74">
        <v>46083</v>
      </c>
      <c r="I408" s="75">
        <v>0</v>
      </c>
      <c r="J408" s="27"/>
      <c r="K408" s="70">
        <v>46098</v>
      </c>
      <c r="L408" s="67">
        <v>0</v>
      </c>
      <c r="M408" s="54">
        <v>46098</v>
      </c>
      <c r="N408" s="55">
        <v>0</v>
      </c>
      <c r="O408" s="70">
        <v>46098</v>
      </c>
      <c r="P408" s="71">
        <v>0</v>
      </c>
      <c r="Q408" s="36">
        <v>46098</v>
      </c>
      <c r="R408" s="26">
        <f t="shared" si="19"/>
        <v>0</v>
      </c>
      <c r="S408" s="85"/>
      <c r="T408" s="84"/>
      <c r="U408" s="27"/>
      <c r="V408" s="70"/>
      <c r="W408" s="67"/>
      <c r="X408" s="54"/>
      <c r="Y408" s="55"/>
      <c r="Z408" s="70"/>
      <c r="AA408" s="71"/>
      <c r="AB408" s="36"/>
      <c r="AC408" s="26">
        <f t="shared" si="20"/>
        <v>0</v>
      </c>
      <c r="AD408" s="25" t="s">
        <v>245</v>
      </c>
      <c r="AE408" s="25" t="s">
        <v>245</v>
      </c>
      <c r="AF408" s="47">
        <v>5</v>
      </c>
      <c r="AG408" s="47" t="s">
        <v>119</v>
      </c>
      <c r="AH408" s="47" t="s">
        <v>316</v>
      </c>
    </row>
    <row r="409" spans="1:34" ht="28.8" x14ac:dyDescent="0.3">
      <c r="A409" s="65">
        <v>163</v>
      </c>
      <c r="B409" s="25">
        <v>7</v>
      </c>
      <c r="C409" s="25">
        <v>35</v>
      </c>
      <c r="D409" s="25">
        <v>296</v>
      </c>
      <c r="E409" s="30" t="str">
        <f t="shared" si="18"/>
        <v>7-35-296</v>
      </c>
      <c r="F409" s="13" t="str">
        <f>VLOOKUP(E409,'LISTA ITEMS'!$E$2:$G$875,2,FALSE)</f>
        <v>INVERSOR HIBRIDO MONOFASICO SUN 12KW AM3 (DEYE)</v>
      </c>
      <c r="G409" s="25" t="str">
        <f>VLOOKUP(E409,'LISTA ITEMS'!$E$2:$G$875,3,FALSE)</f>
        <v>UND</v>
      </c>
      <c r="H409" s="74">
        <v>46083</v>
      </c>
      <c r="I409" s="75">
        <v>1</v>
      </c>
      <c r="J409" s="27"/>
      <c r="K409" s="70">
        <v>46098</v>
      </c>
      <c r="L409" s="67">
        <v>0</v>
      </c>
      <c r="M409" s="54">
        <v>46098</v>
      </c>
      <c r="N409" s="55">
        <v>0</v>
      </c>
      <c r="O409" s="70">
        <v>46098</v>
      </c>
      <c r="P409" s="71">
        <v>0</v>
      </c>
      <c r="Q409" s="36">
        <v>46098</v>
      </c>
      <c r="R409" s="26">
        <f t="shared" si="19"/>
        <v>1</v>
      </c>
      <c r="S409" s="85"/>
      <c r="T409" s="84"/>
      <c r="U409" s="27"/>
      <c r="V409" s="70"/>
      <c r="W409" s="67"/>
      <c r="X409" s="54"/>
      <c r="Y409" s="55"/>
      <c r="Z409" s="70"/>
      <c r="AA409" s="71"/>
      <c r="AB409" s="31"/>
      <c r="AC409" s="26">
        <f t="shared" si="20"/>
        <v>1</v>
      </c>
      <c r="AD409" s="25">
        <v>2509272241</v>
      </c>
      <c r="AE409" s="25">
        <v>2509272242</v>
      </c>
      <c r="AF409" s="47">
        <v>5</v>
      </c>
      <c r="AG409" s="47" t="s">
        <v>119</v>
      </c>
      <c r="AH409" s="47" t="s">
        <v>316</v>
      </c>
    </row>
    <row r="410" spans="1:34" ht="43.2" x14ac:dyDescent="0.3">
      <c r="A410" s="65">
        <v>160</v>
      </c>
      <c r="B410" s="25">
        <v>16</v>
      </c>
      <c r="C410" s="25">
        <v>35</v>
      </c>
      <c r="D410" s="25">
        <v>298</v>
      </c>
      <c r="E410" s="30" t="str">
        <f t="shared" si="18"/>
        <v>16-35-298</v>
      </c>
      <c r="F410" s="13" t="str">
        <f>VLOOKUP(E410,'LISTA ITEMS'!$E$2:$G$875,2,FALSE)</f>
        <v>INVERSOR HIBRIDO TRIFASICO 10KW WIT10K HU C/BACKUP INCORPORADO Y DISEÑADO PARA BATERIA DE BAJO VOLTAJE (GROTWATT)</v>
      </c>
      <c r="G410" s="25" t="str">
        <f>VLOOKUP(E410,'LISTA ITEMS'!$E$2:$G$875,3,FALSE)</f>
        <v>UND</v>
      </c>
      <c r="H410" s="74">
        <v>46083</v>
      </c>
      <c r="I410" s="75">
        <v>1</v>
      </c>
      <c r="J410" s="27"/>
      <c r="K410" s="70">
        <v>46098</v>
      </c>
      <c r="L410" s="67">
        <v>0</v>
      </c>
      <c r="M410" s="54">
        <v>46098</v>
      </c>
      <c r="N410" s="55">
        <v>1</v>
      </c>
      <c r="O410" s="70">
        <v>46098</v>
      </c>
      <c r="P410" s="71">
        <v>1</v>
      </c>
      <c r="Q410" s="36">
        <v>46098</v>
      </c>
      <c r="R410" s="26">
        <f t="shared" si="19"/>
        <v>1</v>
      </c>
      <c r="S410" s="85"/>
      <c r="T410" s="84"/>
      <c r="U410" s="27"/>
      <c r="V410" s="70"/>
      <c r="W410" s="67"/>
      <c r="X410" s="54"/>
      <c r="Y410" s="55"/>
      <c r="Z410" s="70"/>
      <c r="AA410" s="71"/>
      <c r="AB410" s="31"/>
      <c r="AC410" s="26">
        <f t="shared" si="20"/>
        <v>1</v>
      </c>
      <c r="AD410" s="51" t="s">
        <v>246</v>
      </c>
      <c r="AE410" s="51" t="s">
        <v>246</v>
      </c>
      <c r="AF410" s="47">
        <v>5</v>
      </c>
      <c r="AG410" s="47" t="s">
        <v>119</v>
      </c>
      <c r="AH410" s="47" t="s">
        <v>316</v>
      </c>
    </row>
    <row r="411" spans="1:34" ht="28.8" x14ac:dyDescent="0.3">
      <c r="A411" s="65">
        <v>161</v>
      </c>
      <c r="B411" s="25">
        <v>7</v>
      </c>
      <c r="C411" s="25">
        <v>35</v>
      </c>
      <c r="D411" s="25">
        <v>228</v>
      </c>
      <c r="E411" s="30" t="str">
        <f t="shared" si="18"/>
        <v>7-35-228</v>
      </c>
      <c r="F411" s="13" t="str">
        <f>VLOOKUP(E411,'LISTA ITEMS'!$E$2:$G$875,2,FALSE)</f>
        <v>INVERSOR M-5K-64-PAR- A MARCA ROHS COMPLIANT</v>
      </c>
      <c r="G411" s="25" t="str">
        <f>VLOOKUP(E411,'LISTA ITEMS'!$E$2:$G$875,3,FALSE)</f>
        <v>UND</v>
      </c>
      <c r="H411" s="74">
        <v>46083</v>
      </c>
      <c r="I411" s="75">
        <v>1</v>
      </c>
      <c r="J411" s="27"/>
      <c r="K411" s="70">
        <v>46098</v>
      </c>
      <c r="L411" s="67">
        <v>0</v>
      </c>
      <c r="M411" s="54">
        <v>46098</v>
      </c>
      <c r="N411" s="55">
        <v>0</v>
      </c>
      <c r="O411" s="70">
        <v>46098</v>
      </c>
      <c r="P411" s="71">
        <v>0</v>
      </c>
      <c r="Q411" s="36">
        <v>46098</v>
      </c>
      <c r="R411" s="26">
        <f t="shared" si="19"/>
        <v>1</v>
      </c>
      <c r="S411" s="85"/>
      <c r="T411" s="84"/>
      <c r="U411" s="27"/>
      <c r="V411" s="70"/>
      <c r="W411" s="67"/>
      <c r="X411" s="54"/>
      <c r="Y411" s="55"/>
      <c r="Z411" s="70"/>
      <c r="AA411" s="71"/>
      <c r="AB411" s="31"/>
      <c r="AC411" s="26">
        <f t="shared" si="20"/>
        <v>1</v>
      </c>
      <c r="AD411" s="52">
        <v>92931703102238</v>
      </c>
      <c r="AE411" s="52">
        <v>92931703102239</v>
      </c>
      <c r="AF411" s="47">
        <v>10</v>
      </c>
      <c r="AG411" s="47">
        <v>1</v>
      </c>
      <c r="AH411" s="47" t="s">
        <v>311</v>
      </c>
    </row>
    <row r="412" spans="1:34" ht="144" x14ac:dyDescent="0.3">
      <c r="A412" s="65">
        <v>180</v>
      </c>
      <c r="B412" s="25">
        <v>7</v>
      </c>
      <c r="C412" s="25">
        <v>35</v>
      </c>
      <c r="D412" s="25">
        <v>286</v>
      </c>
      <c r="E412" s="30" t="str">
        <f t="shared" si="18"/>
        <v>7-35-286</v>
      </c>
      <c r="F412" s="13" t="str">
        <f>VLOOKUP(E412,'LISTA ITEMS'!$E$2:$G$875,2,FALSE)</f>
        <v>INVERSOR SPH 6000TL BL-UP 6KW (GROWATT)</v>
      </c>
      <c r="G412" s="25" t="str">
        <f>VLOOKUP(E412,'LISTA ITEMS'!$E$2:$G$875,3,FALSE)</f>
        <v>UND</v>
      </c>
      <c r="H412" s="74">
        <v>46083</v>
      </c>
      <c r="I412" s="75">
        <v>4</v>
      </c>
      <c r="J412" s="27"/>
      <c r="K412" s="70">
        <v>46098</v>
      </c>
      <c r="L412" s="67">
        <v>0</v>
      </c>
      <c r="M412" s="54">
        <v>46098</v>
      </c>
      <c r="N412" s="55">
        <v>7</v>
      </c>
      <c r="O412" s="70">
        <v>46098</v>
      </c>
      <c r="P412" s="71">
        <v>0</v>
      </c>
      <c r="Q412" s="36">
        <v>46098</v>
      </c>
      <c r="R412" s="26">
        <f t="shared" si="19"/>
        <v>11</v>
      </c>
      <c r="S412" s="85"/>
      <c r="T412" s="84"/>
      <c r="U412" s="27"/>
      <c r="V412" s="70"/>
      <c r="W412" s="67"/>
      <c r="X412" s="54"/>
      <c r="Y412" s="55"/>
      <c r="Z412" s="70"/>
      <c r="AA412" s="71"/>
      <c r="AB412" s="31"/>
      <c r="AC412" s="26">
        <f t="shared" si="20"/>
        <v>11</v>
      </c>
      <c r="AD412" s="25" t="s">
        <v>432</v>
      </c>
      <c r="AE412" s="25" t="s">
        <v>333</v>
      </c>
      <c r="AF412" s="47">
        <v>5</v>
      </c>
      <c r="AG412" s="47" t="s">
        <v>119</v>
      </c>
      <c r="AH412" s="47" t="s">
        <v>316</v>
      </c>
    </row>
    <row r="413" spans="1:34" ht="28.8" x14ac:dyDescent="0.3">
      <c r="A413" s="65">
        <v>165</v>
      </c>
      <c r="B413" s="25">
        <v>7</v>
      </c>
      <c r="C413" s="25">
        <v>35</v>
      </c>
      <c r="D413" s="25">
        <v>230</v>
      </c>
      <c r="E413" s="30" t="str">
        <f t="shared" si="18"/>
        <v>7-35-230</v>
      </c>
      <c r="F413" s="13" t="str">
        <f>VLOOKUP(E413,'LISTA ITEMS'!$E$2:$G$875,2,FALSE)</f>
        <v>INVERSOR VICTROM ENERGY MULTIPLUS 24/3000/70-16-230V</v>
      </c>
      <c r="G413" s="25" t="str">
        <f>VLOOKUP(E413,'LISTA ITEMS'!$E$2:$G$875,3,FALSE)</f>
        <v>UND</v>
      </c>
      <c r="H413" s="74">
        <v>46083</v>
      </c>
      <c r="I413" s="75">
        <v>1</v>
      </c>
      <c r="J413" s="27"/>
      <c r="K413" s="70">
        <v>46098</v>
      </c>
      <c r="L413" s="67">
        <v>0</v>
      </c>
      <c r="M413" s="54">
        <v>46098</v>
      </c>
      <c r="N413" s="55">
        <v>0</v>
      </c>
      <c r="O413" s="70">
        <v>46098</v>
      </c>
      <c r="P413" s="71">
        <v>0</v>
      </c>
      <c r="Q413" s="36">
        <v>46098</v>
      </c>
      <c r="R413" s="26">
        <f t="shared" si="19"/>
        <v>1</v>
      </c>
      <c r="S413" s="85"/>
      <c r="T413" s="84"/>
      <c r="U413" s="27"/>
      <c r="V413" s="70"/>
      <c r="W413" s="67"/>
      <c r="X413" s="54"/>
      <c r="Y413" s="55"/>
      <c r="Z413" s="70"/>
      <c r="AA413" s="71"/>
      <c r="AB413" s="31"/>
      <c r="AC413" s="26">
        <f t="shared" si="20"/>
        <v>1</v>
      </c>
      <c r="AD413" s="25" t="s">
        <v>284</v>
      </c>
      <c r="AE413" s="25" t="s">
        <v>284</v>
      </c>
      <c r="AF413" s="48">
        <v>8</v>
      </c>
      <c r="AG413" s="48">
        <v>3</v>
      </c>
      <c r="AH413" s="48" t="s">
        <v>311</v>
      </c>
    </row>
    <row r="414" spans="1:34" x14ac:dyDescent="0.3">
      <c r="A414" s="65">
        <v>133</v>
      </c>
      <c r="B414" s="25">
        <v>16</v>
      </c>
      <c r="C414" s="25">
        <v>31</v>
      </c>
      <c r="D414" s="25">
        <v>320</v>
      </c>
      <c r="E414" s="30" t="str">
        <f t="shared" si="18"/>
        <v>16-31-320</v>
      </c>
      <c r="F414" s="13" t="str">
        <f>VLOOKUP(E414,'LISTA ITEMS'!$E$2:$G$875,2,FALSE)</f>
        <v xml:space="preserve">JUEGO CABLE PARA BATERIA DE LITIO B4850 </v>
      </c>
      <c r="G414" s="25" t="str">
        <f>VLOOKUP(E414,'LISTA ITEMS'!$E$2:$G$875,3,FALSE)</f>
        <v>UND</v>
      </c>
      <c r="H414" s="74">
        <v>46083</v>
      </c>
      <c r="I414" s="75">
        <v>3</v>
      </c>
      <c r="J414" s="27"/>
      <c r="K414" s="70">
        <v>46098</v>
      </c>
      <c r="L414" s="67">
        <v>0</v>
      </c>
      <c r="M414" s="54">
        <v>46098</v>
      </c>
      <c r="N414" s="55">
        <v>0</v>
      </c>
      <c r="O414" s="70">
        <v>46098</v>
      </c>
      <c r="P414" s="71">
        <v>0</v>
      </c>
      <c r="Q414" s="36">
        <v>46098</v>
      </c>
      <c r="R414" s="26">
        <f t="shared" si="19"/>
        <v>3</v>
      </c>
      <c r="S414" s="85"/>
      <c r="T414" s="84"/>
      <c r="U414" s="27"/>
      <c r="V414" s="70"/>
      <c r="W414" s="67"/>
      <c r="X414" s="54"/>
      <c r="Y414" s="55"/>
      <c r="Z414" s="70"/>
      <c r="AA414" s="71"/>
      <c r="AB414" s="31"/>
      <c r="AC414" s="26">
        <f t="shared" si="20"/>
        <v>3</v>
      </c>
      <c r="AD414" s="25"/>
      <c r="AE414" s="25"/>
      <c r="AF414" s="48">
        <v>10</v>
      </c>
      <c r="AG414" s="48">
        <v>1</v>
      </c>
      <c r="AH414" s="48" t="s">
        <v>251</v>
      </c>
    </row>
    <row r="415" spans="1:34" ht="57.6" x14ac:dyDescent="0.3">
      <c r="A415" s="65">
        <v>224</v>
      </c>
      <c r="B415" s="25">
        <v>16</v>
      </c>
      <c r="C415" s="25">
        <v>13</v>
      </c>
      <c r="D415" s="25">
        <v>402</v>
      </c>
      <c r="E415" s="30" t="str">
        <f t="shared" si="18"/>
        <v>16-13-402</v>
      </c>
      <c r="F415" s="13" t="str">
        <f>VLOOKUP(E415,'LISTA ITEMS'!$E$2:$G$875,2,FALSE)</f>
        <v>KIT CABLE M4 H/M AIKO 610WP (LATIGUILLO)</v>
      </c>
      <c r="G415" s="25" t="str">
        <f>VLOOKUP(E415,'LISTA ITEMS'!$E$2:$G$875,3,FALSE)</f>
        <v>UND</v>
      </c>
      <c r="H415" s="74">
        <v>46083</v>
      </c>
      <c r="I415" s="75">
        <v>12</v>
      </c>
      <c r="J415" s="27"/>
      <c r="K415" s="70">
        <v>46098</v>
      </c>
      <c r="L415" s="67">
        <v>0</v>
      </c>
      <c r="M415" s="54">
        <v>46098</v>
      </c>
      <c r="N415" s="55">
        <v>6</v>
      </c>
      <c r="O415" s="70">
        <v>46098</v>
      </c>
      <c r="P415" s="71">
        <v>18</v>
      </c>
      <c r="Q415" s="36">
        <v>46098</v>
      </c>
      <c r="R415" s="26">
        <f t="shared" si="19"/>
        <v>0</v>
      </c>
      <c r="S415" s="85"/>
      <c r="T415" s="84"/>
      <c r="U415" s="27"/>
      <c r="V415" s="70"/>
      <c r="W415" s="67"/>
      <c r="X415" s="54"/>
      <c r="Y415" s="55"/>
      <c r="Z415" s="70"/>
      <c r="AA415" s="71"/>
      <c r="AB415" s="31"/>
      <c r="AC415" s="26">
        <f t="shared" si="20"/>
        <v>0</v>
      </c>
      <c r="AD415" s="25"/>
      <c r="AE415" s="25"/>
      <c r="AF415" s="25" t="s">
        <v>418</v>
      </c>
      <c r="AG415" s="25" t="s">
        <v>119</v>
      </c>
      <c r="AH415" s="25" t="s">
        <v>419</v>
      </c>
    </row>
    <row r="416" spans="1:34" ht="43.2" x14ac:dyDescent="0.3">
      <c r="A416" s="65">
        <v>78</v>
      </c>
      <c r="B416" s="25">
        <v>1</v>
      </c>
      <c r="C416" s="25">
        <v>13</v>
      </c>
      <c r="D416" s="25">
        <v>260</v>
      </c>
      <c r="E416" s="30" t="str">
        <f t="shared" si="18"/>
        <v>1-13-260</v>
      </c>
      <c r="F416" s="13" t="str">
        <f>VLOOKUP(E416,'LISTA ITEMS'!$E$2:$G$875,2,FALSE)</f>
        <v>KIT TORNILLO TIPO T 10X23mm CON ARANDELA DE PRESION, ARANDELA LISA Y T/HEXAGONAL M8X20MM A/INOX</v>
      </c>
      <c r="G416" s="25" t="str">
        <f>VLOOKUP(E416,'LISTA ITEMS'!$E$2:$G$875,3,FALSE)</f>
        <v>UND</v>
      </c>
      <c r="H416" s="74">
        <v>46083</v>
      </c>
      <c r="I416" s="75">
        <v>163</v>
      </c>
      <c r="J416" s="27"/>
      <c r="K416" s="70">
        <v>46098</v>
      </c>
      <c r="L416" s="67">
        <v>0</v>
      </c>
      <c r="M416" s="54">
        <v>46098</v>
      </c>
      <c r="N416" s="55">
        <v>0</v>
      </c>
      <c r="O416" s="70">
        <v>46098</v>
      </c>
      <c r="P416" s="71">
        <v>0</v>
      </c>
      <c r="Q416" s="36">
        <v>46098</v>
      </c>
      <c r="R416" s="26">
        <f t="shared" si="19"/>
        <v>163</v>
      </c>
      <c r="S416" s="85"/>
      <c r="T416" s="84"/>
      <c r="U416" s="27"/>
      <c r="V416" s="70"/>
      <c r="W416" s="67"/>
      <c r="X416" s="54"/>
      <c r="Y416" s="55"/>
      <c r="Z416" s="70"/>
      <c r="AA416" s="71"/>
      <c r="AB416" s="31"/>
      <c r="AC416" s="26">
        <f t="shared" si="20"/>
        <v>163</v>
      </c>
      <c r="AD416" s="25"/>
      <c r="AE416" s="25"/>
      <c r="AF416" s="48">
        <v>7</v>
      </c>
      <c r="AG416" s="48">
        <v>2</v>
      </c>
      <c r="AH416" s="48" t="s">
        <v>45</v>
      </c>
    </row>
    <row r="417" spans="1:34" ht="28.8" x14ac:dyDescent="0.3">
      <c r="A417" s="65">
        <v>77</v>
      </c>
      <c r="B417" s="25">
        <v>8</v>
      </c>
      <c r="C417" s="25">
        <v>13</v>
      </c>
      <c r="D417" s="25">
        <v>259</v>
      </c>
      <c r="E417" s="30" t="str">
        <f t="shared" si="18"/>
        <v>8-13-259</v>
      </c>
      <c r="F417" s="13" t="str">
        <f>VLOOKUP(E417,'LISTA ITEMS'!$E$2:$G$875,2,FALSE)</f>
        <v>KIT TORNILLO TIPO T 18X30mm CON ARANDELA Y T/HEXAGONAL M8X25MM A/GALV</v>
      </c>
      <c r="G417" s="25" t="str">
        <f>VLOOKUP(E417,'LISTA ITEMS'!$E$2:$G$875,3,FALSE)</f>
        <v>UND</v>
      </c>
      <c r="H417" s="74">
        <v>46083</v>
      </c>
      <c r="I417" s="75">
        <v>81</v>
      </c>
      <c r="J417" s="27"/>
      <c r="K417" s="70">
        <v>46098</v>
      </c>
      <c r="L417" s="67">
        <v>0</v>
      </c>
      <c r="M417" s="54">
        <v>46098</v>
      </c>
      <c r="N417" s="55">
        <v>0</v>
      </c>
      <c r="O417" s="70">
        <v>46098</v>
      </c>
      <c r="P417" s="71">
        <v>0</v>
      </c>
      <c r="Q417" s="36">
        <v>46098</v>
      </c>
      <c r="R417" s="26">
        <f t="shared" si="19"/>
        <v>81</v>
      </c>
      <c r="S417" s="85"/>
      <c r="T417" s="84"/>
      <c r="U417" s="27"/>
      <c r="V417" s="70"/>
      <c r="W417" s="67"/>
      <c r="X417" s="54"/>
      <c r="Y417" s="55"/>
      <c r="Z417" s="70"/>
      <c r="AA417" s="71"/>
      <c r="AB417" s="31"/>
      <c r="AC417" s="26">
        <f t="shared" si="20"/>
        <v>81</v>
      </c>
      <c r="AD417" s="25"/>
      <c r="AE417" s="25"/>
      <c r="AF417" s="48">
        <v>7</v>
      </c>
      <c r="AG417" s="48">
        <v>2</v>
      </c>
      <c r="AH417" s="48" t="s">
        <v>45</v>
      </c>
    </row>
    <row r="418" spans="1:34" ht="28.8" x14ac:dyDescent="0.3">
      <c r="A418" s="65">
        <v>80</v>
      </c>
      <c r="B418" s="25">
        <v>8</v>
      </c>
      <c r="C418" s="25">
        <v>13</v>
      </c>
      <c r="D418" s="25">
        <v>262</v>
      </c>
      <c r="E418" s="30" t="str">
        <f t="shared" si="18"/>
        <v>8-13-262</v>
      </c>
      <c r="F418" s="13" t="str">
        <f>VLOOKUP(E418,'LISTA ITEMS'!$E$2:$G$875,2,FALSE)</f>
        <v>KIT TORNILLO TIPO T 18X30mm CON ARANDELA Y T/HEXAGONAL M8X35MM A/GALV</v>
      </c>
      <c r="G418" s="25" t="str">
        <f>VLOOKUP(E418,'LISTA ITEMS'!$E$2:$G$875,3,FALSE)</f>
        <v>UND</v>
      </c>
      <c r="H418" s="74">
        <v>46083</v>
      </c>
      <c r="I418" s="75">
        <v>91</v>
      </c>
      <c r="J418" s="27"/>
      <c r="K418" s="70">
        <v>46098</v>
      </c>
      <c r="L418" s="67">
        <v>0</v>
      </c>
      <c r="M418" s="54">
        <v>46098</v>
      </c>
      <c r="N418" s="55">
        <v>0</v>
      </c>
      <c r="O418" s="70">
        <v>46098</v>
      </c>
      <c r="P418" s="71">
        <v>0</v>
      </c>
      <c r="Q418" s="36">
        <v>46098</v>
      </c>
      <c r="R418" s="26">
        <f t="shared" si="19"/>
        <v>91</v>
      </c>
      <c r="S418" s="85"/>
      <c r="T418" s="84"/>
      <c r="U418" s="27"/>
      <c r="V418" s="70"/>
      <c r="W418" s="67"/>
      <c r="X418" s="54"/>
      <c r="Y418" s="55"/>
      <c r="Z418" s="70"/>
      <c r="AA418" s="71"/>
      <c r="AB418" s="31"/>
      <c r="AC418" s="26">
        <f t="shared" si="20"/>
        <v>91</v>
      </c>
      <c r="AD418" s="25"/>
      <c r="AE418" s="25"/>
      <c r="AF418" s="48">
        <v>7</v>
      </c>
      <c r="AG418" s="48">
        <v>2</v>
      </c>
      <c r="AH418" s="48" t="s">
        <v>45</v>
      </c>
    </row>
    <row r="419" spans="1:34" ht="28.8" x14ac:dyDescent="0.3">
      <c r="A419" s="65">
        <v>92</v>
      </c>
      <c r="B419" s="25">
        <v>16</v>
      </c>
      <c r="C419" s="25">
        <v>51</v>
      </c>
      <c r="D419" s="25">
        <v>284</v>
      </c>
      <c r="E419" s="30" t="str">
        <f t="shared" si="18"/>
        <v>16-51-284</v>
      </c>
      <c r="F419" s="13" t="str">
        <f>VLOOKUP(E419,'LISTA ITEMS'!$E$2:$G$875,2,FALSE)</f>
        <v>LIMITADOR/SOBRETENSIONES MONOFASICO 3SUR1 15/30kA-275V (SASSIN)</v>
      </c>
      <c r="G419" s="25" t="str">
        <f>VLOOKUP(E419,'LISTA ITEMS'!$E$2:$G$875,3,FALSE)</f>
        <v>UND</v>
      </c>
      <c r="H419" s="74">
        <v>46083</v>
      </c>
      <c r="I419" s="75">
        <v>-1</v>
      </c>
      <c r="J419" s="27"/>
      <c r="K419" s="70">
        <v>46098</v>
      </c>
      <c r="L419" s="67">
        <v>0</v>
      </c>
      <c r="M419" s="54">
        <v>46098</v>
      </c>
      <c r="N419" s="55">
        <v>0</v>
      </c>
      <c r="O419" s="70">
        <v>46098</v>
      </c>
      <c r="P419" s="71">
        <v>0</v>
      </c>
      <c r="Q419" s="36">
        <v>46098</v>
      </c>
      <c r="R419" s="26">
        <f t="shared" si="19"/>
        <v>-1</v>
      </c>
      <c r="S419" s="85"/>
      <c r="T419" s="84"/>
      <c r="U419" s="27"/>
      <c r="V419" s="70"/>
      <c r="W419" s="67"/>
      <c r="X419" s="54"/>
      <c r="Y419" s="55"/>
      <c r="Z419" s="70"/>
      <c r="AA419" s="71"/>
      <c r="AB419" s="31"/>
      <c r="AC419" s="26">
        <f t="shared" si="20"/>
        <v>-1</v>
      </c>
      <c r="AD419" s="25"/>
      <c r="AE419" s="25"/>
      <c r="AF419" s="48">
        <v>10</v>
      </c>
      <c r="AG419" s="48">
        <v>2</v>
      </c>
      <c r="AH419" s="48" t="s">
        <v>251</v>
      </c>
    </row>
    <row r="420" spans="1:34" ht="28.8" x14ac:dyDescent="0.3">
      <c r="A420" s="65">
        <v>134</v>
      </c>
      <c r="B420" s="25">
        <v>16</v>
      </c>
      <c r="C420" s="25">
        <v>51</v>
      </c>
      <c r="D420" s="25">
        <v>333</v>
      </c>
      <c r="E420" s="30" t="str">
        <f t="shared" si="18"/>
        <v>16-51-333</v>
      </c>
      <c r="F420" s="13" t="str">
        <f>VLOOKUP(E420,'LISTA ITEMS'!$E$2:$G$875,2,FALSE)</f>
        <v>LIMITADOR/SOBRETENSIONES TRIFASICO 3SU1 20/40kA-400V 4P (SASSIN)</v>
      </c>
      <c r="G420" s="25" t="str">
        <f>VLOOKUP(E420,'LISTA ITEMS'!$E$2:$G$875,3,FALSE)</f>
        <v>UND</v>
      </c>
      <c r="H420" s="74">
        <v>46083</v>
      </c>
      <c r="I420" s="75">
        <v>7</v>
      </c>
      <c r="J420" s="27"/>
      <c r="K420" s="70">
        <v>46098</v>
      </c>
      <c r="L420" s="67">
        <v>0</v>
      </c>
      <c r="M420" s="54">
        <v>46098</v>
      </c>
      <c r="N420" s="55">
        <v>0</v>
      </c>
      <c r="O420" s="70">
        <v>46098</v>
      </c>
      <c r="P420" s="71">
        <v>2</v>
      </c>
      <c r="Q420" s="36">
        <v>46098</v>
      </c>
      <c r="R420" s="26">
        <f t="shared" si="19"/>
        <v>5</v>
      </c>
      <c r="S420" s="85"/>
      <c r="T420" s="84"/>
      <c r="U420" s="27"/>
      <c r="V420" s="70"/>
      <c r="W420" s="67"/>
      <c r="X420" s="54"/>
      <c r="Y420" s="55"/>
      <c r="Z420" s="70"/>
      <c r="AA420" s="71"/>
      <c r="AB420" s="31"/>
      <c r="AC420" s="26">
        <f t="shared" si="20"/>
        <v>5</v>
      </c>
      <c r="AD420" s="25"/>
      <c r="AE420" s="25"/>
      <c r="AF420" s="48">
        <v>10</v>
      </c>
      <c r="AG420" s="48">
        <v>1</v>
      </c>
      <c r="AH420" s="48" t="s">
        <v>251</v>
      </c>
    </row>
    <row r="421" spans="1:34" x14ac:dyDescent="0.3">
      <c r="A421" s="65">
        <v>156</v>
      </c>
      <c r="B421" s="25">
        <v>16</v>
      </c>
      <c r="C421" s="25">
        <v>62</v>
      </c>
      <c r="D421" s="25">
        <v>342</v>
      </c>
      <c r="E421" s="30" t="str">
        <f t="shared" si="18"/>
        <v>16-62-342</v>
      </c>
      <c r="F421" s="13" t="str">
        <f>VLOOKUP(E421,'LISTA ITEMS'!$E$2:$G$875,2,FALSE)</f>
        <v>MAGNETO 4P-25A</v>
      </c>
      <c r="G421" s="25" t="str">
        <f>VLOOKUP(E421,'LISTA ITEMS'!$E$2:$G$875,3,FALSE)</f>
        <v>UND</v>
      </c>
      <c r="H421" s="74">
        <v>46083</v>
      </c>
      <c r="I421" s="75">
        <v>1</v>
      </c>
      <c r="J421" s="27"/>
      <c r="K421" s="70">
        <v>46098</v>
      </c>
      <c r="L421" s="67">
        <v>0</v>
      </c>
      <c r="M421" s="54">
        <v>46098</v>
      </c>
      <c r="N421" s="55">
        <v>0</v>
      </c>
      <c r="O421" s="70">
        <v>46098</v>
      </c>
      <c r="P421" s="71">
        <v>0</v>
      </c>
      <c r="Q421" s="36">
        <v>46098</v>
      </c>
      <c r="R421" s="26">
        <f t="shared" si="19"/>
        <v>1</v>
      </c>
      <c r="S421" s="85"/>
      <c r="T421" s="84"/>
      <c r="U421" s="27"/>
      <c r="V421" s="70"/>
      <c r="W421" s="67"/>
      <c r="X421" s="54"/>
      <c r="Y421" s="55"/>
      <c r="Z421" s="70"/>
      <c r="AA421" s="71"/>
      <c r="AB421" s="31"/>
      <c r="AC421" s="26">
        <f t="shared" si="20"/>
        <v>1</v>
      </c>
      <c r="AD421" s="25"/>
      <c r="AE421" s="25"/>
      <c r="AF421" s="47">
        <v>10</v>
      </c>
      <c r="AG421" s="47">
        <v>1</v>
      </c>
      <c r="AH421" s="47" t="s">
        <v>251</v>
      </c>
    </row>
    <row r="422" spans="1:34" x14ac:dyDescent="0.3">
      <c r="A422" s="65">
        <v>89</v>
      </c>
      <c r="B422" s="25">
        <v>16</v>
      </c>
      <c r="C422" s="25">
        <v>46</v>
      </c>
      <c r="D422" s="25">
        <v>279</v>
      </c>
      <c r="E422" s="89" t="str">
        <f t="shared" si="18"/>
        <v>16-46-279</v>
      </c>
      <c r="F422" s="13" t="str">
        <f>VLOOKUP(E422,'LISTA ITEMS'!$E$2:$G$875,2,FALSE)</f>
        <v>MANGUERA CORRUGADA 25mm NEGRA</v>
      </c>
      <c r="G422" s="25" t="str">
        <f>VLOOKUP(E422,'LISTA ITEMS'!$E$2:$G$875,3,FALSE)</f>
        <v>MT</v>
      </c>
      <c r="H422" s="74">
        <v>46083</v>
      </c>
      <c r="I422" s="75">
        <v>4</v>
      </c>
      <c r="J422" s="27"/>
      <c r="K422" s="70">
        <v>46098</v>
      </c>
      <c r="L422" s="67">
        <v>0</v>
      </c>
      <c r="M422" s="54">
        <v>46098</v>
      </c>
      <c r="N422" s="55">
        <v>0</v>
      </c>
      <c r="O422" s="70">
        <v>46098</v>
      </c>
      <c r="P422" s="71">
        <v>0</v>
      </c>
      <c r="Q422" s="36">
        <v>46098</v>
      </c>
      <c r="R422" s="26">
        <f t="shared" si="19"/>
        <v>4</v>
      </c>
      <c r="S422" s="85"/>
      <c r="T422" s="84"/>
      <c r="U422" s="27"/>
      <c r="V422" s="70"/>
      <c r="W422" s="67"/>
      <c r="X422" s="54"/>
      <c r="Y422" s="55"/>
      <c r="Z422" s="70"/>
      <c r="AA422" s="71"/>
      <c r="AB422" s="31"/>
      <c r="AC422" s="26">
        <f t="shared" si="20"/>
        <v>4</v>
      </c>
      <c r="AD422" s="25"/>
      <c r="AE422" s="25"/>
      <c r="AF422" s="48">
        <v>10</v>
      </c>
      <c r="AG422" s="48">
        <v>1</v>
      </c>
      <c r="AH422" s="48" t="s">
        <v>271</v>
      </c>
    </row>
    <row r="423" spans="1:34" ht="28.8" x14ac:dyDescent="0.3">
      <c r="A423" s="65">
        <v>236</v>
      </c>
      <c r="B423" s="25">
        <v>16</v>
      </c>
      <c r="C423" s="25">
        <v>56</v>
      </c>
      <c r="D423" s="25">
        <v>416</v>
      </c>
      <c r="E423" s="30" t="str">
        <f t="shared" si="18"/>
        <v>16-56-416</v>
      </c>
      <c r="F423" s="13" t="str">
        <f>VLOOKUP(E423,'LISTA ITEMS'!$E$2:$G$875,2,FALSE)</f>
        <v>METER TRIFASICO 230/400Vac C/BOBINA INCORPORADA(GROWATT)</v>
      </c>
      <c r="G423" s="25" t="str">
        <f>VLOOKUP(E423,'LISTA ITEMS'!$E$2:$G$875,3,FALSE)</f>
        <v>UND</v>
      </c>
      <c r="H423" s="74">
        <v>46094</v>
      </c>
      <c r="I423" s="75">
        <v>0</v>
      </c>
      <c r="J423" s="27"/>
      <c r="K423" s="70">
        <v>46098</v>
      </c>
      <c r="L423" s="67">
        <v>0</v>
      </c>
      <c r="M423" s="54">
        <v>46098</v>
      </c>
      <c r="N423" s="55">
        <v>2</v>
      </c>
      <c r="O423" s="70">
        <v>46098</v>
      </c>
      <c r="P423" s="71">
        <v>1</v>
      </c>
      <c r="Q423" s="36">
        <v>46098</v>
      </c>
      <c r="R423" s="26">
        <f t="shared" si="19"/>
        <v>1</v>
      </c>
      <c r="S423" s="85"/>
      <c r="T423" s="84"/>
      <c r="U423" s="27"/>
      <c r="V423" s="70"/>
      <c r="W423" s="67"/>
      <c r="X423" s="54"/>
      <c r="Y423" s="55"/>
      <c r="Z423" s="70"/>
      <c r="AA423" s="71"/>
      <c r="AB423" s="31"/>
      <c r="AC423" s="26">
        <f t="shared" si="20"/>
        <v>1</v>
      </c>
      <c r="AD423" s="25" t="s">
        <v>452</v>
      </c>
      <c r="AE423" s="25"/>
      <c r="AF423" s="13"/>
      <c r="AG423" s="13"/>
      <c r="AH423" s="13"/>
    </row>
    <row r="424" spans="1:34" ht="28.8" x14ac:dyDescent="0.3">
      <c r="A424" s="65">
        <v>158</v>
      </c>
      <c r="B424" s="25">
        <v>16</v>
      </c>
      <c r="C424" s="25">
        <v>56</v>
      </c>
      <c r="D424" s="25">
        <v>344</v>
      </c>
      <c r="E424" s="30" t="str">
        <f t="shared" si="18"/>
        <v>16-56-344</v>
      </c>
      <c r="F424" s="13" t="str">
        <f>VLOOKUP(E424,'LISTA ITEMS'!$E$2:$G$875,2,FALSE)</f>
        <v>METER TRIFASICO DTSU666 230/400Vac (CHINT)</v>
      </c>
      <c r="G424" s="25" t="str">
        <f>VLOOKUP(E424,'LISTA ITEMS'!$E$2:$G$875,3,FALSE)</f>
        <v>UND</v>
      </c>
      <c r="H424" s="74">
        <v>46083</v>
      </c>
      <c r="I424" s="75">
        <v>1</v>
      </c>
      <c r="J424" s="27"/>
      <c r="K424" s="70">
        <v>46098</v>
      </c>
      <c r="L424" s="67">
        <v>0</v>
      </c>
      <c r="M424" s="54">
        <v>46098</v>
      </c>
      <c r="N424" s="55">
        <v>0</v>
      </c>
      <c r="O424" s="70">
        <v>46098</v>
      </c>
      <c r="P424" s="71">
        <v>0</v>
      </c>
      <c r="Q424" s="36">
        <v>46098</v>
      </c>
      <c r="R424" s="26">
        <f t="shared" si="19"/>
        <v>1</v>
      </c>
      <c r="S424" s="85"/>
      <c r="T424" s="84"/>
      <c r="U424" s="27"/>
      <c r="V424" s="70"/>
      <c r="W424" s="67"/>
      <c r="X424" s="54"/>
      <c r="Y424" s="55"/>
      <c r="Z424" s="70"/>
      <c r="AA424" s="71"/>
      <c r="AB424" s="31"/>
      <c r="AC424" s="26">
        <f t="shared" si="20"/>
        <v>1</v>
      </c>
      <c r="AD424" s="25"/>
      <c r="AE424" s="25"/>
      <c r="AF424" s="47">
        <v>10</v>
      </c>
      <c r="AG424" s="47">
        <v>1</v>
      </c>
      <c r="AH424" s="47" t="s">
        <v>251</v>
      </c>
    </row>
    <row r="425" spans="1:34" ht="28.8" x14ac:dyDescent="0.3">
      <c r="A425" s="65">
        <v>159</v>
      </c>
      <c r="B425" s="25">
        <v>16</v>
      </c>
      <c r="C425" s="25">
        <v>56</v>
      </c>
      <c r="D425" s="25">
        <v>345</v>
      </c>
      <c r="E425" s="30" t="str">
        <f t="shared" si="18"/>
        <v>16-56-345</v>
      </c>
      <c r="F425" s="13" t="str">
        <f>VLOOKUP(E425,'LISTA ITEMS'!$E$2:$G$875,2,FALSE)</f>
        <v>METER TRIFASICO SDM630 V2 MID 230/400Vac (STROMZAHLER)</v>
      </c>
      <c r="G425" s="25" t="str">
        <f>VLOOKUP(E425,'LISTA ITEMS'!$E$2:$G$875,3,FALSE)</f>
        <v>UND</v>
      </c>
      <c r="H425" s="74">
        <v>46083</v>
      </c>
      <c r="I425" s="75">
        <v>1</v>
      </c>
      <c r="J425" s="27"/>
      <c r="K425" s="70">
        <v>46098</v>
      </c>
      <c r="L425" s="67">
        <v>0</v>
      </c>
      <c r="M425" s="54">
        <v>46098</v>
      </c>
      <c r="N425" s="55">
        <v>0</v>
      </c>
      <c r="O425" s="70">
        <v>46098</v>
      </c>
      <c r="P425" s="71">
        <v>0</v>
      </c>
      <c r="Q425" s="36">
        <v>46098</v>
      </c>
      <c r="R425" s="26">
        <f t="shared" si="19"/>
        <v>1</v>
      </c>
      <c r="S425" s="85"/>
      <c r="T425" s="84"/>
      <c r="U425" s="27"/>
      <c r="V425" s="70"/>
      <c r="W425" s="67"/>
      <c r="X425" s="54"/>
      <c r="Y425" s="55"/>
      <c r="Z425" s="70"/>
      <c r="AA425" s="71"/>
      <c r="AB425" s="31"/>
      <c r="AC425" s="26">
        <f t="shared" si="20"/>
        <v>1</v>
      </c>
      <c r="AD425" s="25"/>
      <c r="AE425" s="25"/>
      <c r="AF425" s="47">
        <v>10</v>
      </c>
      <c r="AG425" s="47">
        <v>1</v>
      </c>
      <c r="AH425" s="47" t="s">
        <v>251</v>
      </c>
    </row>
    <row r="426" spans="1:34" x14ac:dyDescent="0.3">
      <c r="A426" s="65">
        <v>49</v>
      </c>
      <c r="B426" s="25">
        <v>10</v>
      </c>
      <c r="C426" s="25">
        <v>34</v>
      </c>
      <c r="D426" s="25">
        <v>227</v>
      </c>
      <c r="E426" s="30" t="str">
        <f t="shared" si="18"/>
        <v>10-34-227</v>
      </c>
      <c r="F426" s="13" t="str">
        <f>VLOOKUP(E426,'LISTA ITEMS'!$E$2:$G$875,2,FALSE)</f>
        <v>MICRORAIL 2X30 PERFORADO</v>
      </c>
      <c r="G426" s="25" t="str">
        <f>VLOOKUP(E426,'LISTA ITEMS'!$E$2:$G$875,3,FALSE)</f>
        <v>UND</v>
      </c>
      <c r="H426" s="74">
        <v>46083</v>
      </c>
      <c r="I426" s="75">
        <v>186</v>
      </c>
      <c r="J426" s="27"/>
      <c r="K426" s="70">
        <v>46098</v>
      </c>
      <c r="L426" s="67">
        <v>0</v>
      </c>
      <c r="M426" s="54">
        <v>46098</v>
      </c>
      <c r="N426" s="55">
        <v>0</v>
      </c>
      <c r="O426" s="70">
        <v>46098</v>
      </c>
      <c r="P426" s="71">
        <v>0</v>
      </c>
      <c r="Q426" s="36">
        <v>46098</v>
      </c>
      <c r="R426" s="26">
        <f t="shared" si="19"/>
        <v>186</v>
      </c>
      <c r="S426" s="85"/>
      <c r="T426" s="84"/>
      <c r="U426" s="27"/>
      <c r="V426" s="70"/>
      <c r="W426" s="67"/>
      <c r="X426" s="54"/>
      <c r="Y426" s="55"/>
      <c r="Z426" s="70"/>
      <c r="AA426" s="71"/>
      <c r="AB426" s="31"/>
      <c r="AC426" s="26">
        <f t="shared" si="20"/>
        <v>186</v>
      </c>
      <c r="AD426" s="25"/>
      <c r="AE426" s="25"/>
      <c r="AF426" s="48">
        <v>10</v>
      </c>
      <c r="AG426" s="48">
        <v>1</v>
      </c>
      <c r="AH426" s="48" t="s">
        <v>312</v>
      </c>
    </row>
    <row r="427" spans="1:34" ht="28.8" x14ac:dyDescent="0.3">
      <c r="A427" s="65">
        <v>239</v>
      </c>
      <c r="B427" s="25">
        <v>16</v>
      </c>
      <c r="C427" s="25">
        <v>87</v>
      </c>
      <c r="D427" s="25">
        <v>418</v>
      </c>
      <c r="E427" s="30" t="str">
        <f t="shared" si="18"/>
        <v>16-87-418</v>
      </c>
      <c r="F427" s="13" t="str">
        <f>VLOOKUP(E427,'LISTA ITEMS'!$E$2:$G$875,2,FALSE)</f>
        <v>MODULO DE DISTRIBUCION LYNX POWER M10 (VICTRON ENERGY)</v>
      </c>
      <c r="G427" s="25" t="str">
        <f>VLOOKUP(E427,'LISTA ITEMS'!$E$2:$G$875,3,FALSE)</f>
        <v>UND</v>
      </c>
      <c r="H427" s="74">
        <v>46092</v>
      </c>
      <c r="I427" s="75">
        <v>0</v>
      </c>
      <c r="J427" s="27"/>
      <c r="K427" s="70">
        <v>46098</v>
      </c>
      <c r="L427" s="67">
        <v>0</v>
      </c>
      <c r="M427" s="54">
        <v>46098</v>
      </c>
      <c r="N427" s="55">
        <v>1</v>
      </c>
      <c r="O427" s="70">
        <v>46098</v>
      </c>
      <c r="P427" s="71">
        <v>0</v>
      </c>
      <c r="Q427" s="36">
        <v>46098</v>
      </c>
      <c r="R427" s="26">
        <f t="shared" si="19"/>
        <v>1</v>
      </c>
      <c r="S427" s="85"/>
      <c r="T427" s="84"/>
      <c r="U427" s="27"/>
      <c r="V427" s="70"/>
      <c r="W427" s="67"/>
      <c r="X427" s="54"/>
      <c r="Y427" s="55"/>
      <c r="Z427" s="70"/>
      <c r="AA427" s="71"/>
      <c r="AB427" s="31"/>
      <c r="AC427" s="26">
        <f t="shared" si="20"/>
        <v>1</v>
      </c>
      <c r="AD427" s="25" t="s">
        <v>457</v>
      </c>
      <c r="AE427" s="25"/>
      <c r="AF427" s="13"/>
      <c r="AG427" s="13"/>
      <c r="AH427" s="13"/>
    </row>
    <row r="428" spans="1:34" ht="57.6" x14ac:dyDescent="0.3">
      <c r="A428" s="65">
        <v>225</v>
      </c>
      <c r="B428" s="25">
        <v>12</v>
      </c>
      <c r="C428" s="25">
        <v>38</v>
      </c>
      <c r="D428" s="25">
        <v>403</v>
      </c>
      <c r="E428" s="30" t="str">
        <f t="shared" si="18"/>
        <v>12-38-403</v>
      </c>
      <c r="F428" s="13" t="str">
        <f>VLOOKUP(E428,'LISTA ITEMS'!$E$2:$G$875,2,FALSE)</f>
        <v>MODULO PLACA SOLAR AIKO-A610-MAH72MW</v>
      </c>
      <c r="G428" s="25" t="str">
        <f>VLOOKUP(E428,'LISTA ITEMS'!$E$2:$G$875,3,FALSE)</f>
        <v>UND</v>
      </c>
      <c r="H428" s="74">
        <v>46083</v>
      </c>
      <c r="I428" s="75">
        <v>12</v>
      </c>
      <c r="J428" s="27"/>
      <c r="K428" s="70">
        <v>46098</v>
      </c>
      <c r="L428" s="67">
        <v>0</v>
      </c>
      <c r="M428" s="54">
        <v>46098</v>
      </c>
      <c r="N428" s="55">
        <v>6</v>
      </c>
      <c r="O428" s="70">
        <v>46098</v>
      </c>
      <c r="P428" s="71">
        <v>18</v>
      </c>
      <c r="Q428" s="36">
        <v>46098</v>
      </c>
      <c r="R428" s="26">
        <f t="shared" si="19"/>
        <v>0</v>
      </c>
      <c r="S428" s="85"/>
      <c r="T428" s="84"/>
      <c r="U428" s="27"/>
      <c r="V428" s="70"/>
      <c r="W428" s="67"/>
      <c r="X428" s="54"/>
      <c r="Y428" s="55"/>
      <c r="Z428" s="70"/>
      <c r="AA428" s="71"/>
      <c r="AB428" s="31"/>
      <c r="AC428" s="26">
        <f t="shared" si="20"/>
        <v>0</v>
      </c>
      <c r="AD428" s="25"/>
      <c r="AE428" s="25"/>
      <c r="AF428" s="25" t="s">
        <v>418</v>
      </c>
      <c r="AG428" s="25" t="s">
        <v>119</v>
      </c>
      <c r="AH428" s="25" t="s">
        <v>419</v>
      </c>
    </row>
    <row r="429" spans="1:34" x14ac:dyDescent="0.3">
      <c r="A429" s="65">
        <v>48</v>
      </c>
      <c r="B429" s="25">
        <v>16</v>
      </c>
      <c r="C429" s="25">
        <v>33</v>
      </c>
      <c r="D429" s="25">
        <v>226</v>
      </c>
      <c r="E429" s="30" t="str">
        <f t="shared" si="18"/>
        <v>16-33-226</v>
      </c>
      <c r="F429" s="13" t="str">
        <f>VLOOKUP(E429,'LISTA ITEMS'!$E$2:$G$875,2,FALSE)</f>
        <v>OPTIMIZADOR SUN2000P-375W</v>
      </c>
      <c r="G429" s="25" t="str">
        <f>VLOOKUP(E429,'LISTA ITEMS'!$E$2:$G$875,3,FALSE)</f>
        <v>UND</v>
      </c>
      <c r="H429" s="74">
        <v>46083</v>
      </c>
      <c r="I429" s="75">
        <v>13</v>
      </c>
      <c r="J429" s="27"/>
      <c r="K429" s="70">
        <v>46098</v>
      </c>
      <c r="L429" s="67">
        <v>0</v>
      </c>
      <c r="M429" s="54">
        <v>46098</v>
      </c>
      <c r="N429" s="55">
        <v>0</v>
      </c>
      <c r="O429" s="70">
        <v>46098</v>
      </c>
      <c r="P429" s="71">
        <v>0</v>
      </c>
      <c r="Q429" s="36">
        <v>46098</v>
      </c>
      <c r="R429" s="26">
        <f t="shared" si="19"/>
        <v>13</v>
      </c>
      <c r="S429" s="85"/>
      <c r="T429" s="84"/>
      <c r="U429" s="27"/>
      <c r="V429" s="70"/>
      <c r="W429" s="67"/>
      <c r="X429" s="54"/>
      <c r="Y429" s="55"/>
      <c r="Z429" s="70"/>
      <c r="AA429" s="71"/>
      <c r="AB429" s="31"/>
      <c r="AC429" s="26">
        <f t="shared" si="20"/>
        <v>13</v>
      </c>
      <c r="AD429" s="25"/>
      <c r="AE429" s="25"/>
      <c r="AF429" s="48">
        <v>10</v>
      </c>
      <c r="AG429" s="48">
        <v>1</v>
      </c>
      <c r="AH429" s="48" t="s">
        <v>312</v>
      </c>
    </row>
    <row r="430" spans="1:34" x14ac:dyDescent="0.3">
      <c r="A430" s="65">
        <v>191</v>
      </c>
      <c r="B430" s="25">
        <v>16</v>
      </c>
      <c r="C430" s="25">
        <v>33</v>
      </c>
      <c r="D430" s="25">
        <v>369</v>
      </c>
      <c r="E430" s="30" t="str">
        <f t="shared" si="18"/>
        <v>16-33-369</v>
      </c>
      <c r="F430" s="13" t="str">
        <f>VLOOKUP(E430,'LISTA ITEMS'!$E$2:$G$875,2,FALSE)</f>
        <v>OPTIMIZADOR TS4-A-O (TIGO)</v>
      </c>
      <c r="G430" s="25" t="str">
        <f>VLOOKUP(E430,'LISTA ITEMS'!$E$2:$G$875,3,FALSE)</f>
        <v>UND</v>
      </c>
      <c r="H430" s="74">
        <v>46083</v>
      </c>
      <c r="I430" s="75">
        <v>3</v>
      </c>
      <c r="J430" s="27"/>
      <c r="K430" s="70">
        <v>46098</v>
      </c>
      <c r="L430" s="67">
        <v>0</v>
      </c>
      <c r="M430" s="54">
        <v>46098</v>
      </c>
      <c r="N430" s="55">
        <v>0</v>
      </c>
      <c r="O430" s="70">
        <v>46098</v>
      </c>
      <c r="P430" s="71">
        <v>2</v>
      </c>
      <c r="Q430" s="36">
        <v>46098</v>
      </c>
      <c r="R430" s="26">
        <f t="shared" si="19"/>
        <v>1</v>
      </c>
      <c r="S430" s="85"/>
      <c r="T430" s="84"/>
      <c r="U430" s="27"/>
      <c r="V430" s="70"/>
      <c r="W430" s="67"/>
      <c r="X430" s="54"/>
      <c r="Y430" s="55"/>
      <c r="Z430" s="70"/>
      <c r="AA430" s="71"/>
      <c r="AB430" s="31"/>
      <c r="AC430" s="26">
        <f t="shared" si="20"/>
        <v>1</v>
      </c>
      <c r="AD430" s="25"/>
      <c r="AE430" s="25"/>
      <c r="AF430" s="48">
        <v>10</v>
      </c>
      <c r="AG430" s="48">
        <v>1</v>
      </c>
      <c r="AH430" s="48" t="s">
        <v>251</v>
      </c>
    </row>
    <row r="431" spans="1:34" ht="43.2" x14ac:dyDescent="0.3">
      <c r="A431" s="65">
        <v>86</v>
      </c>
      <c r="B431" s="25">
        <v>10</v>
      </c>
      <c r="C431" s="25">
        <v>42</v>
      </c>
      <c r="D431" s="25">
        <v>268</v>
      </c>
      <c r="E431" s="30" t="str">
        <f t="shared" si="18"/>
        <v>10-42-268</v>
      </c>
      <c r="F431" s="13" t="str">
        <f>VLOOKUP(E431,'LISTA ITEMS'!$E$2:$G$875,2,FALSE)</f>
        <v>PATA ALUMINIO PARA ESTRUCTURA PLACA SOLAR ANGULO 30º</v>
      </c>
      <c r="G431" s="25" t="str">
        <f>VLOOKUP(E431,'LISTA ITEMS'!$E$2:$G$875,3,FALSE)</f>
        <v>UND</v>
      </c>
      <c r="H431" s="74">
        <v>46083</v>
      </c>
      <c r="I431" s="75">
        <v>25</v>
      </c>
      <c r="J431" s="27"/>
      <c r="K431" s="70">
        <v>46098</v>
      </c>
      <c r="L431" s="67">
        <v>5</v>
      </c>
      <c r="M431" s="54">
        <v>46098</v>
      </c>
      <c r="N431" s="55">
        <v>30</v>
      </c>
      <c r="O431" s="70">
        <v>46098</v>
      </c>
      <c r="P431" s="71">
        <v>39</v>
      </c>
      <c r="Q431" s="36">
        <v>46098</v>
      </c>
      <c r="R431" s="26">
        <f t="shared" si="19"/>
        <v>21</v>
      </c>
      <c r="S431" s="85"/>
      <c r="T431" s="84"/>
      <c r="U431" s="27"/>
      <c r="V431" s="70"/>
      <c r="W431" s="67"/>
      <c r="X431" s="54"/>
      <c r="Y431" s="55"/>
      <c r="Z431" s="70"/>
      <c r="AA431" s="71"/>
      <c r="AB431" s="36"/>
      <c r="AC431" s="26">
        <f t="shared" si="20"/>
        <v>21</v>
      </c>
      <c r="AD431" s="25"/>
      <c r="AE431" s="25"/>
      <c r="AF431" s="48">
        <v>8</v>
      </c>
      <c r="AG431" s="48">
        <v>1</v>
      </c>
      <c r="AH431" s="48" t="s">
        <v>367</v>
      </c>
    </row>
    <row r="432" spans="1:34" ht="28.8" x14ac:dyDescent="0.3">
      <c r="A432" s="65">
        <v>117</v>
      </c>
      <c r="B432" s="25">
        <v>10</v>
      </c>
      <c r="C432" s="25">
        <v>42</v>
      </c>
      <c r="D432" s="25">
        <v>329</v>
      </c>
      <c r="E432" s="30" t="str">
        <f t="shared" si="18"/>
        <v>10-42-329</v>
      </c>
      <c r="F432" s="13" t="str">
        <f>VLOOKUP(E432,'LISTA ITEMS'!$E$2:$G$875,2,FALSE)</f>
        <v>PATA ALUMINIO PARA ESTRUCTURA PLACA SOLAR VELA ANGULO 15º</v>
      </c>
      <c r="G432" s="25" t="str">
        <f>VLOOKUP(E432,'LISTA ITEMS'!$E$2:$G$875,3,FALSE)</f>
        <v>UND</v>
      </c>
      <c r="H432" s="74">
        <v>46083</v>
      </c>
      <c r="I432" s="75">
        <v>-8</v>
      </c>
      <c r="J432" s="27"/>
      <c r="K432" s="70">
        <v>46098</v>
      </c>
      <c r="L432" s="67">
        <v>0</v>
      </c>
      <c r="M432" s="54">
        <v>46098</v>
      </c>
      <c r="N432" s="55">
        <v>0</v>
      </c>
      <c r="O432" s="70">
        <v>46098</v>
      </c>
      <c r="P432" s="71">
        <v>0</v>
      </c>
      <c r="Q432" s="36">
        <v>46098</v>
      </c>
      <c r="R432" s="26">
        <f t="shared" si="19"/>
        <v>-8</v>
      </c>
      <c r="S432" s="85"/>
      <c r="T432" s="84"/>
      <c r="U432" s="27"/>
      <c r="V432" s="70"/>
      <c r="W432" s="67"/>
      <c r="X432" s="54"/>
      <c r="Y432" s="55"/>
      <c r="Z432" s="70"/>
      <c r="AA432" s="71"/>
      <c r="AB432" s="31"/>
      <c r="AC432" s="26">
        <f t="shared" si="20"/>
        <v>-8</v>
      </c>
      <c r="AD432" s="25"/>
      <c r="AE432" s="25"/>
      <c r="AF432" s="48" t="s">
        <v>119</v>
      </c>
      <c r="AG432" s="48" t="s">
        <v>119</v>
      </c>
      <c r="AH432" s="48" t="s">
        <v>119</v>
      </c>
    </row>
    <row r="433" spans="1:34" ht="28.8" x14ac:dyDescent="0.3">
      <c r="A433" s="65">
        <v>28</v>
      </c>
      <c r="B433" s="25">
        <v>8</v>
      </c>
      <c r="C433" s="25">
        <v>30</v>
      </c>
      <c r="D433" s="25">
        <v>206</v>
      </c>
      <c r="E433" s="30" t="str">
        <f t="shared" si="18"/>
        <v>8-30-206</v>
      </c>
      <c r="F433" s="13" t="str">
        <f>VLOOKUP(E433,'LISTA ITEMS'!$E$2:$G$875,2,FALSE)</f>
        <v>PERRILLO PAR CABLE Nª 6/8mm 25x30 A/GALVANIZADO Y T/HEZAGONAL</v>
      </c>
      <c r="G433" s="25" t="str">
        <f>VLOOKUP(E433,'LISTA ITEMS'!$E$2:$G$875,3,FALSE)</f>
        <v>UND</v>
      </c>
      <c r="H433" s="74">
        <v>46083</v>
      </c>
      <c r="I433" s="75">
        <v>26</v>
      </c>
      <c r="J433" s="27"/>
      <c r="K433" s="70">
        <v>46098</v>
      </c>
      <c r="L433" s="67">
        <v>0</v>
      </c>
      <c r="M433" s="54">
        <v>46098</v>
      </c>
      <c r="N433" s="55">
        <v>0</v>
      </c>
      <c r="O433" s="70">
        <v>46098</v>
      </c>
      <c r="P433" s="71">
        <v>0</v>
      </c>
      <c r="Q433" s="36">
        <v>46098</v>
      </c>
      <c r="R433" s="26">
        <f t="shared" si="19"/>
        <v>26</v>
      </c>
      <c r="S433" s="85"/>
      <c r="T433" s="84"/>
      <c r="U433" s="27"/>
      <c r="V433" s="70"/>
      <c r="W433" s="67"/>
      <c r="X433" s="54"/>
      <c r="Y433" s="55"/>
      <c r="Z433" s="70"/>
      <c r="AA433" s="71"/>
      <c r="AB433" s="31"/>
      <c r="AC433" s="26">
        <f t="shared" si="20"/>
        <v>26</v>
      </c>
      <c r="AD433" s="25"/>
      <c r="AE433" s="25"/>
      <c r="AF433" s="48">
        <v>7</v>
      </c>
      <c r="AG433" s="48">
        <v>1</v>
      </c>
      <c r="AH433" s="48" t="s">
        <v>251</v>
      </c>
    </row>
    <row r="434" spans="1:34" ht="28.8" x14ac:dyDescent="0.3">
      <c r="A434" s="65">
        <v>135</v>
      </c>
      <c r="B434" s="25">
        <v>16</v>
      </c>
      <c r="C434" s="25">
        <v>53</v>
      </c>
      <c r="D434" s="25">
        <v>328</v>
      </c>
      <c r="E434" s="30" t="str">
        <f t="shared" si="18"/>
        <v>16-53-328</v>
      </c>
      <c r="F434" s="13" t="str">
        <f>VLOOKUP(E434,'LISTA ITEMS'!$E$2:$G$875,2,FALSE)</f>
        <v>PINCHO DE COMUNICACIÓN WIFI SHINErfsTICK- X  BLANCO (GROWATT)</v>
      </c>
      <c r="G434" s="25" t="str">
        <f>VLOOKUP(E434,'LISTA ITEMS'!$E$2:$G$875,3,FALSE)</f>
        <v>UND</v>
      </c>
      <c r="H434" s="74">
        <v>46083</v>
      </c>
      <c r="I434" s="75">
        <v>2</v>
      </c>
      <c r="J434" s="27"/>
      <c r="K434" s="70">
        <v>46098</v>
      </c>
      <c r="L434" s="67">
        <v>2</v>
      </c>
      <c r="M434" s="54">
        <v>46098</v>
      </c>
      <c r="N434" s="55">
        <v>0</v>
      </c>
      <c r="O434" s="70">
        <v>46098</v>
      </c>
      <c r="P434" s="71">
        <v>2</v>
      </c>
      <c r="Q434" s="36">
        <v>46098</v>
      </c>
      <c r="R434" s="26">
        <f t="shared" si="19"/>
        <v>2</v>
      </c>
      <c r="S434" s="85"/>
      <c r="T434" s="84"/>
      <c r="U434" s="27"/>
      <c r="V434" s="70"/>
      <c r="W434" s="67"/>
      <c r="X434" s="54"/>
      <c r="Y434" s="55"/>
      <c r="Z434" s="70"/>
      <c r="AA434" s="71"/>
      <c r="AB434" s="31"/>
      <c r="AC434" s="26">
        <f t="shared" si="20"/>
        <v>2</v>
      </c>
      <c r="AD434" s="25"/>
      <c r="AE434" s="25"/>
      <c r="AF434" s="48">
        <v>10</v>
      </c>
      <c r="AG434" s="48">
        <v>2</v>
      </c>
      <c r="AH434" s="48" t="s">
        <v>350</v>
      </c>
    </row>
    <row r="435" spans="1:34" ht="28.8" x14ac:dyDescent="0.3">
      <c r="A435" s="65">
        <v>94</v>
      </c>
      <c r="B435" s="25">
        <v>16</v>
      </c>
      <c r="C435" s="25">
        <v>53</v>
      </c>
      <c r="D435" s="25">
        <v>289</v>
      </c>
      <c r="E435" s="30" t="str">
        <f t="shared" si="18"/>
        <v>16-53-289</v>
      </c>
      <c r="F435" s="13" t="str">
        <f>VLOOKUP(E435,'LISTA ITEMS'!$E$2:$G$875,2,FALSE)</f>
        <v>PINCHO DE COMUNICACIÓN WIFI SHINEWILAN X (GROWATT)</v>
      </c>
      <c r="G435" s="25" t="str">
        <f>VLOOKUP(E435,'LISTA ITEMS'!$E$2:$G$875,3,FALSE)</f>
        <v>UND</v>
      </c>
      <c r="H435" s="74">
        <v>46083</v>
      </c>
      <c r="I435" s="75">
        <v>1</v>
      </c>
      <c r="J435" s="27"/>
      <c r="K435" s="70">
        <v>46098</v>
      </c>
      <c r="L435" s="67">
        <v>0</v>
      </c>
      <c r="M435" s="54">
        <v>46098</v>
      </c>
      <c r="N435" s="55">
        <v>0</v>
      </c>
      <c r="O435" s="70">
        <v>46098</v>
      </c>
      <c r="P435" s="71">
        <v>0</v>
      </c>
      <c r="Q435" s="36">
        <v>46098</v>
      </c>
      <c r="R435" s="26">
        <f t="shared" si="19"/>
        <v>1</v>
      </c>
      <c r="S435" s="85"/>
      <c r="T435" s="84">
        <v>0</v>
      </c>
      <c r="U435" s="27"/>
      <c r="V435" s="70"/>
      <c r="W435" s="67"/>
      <c r="X435" s="54"/>
      <c r="Y435" s="55"/>
      <c r="Z435" s="70"/>
      <c r="AA435" s="71"/>
      <c r="AB435" s="31"/>
      <c r="AC435" s="26">
        <f t="shared" si="20"/>
        <v>1</v>
      </c>
      <c r="AD435" s="25"/>
      <c r="AE435" s="25"/>
      <c r="AF435" s="48">
        <v>10</v>
      </c>
      <c r="AG435" s="48">
        <v>2</v>
      </c>
      <c r="AH435" s="48" t="s">
        <v>368</v>
      </c>
    </row>
    <row r="436" spans="1:34" x14ac:dyDescent="0.3">
      <c r="A436" s="65">
        <v>220</v>
      </c>
      <c r="B436" s="25">
        <v>18</v>
      </c>
      <c r="C436" s="25">
        <v>77</v>
      </c>
      <c r="D436" s="25">
        <v>398</v>
      </c>
      <c r="E436" s="30" t="str">
        <f t="shared" si="18"/>
        <v>18-77-398</v>
      </c>
      <c r="F436" s="13" t="str">
        <f>VLOOKUP(E436,'LISTA ITEMS'!$E$2:$G$875,2,FALSE)</f>
        <v>PINZA AMPERIMETRICA SMART PA420MINIKPS</v>
      </c>
      <c r="G436" s="25" t="str">
        <f>VLOOKUP(E436,'LISTA ITEMS'!$E$2:$G$875,3,FALSE)</f>
        <v>UND</v>
      </c>
      <c r="H436" s="74">
        <v>46083</v>
      </c>
      <c r="I436" s="75">
        <v>2</v>
      </c>
      <c r="J436" s="27"/>
      <c r="K436" s="70">
        <v>46098</v>
      </c>
      <c r="L436" s="67">
        <v>0</v>
      </c>
      <c r="M436" s="54">
        <v>46098</v>
      </c>
      <c r="N436" s="55">
        <v>0</v>
      </c>
      <c r="O436" s="70">
        <v>46098</v>
      </c>
      <c r="P436" s="71">
        <v>0</v>
      </c>
      <c r="Q436" s="36">
        <v>46098</v>
      </c>
      <c r="R436" s="26">
        <f t="shared" si="19"/>
        <v>2</v>
      </c>
      <c r="S436" s="85"/>
      <c r="T436" s="84"/>
      <c r="U436" s="27"/>
      <c r="V436" s="70"/>
      <c r="W436" s="67"/>
      <c r="X436" s="54"/>
      <c r="Y436" s="55"/>
      <c r="Z436" s="70"/>
      <c r="AA436" s="71"/>
      <c r="AB436" s="31"/>
      <c r="AC436" s="26">
        <f t="shared" si="20"/>
        <v>2</v>
      </c>
      <c r="AD436" s="25"/>
      <c r="AE436" s="25"/>
      <c r="AF436" s="13"/>
      <c r="AG436" s="13"/>
      <c r="AH436" s="13"/>
    </row>
    <row r="437" spans="1:34" x14ac:dyDescent="0.3">
      <c r="A437" s="65">
        <v>55</v>
      </c>
      <c r="B437" s="25">
        <v>7</v>
      </c>
      <c r="C437" s="25">
        <v>38</v>
      </c>
      <c r="D437" s="25">
        <v>237</v>
      </c>
      <c r="E437" s="30" t="str">
        <f t="shared" si="18"/>
        <v>7-38-237</v>
      </c>
      <c r="F437" s="13" t="str">
        <f>VLOOKUP(E437,'LISTA ITEMS'!$E$2:$G$875,2,FALSE)</f>
        <v>PLACA SOLAR CS6.1-60TB-505 505W / 43.4V</v>
      </c>
      <c r="G437" s="25" t="str">
        <f>VLOOKUP(E437,'LISTA ITEMS'!$E$2:$G$875,3,FALSE)</f>
        <v>UND</v>
      </c>
      <c r="H437" s="74">
        <v>46083</v>
      </c>
      <c r="I437" s="75">
        <v>2</v>
      </c>
      <c r="J437" s="27"/>
      <c r="K437" s="70">
        <v>46098</v>
      </c>
      <c r="L437" s="67">
        <v>0</v>
      </c>
      <c r="M437" s="54">
        <v>46098</v>
      </c>
      <c r="N437" s="55">
        <v>0</v>
      </c>
      <c r="O437" s="70">
        <v>46098</v>
      </c>
      <c r="P437" s="71">
        <v>0</v>
      </c>
      <c r="Q437" s="36">
        <v>46098</v>
      </c>
      <c r="R437" s="26">
        <f t="shared" si="19"/>
        <v>2</v>
      </c>
      <c r="S437" s="85"/>
      <c r="T437" s="84"/>
      <c r="U437" s="27"/>
      <c r="V437" s="70"/>
      <c r="W437" s="67"/>
      <c r="X437" s="54"/>
      <c r="Y437" s="55"/>
      <c r="Z437" s="70"/>
      <c r="AA437" s="71"/>
      <c r="AB437" s="31"/>
      <c r="AC437" s="26">
        <f t="shared" si="20"/>
        <v>2</v>
      </c>
      <c r="AD437" s="25"/>
      <c r="AE437" s="25"/>
      <c r="AF437" s="48">
        <v>5</v>
      </c>
      <c r="AG437" s="48" t="s">
        <v>366</v>
      </c>
      <c r="AH437" s="48" t="s">
        <v>316</v>
      </c>
    </row>
    <row r="438" spans="1:34" x14ac:dyDescent="0.3">
      <c r="A438" s="65">
        <v>53</v>
      </c>
      <c r="B438" s="77">
        <v>7</v>
      </c>
      <c r="C438" s="25">
        <v>38</v>
      </c>
      <c r="D438" s="25">
        <v>235</v>
      </c>
      <c r="E438" s="30" t="str">
        <f t="shared" si="18"/>
        <v>7-38-235</v>
      </c>
      <c r="F438" s="13" t="str">
        <f>VLOOKUP(E438,'LISTA ITEMS'!$E$2:$G$875,2,FALSE)</f>
        <v>PLACA SOLAR CS6L-450MS 450W / 34.4V</v>
      </c>
      <c r="G438" s="25" t="str">
        <f>VLOOKUP(E438,'LISTA ITEMS'!$E$2:$G$875,3,FALSE)</f>
        <v>UND</v>
      </c>
      <c r="H438" s="74">
        <v>46083</v>
      </c>
      <c r="I438" s="75">
        <v>1</v>
      </c>
      <c r="J438" s="27"/>
      <c r="K438" s="70">
        <v>46098</v>
      </c>
      <c r="L438" s="67">
        <v>0</v>
      </c>
      <c r="M438" s="54">
        <v>46098</v>
      </c>
      <c r="N438" s="55">
        <v>0</v>
      </c>
      <c r="O438" s="70">
        <v>46098</v>
      </c>
      <c r="P438" s="71">
        <v>0</v>
      </c>
      <c r="Q438" s="36">
        <v>46098</v>
      </c>
      <c r="R438" s="26">
        <f t="shared" si="19"/>
        <v>1</v>
      </c>
      <c r="S438" s="85"/>
      <c r="T438" s="84"/>
      <c r="U438" s="27"/>
      <c r="V438" s="70"/>
      <c r="W438" s="67"/>
      <c r="X438" s="54"/>
      <c r="Y438" s="55"/>
      <c r="Z438" s="70"/>
      <c r="AA438" s="71"/>
      <c r="AB438" s="31"/>
      <c r="AC438" s="26">
        <f t="shared" si="20"/>
        <v>1</v>
      </c>
      <c r="AD438" s="25"/>
      <c r="AE438" s="25"/>
      <c r="AF438" s="48">
        <v>5</v>
      </c>
      <c r="AG438" s="48" t="s">
        <v>366</v>
      </c>
      <c r="AH438" s="48" t="s">
        <v>316</v>
      </c>
    </row>
    <row r="439" spans="1:34" x14ac:dyDescent="0.3">
      <c r="A439" s="65">
        <v>60</v>
      </c>
      <c r="B439" s="25">
        <v>7</v>
      </c>
      <c r="C439" s="25">
        <v>38</v>
      </c>
      <c r="D439" s="25">
        <v>242</v>
      </c>
      <c r="E439" s="30" t="str">
        <f t="shared" si="18"/>
        <v>7-38-242</v>
      </c>
      <c r="F439" s="13" t="str">
        <f>VLOOKUP(E439,'LISTA ITEMS'!$E$2:$G$875,2,FALSE)</f>
        <v>PLACA SOLAR CS6W-585T 585W / 52.4V</v>
      </c>
      <c r="G439" s="25" t="str">
        <f>VLOOKUP(E439,'LISTA ITEMS'!$E$2:$G$875,3,FALSE)</f>
        <v>UND</v>
      </c>
      <c r="H439" s="74">
        <v>46083</v>
      </c>
      <c r="I439" s="75">
        <v>3</v>
      </c>
      <c r="J439" s="27"/>
      <c r="K439" s="70">
        <v>46098</v>
      </c>
      <c r="L439" s="67">
        <v>0</v>
      </c>
      <c r="M439" s="54">
        <v>46098</v>
      </c>
      <c r="N439" s="55">
        <v>0</v>
      </c>
      <c r="O439" s="70">
        <v>46098</v>
      </c>
      <c r="P439" s="71">
        <v>0</v>
      </c>
      <c r="Q439" s="36">
        <v>46098</v>
      </c>
      <c r="R439" s="26">
        <f t="shared" si="19"/>
        <v>3</v>
      </c>
      <c r="S439" s="85"/>
      <c r="T439" s="84"/>
      <c r="U439" s="27"/>
      <c r="V439" s="70"/>
      <c r="W439" s="67"/>
      <c r="X439" s="54"/>
      <c r="Y439" s="55"/>
      <c r="Z439" s="70"/>
      <c r="AA439" s="71"/>
      <c r="AB439" s="31"/>
      <c r="AC439" s="26">
        <f t="shared" si="20"/>
        <v>3</v>
      </c>
      <c r="AD439" s="25"/>
      <c r="AE439" s="25"/>
      <c r="AF439" s="47">
        <v>5</v>
      </c>
      <c r="AG439" s="47" t="s">
        <v>366</v>
      </c>
      <c r="AH439" s="47" t="s">
        <v>316</v>
      </c>
    </row>
    <row r="440" spans="1:34" x14ac:dyDescent="0.3">
      <c r="A440" s="65">
        <v>52</v>
      </c>
      <c r="B440" s="25">
        <v>7</v>
      </c>
      <c r="C440" s="25">
        <v>38</v>
      </c>
      <c r="D440" s="25">
        <v>234</v>
      </c>
      <c r="E440" s="30" t="str">
        <f t="shared" si="18"/>
        <v>7-38-234</v>
      </c>
      <c r="F440" s="13" t="str">
        <f>VLOOKUP(E440,'LISTA ITEMS'!$E$2:$G$875,2,FALSE)</f>
        <v>PLACA SOLAR CSP-6P-345W / 38.3C</v>
      </c>
      <c r="G440" s="25" t="str">
        <f>VLOOKUP(E440,'LISTA ITEMS'!$E$2:$G$875,3,FALSE)</f>
        <v>UND</v>
      </c>
      <c r="H440" s="74">
        <v>46083</v>
      </c>
      <c r="I440" s="75">
        <v>1</v>
      </c>
      <c r="J440" s="27"/>
      <c r="K440" s="70">
        <v>46098</v>
      </c>
      <c r="L440" s="67">
        <v>0</v>
      </c>
      <c r="M440" s="54">
        <v>46098</v>
      </c>
      <c r="N440" s="55">
        <v>0</v>
      </c>
      <c r="O440" s="70">
        <v>46098</v>
      </c>
      <c r="P440" s="71">
        <v>0</v>
      </c>
      <c r="Q440" s="36">
        <v>46098</v>
      </c>
      <c r="R440" s="26">
        <f t="shared" si="19"/>
        <v>1</v>
      </c>
      <c r="S440" s="85"/>
      <c r="T440" s="84"/>
      <c r="U440" s="27"/>
      <c r="V440" s="70"/>
      <c r="W440" s="67"/>
      <c r="X440" s="54"/>
      <c r="Y440" s="55"/>
      <c r="Z440" s="70"/>
      <c r="AA440" s="71"/>
      <c r="AB440" s="31"/>
      <c r="AC440" s="26">
        <f t="shared" si="20"/>
        <v>1</v>
      </c>
      <c r="AD440" s="25"/>
      <c r="AE440" s="25"/>
      <c r="AF440" s="48">
        <v>5</v>
      </c>
      <c r="AG440" s="48" t="s">
        <v>366</v>
      </c>
      <c r="AH440" s="48" t="s">
        <v>316</v>
      </c>
    </row>
    <row r="441" spans="1:34" x14ac:dyDescent="0.3">
      <c r="A441" s="65">
        <v>51</v>
      </c>
      <c r="B441" s="25">
        <v>7</v>
      </c>
      <c r="C441" s="25">
        <v>38</v>
      </c>
      <c r="D441" s="25">
        <v>233</v>
      </c>
      <c r="E441" s="30" t="str">
        <f t="shared" si="18"/>
        <v>7-38-233</v>
      </c>
      <c r="F441" s="13" t="str">
        <f>VLOOKUP(E441,'LISTA ITEMS'!$E$2:$G$875,2,FALSE)</f>
        <v>PLACA SOLAR EX-275P-60 275W / 31.50V</v>
      </c>
      <c r="G441" s="25" t="str">
        <f>VLOOKUP(E441,'LISTA ITEMS'!$E$2:$G$875,3,FALSE)</f>
        <v>UND</v>
      </c>
      <c r="H441" s="74">
        <v>46083</v>
      </c>
      <c r="I441" s="75">
        <v>1</v>
      </c>
      <c r="J441" s="27"/>
      <c r="K441" s="70">
        <v>46098</v>
      </c>
      <c r="L441" s="67">
        <v>0</v>
      </c>
      <c r="M441" s="54">
        <v>46098</v>
      </c>
      <c r="N441" s="55">
        <v>0</v>
      </c>
      <c r="O441" s="70">
        <v>46098</v>
      </c>
      <c r="P441" s="71">
        <v>0</v>
      </c>
      <c r="Q441" s="36">
        <v>46098</v>
      </c>
      <c r="R441" s="26">
        <f t="shared" si="19"/>
        <v>1</v>
      </c>
      <c r="S441" s="85"/>
      <c r="T441" s="84"/>
      <c r="U441" s="27"/>
      <c r="V441" s="70"/>
      <c r="W441" s="67"/>
      <c r="X441" s="54"/>
      <c r="Y441" s="55"/>
      <c r="Z441" s="70"/>
      <c r="AA441" s="71"/>
      <c r="AB441" s="31"/>
      <c r="AC441" s="26">
        <f t="shared" si="20"/>
        <v>1</v>
      </c>
      <c r="AD441" s="25"/>
      <c r="AE441" s="25"/>
      <c r="AF441" s="48">
        <v>5</v>
      </c>
      <c r="AG441" s="48" t="s">
        <v>366</v>
      </c>
      <c r="AH441" s="48" t="s">
        <v>316</v>
      </c>
    </row>
    <row r="442" spans="1:34" x14ac:dyDescent="0.3">
      <c r="A442" s="65">
        <v>65</v>
      </c>
      <c r="B442" s="25">
        <v>7</v>
      </c>
      <c r="C442" s="25">
        <v>38</v>
      </c>
      <c r="D442" s="25">
        <v>247</v>
      </c>
      <c r="E442" s="30" t="str">
        <f t="shared" si="18"/>
        <v>7-38-247</v>
      </c>
      <c r="F442" s="13" t="str">
        <f>VLOOKUP(E442,'LISTA ITEMS'!$E$2:$G$875,2,FALSE)</f>
        <v>PLACA SOLAR JAM60D42-535LB 535W / 44.13V</v>
      </c>
      <c r="G442" s="25" t="str">
        <f>VLOOKUP(E442,'LISTA ITEMS'!$E$2:$G$875,3,FALSE)</f>
        <v>UND</v>
      </c>
      <c r="H442" s="74">
        <v>46083</v>
      </c>
      <c r="I442" s="75">
        <v>186</v>
      </c>
      <c r="J442" s="27"/>
      <c r="K442" s="70">
        <v>46098</v>
      </c>
      <c r="L442" s="67">
        <v>0</v>
      </c>
      <c r="M442" s="54">
        <v>46098</v>
      </c>
      <c r="N442" s="55">
        <v>0</v>
      </c>
      <c r="O442" s="70">
        <v>46098</v>
      </c>
      <c r="P442" s="71">
        <v>60</v>
      </c>
      <c r="Q442" s="36">
        <v>46098</v>
      </c>
      <c r="R442" s="26">
        <f t="shared" si="19"/>
        <v>126</v>
      </c>
      <c r="S442" s="85"/>
      <c r="T442" s="84"/>
      <c r="U442" s="27"/>
      <c r="V442" s="70"/>
      <c r="W442" s="67"/>
      <c r="X442" s="54"/>
      <c r="Y442" s="55"/>
      <c r="Z442" s="70"/>
      <c r="AA442" s="71"/>
      <c r="AB442" s="36"/>
      <c r="AC442" s="26">
        <f t="shared" si="20"/>
        <v>126</v>
      </c>
      <c r="AD442" s="25"/>
      <c r="AE442" s="25"/>
      <c r="AF442" s="48">
        <v>6</v>
      </c>
      <c r="AG442" s="48" t="s">
        <v>119</v>
      </c>
      <c r="AH442" s="48" t="s">
        <v>316</v>
      </c>
    </row>
    <row r="443" spans="1:34" x14ac:dyDescent="0.3">
      <c r="A443" s="65">
        <v>54</v>
      </c>
      <c r="B443" s="25">
        <v>7</v>
      </c>
      <c r="C443" s="25">
        <v>38</v>
      </c>
      <c r="D443" s="25">
        <v>236</v>
      </c>
      <c r="E443" s="30" t="str">
        <f t="shared" si="18"/>
        <v>7-38-236</v>
      </c>
      <c r="F443" s="13" t="str">
        <f>VLOOKUP(E443,'LISTA ITEMS'!$E$2:$G$875,2,FALSE)</f>
        <v>PLACA SOLAR JAM66S30-505MR 505W / 45.72V</v>
      </c>
      <c r="G443" s="25" t="str">
        <f>VLOOKUP(E443,'LISTA ITEMS'!$E$2:$G$875,3,FALSE)</f>
        <v>UND</v>
      </c>
      <c r="H443" s="74">
        <v>46083</v>
      </c>
      <c r="I443" s="75">
        <v>1</v>
      </c>
      <c r="J443" s="27"/>
      <c r="K443" s="70">
        <v>46098</v>
      </c>
      <c r="L443" s="67">
        <v>0</v>
      </c>
      <c r="M443" s="54">
        <v>46098</v>
      </c>
      <c r="N443" s="55">
        <v>0</v>
      </c>
      <c r="O443" s="70">
        <v>46098</v>
      </c>
      <c r="P443" s="71">
        <v>0</v>
      </c>
      <c r="Q443" s="36">
        <v>46098</v>
      </c>
      <c r="R443" s="26">
        <f t="shared" si="19"/>
        <v>1</v>
      </c>
      <c r="S443" s="85"/>
      <c r="T443" s="84"/>
      <c r="U443" s="27"/>
      <c r="V443" s="70"/>
      <c r="W443" s="67"/>
      <c r="X443" s="54"/>
      <c r="Y443" s="55"/>
      <c r="Z443" s="70"/>
      <c r="AA443" s="71"/>
      <c r="AB443" s="31"/>
      <c r="AC443" s="26">
        <f t="shared" si="20"/>
        <v>1</v>
      </c>
      <c r="AD443" s="25"/>
      <c r="AE443" s="25"/>
      <c r="AF443" s="48">
        <v>5</v>
      </c>
      <c r="AG443" s="48" t="s">
        <v>366</v>
      </c>
      <c r="AH443" s="48" t="s">
        <v>316</v>
      </c>
    </row>
    <row r="444" spans="1:34" ht="28.8" x14ac:dyDescent="0.3">
      <c r="A444" s="65">
        <v>58</v>
      </c>
      <c r="B444" s="25">
        <v>7</v>
      </c>
      <c r="C444" s="25">
        <v>38</v>
      </c>
      <c r="D444" s="25">
        <v>240</v>
      </c>
      <c r="E444" s="30" t="str">
        <f t="shared" si="18"/>
        <v>7-38-240</v>
      </c>
      <c r="F444" s="13" t="str">
        <f>VLOOKUP(E444,'LISTA ITEMS'!$E$2:$G$875,2,FALSE)</f>
        <v>PLACA SOLAR JAM72D30-545MB 545W / 49.75V</v>
      </c>
      <c r="G444" s="25" t="str">
        <f>VLOOKUP(E444,'LISTA ITEMS'!$E$2:$G$875,3,FALSE)</f>
        <v>UND</v>
      </c>
      <c r="H444" s="74">
        <v>46083</v>
      </c>
      <c r="I444" s="75">
        <v>1</v>
      </c>
      <c r="J444" s="27"/>
      <c r="K444" s="70">
        <v>46098</v>
      </c>
      <c r="L444" s="67">
        <v>0</v>
      </c>
      <c r="M444" s="54">
        <v>46098</v>
      </c>
      <c r="N444" s="55">
        <v>0</v>
      </c>
      <c r="O444" s="70">
        <v>46098</v>
      </c>
      <c r="P444" s="71">
        <v>0</v>
      </c>
      <c r="Q444" s="36">
        <v>46098</v>
      </c>
      <c r="R444" s="26">
        <f t="shared" si="19"/>
        <v>1</v>
      </c>
      <c r="S444" s="85"/>
      <c r="T444" s="84"/>
      <c r="U444" s="27"/>
      <c r="V444" s="70"/>
      <c r="W444" s="67"/>
      <c r="X444" s="54"/>
      <c r="Y444" s="55"/>
      <c r="Z444" s="70"/>
      <c r="AA444" s="71"/>
      <c r="AB444" s="31"/>
      <c r="AC444" s="26">
        <f t="shared" si="20"/>
        <v>1</v>
      </c>
      <c r="AD444" s="25"/>
      <c r="AE444" s="25"/>
      <c r="AF444" s="48">
        <v>5</v>
      </c>
      <c r="AG444" s="48" t="s">
        <v>366</v>
      </c>
      <c r="AH444" s="48" t="s">
        <v>316</v>
      </c>
    </row>
    <row r="445" spans="1:34" ht="28.8" x14ac:dyDescent="0.3">
      <c r="A445" s="65">
        <v>63</v>
      </c>
      <c r="B445" s="25">
        <v>7</v>
      </c>
      <c r="C445" s="25">
        <v>38</v>
      </c>
      <c r="D445" s="25">
        <v>245</v>
      </c>
      <c r="E445" s="30" t="str">
        <f t="shared" si="18"/>
        <v>7-38-245</v>
      </c>
      <c r="F445" s="13" t="str">
        <f>VLOOKUP(E445,'LISTA ITEMS'!$E$2:$G$875,2,FALSE)</f>
        <v>PLACA SOLAR JAM72D40-590MB 590W / 52.37V</v>
      </c>
      <c r="G445" s="25" t="str">
        <f>VLOOKUP(E445,'LISTA ITEMS'!$E$2:$G$875,3,FALSE)</f>
        <v>UND</v>
      </c>
      <c r="H445" s="74">
        <v>46083</v>
      </c>
      <c r="I445" s="75">
        <v>2</v>
      </c>
      <c r="J445" s="27"/>
      <c r="K445" s="70">
        <v>46098</v>
      </c>
      <c r="L445" s="67">
        <v>0</v>
      </c>
      <c r="M445" s="54">
        <v>46098</v>
      </c>
      <c r="N445" s="55">
        <v>0</v>
      </c>
      <c r="O445" s="70">
        <v>46098</v>
      </c>
      <c r="P445" s="71">
        <v>0</v>
      </c>
      <c r="Q445" s="36">
        <v>46098</v>
      </c>
      <c r="R445" s="26">
        <f t="shared" si="19"/>
        <v>2</v>
      </c>
      <c r="S445" s="85"/>
      <c r="T445" s="84"/>
      <c r="U445" s="27"/>
      <c r="V445" s="70"/>
      <c r="W445" s="67"/>
      <c r="X445" s="54"/>
      <c r="Y445" s="55"/>
      <c r="Z445" s="70"/>
      <c r="AA445" s="71"/>
      <c r="AB445" s="31"/>
      <c r="AC445" s="26">
        <f t="shared" si="20"/>
        <v>2</v>
      </c>
      <c r="AD445" s="25"/>
      <c r="AE445" s="25"/>
      <c r="AF445" s="48">
        <v>5</v>
      </c>
      <c r="AG445" s="48" t="s">
        <v>366</v>
      </c>
      <c r="AH445" s="48" t="s">
        <v>316</v>
      </c>
    </row>
    <row r="446" spans="1:34" x14ac:dyDescent="0.3">
      <c r="A446" s="65">
        <v>67</v>
      </c>
      <c r="B446" s="25">
        <v>7</v>
      </c>
      <c r="C446" s="25">
        <v>38</v>
      </c>
      <c r="D446" s="25">
        <v>249</v>
      </c>
      <c r="E446" s="30" t="str">
        <f t="shared" si="18"/>
        <v>7-38-249</v>
      </c>
      <c r="F446" s="13" t="str">
        <f>VLOOKUP(E446,'LISTA ITEMS'!$E$2:$G$875,2,FALSE)</f>
        <v>PLACA SOLAR JAM72S30-570LR 570W / 50.68V</v>
      </c>
      <c r="G446" s="25" t="str">
        <f>VLOOKUP(E446,'LISTA ITEMS'!$E$2:$G$875,3,FALSE)</f>
        <v>UND</v>
      </c>
      <c r="H446" s="74">
        <v>46083</v>
      </c>
      <c r="I446" s="75">
        <v>8</v>
      </c>
      <c r="J446" s="27"/>
      <c r="K446" s="70">
        <v>46098</v>
      </c>
      <c r="L446" s="67">
        <v>0</v>
      </c>
      <c r="M446" s="54">
        <v>46098</v>
      </c>
      <c r="N446" s="55">
        <v>0</v>
      </c>
      <c r="O446" s="70">
        <v>46098</v>
      </c>
      <c r="P446" s="71">
        <v>0</v>
      </c>
      <c r="Q446" s="36">
        <v>46098</v>
      </c>
      <c r="R446" s="26">
        <f t="shared" si="19"/>
        <v>8</v>
      </c>
      <c r="S446" s="85"/>
      <c r="T446" s="84"/>
      <c r="U446" s="27"/>
      <c r="V446" s="70"/>
      <c r="W446" s="67"/>
      <c r="X446" s="54"/>
      <c r="Y446" s="55"/>
      <c r="Z446" s="70"/>
      <c r="AA446" s="71"/>
      <c r="AB446" s="31"/>
      <c r="AC446" s="26">
        <f t="shared" si="20"/>
        <v>8</v>
      </c>
      <c r="AD446" s="25"/>
      <c r="AE446" s="25"/>
      <c r="AF446" s="48">
        <v>5</v>
      </c>
      <c r="AG446" s="48" t="s">
        <v>366</v>
      </c>
      <c r="AH446" s="48" t="s">
        <v>316</v>
      </c>
    </row>
    <row r="447" spans="1:34" x14ac:dyDescent="0.3">
      <c r="A447" s="65">
        <v>57</v>
      </c>
      <c r="B447" s="25">
        <v>7</v>
      </c>
      <c r="C447" s="25">
        <v>38</v>
      </c>
      <c r="D447" s="25">
        <v>239</v>
      </c>
      <c r="E447" s="30" t="str">
        <f t="shared" si="18"/>
        <v>7-38-239</v>
      </c>
      <c r="F447" s="13" t="str">
        <f>VLOOKUP(E447,'LISTA ITEMS'!$E$2:$G$875,2,FALSE)</f>
        <v>PLACA SOLAR JAMS0D42-520LB 520W / 43.53V</v>
      </c>
      <c r="G447" s="25" t="str">
        <f>VLOOKUP(E447,'LISTA ITEMS'!$E$2:$G$875,3,FALSE)</f>
        <v>UND</v>
      </c>
      <c r="H447" s="74">
        <v>46083</v>
      </c>
      <c r="I447" s="75">
        <v>1</v>
      </c>
      <c r="J447" s="27"/>
      <c r="K447" s="70">
        <v>46098</v>
      </c>
      <c r="L447" s="67">
        <v>0</v>
      </c>
      <c r="M447" s="54">
        <v>46098</v>
      </c>
      <c r="N447" s="55">
        <v>0</v>
      </c>
      <c r="O447" s="70">
        <v>46098</v>
      </c>
      <c r="P447" s="71">
        <v>0</v>
      </c>
      <c r="Q447" s="36">
        <v>46098</v>
      </c>
      <c r="R447" s="26">
        <f t="shared" si="19"/>
        <v>1</v>
      </c>
      <c r="S447" s="85"/>
      <c r="T447" s="84"/>
      <c r="U447" s="27"/>
      <c r="V447" s="70"/>
      <c r="W447" s="67"/>
      <c r="X447" s="54"/>
      <c r="Y447" s="55"/>
      <c r="Z447" s="70"/>
      <c r="AA447" s="71"/>
      <c r="AB447" s="31"/>
      <c r="AC447" s="26">
        <f t="shared" si="20"/>
        <v>1</v>
      </c>
      <c r="AD447" s="25"/>
      <c r="AE447" s="25"/>
      <c r="AF447" s="48">
        <v>5</v>
      </c>
      <c r="AG447" s="48" t="s">
        <v>366</v>
      </c>
      <c r="AH447" s="48" t="s">
        <v>316</v>
      </c>
    </row>
    <row r="448" spans="1:34" x14ac:dyDescent="0.3">
      <c r="A448" s="65">
        <v>59</v>
      </c>
      <c r="B448" s="25">
        <v>7</v>
      </c>
      <c r="C448" s="25">
        <v>38</v>
      </c>
      <c r="D448" s="25">
        <v>241</v>
      </c>
      <c r="E448" s="30" t="str">
        <f t="shared" si="18"/>
        <v>7-38-241</v>
      </c>
      <c r="F448" s="13" t="str">
        <f>VLOOKUP(E448,'LISTA ITEMS'!$E$2:$G$875,2,FALSE)</f>
        <v>PLACA SOLAR PS555M6H-24TH 555W / 41.64V</v>
      </c>
      <c r="G448" s="25" t="str">
        <f>VLOOKUP(E448,'LISTA ITEMS'!$E$2:$G$875,3,FALSE)</f>
        <v>UND</v>
      </c>
      <c r="H448" s="74">
        <v>46083</v>
      </c>
      <c r="I448" s="75">
        <v>2</v>
      </c>
      <c r="J448" s="27"/>
      <c r="K448" s="70">
        <v>46098</v>
      </c>
      <c r="L448" s="67">
        <v>0</v>
      </c>
      <c r="M448" s="54">
        <v>46098</v>
      </c>
      <c r="N448" s="55">
        <v>0</v>
      </c>
      <c r="O448" s="70">
        <v>46098</v>
      </c>
      <c r="P448" s="71">
        <v>0</v>
      </c>
      <c r="Q448" s="36">
        <v>46098</v>
      </c>
      <c r="R448" s="26">
        <f t="shared" si="19"/>
        <v>2</v>
      </c>
      <c r="S448" s="85"/>
      <c r="T448" s="84"/>
      <c r="U448" s="27"/>
      <c r="V448" s="70"/>
      <c r="W448" s="67"/>
      <c r="X448" s="54"/>
      <c r="Y448" s="55"/>
      <c r="Z448" s="70"/>
      <c r="AA448" s="71"/>
      <c r="AB448" s="31"/>
      <c r="AC448" s="26">
        <f t="shared" si="20"/>
        <v>2</v>
      </c>
      <c r="AD448" s="25"/>
      <c r="AE448" s="25"/>
      <c r="AF448" s="48">
        <v>5</v>
      </c>
      <c r="AG448" s="48" t="s">
        <v>366</v>
      </c>
      <c r="AH448" s="48" t="s">
        <v>316</v>
      </c>
    </row>
    <row r="449" spans="1:34" x14ac:dyDescent="0.3">
      <c r="A449" s="65">
        <v>62</v>
      </c>
      <c r="B449" s="25">
        <v>7</v>
      </c>
      <c r="C449" s="25">
        <v>38</v>
      </c>
      <c r="D449" s="25">
        <v>244</v>
      </c>
      <c r="E449" s="30" t="str">
        <f t="shared" si="18"/>
        <v>7-38-244</v>
      </c>
      <c r="F449" s="13" t="str">
        <f>VLOOKUP(E449,'LISTA ITEMS'!$E$2:$G$875,2,FALSE)</f>
        <v>PLACA SOLAR SK9612MHVC-550 550W / 42.16V</v>
      </c>
      <c r="G449" s="25" t="str">
        <f>VLOOKUP(E449,'LISTA ITEMS'!$E$2:$G$875,3,FALSE)</f>
        <v>UND</v>
      </c>
      <c r="H449" s="74">
        <v>46083</v>
      </c>
      <c r="I449" s="75">
        <v>1</v>
      </c>
      <c r="J449" s="27"/>
      <c r="K449" s="70">
        <v>46098</v>
      </c>
      <c r="L449" s="67">
        <v>0</v>
      </c>
      <c r="M449" s="54">
        <v>46098</v>
      </c>
      <c r="N449" s="55">
        <v>0</v>
      </c>
      <c r="O449" s="70">
        <v>46098</v>
      </c>
      <c r="P449" s="71">
        <v>0</v>
      </c>
      <c r="Q449" s="36">
        <v>46098</v>
      </c>
      <c r="R449" s="26">
        <f t="shared" si="19"/>
        <v>1</v>
      </c>
      <c r="S449" s="85"/>
      <c r="T449" s="84"/>
      <c r="U449" s="27"/>
      <c r="V449" s="70"/>
      <c r="W449" s="67"/>
      <c r="X449" s="54"/>
      <c r="Y449" s="55"/>
      <c r="Z449" s="70"/>
      <c r="AA449" s="71"/>
      <c r="AB449" s="31"/>
      <c r="AC449" s="26">
        <f t="shared" si="20"/>
        <v>1</v>
      </c>
      <c r="AD449" s="25"/>
      <c r="AE449" s="25"/>
      <c r="AF449" s="48">
        <v>5</v>
      </c>
      <c r="AG449" s="48" t="s">
        <v>366</v>
      </c>
      <c r="AH449" s="48" t="s">
        <v>316</v>
      </c>
    </row>
    <row r="450" spans="1:34" ht="28.8" x14ac:dyDescent="0.3">
      <c r="A450" s="65">
        <v>56</v>
      </c>
      <c r="B450" s="25">
        <v>7</v>
      </c>
      <c r="C450" s="25">
        <v>38</v>
      </c>
      <c r="D450" s="25">
        <v>238</v>
      </c>
      <c r="E450" s="30" t="str">
        <f t="shared" si="18"/>
        <v>7-38-238</v>
      </c>
      <c r="F450" s="13" t="str">
        <f>VLOOKUP(E450,'LISTA ITEMS'!$E$2:$G$875,2,FALSE)</f>
        <v>PLACA SOLAR SPR-P3-375-BLK-E4-AC 375W / 35.5V</v>
      </c>
      <c r="G450" s="25" t="str">
        <f>VLOOKUP(E450,'LISTA ITEMS'!$E$2:$G$875,3,FALSE)</f>
        <v>UND</v>
      </c>
      <c r="H450" s="74">
        <v>46083</v>
      </c>
      <c r="I450" s="75">
        <v>1</v>
      </c>
      <c r="J450" s="27"/>
      <c r="K450" s="70">
        <v>46098</v>
      </c>
      <c r="L450" s="67">
        <v>0</v>
      </c>
      <c r="M450" s="54">
        <v>46098</v>
      </c>
      <c r="N450" s="55">
        <v>0</v>
      </c>
      <c r="O450" s="70">
        <v>46098</v>
      </c>
      <c r="P450" s="71">
        <v>0</v>
      </c>
      <c r="Q450" s="36">
        <v>46098</v>
      </c>
      <c r="R450" s="26">
        <f t="shared" si="19"/>
        <v>1</v>
      </c>
      <c r="S450" s="85"/>
      <c r="T450" s="84"/>
      <c r="U450" s="27"/>
      <c r="V450" s="70"/>
      <c r="W450" s="67"/>
      <c r="X450" s="54"/>
      <c r="Y450" s="55"/>
      <c r="Z450" s="70"/>
      <c r="AA450" s="71"/>
      <c r="AB450" s="31"/>
      <c r="AC450" s="26">
        <f t="shared" si="20"/>
        <v>1</v>
      </c>
      <c r="AD450" s="25"/>
      <c r="AE450" s="25"/>
      <c r="AF450" s="48">
        <v>5</v>
      </c>
      <c r="AG450" s="48" t="s">
        <v>366</v>
      </c>
      <c r="AH450" s="48" t="s">
        <v>316</v>
      </c>
    </row>
    <row r="451" spans="1:34" ht="28.8" x14ac:dyDescent="0.3">
      <c r="A451" s="65">
        <v>64</v>
      </c>
      <c r="B451" s="25">
        <v>7</v>
      </c>
      <c r="C451" s="25">
        <v>38</v>
      </c>
      <c r="D451" s="25">
        <v>246</v>
      </c>
      <c r="E451" s="30" t="str">
        <f t="shared" si="18"/>
        <v>7-38-246</v>
      </c>
      <c r="F451" s="13" t="str">
        <f>VLOOKUP(E451,'LISTA ITEMS'!$E$2:$G$875,2,FALSE)</f>
        <v>PLACA SOLAR TSM-505DE18M.08(II) 505W / 43.0V</v>
      </c>
      <c r="G451" s="25" t="str">
        <f>VLOOKUP(E451,'LISTA ITEMS'!$E$2:$G$875,3,FALSE)</f>
        <v>UND</v>
      </c>
      <c r="H451" s="74">
        <v>46083</v>
      </c>
      <c r="I451" s="75">
        <v>2</v>
      </c>
      <c r="J451" s="27"/>
      <c r="K451" s="70">
        <v>46098</v>
      </c>
      <c r="L451" s="67">
        <v>0</v>
      </c>
      <c r="M451" s="54">
        <v>46098</v>
      </c>
      <c r="N451" s="55">
        <v>0</v>
      </c>
      <c r="O451" s="70">
        <v>46098</v>
      </c>
      <c r="P451" s="71">
        <v>0</v>
      </c>
      <c r="Q451" s="36">
        <v>46098</v>
      </c>
      <c r="R451" s="26">
        <f t="shared" si="19"/>
        <v>2</v>
      </c>
      <c r="S451" s="85"/>
      <c r="T451" s="84"/>
      <c r="U451" s="27"/>
      <c r="V451" s="70"/>
      <c r="W451" s="67"/>
      <c r="X451" s="54"/>
      <c r="Y451" s="55"/>
      <c r="Z451" s="70"/>
      <c r="AA451" s="71"/>
      <c r="AB451" s="31"/>
      <c r="AC451" s="26">
        <f t="shared" si="20"/>
        <v>2</v>
      </c>
      <c r="AD451" s="25"/>
      <c r="AE451" s="25"/>
      <c r="AF451" s="48">
        <v>5</v>
      </c>
      <c r="AG451" s="48" t="s">
        <v>366</v>
      </c>
      <c r="AH451" s="48" t="s">
        <v>316</v>
      </c>
    </row>
    <row r="452" spans="1:34" ht="28.8" x14ac:dyDescent="0.3">
      <c r="A452" s="65">
        <v>66</v>
      </c>
      <c r="B452" s="25">
        <v>7</v>
      </c>
      <c r="C452" s="25">
        <v>38</v>
      </c>
      <c r="D452" s="25">
        <v>248</v>
      </c>
      <c r="E452" s="30" t="str">
        <f t="shared" ref="E452:E514" si="21">CONCATENATE(B452,"-",C452,"-",D452)</f>
        <v>7-38-248</v>
      </c>
      <c r="F452" s="13" t="str">
        <f>VLOOKUP(E452,'LISTA ITEMS'!$E$2:$G$875,2,FALSE)</f>
        <v>PLACA SOLAR TSM-505NEG 18R.28 505W / 33.5V</v>
      </c>
      <c r="G452" s="25" t="str">
        <f>VLOOKUP(E452,'LISTA ITEMS'!$E$2:$G$875,3,FALSE)</f>
        <v>UND</v>
      </c>
      <c r="H452" s="74">
        <v>46083</v>
      </c>
      <c r="I452" s="75">
        <v>-1</v>
      </c>
      <c r="J452" s="27"/>
      <c r="K452" s="70">
        <v>46098</v>
      </c>
      <c r="L452" s="67">
        <v>0</v>
      </c>
      <c r="M452" s="54">
        <v>46098</v>
      </c>
      <c r="N452" s="55">
        <v>0</v>
      </c>
      <c r="O452" s="70">
        <v>46098</v>
      </c>
      <c r="P452" s="71">
        <v>0</v>
      </c>
      <c r="Q452" s="36">
        <v>46098</v>
      </c>
      <c r="R452" s="26">
        <f t="shared" ref="R452:R514" si="22">+I452+L452+N452-P452</f>
        <v>-1</v>
      </c>
      <c r="S452" s="85"/>
      <c r="T452" s="84"/>
      <c r="U452" s="27"/>
      <c r="V452" s="70"/>
      <c r="W452" s="67"/>
      <c r="X452" s="54"/>
      <c r="Y452" s="55"/>
      <c r="Z452" s="70"/>
      <c r="AA452" s="71"/>
      <c r="AB452" s="31"/>
      <c r="AC452" s="26">
        <f t="shared" ref="AC452:AC514" si="23">+R452+W452+Y452-AA452</f>
        <v>-1</v>
      </c>
      <c r="AD452" s="25"/>
      <c r="AE452" s="25"/>
      <c r="AF452" s="48">
        <v>5</v>
      </c>
      <c r="AG452" s="48" t="s">
        <v>366</v>
      </c>
      <c r="AH452" s="48" t="s">
        <v>316</v>
      </c>
    </row>
    <row r="453" spans="1:34" ht="28.8" x14ac:dyDescent="0.3">
      <c r="A453" s="65">
        <v>61</v>
      </c>
      <c r="B453" s="25">
        <v>7</v>
      </c>
      <c r="C453" s="25">
        <v>38</v>
      </c>
      <c r="D453" s="25">
        <v>243</v>
      </c>
      <c r="E453" s="30" t="str">
        <f t="shared" si="21"/>
        <v>7-38-243</v>
      </c>
      <c r="F453" s="13" t="str">
        <f>VLOOKUP(E453,'LISTA ITEMS'!$E$2:$G$875,2,FALSE)</f>
        <v>PLACA SOLAR YL550D-49e 1500V 1/2 550W / 42.0V</v>
      </c>
      <c r="G453" s="25" t="str">
        <f>VLOOKUP(E453,'LISTA ITEMS'!$E$2:$G$875,3,FALSE)</f>
        <v>UND</v>
      </c>
      <c r="H453" s="74">
        <v>46083</v>
      </c>
      <c r="I453" s="75">
        <v>1</v>
      </c>
      <c r="J453" s="27"/>
      <c r="K453" s="70">
        <v>46098</v>
      </c>
      <c r="L453" s="67">
        <v>0</v>
      </c>
      <c r="M453" s="54">
        <v>46098</v>
      </c>
      <c r="N453" s="55">
        <v>0</v>
      </c>
      <c r="O453" s="70">
        <v>46098</v>
      </c>
      <c r="P453" s="71">
        <v>0</v>
      </c>
      <c r="Q453" s="36">
        <v>46098</v>
      </c>
      <c r="R453" s="26">
        <f t="shared" si="22"/>
        <v>1</v>
      </c>
      <c r="S453" s="85"/>
      <c r="T453" s="84"/>
      <c r="U453" s="27"/>
      <c r="V453" s="70"/>
      <c r="W453" s="67"/>
      <c r="X453" s="54"/>
      <c r="Y453" s="55"/>
      <c r="Z453" s="70"/>
      <c r="AA453" s="71"/>
      <c r="AB453" s="31"/>
      <c r="AC453" s="26">
        <f t="shared" si="23"/>
        <v>1</v>
      </c>
      <c r="AD453" s="25"/>
      <c r="AE453" s="25"/>
      <c r="AF453" s="48">
        <v>5</v>
      </c>
      <c r="AG453" s="48" t="s">
        <v>366</v>
      </c>
      <c r="AH453" s="48" t="s">
        <v>316</v>
      </c>
    </row>
    <row r="454" spans="1:34" x14ac:dyDescent="0.3">
      <c r="A454" s="65">
        <v>219</v>
      </c>
      <c r="B454" s="25">
        <v>16</v>
      </c>
      <c r="C454" s="25">
        <v>76</v>
      </c>
      <c r="D454" s="25">
        <v>397</v>
      </c>
      <c r="E454" s="30" t="str">
        <f t="shared" si="21"/>
        <v>16-76-397</v>
      </c>
      <c r="F454" s="13" t="str">
        <f>VLOOKUP(E454,'LISTA ITEMS'!$E$2:$G$875,2,FALSE)</f>
        <v>RACK MURAL S.ABI1260 12U 635X600X600mm</v>
      </c>
      <c r="G454" s="25" t="str">
        <f>VLOOKUP(E454,'LISTA ITEMS'!$E$2:$G$875,3,FALSE)</f>
        <v>UND</v>
      </c>
      <c r="H454" s="74">
        <v>46083</v>
      </c>
      <c r="I454" s="75">
        <v>3</v>
      </c>
      <c r="J454" s="27"/>
      <c r="K454" s="70">
        <v>46098</v>
      </c>
      <c r="L454" s="67">
        <v>0</v>
      </c>
      <c r="M454" s="54">
        <v>46098</v>
      </c>
      <c r="N454" s="55">
        <v>0</v>
      </c>
      <c r="O454" s="70">
        <v>46098</v>
      </c>
      <c r="P454" s="71">
        <v>0</v>
      </c>
      <c r="Q454" s="36">
        <v>46098</v>
      </c>
      <c r="R454" s="26">
        <f t="shared" si="22"/>
        <v>3</v>
      </c>
      <c r="S454" s="85"/>
      <c r="T454" s="84"/>
      <c r="U454" s="27"/>
      <c r="V454" s="70"/>
      <c r="W454" s="67"/>
      <c r="X454" s="54"/>
      <c r="Y454" s="55"/>
      <c r="Z454" s="70"/>
      <c r="AA454" s="71"/>
      <c r="AB454" s="31"/>
      <c r="AC454" s="26">
        <f t="shared" si="23"/>
        <v>3</v>
      </c>
      <c r="AD454" s="25"/>
      <c r="AE454" s="25"/>
      <c r="AF454" s="13"/>
      <c r="AG454" s="13"/>
      <c r="AH454" s="13"/>
    </row>
    <row r="455" spans="1:34" ht="28.8" x14ac:dyDescent="0.3">
      <c r="A455" s="65">
        <v>167</v>
      </c>
      <c r="B455" s="25">
        <v>16</v>
      </c>
      <c r="C455" s="25">
        <v>16</v>
      </c>
      <c r="D455" s="25">
        <v>346</v>
      </c>
      <c r="E455" s="30" t="str">
        <f t="shared" si="21"/>
        <v>16-16-346</v>
      </c>
      <c r="F455" s="13" t="str">
        <f>VLOOKUP(E455,'LISTA ITEMS'!$E$2:$G$875,2,FALSE)</f>
        <v>REGLETA CONEXIÓN ELECTRICA 10mm NEGRA X12</v>
      </c>
      <c r="G455" s="25" t="str">
        <f>VLOOKUP(E455,'LISTA ITEMS'!$E$2:$G$875,3,FALSE)</f>
        <v>UND</v>
      </c>
      <c r="H455" s="74">
        <v>46083</v>
      </c>
      <c r="I455" s="75">
        <v>13</v>
      </c>
      <c r="J455" s="27"/>
      <c r="K455" s="70">
        <v>46098</v>
      </c>
      <c r="L455" s="67">
        <v>0</v>
      </c>
      <c r="M455" s="54">
        <v>46098</v>
      </c>
      <c r="N455" s="55">
        <v>0</v>
      </c>
      <c r="O455" s="70">
        <v>46098</v>
      </c>
      <c r="P455" s="71">
        <v>0</v>
      </c>
      <c r="Q455" s="36">
        <v>46098</v>
      </c>
      <c r="R455" s="26">
        <f t="shared" si="22"/>
        <v>13</v>
      </c>
      <c r="S455" s="85"/>
      <c r="T455" s="84"/>
      <c r="U455" s="27"/>
      <c r="V455" s="70"/>
      <c r="W455" s="67"/>
      <c r="X455" s="54"/>
      <c r="Y455" s="55"/>
      <c r="Z455" s="70"/>
      <c r="AA455" s="71"/>
      <c r="AB455" s="31"/>
      <c r="AC455" s="26">
        <f t="shared" si="23"/>
        <v>13</v>
      </c>
      <c r="AD455" s="25"/>
      <c r="AE455" s="25"/>
      <c r="AF455" s="48">
        <v>7</v>
      </c>
      <c r="AG455" s="48">
        <v>1</v>
      </c>
      <c r="AH455" s="48" t="s">
        <v>251</v>
      </c>
    </row>
    <row r="456" spans="1:34" ht="28.8" x14ac:dyDescent="0.3">
      <c r="A456" s="65">
        <v>136</v>
      </c>
      <c r="B456" s="25">
        <v>16</v>
      </c>
      <c r="C456" s="25">
        <v>60</v>
      </c>
      <c r="D456" s="25">
        <v>325</v>
      </c>
      <c r="E456" s="30" t="str">
        <f t="shared" si="21"/>
        <v>16-60-325</v>
      </c>
      <c r="F456" s="13" t="str">
        <f>VLOOKUP(E456,'LISTA ITEMS'!$E$2:$G$875,2,FALSE)</f>
        <v>REGLETA CONEXIÓN ELECTRICA 16mm NEGRA X12</v>
      </c>
      <c r="G456" s="25" t="str">
        <f>VLOOKUP(E456,'LISTA ITEMS'!$E$2:$G$875,3,FALSE)</f>
        <v>UND</v>
      </c>
      <c r="H456" s="74">
        <v>46083</v>
      </c>
      <c r="I456" s="75">
        <v>8</v>
      </c>
      <c r="J456" s="27"/>
      <c r="K456" s="70">
        <v>46098</v>
      </c>
      <c r="L456" s="67">
        <v>0</v>
      </c>
      <c r="M456" s="54">
        <v>46098</v>
      </c>
      <c r="N456" s="55">
        <v>0</v>
      </c>
      <c r="O456" s="70">
        <v>46098</v>
      </c>
      <c r="P456" s="71">
        <v>0</v>
      </c>
      <c r="Q456" s="36">
        <v>46098</v>
      </c>
      <c r="R456" s="26">
        <f t="shared" si="22"/>
        <v>8</v>
      </c>
      <c r="S456" s="85"/>
      <c r="T456" s="84"/>
      <c r="U456" s="27"/>
      <c r="V456" s="70"/>
      <c r="W456" s="67"/>
      <c r="X456" s="54"/>
      <c r="Y456" s="55"/>
      <c r="Z456" s="70"/>
      <c r="AA456" s="71"/>
      <c r="AB456" s="31"/>
      <c r="AC456" s="26">
        <f t="shared" si="23"/>
        <v>8</v>
      </c>
      <c r="AD456" s="25"/>
      <c r="AE456" s="25"/>
      <c r="AF456" s="48">
        <v>7</v>
      </c>
      <c r="AG456" s="48">
        <v>1</v>
      </c>
      <c r="AH456" s="48" t="s">
        <v>251</v>
      </c>
    </row>
    <row r="457" spans="1:34" ht="28.8" x14ac:dyDescent="0.3">
      <c r="A457" s="65">
        <v>169</v>
      </c>
      <c r="B457" s="25">
        <v>16</v>
      </c>
      <c r="C457" s="25">
        <v>16</v>
      </c>
      <c r="D457" s="25">
        <v>348</v>
      </c>
      <c r="E457" s="30" t="str">
        <f t="shared" si="21"/>
        <v>16-16-348</v>
      </c>
      <c r="F457" s="13" t="str">
        <f>VLOOKUP(E457,'LISTA ITEMS'!$E$2:$G$875,2,FALSE)</f>
        <v>REGLETA CONEXIÓN ELECTRICA 25mm NEGRA X12</v>
      </c>
      <c r="G457" s="25" t="str">
        <f>VLOOKUP(E457,'LISTA ITEMS'!$E$2:$G$875,3,FALSE)</f>
        <v>UND</v>
      </c>
      <c r="H457" s="74">
        <v>46083</v>
      </c>
      <c r="I457" s="75">
        <v>5</v>
      </c>
      <c r="J457" s="27"/>
      <c r="K457" s="70">
        <v>46098</v>
      </c>
      <c r="L457" s="67">
        <v>0</v>
      </c>
      <c r="M457" s="54">
        <v>46098</v>
      </c>
      <c r="N457" s="55">
        <v>0</v>
      </c>
      <c r="O457" s="70">
        <v>46098</v>
      </c>
      <c r="P457" s="71">
        <v>0</v>
      </c>
      <c r="Q457" s="36">
        <v>46098</v>
      </c>
      <c r="R457" s="26">
        <f t="shared" si="22"/>
        <v>5</v>
      </c>
      <c r="S457" s="85"/>
      <c r="T457" s="84"/>
      <c r="U457" s="27"/>
      <c r="V457" s="70"/>
      <c r="W457" s="67"/>
      <c r="X457" s="54"/>
      <c r="Y457" s="55"/>
      <c r="Z457" s="70"/>
      <c r="AA457" s="71"/>
      <c r="AB457" s="31"/>
      <c r="AC457" s="26">
        <f t="shared" si="23"/>
        <v>5</v>
      </c>
      <c r="AD457" s="25"/>
      <c r="AE457" s="25"/>
      <c r="AF457" s="48">
        <v>7</v>
      </c>
      <c r="AG457" s="48">
        <v>1</v>
      </c>
      <c r="AH457" s="48" t="s">
        <v>251</v>
      </c>
    </row>
    <row r="458" spans="1:34" ht="28.8" x14ac:dyDescent="0.3">
      <c r="A458" s="65">
        <v>137</v>
      </c>
      <c r="B458" s="25">
        <v>16</v>
      </c>
      <c r="C458" s="25">
        <v>60</v>
      </c>
      <c r="D458" s="25">
        <v>324</v>
      </c>
      <c r="E458" s="30" t="str">
        <f t="shared" si="21"/>
        <v>16-60-324</v>
      </c>
      <c r="F458" s="13" t="str">
        <f>VLOOKUP(E458,'LISTA ITEMS'!$E$2:$G$875,2,FALSE)</f>
        <v>REGLETA CONEXIÓN ELECTRICA 35mm NEGRA X12</v>
      </c>
      <c r="G458" s="25" t="str">
        <f>VLOOKUP(E458,'LISTA ITEMS'!$E$2:$G$875,3,FALSE)</f>
        <v>UND</v>
      </c>
      <c r="H458" s="74">
        <v>46083</v>
      </c>
      <c r="I458" s="75">
        <v>0</v>
      </c>
      <c r="J458" s="27"/>
      <c r="K458" s="70">
        <v>46098</v>
      </c>
      <c r="L458" s="67">
        <v>0</v>
      </c>
      <c r="M458" s="54">
        <v>46098</v>
      </c>
      <c r="N458" s="55">
        <v>0</v>
      </c>
      <c r="O458" s="70">
        <v>46098</v>
      </c>
      <c r="P458" s="71">
        <v>0</v>
      </c>
      <c r="Q458" s="36">
        <v>46098</v>
      </c>
      <c r="R458" s="26">
        <f t="shared" si="22"/>
        <v>0</v>
      </c>
      <c r="S458" s="85"/>
      <c r="T458" s="84"/>
      <c r="U458" s="27"/>
      <c r="V458" s="70"/>
      <c r="W458" s="67"/>
      <c r="X458" s="54"/>
      <c r="Y458" s="55"/>
      <c r="Z458" s="70"/>
      <c r="AA458" s="71"/>
      <c r="AB458" s="31"/>
      <c r="AC458" s="26">
        <f t="shared" si="23"/>
        <v>0</v>
      </c>
      <c r="AD458" s="25"/>
      <c r="AE458" s="25"/>
      <c r="AF458" s="48">
        <v>7</v>
      </c>
      <c r="AG458" s="48">
        <v>1</v>
      </c>
      <c r="AH458" s="48" t="s">
        <v>251</v>
      </c>
    </row>
    <row r="459" spans="1:34" ht="28.8" x14ac:dyDescent="0.3">
      <c r="A459" s="65">
        <v>168</v>
      </c>
      <c r="B459" s="25">
        <v>16</v>
      </c>
      <c r="C459" s="25">
        <v>16</v>
      </c>
      <c r="D459" s="25">
        <v>347</v>
      </c>
      <c r="E459" s="30" t="str">
        <f t="shared" si="21"/>
        <v>16-16-347</v>
      </c>
      <c r="F459" s="13" t="str">
        <f>VLOOKUP(E459,'LISTA ITEMS'!$E$2:$G$875,2,FALSE)</f>
        <v>REGLETA CONEXIÓN ELECTRICA 6mm NEGRA X12</v>
      </c>
      <c r="G459" s="25" t="str">
        <f>VLOOKUP(E459,'LISTA ITEMS'!$E$2:$G$875,3,FALSE)</f>
        <v>UND</v>
      </c>
      <c r="H459" s="74">
        <v>46083</v>
      </c>
      <c r="I459" s="75">
        <v>14</v>
      </c>
      <c r="J459" s="27"/>
      <c r="K459" s="70">
        <v>46098</v>
      </c>
      <c r="L459" s="67">
        <v>0</v>
      </c>
      <c r="M459" s="54">
        <v>46098</v>
      </c>
      <c r="N459" s="55">
        <v>0</v>
      </c>
      <c r="O459" s="70">
        <v>46098</v>
      </c>
      <c r="P459" s="71">
        <v>0</v>
      </c>
      <c r="Q459" s="36">
        <v>46098</v>
      </c>
      <c r="R459" s="26">
        <f t="shared" si="22"/>
        <v>14</v>
      </c>
      <c r="S459" s="85"/>
      <c r="T459" s="84"/>
      <c r="U459" s="27"/>
      <c r="V459" s="70"/>
      <c r="W459" s="67"/>
      <c r="X459" s="54"/>
      <c r="Y459" s="55"/>
      <c r="Z459" s="70"/>
      <c r="AA459" s="71"/>
      <c r="AB459" s="31"/>
      <c r="AC459" s="26">
        <f t="shared" si="23"/>
        <v>14</v>
      </c>
      <c r="AD459" s="25"/>
      <c r="AE459" s="25"/>
      <c r="AF459" s="48">
        <v>7</v>
      </c>
      <c r="AG459" s="48">
        <v>1</v>
      </c>
      <c r="AH459" s="48" t="s">
        <v>251</v>
      </c>
    </row>
    <row r="460" spans="1:34" ht="28.8" x14ac:dyDescent="0.3">
      <c r="A460" s="65">
        <v>218</v>
      </c>
      <c r="B460" s="25">
        <v>16</v>
      </c>
      <c r="C460" s="25">
        <v>31</v>
      </c>
      <c r="D460" s="25">
        <v>396</v>
      </c>
      <c r="E460" s="30" t="str">
        <f t="shared" si="21"/>
        <v>16-31-396</v>
      </c>
      <c r="F460" s="13" t="str">
        <f>VLOOKUP(E460,'LISTA ITEMS'!$E$2:$G$875,2,FALSE)</f>
        <v>REPUESTO CABLE FIAT 1.5mm TARJETA-DISPLAY 16 PINES</v>
      </c>
      <c r="G460" s="25" t="str">
        <f>VLOOKUP(E460,'LISTA ITEMS'!$E$2:$G$875,3,FALSE)</f>
        <v>UND</v>
      </c>
      <c r="H460" s="74">
        <v>46083</v>
      </c>
      <c r="I460" s="75">
        <v>2</v>
      </c>
      <c r="J460" s="27"/>
      <c r="K460" s="70">
        <v>46098</v>
      </c>
      <c r="L460" s="67">
        <v>0</v>
      </c>
      <c r="M460" s="54">
        <v>46098</v>
      </c>
      <c r="N460" s="55">
        <v>0</v>
      </c>
      <c r="O460" s="70">
        <v>46098</v>
      </c>
      <c r="P460" s="71">
        <v>0</v>
      </c>
      <c r="Q460" s="36">
        <v>46098</v>
      </c>
      <c r="R460" s="26">
        <f t="shared" si="22"/>
        <v>2</v>
      </c>
      <c r="S460" s="85"/>
      <c r="T460" s="84"/>
      <c r="U460" s="27"/>
      <c r="V460" s="70"/>
      <c r="W460" s="67"/>
      <c r="X460" s="54"/>
      <c r="Y460" s="55"/>
      <c r="Z460" s="70"/>
      <c r="AA460" s="71"/>
      <c r="AB460" s="31"/>
      <c r="AC460" s="26">
        <f t="shared" si="23"/>
        <v>2</v>
      </c>
      <c r="AD460" s="25"/>
      <c r="AE460" s="25"/>
      <c r="AF460" s="13"/>
      <c r="AG460" s="13"/>
      <c r="AH460" s="13"/>
    </row>
    <row r="461" spans="1:34" ht="28.8" x14ac:dyDescent="0.3">
      <c r="A461" s="65">
        <v>216</v>
      </c>
      <c r="B461" s="25">
        <v>6</v>
      </c>
      <c r="C461" s="25">
        <v>74</v>
      </c>
      <c r="D461" s="25">
        <v>394</v>
      </c>
      <c r="E461" s="30" t="str">
        <f t="shared" si="21"/>
        <v>6-74-394</v>
      </c>
      <c r="F461" s="13" t="str">
        <f>VLOOKUP(E461,'LISTA ITEMS'!$E$2:$G$875,2,FALSE)</f>
        <v>REPUESTO LUNA LUMIX FUNDIDA T/GRANDE 135X95mm (SML111-02) (SOLAR)</v>
      </c>
      <c r="G461" s="25" t="str">
        <f>VLOOKUP(E461,'LISTA ITEMS'!$E$2:$G$875,3,FALSE)</f>
        <v>UND</v>
      </c>
      <c r="H461" s="74">
        <v>46083</v>
      </c>
      <c r="I461" s="75">
        <v>2</v>
      </c>
      <c r="J461" s="27"/>
      <c r="K461" s="70">
        <v>46098</v>
      </c>
      <c r="L461" s="67">
        <v>0</v>
      </c>
      <c r="M461" s="54">
        <v>46098</v>
      </c>
      <c r="N461" s="55">
        <v>0</v>
      </c>
      <c r="O461" s="70">
        <v>46098</v>
      </c>
      <c r="P461" s="71">
        <v>0</v>
      </c>
      <c r="Q461" s="36">
        <v>46098</v>
      </c>
      <c r="R461" s="26">
        <f t="shared" si="22"/>
        <v>2</v>
      </c>
      <c r="S461" s="85"/>
      <c r="T461" s="84"/>
      <c r="U461" s="27"/>
      <c r="V461" s="70"/>
      <c r="W461" s="67"/>
      <c r="X461" s="54"/>
      <c r="Y461" s="55"/>
      <c r="Z461" s="70"/>
      <c r="AA461" s="71"/>
      <c r="AB461" s="31"/>
      <c r="AC461" s="26">
        <f t="shared" si="23"/>
        <v>2</v>
      </c>
      <c r="AD461" s="25"/>
      <c r="AE461" s="25"/>
      <c r="AF461" s="13"/>
      <c r="AG461" s="13"/>
      <c r="AH461" s="13"/>
    </row>
    <row r="462" spans="1:34" ht="28.8" x14ac:dyDescent="0.3">
      <c r="A462" s="65">
        <v>217</v>
      </c>
      <c r="B462" s="25">
        <v>7</v>
      </c>
      <c r="C462" s="25">
        <v>75</v>
      </c>
      <c r="D462" s="25">
        <v>395</v>
      </c>
      <c r="E462" s="30" t="str">
        <f t="shared" si="21"/>
        <v>7-75-395</v>
      </c>
      <c r="F462" s="13" t="str">
        <f>VLOOKUP(E462,'LISTA ITEMS'!$E$2:$G$875,2,FALSE)</f>
        <v>REPUESTO VENTILADOR TANGENCIAL DCHA (BOCA304X40mm) Ꝋ rotor 60mm)</v>
      </c>
      <c r="G462" s="25" t="str">
        <f>VLOOKUP(E462,'LISTA ITEMS'!$E$2:$G$875,3,FALSE)</f>
        <v>UND</v>
      </c>
      <c r="H462" s="74">
        <v>46083</v>
      </c>
      <c r="I462" s="75">
        <v>2</v>
      </c>
      <c r="J462" s="27"/>
      <c r="K462" s="70">
        <v>46098</v>
      </c>
      <c r="L462" s="67">
        <v>0</v>
      </c>
      <c r="M462" s="54">
        <v>46098</v>
      </c>
      <c r="N462" s="55">
        <v>0</v>
      </c>
      <c r="O462" s="70">
        <v>46098</v>
      </c>
      <c r="P462" s="71">
        <v>0</v>
      </c>
      <c r="Q462" s="36">
        <v>46098</v>
      </c>
      <c r="R462" s="26">
        <f t="shared" si="22"/>
        <v>2</v>
      </c>
      <c r="S462" s="85"/>
      <c r="T462" s="84"/>
      <c r="U462" s="27"/>
      <c r="V462" s="70"/>
      <c r="W462" s="67"/>
      <c r="X462" s="54"/>
      <c r="Y462" s="55"/>
      <c r="Z462" s="70"/>
      <c r="AA462" s="71"/>
      <c r="AB462" s="31"/>
      <c r="AC462" s="26">
        <f t="shared" si="23"/>
        <v>2</v>
      </c>
      <c r="AD462" s="25"/>
      <c r="AE462" s="25"/>
      <c r="AF462" s="13"/>
      <c r="AG462" s="13"/>
      <c r="AH462" s="13"/>
    </row>
    <row r="463" spans="1:34" ht="28.8" x14ac:dyDescent="0.3">
      <c r="A463" s="65">
        <v>213</v>
      </c>
      <c r="B463" s="25">
        <v>16</v>
      </c>
      <c r="C463" s="25">
        <v>72</v>
      </c>
      <c r="D463" s="25">
        <v>391</v>
      </c>
      <c r="E463" s="30" t="str">
        <f t="shared" si="21"/>
        <v>16-72-391</v>
      </c>
      <c r="F463" s="13" t="str">
        <f>VLOOKUP(E463,'LISTA ITEMS'!$E$2:$G$875,2,FALSE)</f>
        <v>RESISTENCIA D/ENCENDIDO 260W 1B-20X15X6-0 (2016)</v>
      </c>
      <c r="G463" s="25" t="str">
        <f>VLOOKUP(E463,'LISTA ITEMS'!$E$2:$G$875,3,FALSE)</f>
        <v>UND</v>
      </c>
      <c r="H463" s="74">
        <v>46083</v>
      </c>
      <c r="I463" s="75">
        <v>2</v>
      </c>
      <c r="J463" s="27"/>
      <c r="K463" s="70">
        <v>46098</v>
      </c>
      <c r="L463" s="67">
        <v>0</v>
      </c>
      <c r="M463" s="54">
        <v>46098</v>
      </c>
      <c r="N463" s="55">
        <v>0</v>
      </c>
      <c r="O463" s="70">
        <v>46098</v>
      </c>
      <c r="P463" s="71">
        <v>0</v>
      </c>
      <c r="Q463" s="36">
        <v>46098</v>
      </c>
      <c r="R463" s="26">
        <f t="shared" si="22"/>
        <v>2</v>
      </c>
      <c r="S463" s="85"/>
      <c r="T463" s="84"/>
      <c r="U463" s="27"/>
      <c r="V463" s="70"/>
      <c r="W463" s="67"/>
      <c r="X463" s="54"/>
      <c r="Y463" s="55"/>
      <c r="Z463" s="70"/>
      <c r="AA463" s="71"/>
      <c r="AB463" s="31"/>
      <c r="AC463" s="26">
        <f t="shared" si="23"/>
        <v>2</v>
      </c>
      <c r="AD463" s="25"/>
      <c r="AE463" s="25"/>
      <c r="AF463" s="13"/>
      <c r="AG463" s="13"/>
      <c r="AH463" s="13"/>
    </row>
    <row r="464" spans="1:34" x14ac:dyDescent="0.3">
      <c r="A464" s="65">
        <v>138</v>
      </c>
      <c r="B464" s="25">
        <v>17</v>
      </c>
      <c r="C464" s="25">
        <v>44</v>
      </c>
      <c r="D464" s="25">
        <v>271</v>
      </c>
      <c r="E464" s="30" t="str">
        <f t="shared" si="21"/>
        <v>17-44-271</v>
      </c>
      <c r="F464" s="13" t="str">
        <f>VLOOKUP(E464,'LISTA ITEMS'!$E$2:$G$875,2,FALSE)</f>
        <v>SELLANTE QUIMICO BLANCO</v>
      </c>
      <c r="G464" s="25" t="str">
        <f>VLOOKUP(E464,'LISTA ITEMS'!$E$2:$G$875,3,FALSE)</f>
        <v>UND</v>
      </c>
      <c r="H464" s="74">
        <v>46083</v>
      </c>
      <c r="I464" s="75">
        <v>13</v>
      </c>
      <c r="J464" s="27"/>
      <c r="K464" s="70">
        <v>46098</v>
      </c>
      <c r="L464" s="67">
        <v>7</v>
      </c>
      <c r="M464" s="54">
        <v>46098</v>
      </c>
      <c r="N464" s="55">
        <v>12</v>
      </c>
      <c r="O464" s="70">
        <v>46098</v>
      </c>
      <c r="P464" s="71">
        <v>21</v>
      </c>
      <c r="Q464" s="36">
        <v>46098</v>
      </c>
      <c r="R464" s="26">
        <f t="shared" si="22"/>
        <v>11</v>
      </c>
      <c r="S464" s="85"/>
      <c r="T464" s="84"/>
      <c r="U464" s="27"/>
      <c r="V464" s="70"/>
      <c r="W464" s="67"/>
      <c r="X464" s="54"/>
      <c r="Y464" s="55"/>
      <c r="Z464" s="70"/>
      <c r="AA464" s="71"/>
      <c r="AB464" s="31"/>
      <c r="AC464" s="26">
        <f t="shared" si="23"/>
        <v>11</v>
      </c>
      <c r="AD464" s="25"/>
      <c r="AE464" s="25"/>
      <c r="AF464" s="48">
        <v>7</v>
      </c>
      <c r="AG464" s="48">
        <v>2</v>
      </c>
      <c r="AH464" s="48" t="s">
        <v>311</v>
      </c>
    </row>
    <row r="465" spans="1:34" x14ac:dyDescent="0.3">
      <c r="A465" s="65">
        <v>139</v>
      </c>
      <c r="B465" s="25">
        <v>17</v>
      </c>
      <c r="C465" s="25">
        <v>44</v>
      </c>
      <c r="D465" s="25">
        <v>272</v>
      </c>
      <c r="E465" s="30" t="str">
        <f t="shared" si="21"/>
        <v>17-44-272</v>
      </c>
      <c r="F465" s="13" t="str">
        <f>VLOOKUP(E465,'LISTA ITEMS'!$E$2:$G$875,2,FALSE)</f>
        <v>SELLANTE QUIMICO GRIS</v>
      </c>
      <c r="G465" s="25" t="str">
        <f>VLOOKUP(E465,'LISTA ITEMS'!$E$2:$G$875,3,FALSE)</f>
        <v>UND</v>
      </c>
      <c r="H465" s="74">
        <v>46083</v>
      </c>
      <c r="I465" s="75">
        <v>11.5</v>
      </c>
      <c r="J465" s="27"/>
      <c r="K465" s="70">
        <v>46098</v>
      </c>
      <c r="L465" s="67">
        <v>7</v>
      </c>
      <c r="M465" s="54">
        <v>46098</v>
      </c>
      <c r="N465" s="55">
        <v>12</v>
      </c>
      <c r="O465" s="70">
        <v>46098</v>
      </c>
      <c r="P465" s="71">
        <v>32</v>
      </c>
      <c r="Q465" s="36">
        <v>46098</v>
      </c>
      <c r="R465" s="26">
        <f t="shared" si="22"/>
        <v>-1.5</v>
      </c>
      <c r="S465" s="85"/>
      <c r="T465" s="84"/>
      <c r="U465" s="27"/>
      <c r="V465" s="70"/>
      <c r="W465" s="67"/>
      <c r="X465" s="54"/>
      <c r="Y465" s="55"/>
      <c r="Z465" s="70"/>
      <c r="AA465" s="71"/>
      <c r="AB465" s="31"/>
      <c r="AC465" s="26">
        <f t="shared" si="23"/>
        <v>-1.5</v>
      </c>
      <c r="AD465" s="25"/>
      <c r="AE465" s="25"/>
      <c r="AF465" s="48">
        <v>7</v>
      </c>
      <c r="AG465" s="48">
        <v>2</v>
      </c>
      <c r="AH465" s="48" t="s">
        <v>311</v>
      </c>
    </row>
    <row r="466" spans="1:34" x14ac:dyDescent="0.3">
      <c r="A466" s="65">
        <v>140</v>
      </c>
      <c r="B466" s="25">
        <v>17</v>
      </c>
      <c r="C466" s="25">
        <v>44</v>
      </c>
      <c r="D466" s="25">
        <v>273</v>
      </c>
      <c r="E466" s="30" t="str">
        <f t="shared" si="21"/>
        <v>17-44-273</v>
      </c>
      <c r="F466" s="13" t="str">
        <f>VLOOKUP(E466,'LISTA ITEMS'!$E$2:$G$875,2,FALSE)</f>
        <v>SELLANTE QUIMICO TACO</v>
      </c>
      <c r="G466" s="25" t="str">
        <f>VLOOKUP(E466,'LISTA ITEMS'!$E$2:$G$875,3,FALSE)</f>
        <v>UND</v>
      </c>
      <c r="H466" s="74">
        <v>46083</v>
      </c>
      <c r="I466" s="75">
        <v>14</v>
      </c>
      <c r="J466" s="27"/>
      <c r="K466" s="70">
        <v>46098</v>
      </c>
      <c r="L466" s="67">
        <v>2</v>
      </c>
      <c r="M466" s="54">
        <v>46098</v>
      </c>
      <c r="N466" s="55">
        <v>75</v>
      </c>
      <c r="O466" s="70">
        <v>46098</v>
      </c>
      <c r="P466" s="71">
        <v>6</v>
      </c>
      <c r="Q466" s="36">
        <v>46098</v>
      </c>
      <c r="R466" s="26">
        <f t="shared" si="22"/>
        <v>85</v>
      </c>
      <c r="S466" s="85"/>
      <c r="T466" s="84"/>
      <c r="U466" s="27"/>
      <c r="V466" s="70"/>
      <c r="W466" s="67"/>
      <c r="X466" s="54"/>
      <c r="Y466" s="55"/>
      <c r="Z466" s="70"/>
      <c r="AA466" s="71"/>
      <c r="AB466" s="31"/>
      <c r="AC466" s="26">
        <f t="shared" si="23"/>
        <v>85</v>
      </c>
      <c r="AD466" s="25"/>
      <c r="AE466" s="25"/>
      <c r="AF466" s="48">
        <v>7</v>
      </c>
      <c r="AG466" s="48">
        <v>2</v>
      </c>
      <c r="AH466" s="48" t="s">
        <v>311</v>
      </c>
    </row>
    <row r="467" spans="1:34" x14ac:dyDescent="0.3">
      <c r="A467" s="65">
        <v>93</v>
      </c>
      <c r="B467" s="25">
        <v>10</v>
      </c>
      <c r="C467" s="25">
        <v>37</v>
      </c>
      <c r="D467" s="25">
        <v>287</v>
      </c>
      <c r="E467" s="30" t="str">
        <f t="shared" si="21"/>
        <v>10-37-287</v>
      </c>
      <c r="F467" s="13" t="str">
        <f>VLOOKUP(E467,'LISTA ITEMS'!$E$2:$G$875,2,FALSE)</f>
        <v>SOPORTE CENTRAL GRIS</v>
      </c>
      <c r="G467" s="25" t="str">
        <f>VLOOKUP(E467,'LISTA ITEMS'!$E$2:$G$875,3,FALSE)</f>
        <v>UND</v>
      </c>
      <c r="H467" s="74">
        <v>46083</v>
      </c>
      <c r="I467" s="75">
        <v>409</v>
      </c>
      <c r="J467" s="27"/>
      <c r="K467" s="70">
        <v>46098</v>
      </c>
      <c r="L467" s="67">
        <v>0</v>
      </c>
      <c r="M467" s="54">
        <v>46098</v>
      </c>
      <c r="N467" s="55">
        <v>0</v>
      </c>
      <c r="O467" s="70">
        <v>46098</v>
      </c>
      <c r="P467" s="71">
        <v>0</v>
      </c>
      <c r="Q467" s="36">
        <v>46098</v>
      </c>
      <c r="R467" s="26">
        <f t="shared" si="22"/>
        <v>409</v>
      </c>
      <c r="S467" s="85"/>
      <c r="T467" s="84"/>
      <c r="U467" s="27"/>
      <c r="V467" s="70"/>
      <c r="W467" s="67"/>
      <c r="X467" s="54"/>
      <c r="Y467" s="55"/>
      <c r="Z467" s="70"/>
      <c r="AA467" s="71"/>
      <c r="AB467" s="31"/>
      <c r="AC467" s="26">
        <f t="shared" si="23"/>
        <v>409</v>
      </c>
      <c r="AD467" s="25"/>
      <c r="AE467" s="25"/>
      <c r="AF467" s="48">
        <v>10</v>
      </c>
      <c r="AG467" s="48">
        <v>1</v>
      </c>
      <c r="AH467" s="48" t="s">
        <v>311</v>
      </c>
    </row>
    <row r="468" spans="1:34" x14ac:dyDescent="0.3">
      <c r="A468" s="65">
        <v>50</v>
      </c>
      <c r="B468" s="25">
        <v>10</v>
      </c>
      <c r="C468" s="25">
        <v>37</v>
      </c>
      <c r="D468" s="25">
        <v>232</v>
      </c>
      <c r="E468" s="30" t="str">
        <f t="shared" si="21"/>
        <v>10-37-232</v>
      </c>
      <c r="F468" s="13" t="str">
        <f>VLOOKUP(E468,'LISTA ITEMS'!$E$2:$G$875,2,FALSE)</f>
        <v>SOPORTE CENTRAL NEGRO</v>
      </c>
      <c r="G468" s="25" t="str">
        <f>VLOOKUP(E468,'LISTA ITEMS'!$E$2:$G$875,3,FALSE)</f>
        <v>UND</v>
      </c>
      <c r="H468" s="74">
        <v>46083</v>
      </c>
      <c r="I468" s="75">
        <v>87</v>
      </c>
      <c r="J468" s="27"/>
      <c r="K468" s="70">
        <v>46098</v>
      </c>
      <c r="L468" s="67">
        <v>136</v>
      </c>
      <c r="M468" s="54">
        <v>46098</v>
      </c>
      <c r="N468" s="55">
        <v>180</v>
      </c>
      <c r="O468" s="70">
        <v>46098</v>
      </c>
      <c r="P468" s="71">
        <v>660</v>
      </c>
      <c r="Q468" s="36">
        <v>46098</v>
      </c>
      <c r="R468" s="26">
        <f t="shared" si="22"/>
        <v>-257</v>
      </c>
      <c r="S468" s="85"/>
      <c r="T468" s="84"/>
      <c r="U468" s="27"/>
      <c r="V468" s="70"/>
      <c r="W468" s="67"/>
      <c r="X468" s="54"/>
      <c r="Y468" s="55"/>
      <c r="Z468" s="70"/>
      <c r="AA468" s="71"/>
      <c r="AB468" s="31"/>
      <c r="AC468" s="26">
        <f t="shared" si="23"/>
        <v>-257</v>
      </c>
      <c r="AD468" s="25"/>
      <c r="AE468" s="25"/>
      <c r="AF468" s="48">
        <v>10</v>
      </c>
      <c r="AG468" s="48">
        <v>1</v>
      </c>
      <c r="AH468" s="48" t="s">
        <v>311</v>
      </c>
    </row>
    <row r="469" spans="1:34" x14ac:dyDescent="0.3">
      <c r="A469" s="65">
        <v>141</v>
      </c>
      <c r="B469" s="25">
        <v>10</v>
      </c>
      <c r="C469" s="25">
        <v>37</v>
      </c>
      <c r="D469" s="25">
        <v>330</v>
      </c>
      <c r="E469" s="30" t="str">
        <f t="shared" si="21"/>
        <v>10-37-330</v>
      </c>
      <c r="F469" s="13" t="str">
        <f>VLOOKUP(E469,'LISTA ITEMS'!$E$2:$G$875,2,FALSE)</f>
        <v>SOPORTE EN L ALUMINIO GRIS</v>
      </c>
      <c r="G469" s="25" t="str">
        <f>VLOOKUP(E469,'LISTA ITEMS'!$E$2:$G$875,3,FALSE)</f>
        <v>UND</v>
      </c>
      <c r="H469" s="74">
        <v>46083</v>
      </c>
      <c r="I469" s="75">
        <v>216</v>
      </c>
      <c r="J469" s="27"/>
      <c r="K469" s="70">
        <v>46098</v>
      </c>
      <c r="L469" s="67">
        <v>110</v>
      </c>
      <c r="M469" s="54">
        <v>46098</v>
      </c>
      <c r="N469" s="55">
        <v>450</v>
      </c>
      <c r="O469" s="70">
        <v>46098</v>
      </c>
      <c r="P469" s="71">
        <v>380</v>
      </c>
      <c r="Q469" s="36">
        <v>46098</v>
      </c>
      <c r="R469" s="26">
        <f t="shared" si="22"/>
        <v>396</v>
      </c>
      <c r="S469" s="85"/>
      <c r="T469" s="84"/>
      <c r="U469" s="27"/>
      <c r="V469" s="70"/>
      <c r="W469" s="67"/>
      <c r="X469" s="54"/>
      <c r="Y469" s="55"/>
      <c r="Z469" s="70"/>
      <c r="AA469" s="71"/>
      <c r="AB469" s="31"/>
      <c r="AC469" s="26">
        <f t="shared" si="23"/>
        <v>396</v>
      </c>
      <c r="AD469" s="25"/>
      <c r="AE469" s="25"/>
      <c r="AF469" s="48">
        <v>10</v>
      </c>
      <c r="AG469" s="48">
        <v>1</v>
      </c>
      <c r="AH469" s="48" t="s">
        <v>311</v>
      </c>
    </row>
    <row r="470" spans="1:34" x14ac:dyDescent="0.3">
      <c r="A470" s="65">
        <v>235</v>
      </c>
      <c r="B470" s="25">
        <v>16</v>
      </c>
      <c r="C470" s="25">
        <v>86</v>
      </c>
      <c r="D470" s="25">
        <v>415</v>
      </c>
      <c r="E470" s="30" t="str">
        <f t="shared" si="21"/>
        <v>16-86-415</v>
      </c>
      <c r="F470" s="13" t="str">
        <f>VLOOKUP(E470,'LISTA ITEMS'!$E$2:$G$875,2,FALSE)</f>
        <v>SOPORTE EN L PARA BANDEJA ELECTRICA</v>
      </c>
      <c r="G470" s="25" t="str">
        <f>VLOOKUP(E470,'LISTA ITEMS'!$E$2:$G$875,3,FALSE)</f>
        <v>UND</v>
      </c>
      <c r="H470" s="74">
        <v>46094</v>
      </c>
      <c r="I470" s="75">
        <v>13</v>
      </c>
      <c r="J470" s="27"/>
      <c r="K470" s="70">
        <v>46098</v>
      </c>
      <c r="L470" s="67">
        <v>0</v>
      </c>
      <c r="M470" s="54">
        <v>46098</v>
      </c>
      <c r="N470" s="55">
        <v>0</v>
      </c>
      <c r="O470" s="70">
        <v>46098</v>
      </c>
      <c r="P470" s="71">
        <v>13</v>
      </c>
      <c r="Q470" s="36">
        <v>46098</v>
      </c>
      <c r="R470" s="26">
        <f t="shared" si="22"/>
        <v>0</v>
      </c>
      <c r="S470" s="85"/>
      <c r="T470" s="84"/>
      <c r="U470" s="27"/>
      <c r="V470" s="70"/>
      <c r="W470" s="67"/>
      <c r="X470" s="54"/>
      <c r="Y470" s="55"/>
      <c r="Z470" s="70"/>
      <c r="AA470" s="71"/>
      <c r="AB470" s="31"/>
      <c r="AC470" s="26">
        <f t="shared" si="23"/>
        <v>0</v>
      </c>
      <c r="AD470" s="25"/>
      <c r="AE470" s="25"/>
      <c r="AF470" s="13"/>
      <c r="AG470" s="13"/>
      <c r="AH470" s="13"/>
    </row>
    <row r="471" spans="1:34" x14ac:dyDescent="0.3">
      <c r="A471" s="65">
        <v>142</v>
      </c>
      <c r="B471" s="25">
        <v>10</v>
      </c>
      <c r="C471" s="25">
        <v>37</v>
      </c>
      <c r="D471" s="25">
        <v>316</v>
      </c>
      <c r="E471" s="30" t="str">
        <f t="shared" si="21"/>
        <v>10-37-316</v>
      </c>
      <c r="F471" s="13" t="str">
        <f>VLOOKUP(E471,'LISTA ITEMS'!$E$2:$G$875,2,FALSE)</f>
        <v>SOPORTE FINAL GRIS</v>
      </c>
      <c r="G471" s="25" t="str">
        <f>VLOOKUP(E471,'LISTA ITEMS'!$E$2:$G$875,3,FALSE)</f>
        <v>UND</v>
      </c>
      <c r="H471" s="74">
        <v>46083</v>
      </c>
      <c r="I471" s="75">
        <v>272</v>
      </c>
      <c r="J471" s="27"/>
      <c r="K471" s="70">
        <v>46098</v>
      </c>
      <c r="L471" s="67">
        <v>0</v>
      </c>
      <c r="M471" s="54">
        <v>46098</v>
      </c>
      <c r="N471" s="55">
        <v>0</v>
      </c>
      <c r="O471" s="70">
        <v>46098</v>
      </c>
      <c r="P471" s="71">
        <v>0</v>
      </c>
      <c r="Q471" s="36">
        <v>46098</v>
      </c>
      <c r="R471" s="26">
        <f t="shared" si="22"/>
        <v>272</v>
      </c>
      <c r="S471" s="85"/>
      <c r="T471" s="84"/>
      <c r="U471" s="27"/>
      <c r="V471" s="70"/>
      <c r="W471" s="67"/>
      <c r="X471" s="54"/>
      <c r="Y471" s="55"/>
      <c r="Z471" s="70"/>
      <c r="AA471" s="71"/>
      <c r="AB471" s="31"/>
      <c r="AC471" s="26">
        <f t="shared" si="23"/>
        <v>272</v>
      </c>
      <c r="AD471" s="25"/>
      <c r="AE471" s="25"/>
      <c r="AF471" s="48">
        <v>10</v>
      </c>
      <c r="AG471" s="48">
        <v>1</v>
      </c>
      <c r="AH471" s="48" t="s">
        <v>311</v>
      </c>
    </row>
    <row r="472" spans="1:34" x14ac:dyDescent="0.3">
      <c r="A472" s="65">
        <v>143</v>
      </c>
      <c r="B472" s="25">
        <v>10</v>
      </c>
      <c r="C472" s="25">
        <v>37</v>
      </c>
      <c r="D472" s="25">
        <v>315</v>
      </c>
      <c r="E472" s="30" t="str">
        <f t="shared" si="21"/>
        <v>10-37-315</v>
      </c>
      <c r="F472" s="13" t="str">
        <f>VLOOKUP(E472,'LISTA ITEMS'!$E$2:$G$875,2,FALSE)</f>
        <v>SOPORTE FINAL NEGRO</v>
      </c>
      <c r="G472" s="25" t="str">
        <f>VLOOKUP(E472,'LISTA ITEMS'!$E$2:$G$875,3,FALSE)</f>
        <v>UND</v>
      </c>
      <c r="H472" s="74">
        <v>46083</v>
      </c>
      <c r="I472" s="75">
        <v>17</v>
      </c>
      <c r="J472" s="27"/>
      <c r="K472" s="70">
        <v>46098</v>
      </c>
      <c r="L472" s="67">
        <v>113</v>
      </c>
      <c r="M472" s="54">
        <v>46098</v>
      </c>
      <c r="N472" s="55">
        <v>150</v>
      </c>
      <c r="O472" s="70">
        <v>46098</v>
      </c>
      <c r="P472" s="71">
        <v>344</v>
      </c>
      <c r="Q472" s="36">
        <v>46098</v>
      </c>
      <c r="R472" s="26">
        <f t="shared" si="22"/>
        <v>-64</v>
      </c>
      <c r="S472" s="85"/>
      <c r="T472" s="84"/>
      <c r="U472" s="27"/>
      <c r="V472" s="70"/>
      <c r="W472" s="67"/>
      <c r="X472" s="54"/>
      <c r="Y472" s="55"/>
      <c r="Z472" s="70"/>
      <c r="AA472" s="71"/>
      <c r="AB472" s="31"/>
      <c r="AC472" s="26">
        <f t="shared" si="23"/>
        <v>-64</v>
      </c>
      <c r="AD472" s="25"/>
      <c r="AE472" s="25"/>
      <c r="AF472" s="48">
        <v>10</v>
      </c>
      <c r="AG472" s="48">
        <v>1</v>
      </c>
      <c r="AH472" s="48" t="s">
        <v>311</v>
      </c>
    </row>
    <row r="473" spans="1:34" x14ac:dyDescent="0.3">
      <c r="A473" s="65">
        <v>1</v>
      </c>
      <c r="B473" s="25">
        <v>13</v>
      </c>
      <c r="C473" s="25">
        <v>21</v>
      </c>
      <c r="D473" s="25">
        <v>180</v>
      </c>
      <c r="E473" s="30" t="str">
        <f t="shared" si="21"/>
        <v>13-21-180</v>
      </c>
      <c r="F473" s="13" t="str">
        <f>VLOOKUP(E473,'LISTA ITEMS'!$E$2:$G$875,2,FALSE)</f>
        <v>TACO P/BRIDA BLANCO</v>
      </c>
      <c r="G473" s="25" t="str">
        <f>VLOOKUP(E473,'LISTA ITEMS'!$E$2:$G$875,3,FALSE)</f>
        <v>UND</v>
      </c>
      <c r="H473" s="74">
        <v>46083</v>
      </c>
      <c r="I473" s="75">
        <v>1200</v>
      </c>
      <c r="J473" s="27"/>
      <c r="K473" s="70">
        <v>46098</v>
      </c>
      <c r="L473" s="67">
        <v>0</v>
      </c>
      <c r="M473" s="54">
        <v>46098</v>
      </c>
      <c r="N473" s="55">
        <v>0</v>
      </c>
      <c r="O473" s="70">
        <v>46098</v>
      </c>
      <c r="P473" s="71">
        <v>100</v>
      </c>
      <c r="Q473" s="36">
        <v>46098</v>
      </c>
      <c r="R473" s="26">
        <f t="shared" si="22"/>
        <v>1100</v>
      </c>
      <c r="S473" s="85"/>
      <c r="T473" s="84"/>
      <c r="U473" s="27"/>
      <c r="V473" s="70"/>
      <c r="W473" s="67"/>
      <c r="X473" s="54"/>
      <c r="Y473" s="55"/>
      <c r="Z473" s="70"/>
      <c r="AA473" s="71"/>
      <c r="AB473" s="36"/>
      <c r="AC473" s="26">
        <f t="shared" si="23"/>
        <v>1100</v>
      </c>
      <c r="AD473" s="25"/>
      <c r="AE473" s="25"/>
      <c r="AF473" s="48">
        <v>7</v>
      </c>
      <c r="AG473" s="48">
        <v>2</v>
      </c>
      <c r="AH473" s="48" t="s">
        <v>44</v>
      </c>
    </row>
    <row r="474" spans="1:34" x14ac:dyDescent="0.3">
      <c r="A474" s="65">
        <v>2</v>
      </c>
      <c r="B474" s="25">
        <v>13</v>
      </c>
      <c r="C474" s="25">
        <v>21</v>
      </c>
      <c r="D474" s="25">
        <v>181</v>
      </c>
      <c r="E474" s="30" t="str">
        <f t="shared" si="21"/>
        <v>13-21-181</v>
      </c>
      <c r="F474" s="13" t="str">
        <f>VLOOKUP(E474,'LISTA ITEMS'!$E$2:$G$875,2,FALSE)</f>
        <v>TACO P/BRIDA NEGRO</v>
      </c>
      <c r="G474" s="25" t="str">
        <f>VLOOKUP(E474,'LISTA ITEMS'!$E$2:$G$875,3,FALSE)</f>
        <v>UND</v>
      </c>
      <c r="H474" s="74">
        <v>46083</v>
      </c>
      <c r="I474" s="75">
        <v>300</v>
      </c>
      <c r="J474" s="27"/>
      <c r="K474" s="70">
        <v>46098</v>
      </c>
      <c r="L474" s="67">
        <v>180</v>
      </c>
      <c r="M474" s="54">
        <v>46098</v>
      </c>
      <c r="N474" s="55">
        <v>500</v>
      </c>
      <c r="O474" s="70">
        <v>46098</v>
      </c>
      <c r="P474" s="71">
        <v>750</v>
      </c>
      <c r="Q474" s="36">
        <v>46098</v>
      </c>
      <c r="R474" s="26">
        <f t="shared" si="22"/>
        <v>230</v>
      </c>
      <c r="S474" s="85"/>
      <c r="T474" s="84"/>
      <c r="U474" s="27"/>
      <c r="V474" s="70"/>
      <c r="W474" s="67"/>
      <c r="X474" s="54"/>
      <c r="Y474" s="55"/>
      <c r="Z474" s="70"/>
      <c r="AA474" s="71"/>
      <c r="AB474" s="31"/>
      <c r="AC474" s="26">
        <f t="shared" si="23"/>
        <v>230</v>
      </c>
      <c r="AD474" s="25"/>
      <c r="AE474" s="25"/>
      <c r="AF474" s="48">
        <v>7</v>
      </c>
      <c r="AG474" s="48">
        <v>2</v>
      </c>
      <c r="AH474" s="48" t="s">
        <v>44</v>
      </c>
    </row>
    <row r="475" spans="1:34" x14ac:dyDescent="0.3">
      <c r="A475" s="65">
        <v>231</v>
      </c>
      <c r="B475" s="25">
        <v>20</v>
      </c>
      <c r="C475" s="25">
        <v>83</v>
      </c>
      <c r="D475" s="25">
        <v>409</v>
      </c>
      <c r="E475" s="30" t="str">
        <f t="shared" si="21"/>
        <v>20-83-409</v>
      </c>
      <c r="F475" s="13" t="str">
        <f>VLOOKUP(E475,'LISTA ITEMS'!$E$2:$G$875,2,FALSE)</f>
        <v>TAMIZ NYLON 16X85</v>
      </c>
      <c r="G475" s="25" t="str">
        <f>VLOOKUP(E475,'LISTA ITEMS'!$E$2:$G$875,3,FALSE)</f>
        <v>UND</v>
      </c>
      <c r="H475" s="74">
        <v>46083</v>
      </c>
      <c r="I475" s="75">
        <v>-46</v>
      </c>
      <c r="J475" s="27"/>
      <c r="K475" s="70">
        <v>46098</v>
      </c>
      <c r="L475" s="67">
        <v>0</v>
      </c>
      <c r="M475" s="54">
        <v>46098</v>
      </c>
      <c r="N475" s="55">
        <v>150</v>
      </c>
      <c r="O475" s="70">
        <v>46098</v>
      </c>
      <c r="P475" s="71">
        <v>0</v>
      </c>
      <c r="Q475" s="36">
        <v>46098</v>
      </c>
      <c r="R475" s="26">
        <f t="shared" si="22"/>
        <v>104</v>
      </c>
      <c r="S475" s="85"/>
      <c r="T475" s="84"/>
      <c r="U475" s="27"/>
      <c r="V475" s="70"/>
      <c r="W475" s="67"/>
      <c r="X475" s="54"/>
      <c r="Y475" s="55"/>
      <c r="Z475" s="70"/>
      <c r="AA475" s="71"/>
      <c r="AB475" s="31"/>
      <c r="AC475" s="26">
        <f t="shared" si="23"/>
        <v>104</v>
      </c>
      <c r="AD475" s="25"/>
      <c r="AE475" s="25"/>
      <c r="AF475" s="13"/>
      <c r="AG475" s="13"/>
      <c r="AH475" s="13"/>
    </row>
    <row r="476" spans="1:34" ht="43.2" x14ac:dyDescent="0.3">
      <c r="A476" s="65">
        <v>206</v>
      </c>
      <c r="B476" s="25">
        <v>7</v>
      </c>
      <c r="C476" s="25">
        <v>68</v>
      </c>
      <c r="D476" s="25">
        <v>384</v>
      </c>
      <c r="E476" s="30" t="str">
        <f t="shared" si="21"/>
        <v>7-68-384</v>
      </c>
      <c r="F476" s="13" t="str">
        <f>VLOOKUP(E476,'LISTA ITEMS'!$E$2:$G$875,2,FALSE)</f>
        <v>TECHO SIN ENVOLVENTE FWE12FT FONCOIL D/AGUA (DAIKIN)</v>
      </c>
      <c r="G476" s="25" t="str">
        <f>VLOOKUP(E476,'LISTA ITEMS'!$E$2:$G$875,3,FALSE)</f>
        <v>UND</v>
      </c>
      <c r="H476" s="74">
        <v>46083</v>
      </c>
      <c r="I476" s="75">
        <v>6</v>
      </c>
      <c r="J476" s="27"/>
      <c r="K476" s="70">
        <v>46098</v>
      </c>
      <c r="L476" s="67">
        <v>0</v>
      </c>
      <c r="M476" s="54">
        <v>46098</v>
      </c>
      <c r="N476" s="55">
        <v>0</v>
      </c>
      <c r="O476" s="70">
        <v>46098</v>
      </c>
      <c r="P476" s="71">
        <v>0</v>
      </c>
      <c r="Q476" s="36">
        <v>46098</v>
      </c>
      <c r="R476" s="26">
        <f t="shared" si="22"/>
        <v>6</v>
      </c>
      <c r="S476" s="85"/>
      <c r="T476" s="84"/>
      <c r="U476" s="27"/>
      <c r="V476" s="70"/>
      <c r="W476" s="67"/>
      <c r="X476" s="54"/>
      <c r="Y476" s="55"/>
      <c r="Z476" s="70"/>
      <c r="AA476" s="71"/>
      <c r="AB476" s="31"/>
      <c r="AC476" s="26">
        <f t="shared" si="23"/>
        <v>6</v>
      </c>
      <c r="AD476" s="25" t="s">
        <v>381</v>
      </c>
      <c r="AE476" s="25" t="s">
        <v>431</v>
      </c>
      <c r="AF476" s="13"/>
      <c r="AG476" s="13"/>
      <c r="AH476" s="13"/>
    </row>
    <row r="477" spans="1:34" x14ac:dyDescent="0.3">
      <c r="A477" s="65">
        <v>157</v>
      </c>
      <c r="B477" s="25">
        <v>16</v>
      </c>
      <c r="C477" s="25">
        <v>52</v>
      </c>
      <c r="D477" s="25">
        <v>343</v>
      </c>
      <c r="E477" s="30" t="str">
        <f t="shared" si="21"/>
        <v>16-52-343</v>
      </c>
      <c r="F477" s="13" t="str">
        <f>VLOOKUP(E477,'LISTA ITEMS'!$E$2:$G$875,2,FALSE)</f>
        <v>TERMICO EPBE63M1NC20 1P+N C20 (MAXGE)</v>
      </c>
      <c r="G477" s="25" t="str">
        <f>VLOOKUP(E477,'LISTA ITEMS'!$E$2:$G$875,3,FALSE)</f>
        <v>UND</v>
      </c>
      <c r="H477" s="74">
        <v>46083</v>
      </c>
      <c r="I477" s="75">
        <v>1</v>
      </c>
      <c r="J477" s="27"/>
      <c r="K477" s="70">
        <v>46098</v>
      </c>
      <c r="L477" s="67">
        <v>0</v>
      </c>
      <c r="M477" s="54">
        <v>46098</v>
      </c>
      <c r="N477" s="55">
        <v>0</v>
      </c>
      <c r="O477" s="70">
        <v>46098</v>
      </c>
      <c r="P477" s="71">
        <v>0</v>
      </c>
      <c r="Q477" s="36">
        <v>46098</v>
      </c>
      <c r="R477" s="26">
        <f t="shared" si="22"/>
        <v>1</v>
      </c>
      <c r="S477" s="85"/>
      <c r="T477" s="84"/>
      <c r="U477" s="27"/>
      <c r="V477" s="70"/>
      <c r="W477" s="67"/>
      <c r="X477" s="54"/>
      <c r="Y477" s="55"/>
      <c r="Z477" s="70"/>
      <c r="AA477" s="71"/>
      <c r="AB477" s="31"/>
      <c r="AC477" s="26">
        <f t="shared" si="23"/>
        <v>1</v>
      </c>
      <c r="AD477" s="25"/>
      <c r="AE477" s="25"/>
      <c r="AF477" s="47">
        <v>10</v>
      </c>
      <c r="AG477" s="47">
        <v>2</v>
      </c>
      <c r="AH477" s="47" t="s">
        <v>311</v>
      </c>
    </row>
    <row r="478" spans="1:34" ht="28.8" x14ac:dyDescent="0.3">
      <c r="A478" s="65">
        <v>172</v>
      </c>
      <c r="B478" s="59">
        <v>16</v>
      </c>
      <c r="C478" s="59">
        <v>52</v>
      </c>
      <c r="D478" s="59">
        <v>351</v>
      </c>
      <c r="E478" s="90" t="str">
        <f t="shared" si="21"/>
        <v>16-52-351</v>
      </c>
      <c r="F478" s="60" t="str">
        <f>VLOOKUP(E478,'LISTA ITEMS'!$E$2:$G$875,2,FALSE)</f>
        <v>TERMICO LIMITADOR ICP-M C32 20A (MERLIN GERIN)</v>
      </c>
      <c r="G478" s="59" t="str">
        <f>VLOOKUP(E478,'LISTA ITEMS'!$E$2:$G$875,3,FALSE)</f>
        <v>UND</v>
      </c>
      <c r="H478" s="74">
        <v>46083</v>
      </c>
      <c r="I478" s="75">
        <v>1</v>
      </c>
      <c r="J478" s="62"/>
      <c r="K478" s="70">
        <v>46098</v>
      </c>
      <c r="L478" s="67">
        <v>0</v>
      </c>
      <c r="M478" s="54">
        <v>46098</v>
      </c>
      <c r="N478" s="55">
        <v>0</v>
      </c>
      <c r="O478" s="70">
        <v>46098</v>
      </c>
      <c r="P478" s="71">
        <v>0</v>
      </c>
      <c r="Q478" s="36">
        <v>46098</v>
      </c>
      <c r="R478" s="26">
        <f t="shared" si="22"/>
        <v>1</v>
      </c>
      <c r="S478" s="85"/>
      <c r="T478" s="84"/>
      <c r="U478" s="62"/>
      <c r="V478" s="70"/>
      <c r="W478" s="67"/>
      <c r="X478" s="54"/>
      <c r="Y478" s="55"/>
      <c r="Z478" s="70"/>
      <c r="AA478" s="71"/>
      <c r="AB478" s="61"/>
      <c r="AC478" s="26">
        <f t="shared" si="23"/>
        <v>1</v>
      </c>
      <c r="AD478" s="59"/>
      <c r="AE478" s="59"/>
      <c r="AF478" s="63">
        <v>10</v>
      </c>
      <c r="AG478" s="63">
        <v>2</v>
      </c>
      <c r="AH478" s="63" t="s">
        <v>311</v>
      </c>
    </row>
    <row r="479" spans="1:34" ht="43.2" x14ac:dyDescent="0.3">
      <c r="A479" s="65">
        <v>173</v>
      </c>
      <c r="B479" s="25">
        <v>16</v>
      </c>
      <c r="C479" s="25">
        <v>52</v>
      </c>
      <c r="D479" s="25">
        <v>352</v>
      </c>
      <c r="E479" s="30" t="str">
        <f t="shared" si="21"/>
        <v>16-52-352</v>
      </c>
      <c r="F479" s="13" t="str">
        <f>VLOOKUP(E479,'LISTA ITEMS'!$E$2:$G$875,2,FALSE)</f>
        <v>TERMICO NDT C20 (CRADY)</v>
      </c>
      <c r="G479" s="25" t="str">
        <f>VLOOKUP(E479,'LISTA ITEMS'!$E$2:$G$875,3,FALSE)</f>
        <v>UND</v>
      </c>
      <c r="H479" s="74">
        <v>46083</v>
      </c>
      <c r="I479" s="75">
        <v>1</v>
      </c>
      <c r="J479" s="27"/>
      <c r="K479" s="70">
        <v>46098</v>
      </c>
      <c r="L479" s="67">
        <v>0</v>
      </c>
      <c r="M479" s="54">
        <v>46098</v>
      </c>
      <c r="N479" s="55">
        <v>0</v>
      </c>
      <c r="O479" s="70">
        <v>46098</v>
      </c>
      <c r="P479" s="71">
        <v>0</v>
      </c>
      <c r="Q479" s="36">
        <v>46098</v>
      </c>
      <c r="R479" s="26">
        <f t="shared" si="22"/>
        <v>1</v>
      </c>
      <c r="S479" s="85"/>
      <c r="T479" s="84"/>
      <c r="U479" s="27"/>
      <c r="V479" s="70"/>
      <c r="W479" s="67"/>
      <c r="X479" s="54"/>
      <c r="Y479" s="55"/>
      <c r="Z479" s="70"/>
      <c r="AA479" s="71"/>
      <c r="AB479" s="31"/>
      <c r="AC479" s="26">
        <f t="shared" si="23"/>
        <v>1</v>
      </c>
      <c r="AD479" s="25"/>
      <c r="AE479" s="25" t="s">
        <v>484</v>
      </c>
      <c r="AF479" s="48">
        <v>10</v>
      </c>
      <c r="AG479" s="48">
        <v>2</v>
      </c>
      <c r="AH479" s="48" t="s">
        <v>311</v>
      </c>
    </row>
    <row r="480" spans="1:34" ht="43.2" x14ac:dyDescent="0.3">
      <c r="A480" s="65">
        <v>174</v>
      </c>
      <c r="B480" s="25">
        <v>16</v>
      </c>
      <c r="C480" s="25">
        <v>52</v>
      </c>
      <c r="D480" s="25">
        <v>353</v>
      </c>
      <c r="E480" s="30" t="str">
        <f t="shared" si="21"/>
        <v>16-52-353</v>
      </c>
      <c r="F480" s="13" t="str">
        <f>VLOOKUP(E480,'LISTA ITEMS'!$E$2:$G$875,2,FALSE)</f>
        <v>TERMICO RX3 C20 (LEGRAND)</v>
      </c>
      <c r="G480" s="25" t="str">
        <f>VLOOKUP(E480,'LISTA ITEMS'!$E$2:$G$875,3,FALSE)</f>
        <v>UND</v>
      </c>
      <c r="H480" s="74">
        <v>46083</v>
      </c>
      <c r="I480" s="75">
        <v>3</v>
      </c>
      <c r="J480" s="27"/>
      <c r="K480" s="70">
        <v>46098</v>
      </c>
      <c r="L480" s="67">
        <v>0</v>
      </c>
      <c r="M480" s="54">
        <v>46098</v>
      </c>
      <c r="N480" s="55">
        <v>0</v>
      </c>
      <c r="O480" s="70">
        <v>46098</v>
      </c>
      <c r="P480" s="71">
        <v>0</v>
      </c>
      <c r="Q480" s="36">
        <v>46098</v>
      </c>
      <c r="R480" s="26">
        <f t="shared" si="22"/>
        <v>3</v>
      </c>
      <c r="S480" s="85"/>
      <c r="T480" s="84"/>
      <c r="U480" s="27"/>
      <c r="V480" s="70"/>
      <c r="W480" s="67"/>
      <c r="X480" s="54"/>
      <c r="Y480" s="55"/>
      <c r="Z480" s="70"/>
      <c r="AA480" s="71"/>
      <c r="AB480" s="31"/>
      <c r="AC480" s="26">
        <f t="shared" si="23"/>
        <v>3</v>
      </c>
      <c r="AD480" s="25"/>
      <c r="AE480" s="25" t="s">
        <v>484</v>
      </c>
      <c r="AF480" s="47">
        <v>10</v>
      </c>
      <c r="AG480" s="47">
        <v>2</v>
      </c>
      <c r="AH480" s="47" t="s">
        <v>311</v>
      </c>
    </row>
    <row r="481" spans="1:34" ht="43.2" x14ac:dyDescent="0.3">
      <c r="A481" s="65">
        <v>175</v>
      </c>
      <c r="B481" s="25">
        <v>16</v>
      </c>
      <c r="C481" s="25">
        <v>52</v>
      </c>
      <c r="D481" s="25">
        <v>354</v>
      </c>
      <c r="E481" s="30" t="str">
        <f t="shared" si="21"/>
        <v>16-52-354</v>
      </c>
      <c r="F481" s="13" t="str">
        <f>VLOOKUP(E481,'LISTA ITEMS'!$E$2:$G$875,2,FALSE)</f>
        <v>TERMICO RX3 C25 (LEGRAND)</v>
      </c>
      <c r="G481" s="25" t="str">
        <f>VLOOKUP(E481,'LISTA ITEMS'!$E$2:$G$875,3,FALSE)</f>
        <v>UND</v>
      </c>
      <c r="H481" s="74">
        <v>46083</v>
      </c>
      <c r="I481" s="75">
        <v>1</v>
      </c>
      <c r="J481" s="27"/>
      <c r="K481" s="70">
        <v>46098</v>
      </c>
      <c r="L481" s="67">
        <v>0</v>
      </c>
      <c r="M481" s="54">
        <v>46098</v>
      </c>
      <c r="N481" s="55">
        <v>0</v>
      </c>
      <c r="O481" s="70">
        <v>46098</v>
      </c>
      <c r="P481" s="71">
        <v>0</v>
      </c>
      <c r="Q481" s="36">
        <v>46098</v>
      </c>
      <c r="R481" s="26">
        <f t="shared" si="22"/>
        <v>1</v>
      </c>
      <c r="S481" s="85"/>
      <c r="T481" s="84"/>
      <c r="U481" s="27"/>
      <c r="V481" s="70"/>
      <c r="W481" s="67"/>
      <c r="X481" s="54"/>
      <c r="Y481" s="55"/>
      <c r="Z481" s="70"/>
      <c r="AA481" s="71"/>
      <c r="AB481" s="31"/>
      <c r="AC481" s="26">
        <f t="shared" si="23"/>
        <v>1</v>
      </c>
      <c r="AD481" s="25"/>
      <c r="AE481" s="25" t="s">
        <v>482</v>
      </c>
      <c r="AF481" s="48">
        <v>10</v>
      </c>
      <c r="AG481" s="48">
        <v>2</v>
      </c>
      <c r="AH481" s="48" t="s">
        <v>311</v>
      </c>
    </row>
    <row r="482" spans="1:34" x14ac:dyDescent="0.3">
      <c r="A482" s="65">
        <v>176</v>
      </c>
      <c r="B482" s="25">
        <v>16</v>
      </c>
      <c r="C482" s="25">
        <v>52</v>
      </c>
      <c r="D482" s="25">
        <v>355</v>
      </c>
      <c r="E482" s="30" t="str">
        <f t="shared" si="21"/>
        <v>16-52-355</v>
      </c>
      <c r="F482" s="13" t="str">
        <f>VLOOKUP(E482,'LISTA ITEMS'!$E$2:$G$875,2,FALSE)</f>
        <v>TERMICO TRIFASICO EP64 - C16  (GE)</v>
      </c>
      <c r="G482" s="25" t="str">
        <f>VLOOKUP(E482,'LISTA ITEMS'!$E$2:$G$875,3,FALSE)</f>
        <v>UND</v>
      </c>
      <c r="H482" s="74">
        <v>46083</v>
      </c>
      <c r="I482" s="75">
        <v>1</v>
      </c>
      <c r="J482" s="27"/>
      <c r="K482" s="70">
        <v>46098</v>
      </c>
      <c r="L482" s="67">
        <v>0</v>
      </c>
      <c r="M482" s="54">
        <v>46098</v>
      </c>
      <c r="N482" s="55">
        <v>0</v>
      </c>
      <c r="O482" s="70">
        <v>46098</v>
      </c>
      <c r="P482" s="71">
        <v>0</v>
      </c>
      <c r="Q482" s="36">
        <v>46098</v>
      </c>
      <c r="R482" s="26">
        <f t="shared" si="22"/>
        <v>1</v>
      </c>
      <c r="S482" s="85"/>
      <c r="T482" s="84"/>
      <c r="U482" s="27"/>
      <c r="V482" s="70"/>
      <c r="W482" s="67"/>
      <c r="X482" s="54"/>
      <c r="Y482" s="55"/>
      <c r="Z482" s="70"/>
      <c r="AA482" s="71"/>
      <c r="AB482" s="31"/>
      <c r="AC482" s="26">
        <f t="shared" si="23"/>
        <v>1</v>
      </c>
      <c r="AD482" s="25"/>
      <c r="AE482" s="25"/>
      <c r="AF482" s="48">
        <v>10</v>
      </c>
      <c r="AG482" s="48">
        <v>1</v>
      </c>
      <c r="AH482" s="48" t="s">
        <v>251</v>
      </c>
    </row>
    <row r="483" spans="1:34" x14ac:dyDescent="0.3">
      <c r="A483" s="65">
        <v>177</v>
      </c>
      <c r="B483" s="25">
        <v>16</v>
      </c>
      <c r="C483" s="25">
        <v>52</v>
      </c>
      <c r="D483" s="25">
        <v>356</v>
      </c>
      <c r="E483" s="30" t="str">
        <f t="shared" si="21"/>
        <v>16-52-356</v>
      </c>
      <c r="F483" s="13" t="str">
        <f>VLOOKUP(E483,'LISTA ITEMS'!$E$2:$G$875,2,FALSE)</f>
        <v>TERMICO TRIFASICO EP64 - C20  (GE)</v>
      </c>
      <c r="G483" s="25" t="str">
        <f>VLOOKUP(E483,'LISTA ITEMS'!$E$2:$G$875,3,FALSE)</f>
        <v>UND</v>
      </c>
      <c r="H483" s="74">
        <v>46083</v>
      </c>
      <c r="I483" s="75">
        <v>1</v>
      </c>
      <c r="J483" s="27"/>
      <c r="K483" s="70">
        <v>46098</v>
      </c>
      <c r="L483" s="67">
        <v>0</v>
      </c>
      <c r="M483" s="54">
        <v>46098</v>
      </c>
      <c r="N483" s="55">
        <v>0</v>
      </c>
      <c r="O483" s="70">
        <v>46098</v>
      </c>
      <c r="P483" s="71">
        <v>0</v>
      </c>
      <c r="Q483" s="36">
        <v>46098</v>
      </c>
      <c r="R483" s="26">
        <f t="shared" si="22"/>
        <v>1</v>
      </c>
      <c r="S483" s="85"/>
      <c r="T483" s="84"/>
      <c r="U483" s="27"/>
      <c r="V483" s="70"/>
      <c r="W483" s="67"/>
      <c r="X483" s="54"/>
      <c r="Y483" s="55"/>
      <c r="Z483" s="70"/>
      <c r="AA483" s="71"/>
      <c r="AB483" s="31"/>
      <c r="AC483" s="26">
        <f t="shared" si="23"/>
        <v>1</v>
      </c>
      <c r="AD483" s="25"/>
      <c r="AE483" s="25"/>
      <c r="AF483" s="48">
        <v>10</v>
      </c>
      <c r="AG483" s="48">
        <v>1</v>
      </c>
      <c r="AH483" s="48" t="s">
        <v>251</v>
      </c>
    </row>
    <row r="484" spans="1:34" ht="28.8" x14ac:dyDescent="0.3">
      <c r="A484" s="65">
        <v>148</v>
      </c>
      <c r="B484" s="25">
        <v>16</v>
      </c>
      <c r="C484" s="25">
        <v>52</v>
      </c>
      <c r="D484" s="25">
        <v>341</v>
      </c>
      <c r="E484" s="30" t="str">
        <f t="shared" si="21"/>
        <v>16-52-341</v>
      </c>
      <c r="F484" s="13" t="str">
        <f>VLOOKUP(E484,'LISTA ITEMS'!$E$2:$G$875,2,FALSE)</f>
        <v>TERMICO TRIFASICO EPB63M4C16 4P-C16  (MAXGE)</v>
      </c>
      <c r="G484" s="25" t="str">
        <f>VLOOKUP(E484,'LISTA ITEMS'!$E$2:$G$875,3,FALSE)</f>
        <v>UND</v>
      </c>
      <c r="H484" s="74">
        <v>46083</v>
      </c>
      <c r="I484" s="75">
        <v>4</v>
      </c>
      <c r="J484" s="27"/>
      <c r="K484" s="70">
        <v>46098</v>
      </c>
      <c r="L484" s="67">
        <v>0</v>
      </c>
      <c r="M484" s="54">
        <v>46098</v>
      </c>
      <c r="N484" s="55">
        <v>0</v>
      </c>
      <c r="O484" s="70">
        <v>46098</v>
      </c>
      <c r="P484" s="71">
        <v>0</v>
      </c>
      <c r="Q484" s="36">
        <v>46098</v>
      </c>
      <c r="R484" s="26">
        <f t="shared" si="22"/>
        <v>4</v>
      </c>
      <c r="S484" s="85"/>
      <c r="T484" s="84"/>
      <c r="U484" s="27"/>
      <c r="V484" s="70"/>
      <c r="W484" s="67"/>
      <c r="X484" s="54"/>
      <c r="Y484" s="55"/>
      <c r="Z484" s="70"/>
      <c r="AA484" s="71"/>
      <c r="AB484" s="31"/>
      <c r="AC484" s="26">
        <f t="shared" si="23"/>
        <v>4</v>
      </c>
      <c r="AD484" s="25"/>
      <c r="AE484" s="25"/>
      <c r="AF484" s="48">
        <v>10</v>
      </c>
      <c r="AG484" s="48">
        <v>1</v>
      </c>
      <c r="AH484" s="48" t="s">
        <v>251</v>
      </c>
    </row>
    <row r="485" spans="1:34" ht="28.8" x14ac:dyDescent="0.3">
      <c r="A485" s="65">
        <v>149</v>
      </c>
      <c r="B485" s="25">
        <v>16</v>
      </c>
      <c r="C485" s="25">
        <v>52</v>
      </c>
      <c r="D485" s="25">
        <v>340</v>
      </c>
      <c r="E485" s="30" t="str">
        <f t="shared" si="21"/>
        <v>16-52-340</v>
      </c>
      <c r="F485" s="13" t="str">
        <f>VLOOKUP(E485,'LISTA ITEMS'!$E$2:$G$875,2,FALSE)</f>
        <v>TERMICO TRIFASICO EPB63M4C20 4P-C20  (MAXGE)</v>
      </c>
      <c r="G485" s="25" t="str">
        <f>VLOOKUP(E485,'LISTA ITEMS'!$E$2:$G$875,3,FALSE)</f>
        <v>UND</v>
      </c>
      <c r="H485" s="74">
        <v>46083</v>
      </c>
      <c r="I485" s="75">
        <v>5</v>
      </c>
      <c r="J485" s="27"/>
      <c r="K485" s="70">
        <v>46098</v>
      </c>
      <c r="L485" s="67">
        <v>0</v>
      </c>
      <c r="M485" s="54">
        <v>46098</v>
      </c>
      <c r="N485" s="55">
        <v>0</v>
      </c>
      <c r="O485" s="70">
        <v>46098</v>
      </c>
      <c r="P485" s="71">
        <v>3</v>
      </c>
      <c r="Q485" s="36">
        <v>46098</v>
      </c>
      <c r="R485" s="26">
        <f t="shared" si="22"/>
        <v>2</v>
      </c>
      <c r="S485" s="85"/>
      <c r="T485" s="84"/>
      <c r="U485" s="27"/>
      <c r="V485" s="70"/>
      <c r="W485" s="67"/>
      <c r="X485" s="54"/>
      <c r="Y485" s="55"/>
      <c r="Z485" s="70"/>
      <c r="AA485" s="71"/>
      <c r="AB485" s="31"/>
      <c r="AC485" s="26">
        <f t="shared" si="23"/>
        <v>2</v>
      </c>
      <c r="AD485" s="25"/>
      <c r="AE485" s="25"/>
      <c r="AF485" s="48">
        <v>10</v>
      </c>
      <c r="AG485" s="48">
        <v>1</v>
      </c>
      <c r="AH485" s="48" t="s">
        <v>251</v>
      </c>
    </row>
    <row r="486" spans="1:34" ht="28.8" x14ac:dyDescent="0.3">
      <c r="A486" s="65">
        <v>150</v>
      </c>
      <c r="B486" s="25">
        <v>16</v>
      </c>
      <c r="C486" s="25">
        <v>52</v>
      </c>
      <c r="D486" s="25">
        <v>339</v>
      </c>
      <c r="E486" s="30" t="str">
        <f t="shared" si="21"/>
        <v>16-52-339</v>
      </c>
      <c r="F486" s="13" t="str">
        <f>VLOOKUP(E486,'LISTA ITEMS'!$E$2:$G$875,2,FALSE)</f>
        <v>TERMICO TRIFASICO EPB63MC25 4P-C25  (MAXGE)</v>
      </c>
      <c r="G486" s="25" t="str">
        <f>VLOOKUP(E486,'LISTA ITEMS'!$E$2:$G$875,3,FALSE)</f>
        <v>UND</v>
      </c>
      <c r="H486" s="74">
        <v>46083</v>
      </c>
      <c r="I486" s="75">
        <v>7</v>
      </c>
      <c r="J486" s="27"/>
      <c r="K486" s="70">
        <v>46098</v>
      </c>
      <c r="L486" s="67">
        <v>0</v>
      </c>
      <c r="M486" s="54">
        <v>46098</v>
      </c>
      <c r="N486" s="55">
        <v>0</v>
      </c>
      <c r="O486" s="70">
        <v>46098</v>
      </c>
      <c r="P486" s="71">
        <v>0</v>
      </c>
      <c r="Q486" s="36">
        <v>46098</v>
      </c>
      <c r="R486" s="26">
        <f t="shared" si="22"/>
        <v>7</v>
      </c>
      <c r="S486" s="85"/>
      <c r="T486" s="84"/>
      <c r="U486" s="27"/>
      <c r="V486" s="70"/>
      <c r="W486" s="67"/>
      <c r="X486" s="54"/>
      <c r="Y486" s="55"/>
      <c r="Z486" s="70"/>
      <c r="AA486" s="71"/>
      <c r="AB486" s="31"/>
      <c r="AC486" s="26">
        <f t="shared" si="23"/>
        <v>7</v>
      </c>
      <c r="AD486" s="25"/>
      <c r="AE486" s="25"/>
      <c r="AF486" s="48">
        <v>10</v>
      </c>
      <c r="AG486" s="48">
        <v>1</v>
      </c>
      <c r="AH486" s="48" t="s">
        <v>251</v>
      </c>
    </row>
    <row r="487" spans="1:34" ht="28.8" x14ac:dyDescent="0.3">
      <c r="A487" s="65">
        <v>207</v>
      </c>
      <c r="B487" s="25">
        <v>16</v>
      </c>
      <c r="C487" s="25">
        <v>69</v>
      </c>
      <c r="D487" s="25">
        <v>385</v>
      </c>
      <c r="E487" s="30" t="str">
        <f t="shared" si="21"/>
        <v>16-69-385</v>
      </c>
      <c r="F487" s="13" t="str">
        <f>VLOOKUP(E487,'LISTA ITEMS'!$E$2:$G$875,2,FALSE)</f>
        <v>TERMOSTATO ELECTRONICO FWEC1A FANCOIL (DAIKIN)</v>
      </c>
      <c r="G487" s="25" t="str">
        <f>VLOOKUP(E487,'LISTA ITEMS'!$E$2:$G$875,3,FALSE)</f>
        <v>UND</v>
      </c>
      <c r="H487" s="74">
        <v>46083</v>
      </c>
      <c r="I487" s="75">
        <v>6</v>
      </c>
      <c r="J487" s="27"/>
      <c r="K487" s="70">
        <v>46098</v>
      </c>
      <c r="L487" s="67">
        <v>0</v>
      </c>
      <c r="M487" s="54">
        <v>46098</v>
      </c>
      <c r="N487" s="55">
        <v>0</v>
      </c>
      <c r="O487" s="70">
        <v>46098</v>
      </c>
      <c r="P487" s="71">
        <v>0</v>
      </c>
      <c r="Q487" s="36">
        <v>46098</v>
      </c>
      <c r="R487" s="26">
        <f t="shared" si="22"/>
        <v>6</v>
      </c>
      <c r="S487" s="85"/>
      <c r="T487" s="84"/>
      <c r="U487" s="27"/>
      <c r="V487" s="70"/>
      <c r="W487" s="67"/>
      <c r="X487" s="54"/>
      <c r="Y487" s="55"/>
      <c r="Z487" s="70"/>
      <c r="AA487" s="71"/>
      <c r="AB487" s="31"/>
      <c r="AC487" s="26">
        <f t="shared" si="23"/>
        <v>6</v>
      </c>
      <c r="AD487" s="25"/>
      <c r="AE487" s="25"/>
      <c r="AF487" s="13"/>
      <c r="AG487" s="13"/>
      <c r="AH487" s="13"/>
    </row>
    <row r="488" spans="1:34" ht="28.8" x14ac:dyDescent="0.3">
      <c r="A488" s="65">
        <v>234</v>
      </c>
      <c r="B488" s="25">
        <v>16</v>
      </c>
      <c r="C488" s="25">
        <v>69</v>
      </c>
      <c r="D488" s="25">
        <v>414</v>
      </c>
      <c r="E488" s="30" t="str">
        <f t="shared" si="21"/>
        <v>16-69-414</v>
      </c>
      <c r="F488" s="13" t="str">
        <f>VLOOKUP(E488,'LISTA ITEMS'!$E$2:$G$875,2,FALSE)</f>
        <v>TERMOSTATO ELECTRONICO ROOM ECO-FACIL-RADIO (MUNDO CONTROL)</v>
      </c>
      <c r="G488" s="25" t="str">
        <f>VLOOKUP(E488,'LISTA ITEMS'!$E$2:$G$875,3,FALSE)</f>
        <v>UND</v>
      </c>
      <c r="H488" s="74">
        <v>46086</v>
      </c>
      <c r="I488" s="75">
        <v>1</v>
      </c>
      <c r="J488" s="27"/>
      <c r="K488" s="70">
        <v>46098</v>
      </c>
      <c r="L488" s="67">
        <v>0</v>
      </c>
      <c r="M488" s="54">
        <v>46098</v>
      </c>
      <c r="N488" s="55">
        <v>0</v>
      </c>
      <c r="O488" s="70">
        <v>46098</v>
      </c>
      <c r="P488" s="71">
        <v>1</v>
      </c>
      <c r="Q488" s="36">
        <v>46098</v>
      </c>
      <c r="R488" s="26">
        <f t="shared" si="22"/>
        <v>0</v>
      </c>
      <c r="S488" s="85"/>
      <c r="T488" s="84"/>
      <c r="U488" s="27"/>
      <c r="V488" s="70"/>
      <c r="W488" s="67"/>
      <c r="X488" s="54"/>
      <c r="Y488" s="55"/>
      <c r="Z488" s="70"/>
      <c r="AA488" s="71"/>
      <c r="AB488" s="31"/>
      <c r="AC488" s="26">
        <f t="shared" si="23"/>
        <v>0</v>
      </c>
      <c r="AD488" s="25"/>
      <c r="AE488" s="25"/>
      <c r="AF488" s="13"/>
      <c r="AG488" s="13"/>
      <c r="AH488" s="13"/>
    </row>
    <row r="489" spans="1:34" ht="43.2" x14ac:dyDescent="0.3">
      <c r="A489" s="65">
        <v>210</v>
      </c>
      <c r="B489" s="25">
        <v>8</v>
      </c>
      <c r="C489" s="25">
        <v>27</v>
      </c>
      <c r="D489" s="25">
        <v>388</v>
      </c>
      <c r="E489" s="30" t="str">
        <f t="shared" si="21"/>
        <v>8-27-388</v>
      </c>
      <c r="F489" s="13" t="str">
        <f>VLOOKUP(E489,'LISTA ITEMS'!$E$2:$G$875,2,FALSE)</f>
        <v>TORNILLO A/GALVANIZADO CON C/HEZAGONAL, R/COMPLETA, C/ARANDELA Y AUTOTALADRANTE 6.3X35</v>
      </c>
      <c r="G489" s="25" t="str">
        <f>VLOOKUP(E489,'LISTA ITEMS'!$E$2:$G$875,3,FALSE)</f>
        <v>UND</v>
      </c>
      <c r="H489" s="74">
        <v>46083</v>
      </c>
      <c r="I489" s="75">
        <v>400</v>
      </c>
      <c r="J489" s="27"/>
      <c r="K489" s="70">
        <v>46098</v>
      </c>
      <c r="L489" s="67">
        <v>0</v>
      </c>
      <c r="M489" s="54">
        <v>46098</v>
      </c>
      <c r="N489" s="55">
        <v>200</v>
      </c>
      <c r="O489" s="70">
        <v>46098</v>
      </c>
      <c r="P489" s="71">
        <v>0</v>
      </c>
      <c r="Q489" s="36">
        <v>46098</v>
      </c>
      <c r="R489" s="26">
        <f t="shared" si="22"/>
        <v>600</v>
      </c>
      <c r="S489" s="85"/>
      <c r="T489" s="84"/>
      <c r="U489" s="27"/>
      <c r="V489" s="70"/>
      <c r="W489" s="67"/>
      <c r="X489" s="54"/>
      <c r="Y489" s="55"/>
      <c r="Z489" s="70"/>
      <c r="AA489" s="71"/>
      <c r="AB489" s="31"/>
      <c r="AC489" s="26">
        <f t="shared" si="23"/>
        <v>600</v>
      </c>
      <c r="AD489" s="25"/>
      <c r="AE489" s="25"/>
      <c r="AF489" s="13"/>
      <c r="AG489" s="13"/>
      <c r="AH489" s="13"/>
    </row>
    <row r="490" spans="1:34" ht="43.2" x14ac:dyDescent="0.3">
      <c r="A490" s="65">
        <v>26</v>
      </c>
      <c r="B490" s="25">
        <v>8</v>
      </c>
      <c r="C490" s="25">
        <v>27</v>
      </c>
      <c r="D490" s="25">
        <v>204</v>
      </c>
      <c r="E490" s="30" t="str">
        <f t="shared" si="21"/>
        <v>8-27-204</v>
      </c>
      <c r="F490" s="13" t="str">
        <f>VLOOKUP(E490,'LISTA ITEMS'!$E$2:$G$875,2,FALSE)</f>
        <v>TORNILLO A/GALVANIZADO CON C/HEZAGONAL, R/COMPLETA, C/ARANDELA Y AUTOTALADRANTE 6.3X50</v>
      </c>
      <c r="G490" s="25" t="str">
        <f>VLOOKUP(E490,'LISTA ITEMS'!$E$2:$G$875,3,FALSE)</f>
        <v>UND</v>
      </c>
      <c r="H490" s="74">
        <v>46083</v>
      </c>
      <c r="I490" s="75">
        <v>500</v>
      </c>
      <c r="J490" s="27"/>
      <c r="K490" s="70">
        <v>46098</v>
      </c>
      <c r="L490" s="67">
        <v>0</v>
      </c>
      <c r="M490" s="54">
        <v>46098</v>
      </c>
      <c r="N490" s="55">
        <v>0</v>
      </c>
      <c r="O490" s="70">
        <v>46098</v>
      </c>
      <c r="P490" s="71">
        <v>0</v>
      </c>
      <c r="Q490" s="36">
        <v>46098</v>
      </c>
      <c r="R490" s="26">
        <f t="shared" si="22"/>
        <v>500</v>
      </c>
      <c r="S490" s="85"/>
      <c r="T490" s="84"/>
      <c r="U490" s="27"/>
      <c r="V490" s="70"/>
      <c r="W490" s="67"/>
      <c r="X490" s="54"/>
      <c r="Y490" s="55"/>
      <c r="Z490" s="70"/>
      <c r="AA490" s="71"/>
      <c r="AB490" s="31"/>
      <c r="AC490" s="26">
        <f t="shared" si="23"/>
        <v>500</v>
      </c>
      <c r="AD490" s="25"/>
      <c r="AE490" s="25"/>
      <c r="AF490" s="48">
        <v>7</v>
      </c>
      <c r="AG490" s="48">
        <v>1</v>
      </c>
      <c r="AH490" s="48" t="s">
        <v>252</v>
      </c>
    </row>
    <row r="491" spans="1:34" ht="43.2" x14ac:dyDescent="0.3">
      <c r="A491" s="65">
        <v>25</v>
      </c>
      <c r="B491" s="25">
        <v>8</v>
      </c>
      <c r="C491" s="25">
        <v>27</v>
      </c>
      <c r="D491" s="25">
        <v>203</v>
      </c>
      <c r="E491" s="30" t="str">
        <f t="shared" si="21"/>
        <v>8-27-203</v>
      </c>
      <c r="F491" s="13" t="str">
        <f>VLOOKUP(E491,'LISTA ITEMS'!$E$2:$G$875,2,FALSE)</f>
        <v>TORNILLO A/GALVANIZADO CON C/HEZAGONAL, R/COMPLETA, C/ARANDELA Y AUTOTALADRANTE 6.3X90</v>
      </c>
      <c r="G491" s="25" t="str">
        <f>VLOOKUP(E491,'LISTA ITEMS'!$E$2:$G$875,3,FALSE)</f>
        <v>UND</v>
      </c>
      <c r="H491" s="74">
        <v>46083</v>
      </c>
      <c r="I491" s="75">
        <v>800</v>
      </c>
      <c r="J491" s="27"/>
      <c r="K491" s="70">
        <v>46098</v>
      </c>
      <c r="L491" s="67">
        <v>0</v>
      </c>
      <c r="M491" s="54">
        <v>46098</v>
      </c>
      <c r="N491" s="55">
        <v>0</v>
      </c>
      <c r="O491" s="70">
        <v>46098</v>
      </c>
      <c r="P491" s="71">
        <v>100</v>
      </c>
      <c r="Q491" s="36">
        <v>46098</v>
      </c>
      <c r="R491" s="26">
        <f t="shared" si="22"/>
        <v>700</v>
      </c>
      <c r="S491" s="85"/>
      <c r="T491" s="84"/>
      <c r="U491" s="27"/>
      <c r="V491" s="70"/>
      <c r="W491" s="67"/>
      <c r="X491" s="54"/>
      <c r="Y491" s="55"/>
      <c r="Z491" s="70"/>
      <c r="AA491" s="71"/>
      <c r="AB491" s="31"/>
      <c r="AC491" s="26">
        <f t="shared" si="23"/>
        <v>700</v>
      </c>
      <c r="AD491" s="25"/>
      <c r="AE491" s="25"/>
      <c r="AF491" s="48">
        <v>7</v>
      </c>
      <c r="AG491" s="48">
        <v>1</v>
      </c>
      <c r="AH491" s="48" t="s">
        <v>252</v>
      </c>
    </row>
    <row r="492" spans="1:34" ht="28.8" x14ac:dyDescent="0.3">
      <c r="A492" s="65">
        <v>30</v>
      </c>
      <c r="B492" s="25">
        <v>1</v>
      </c>
      <c r="C492" s="25">
        <v>27</v>
      </c>
      <c r="D492" s="25">
        <v>208</v>
      </c>
      <c r="E492" s="30" t="str">
        <f t="shared" si="21"/>
        <v>1-27-208</v>
      </c>
      <c r="F492" s="13" t="str">
        <f>VLOOKUP(E492,'LISTA ITEMS'!$E$2:$G$875,2,FALSE)</f>
        <v>TORNILLO A/INOX CABEZA CILINDRICA ALLEN M8X30mm</v>
      </c>
      <c r="G492" s="25" t="str">
        <f>VLOOKUP(E492,'LISTA ITEMS'!$E$2:$G$875,3,FALSE)</f>
        <v>UND</v>
      </c>
      <c r="H492" s="74">
        <v>46083</v>
      </c>
      <c r="I492" s="75">
        <v>75</v>
      </c>
      <c r="J492" s="27"/>
      <c r="K492" s="70">
        <v>46098</v>
      </c>
      <c r="L492" s="67">
        <v>0</v>
      </c>
      <c r="M492" s="54">
        <v>46098</v>
      </c>
      <c r="N492" s="55">
        <v>0</v>
      </c>
      <c r="O492" s="70">
        <v>46098</v>
      </c>
      <c r="P492" s="71">
        <v>0</v>
      </c>
      <c r="Q492" s="36">
        <v>46098</v>
      </c>
      <c r="R492" s="26">
        <f t="shared" si="22"/>
        <v>75</v>
      </c>
      <c r="S492" s="85"/>
      <c r="T492" s="84"/>
      <c r="U492" s="27"/>
      <c r="V492" s="70"/>
      <c r="W492" s="67"/>
      <c r="X492" s="54"/>
      <c r="Y492" s="55"/>
      <c r="Z492" s="70"/>
      <c r="AA492" s="71"/>
      <c r="AB492" s="31"/>
      <c r="AC492" s="26">
        <f t="shared" si="23"/>
        <v>75</v>
      </c>
      <c r="AD492" s="25"/>
      <c r="AE492" s="25"/>
      <c r="AF492" s="48">
        <v>7</v>
      </c>
      <c r="AG492" s="48">
        <v>1</v>
      </c>
      <c r="AH492" s="48" t="s">
        <v>251</v>
      </c>
    </row>
    <row r="493" spans="1:34" ht="28.8" x14ac:dyDescent="0.3">
      <c r="A493" s="65">
        <v>29</v>
      </c>
      <c r="B493" s="25">
        <v>1</v>
      </c>
      <c r="C493" s="25">
        <v>27</v>
      </c>
      <c r="D493" s="25">
        <v>207</v>
      </c>
      <c r="E493" s="30" t="str">
        <f t="shared" si="21"/>
        <v>1-27-207</v>
      </c>
      <c r="F493" s="13" t="str">
        <f>VLOOKUP(E493,'LISTA ITEMS'!$E$2:$G$875,2,FALSE)</f>
        <v>TORNILLO A/INOX CABEZA CILINDRICA ALLEN M8X35mm</v>
      </c>
      <c r="G493" s="25" t="str">
        <f>VLOOKUP(E493,'LISTA ITEMS'!$E$2:$G$875,3,FALSE)</f>
        <v>UND</v>
      </c>
      <c r="H493" s="74">
        <v>46083</v>
      </c>
      <c r="I493" s="75">
        <v>50</v>
      </c>
      <c r="J493" s="27"/>
      <c r="K493" s="70">
        <v>46098</v>
      </c>
      <c r="L493" s="67">
        <v>0</v>
      </c>
      <c r="M493" s="54">
        <v>46098</v>
      </c>
      <c r="N493" s="55">
        <v>0</v>
      </c>
      <c r="O493" s="70">
        <v>46098</v>
      </c>
      <c r="P493" s="71">
        <v>0</v>
      </c>
      <c r="Q493" s="36">
        <v>46098</v>
      </c>
      <c r="R493" s="26">
        <f t="shared" si="22"/>
        <v>50</v>
      </c>
      <c r="S493" s="85"/>
      <c r="T493" s="84"/>
      <c r="U493" s="27"/>
      <c r="V493" s="70"/>
      <c r="W493" s="67"/>
      <c r="X493" s="54"/>
      <c r="Y493" s="55"/>
      <c r="Z493" s="70"/>
      <c r="AA493" s="71"/>
      <c r="AB493" s="31"/>
      <c r="AC493" s="26">
        <f t="shared" si="23"/>
        <v>50</v>
      </c>
      <c r="AD493" s="25"/>
      <c r="AE493" s="25"/>
      <c r="AF493" s="48">
        <v>7</v>
      </c>
      <c r="AG493" s="48">
        <v>1</v>
      </c>
      <c r="AH493" s="48" t="s">
        <v>251</v>
      </c>
    </row>
    <row r="494" spans="1:34" ht="43.2" x14ac:dyDescent="0.3">
      <c r="A494" s="65">
        <v>229</v>
      </c>
      <c r="B494" s="25">
        <v>8</v>
      </c>
      <c r="C494" s="25">
        <v>27</v>
      </c>
      <c r="D494" s="25">
        <v>407</v>
      </c>
      <c r="E494" s="30" t="str">
        <f t="shared" si="21"/>
        <v>8-27-407</v>
      </c>
      <c r="F494" s="13" t="str">
        <f>VLOOKUP(E494,'LISTA ITEMS'!$E$2:$G$875,2,FALSE)</f>
        <v>TORNILLO AUTOTALADRANTE CON C/HEXAGONAL - R/PARCIAL - ARANDELA CAUCHO 3X90mm  A/GALV.</v>
      </c>
      <c r="G494" s="25" t="str">
        <f>VLOOKUP(E494,'LISTA ITEMS'!$E$2:$G$875,3,FALSE)</f>
        <v>UND</v>
      </c>
      <c r="H494" s="74">
        <v>46083</v>
      </c>
      <c r="I494" s="75">
        <v>150</v>
      </c>
      <c r="J494" s="27"/>
      <c r="K494" s="70">
        <v>46098</v>
      </c>
      <c r="L494" s="67">
        <v>0</v>
      </c>
      <c r="M494" s="54">
        <v>46098</v>
      </c>
      <c r="N494" s="55">
        <v>0</v>
      </c>
      <c r="O494" s="70">
        <v>46098</v>
      </c>
      <c r="P494" s="71">
        <v>0</v>
      </c>
      <c r="Q494" s="36">
        <v>46098</v>
      </c>
      <c r="R494" s="26">
        <f t="shared" si="22"/>
        <v>150</v>
      </c>
      <c r="S494" s="85"/>
      <c r="T494" s="84"/>
      <c r="U494" s="27"/>
      <c r="V494" s="70"/>
      <c r="W494" s="67"/>
      <c r="X494" s="54"/>
      <c r="Y494" s="55"/>
      <c r="Z494" s="70"/>
      <c r="AA494" s="71"/>
      <c r="AB494" s="31"/>
      <c r="AC494" s="26">
        <f t="shared" si="23"/>
        <v>150</v>
      </c>
      <c r="AD494" s="25"/>
      <c r="AE494" s="25"/>
      <c r="AF494" s="25">
        <v>7</v>
      </c>
      <c r="AG494" s="25">
        <v>6</v>
      </c>
      <c r="AH494" s="25" t="s">
        <v>45</v>
      </c>
    </row>
    <row r="495" spans="1:34" ht="43.2" x14ac:dyDescent="0.3">
      <c r="A495" s="65">
        <v>151</v>
      </c>
      <c r="B495" s="25">
        <v>8</v>
      </c>
      <c r="C495" s="25">
        <v>27</v>
      </c>
      <c r="D495" s="25">
        <v>321</v>
      </c>
      <c r="E495" s="30" t="str">
        <f t="shared" si="21"/>
        <v>8-27-321</v>
      </c>
      <c r="F495" s="13" t="str">
        <f>VLOOKUP(E495,'LISTA ITEMS'!$E$2:$G$875,2,FALSE)</f>
        <v>TORNILLO AUTOTALADRANTE CON C/HEXAGONAL - R/PARCIAL - ARANDELA CAUCHO 6X120mm  A/GALV.</v>
      </c>
      <c r="G495" s="25" t="str">
        <f>VLOOKUP(E495,'LISTA ITEMS'!$E$2:$G$875,3,FALSE)</f>
        <v>UND</v>
      </c>
      <c r="H495" s="74">
        <v>46083</v>
      </c>
      <c r="I495" s="75">
        <v>13</v>
      </c>
      <c r="J495" s="27"/>
      <c r="K495" s="70">
        <v>46098</v>
      </c>
      <c r="L495" s="67">
        <v>0</v>
      </c>
      <c r="M495" s="54">
        <v>46098</v>
      </c>
      <c r="N495" s="55">
        <v>0</v>
      </c>
      <c r="O495" s="70">
        <v>46098</v>
      </c>
      <c r="P495" s="71">
        <v>0</v>
      </c>
      <c r="Q495" s="36">
        <v>46098</v>
      </c>
      <c r="R495" s="26">
        <f t="shared" si="22"/>
        <v>13</v>
      </c>
      <c r="S495" s="85"/>
      <c r="T495" s="84"/>
      <c r="U495" s="27"/>
      <c r="V495" s="70"/>
      <c r="W495" s="67"/>
      <c r="X495" s="54"/>
      <c r="Y495" s="55"/>
      <c r="Z495" s="70"/>
      <c r="AA495" s="71"/>
      <c r="AB495" s="31"/>
      <c r="AC495" s="26">
        <f t="shared" si="23"/>
        <v>13</v>
      </c>
      <c r="AD495" s="25"/>
      <c r="AE495" s="25"/>
      <c r="AF495" s="48">
        <v>7</v>
      </c>
      <c r="AG495" s="48">
        <v>1</v>
      </c>
      <c r="AH495" s="48" t="s">
        <v>312</v>
      </c>
    </row>
    <row r="496" spans="1:34" ht="28.8" x14ac:dyDescent="0.3">
      <c r="A496" s="65">
        <v>18</v>
      </c>
      <c r="B496" s="25">
        <v>4</v>
      </c>
      <c r="C496" s="25">
        <v>27</v>
      </c>
      <c r="D496" s="25">
        <v>197</v>
      </c>
      <c r="E496" s="30" t="str">
        <f t="shared" si="21"/>
        <v>4-27-197</v>
      </c>
      <c r="F496" s="13" t="str">
        <f>VLOOKUP(E496,'LISTA ITEMS'!$E$2:$G$875,2,FALSE)</f>
        <v>TORNILLO C/AVELLANADA CON R/COMPLETA PARA AGLOMERADO/MADERA X40</v>
      </c>
      <c r="G496" s="25" t="str">
        <f>VLOOKUP(E496,'LISTA ITEMS'!$E$2:$G$875,3,FALSE)</f>
        <v>UND</v>
      </c>
      <c r="H496" s="74">
        <v>46083</v>
      </c>
      <c r="I496" s="75">
        <v>390</v>
      </c>
      <c r="J496" s="27"/>
      <c r="K496" s="70">
        <v>46098</v>
      </c>
      <c r="L496" s="67">
        <v>0</v>
      </c>
      <c r="M496" s="54">
        <v>46098</v>
      </c>
      <c r="N496" s="55">
        <v>0</v>
      </c>
      <c r="O496" s="70">
        <v>46098</v>
      </c>
      <c r="P496" s="71">
        <v>0</v>
      </c>
      <c r="Q496" s="36">
        <v>46098</v>
      </c>
      <c r="R496" s="26">
        <f t="shared" si="22"/>
        <v>390</v>
      </c>
      <c r="S496" s="85"/>
      <c r="T496" s="84"/>
      <c r="U496" s="27"/>
      <c r="V496" s="70"/>
      <c r="W496" s="67"/>
      <c r="X496" s="54"/>
      <c r="Y496" s="55"/>
      <c r="Z496" s="70"/>
      <c r="AA496" s="71"/>
      <c r="AB496" s="31"/>
      <c r="AC496" s="26">
        <f t="shared" si="23"/>
        <v>390</v>
      </c>
      <c r="AD496" s="25"/>
      <c r="AE496" s="25"/>
      <c r="AF496" s="48">
        <v>7</v>
      </c>
      <c r="AG496" s="48">
        <v>1</v>
      </c>
      <c r="AH496" s="48" t="s">
        <v>45</v>
      </c>
    </row>
    <row r="497" spans="1:34" ht="28.8" x14ac:dyDescent="0.3">
      <c r="A497" s="65">
        <v>20</v>
      </c>
      <c r="B497" s="25">
        <v>4</v>
      </c>
      <c r="C497" s="25">
        <v>27</v>
      </c>
      <c r="D497" s="25">
        <v>199</v>
      </c>
      <c r="E497" s="30" t="str">
        <f t="shared" si="21"/>
        <v>4-27-199</v>
      </c>
      <c r="F497" s="13" t="str">
        <f>VLOOKUP(E497,'LISTA ITEMS'!$E$2:$G$875,2,FALSE)</f>
        <v>TORNILLO C/AVELLANADA CON R/COMPLETA PARA AGLOMERADO/MADERA X50</v>
      </c>
      <c r="G497" s="25" t="str">
        <f>VLOOKUP(E497,'LISTA ITEMS'!$E$2:$G$875,3,FALSE)</f>
        <v>UND</v>
      </c>
      <c r="H497" s="74">
        <v>46083</v>
      </c>
      <c r="I497" s="75">
        <v>460</v>
      </c>
      <c r="J497" s="27"/>
      <c r="K497" s="70">
        <v>46098</v>
      </c>
      <c r="L497" s="67">
        <v>0</v>
      </c>
      <c r="M497" s="54">
        <v>46098</v>
      </c>
      <c r="N497" s="55">
        <v>0</v>
      </c>
      <c r="O497" s="70">
        <v>46098</v>
      </c>
      <c r="P497" s="71">
        <v>0</v>
      </c>
      <c r="Q497" s="36">
        <v>46098</v>
      </c>
      <c r="R497" s="26">
        <f t="shared" si="22"/>
        <v>460</v>
      </c>
      <c r="S497" s="85"/>
      <c r="T497" s="84"/>
      <c r="U497" s="27"/>
      <c r="V497" s="70"/>
      <c r="W497" s="67"/>
      <c r="X497" s="54"/>
      <c r="Y497" s="55"/>
      <c r="Z497" s="70"/>
      <c r="AA497" s="71"/>
      <c r="AB497" s="31"/>
      <c r="AC497" s="26">
        <f t="shared" si="23"/>
        <v>460</v>
      </c>
      <c r="AD497" s="25"/>
      <c r="AE497" s="25"/>
      <c r="AF497" s="48">
        <v>7</v>
      </c>
      <c r="AG497" s="48">
        <v>1</v>
      </c>
      <c r="AH497" s="48" t="s">
        <v>45</v>
      </c>
    </row>
    <row r="498" spans="1:34" ht="28.8" x14ac:dyDescent="0.3">
      <c r="A498" s="65">
        <v>19</v>
      </c>
      <c r="B498" s="25">
        <v>4</v>
      </c>
      <c r="C498" s="25">
        <v>27</v>
      </c>
      <c r="D498" s="25">
        <v>198</v>
      </c>
      <c r="E498" s="30" t="str">
        <f t="shared" si="21"/>
        <v>4-27-198</v>
      </c>
      <c r="F498" s="13" t="str">
        <f>VLOOKUP(E498,'LISTA ITEMS'!$E$2:$G$875,2,FALSE)</f>
        <v>TORNILLO C/AVELLANADA CON R/PARCIAL PARA AGLOMERADO/MADERA X70</v>
      </c>
      <c r="G498" s="25" t="str">
        <f>VLOOKUP(E498,'LISTA ITEMS'!$E$2:$G$875,3,FALSE)</f>
        <v>UND</v>
      </c>
      <c r="H498" s="74">
        <v>46083</v>
      </c>
      <c r="I498" s="75">
        <v>124</v>
      </c>
      <c r="J498" s="27"/>
      <c r="K498" s="70">
        <v>46098</v>
      </c>
      <c r="L498" s="67">
        <v>0</v>
      </c>
      <c r="M498" s="54">
        <v>46098</v>
      </c>
      <c r="N498" s="55">
        <v>0</v>
      </c>
      <c r="O498" s="70">
        <v>46098</v>
      </c>
      <c r="P498" s="71">
        <v>0</v>
      </c>
      <c r="Q498" s="36">
        <v>46098</v>
      </c>
      <c r="R498" s="26">
        <f t="shared" si="22"/>
        <v>124</v>
      </c>
      <c r="S498" s="85"/>
      <c r="T498" s="84"/>
      <c r="U498" s="27"/>
      <c r="V498" s="70"/>
      <c r="W498" s="67"/>
      <c r="X498" s="54"/>
      <c r="Y498" s="55"/>
      <c r="Z498" s="70"/>
      <c r="AA498" s="71"/>
      <c r="AB498" s="31"/>
      <c r="AC498" s="26">
        <f t="shared" si="23"/>
        <v>124</v>
      </c>
      <c r="AD498" s="25"/>
      <c r="AE498" s="25"/>
      <c r="AF498" s="48">
        <v>7</v>
      </c>
      <c r="AG498" s="48">
        <v>1</v>
      </c>
      <c r="AH498" s="48" t="s">
        <v>45</v>
      </c>
    </row>
    <row r="499" spans="1:34" x14ac:dyDescent="0.3">
      <c r="A499" s="65">
        <v>84</v>
      </c>
      <c r="B499" s="25">
        <v>4</v>
      </c>
      <c r="C499" s="25">
        <v>40</v>
      </c>
      <c r="D499" s="25">
        <v>266</v>
      </c>
      <c r="E499" s="30" t="str">
        <f t="shared" si="21"/>
        <v>4-40-266</v>
      </c>
      <c r="F499" s="13" t="str">
        <f>VLOOKUP(E499,'LISTA ITEMS'!$E$2:$G$875,2,FALSE)</f>
        <v>TORNILLO ESPARRAGO GALV TX25 M8X120</v>
      </c>
      <c r="G499" s="25" t="str">
        <f>VLOOKUP(E499,'LISTA ITEMS'!$E$2:$G$875,3,FALSE)</f>
        <v>UND</v>
      </c>
      <c r="H499" s="74">
        <v>46083</v>
      </c>
      <c r="I499" s="75">
        <v>200</v>
      </c>
      <c r="J499" s="27"/>
      <c r="K499" s="70">
        <v>46098</v>
      </c>
      <c r="L499" s="67">
        <v>0</v>
      </c>
      <c r="M499" s="54">
        <v>46098</v>
      </c>
      <c r="N499" s="55">
        <v>0</v>
      </c>
      <c r="O499" s="70">
        <v>46098</v>
      </c>
      <c r="P499" s="71">
        <v>30</v>
      </c>
      <c r="Q499" s="36">
        <v>46098</v>
      </c>
      <c r="R499" s="26">
        <f t="shared" si="22"/>
        <v>170</v>
      </c>
      <c r="S499" s="85"/>
      <c r="T499" s="84"/>
      <c r="U499" s="27"/>
      <c r="V499" s="70"/>
      <c r="W499" s="67"/>
      <c r="X499" s="54"/>
      <c r="Y499" s="55"/>
      <c r="Z499" s="70"/>
      <c r="AA499" s="71"/>
      <c r="AB499" s="31"/>
      <c r="AC499" s="26">
        <f t="shared" si="23"/>
        <v>170</v>
      </c>
      <c r="AD499" s="25"/>
      <c r="AE499" s="25"/>
      <c r="AF499" s="48">
        <v>7</v>
      </c>
      <c r="AG499" s="48">
        <v>1</v>
      </c>
      <c r="AH499" s="48" t="s">
        <v>252</v>
      </c>
    </row>
    <row r="500" spans="1:34" x14ac:dyDescent="0.3">
      <c r="A500" s="65">
        <v>69</v>
      </c>
      <c r="B500" s="25">
        <v>4</v>
      </c>
      <c r="C500" s="25">
        <v>40</v>
      </c>
      <c r="D500" s="25">
        <v>251</v>
      </c>
      <c r="E500" s="30" t="str">
        <f t="shared" si="21"/>
        <v>4-40-251</v>
      </c>
      <c r="F500" s="13" t="str">
        <f>VLOOKUP(E500,'LISTA ITEMS'!$E$2:$G$875,2,FALSE)</f>
        <v>TORNILLO ESPARRAGO GALV TX25 M8X80</v>
      </c>
      <c r="G500" s="25" t="str">
        <f>VLOOKUP(E500,'LISTA ITEMS'!$E$2:$G$875,3,FALSE)</f>
        <v>UND</v>
      </c>
      <c r="H500" s="74">
        <v>46083</v>
      </c>
      <c r="I500" s="75">
        <v>710</v>
      </c>
      <c r="J500" s="27"/>
      <c r="K500" s="70">
        <v>46098</v>
      </c>
      <c r="L500" s="67">
        <v>0</v>
      </c>
      <c r="M500" s="54">
        <v>46098</v>
      </c>
      <c r="N500" s="55">
        <v>0</v>
      </c>
      <c r="O500" s="70">
        <v>46098</v>
      </c>
      <c r="P500" s="71">
        <v>0</v>
      </c>
      <c r="Q500" s="36">
        <v>46098</v>
      </c>
      <c r="R500" s="26">
        <f t="shared" si="22"/>
        <v>710</v>
      </c>
      <c r="S500" s="85"/>
      <c r="T500" s="84"/>
      <c r="U500" s="27"/>
      <c r="V500" s="70"/>
      <c r="W500" s="67"/>
      <c r="X500" s="54"/>
      <c r="Y500" s="55"/>
      <c r="Z500" s="70"/>
      <c r="AA500" s="71"/>
      <c r="AB500" s="31"/>
      <c r="AC500" s="26">
        <f t="shared" si="23"/>
        <v>710</v>
      </c>
      <c r="AD500" s="25"/>
      <c r="AE500" s="25"/>
      <c r="AF500" s="48">
        <v>7</v>
      </c>
      <c r="AG500" s="48">
        <v>2</v>
      </c>
      <c r="AH500" s="48" t="s">
        <v>339</v>
      </c>
    </row>
    <row r="501" spans="1:34" ht="28.8" x14ac:dyDescent="0.3">
      <c r="A501" s="65">
        <v>23</v>
      </c>
      <c r="B501" s="25">
        <v>4</v>
      </c>
      <c r="C501" s="25">
        <v>27</v>
      </c>
      <c r="D501" s="25">
        <v>202</v>
      </c>
      <c r="E501" s="30" t="str">
        <f t="shared" si="21"/>
        <v>4-27-202</v>
      </c>
      <c r="F501" s="13" t="str">
        <f>VLOOKUP(E501,'LISTA ITEMS'!$E$2:$G$875,2,FALSE)</f>
        <v>TORNILLO FIJACION FUERTE C/HEZAGONAL R/COMPLETA M-8 X70</v>
      </c>
      <c r="G501" s="25" t="str">
        <f>VLOOKUP(E501,'LISTA ITEMS'!$E$2:$G$875,3,FALSE)</f>
        <v>UND</v>
      </c>
      <c r="H501" s="74">
        <v>46083</v>
      </c>
      <c r="I501" s="75">
        <v>550</v>
      </c>
      <c r="J501" s="27"/>
      <c r="K501" s="70">
        <v>46098</v>
      </c>
      <c r="L501" s="67">
        <v>60</v>
      </c>
      <c r="M501" s="54">
        <v>46098</v>
      </c>
      <c r="N501" s="55">
        <v>200</v>
      </c>
      <c r="O501" s="70">
        <v>46098</v>
      </c>
      <c r="P501" s="71">
        <v>100</v>
      </c>
      <c r="Q501" s="36">
        <v>46098</v>
      </c>
      <c r="R501" s="26">
        <f t="shared" si="22"/>
        <v>710</v>
      </c>
      <c r="S501" s="85"/>
      <c r="T501" s="84"/>
      <c r="U501" s="27"/>
      <c r="V501" s="70"/>
      <c r="W501" s="67"/>
      <c r="X501" s="54"/>
      <c r="Y501" s="55"/>
      <c r="Z501" s="70"/>
      <c r="AA501" s="71"/>
      <c r="AB501" s="31"/>
      <c r="AC501" s="26">
        <f t="shared" si="23"/>
        <v>710</v>
      </c>
      <c r="AD501" s="25"/>
      <c r="AE501" s="25"/>
      <c r="AF501" s="48">
        <v>7</v>
      </c>
      <c r="AG501" s="48">
        <v>1</v>
      </c>
      <c r="AH501" s="48" t="s">
        <v>252</v>
      </c>
    </row>
    <row r="502" spans="1:34" x14ac:dyDescent="0.3">
      <c r="A502" s="65">
        <v>185</v>
      </c>
      <c r="B502" s="25">
        <v>16</v>
      </c>
      <c r="C502" s="25">
        <v>63</v>
      </c>
      <c r="D502" s="25">
        <v>363</v>
      </c>
      <c r="E502" s="30" t="str">
        <f t="shared" si="21"/>
        <v>16-63-363</v>
      </c>
      <c r="F502" s="13" t="str">
        <f>VLOOKUP(E502,'LISTA ITEMS'!$E$2:$G$875,2,FALSE)</f>
        <v>TORO IDAL 100A/40mA</v>
      </c>
      <c r="G502" s="25" t="str">
        <f>VLOOKUP(E502,'LISTA ITEMS'!$E$2:$G$875,3,FALSE)</f>
        <v>UND</v>
      </c>
      <c r="H502" s="74">
        <v>46083</v>
      </c>
      <c r="I502" s="75">
        <v>6</v>
      </c>
      <c r="J502" s="27"/>
      <c r="K502" s="70">
        <v>46098</v>
      </c>
      <c r="L502" s="67">
        <v>0</v>
      </c>
      <c r="M502" s="54">
        <v>46098</v>
      </c>
      <c r="N502" s="55">
        <v>0</v>
      </c>
      <c r="O502" s="70">
        <v>46098</v>
      </c>
      <c r="P502" s="71">
        <v>0</v>
      </c>
      <c r="Q502" s="36">
        <v>46098</v>
      </c>
      <c r="R502" s="26">
        <f t="shared" si="22"/>
        <v>6</v>
      </c>
      <c r="S502" s="85"/>
      <c r="T502" s="84"/>
      <c r="U502" s="27"/>
      <c r="V502" s="70"/>
      <c r="W502" s="67"/>
      <c r="X502" s="54"/>
      <c r="Y502" s="55"/>
      <c r="Z502" s="70"/>
      <c r="AA502" s="71"/>
      <c r="AB502" s="31"/>
      <c r="AC502" s="26">
        <f t="shared" si="23"/>
        <v>6</v>
      </c>
      <c r="AD502" s="25"/>
      <c r="AE502" s="25"/>
      <c r="AF502" s="48">
        <v>10</v>
      </c>
      <c r="AG502" s="48">
        <v>1</v>
      </c>
      <c r="AH502" s="48" t="s">
        <v>252</v>
      </c>
    </row>
    <row r="503" spans="1:34" x14ac:dyDescent="0.3">
      <c r="A503" s="65">
        <v>184</v>
      </c>
      <c r="B503" s="25">
        <v>16</v>
      </c>
      <c r="C503" s="25">
        <v>63</v>
      </c>
      <c r="D503" s="25">
        <v>362</v>
      </c>
      <c r="E503" s="30" t="str">
        <f t="shared" si="21"/>
        <v>16-63-362</v>
      </c>
      <c r="F503" s="13" t="str">
        <f>VLOOKUP(E503,'LISTA ITEMS'!$E$2:$G$875,2,FALSE)</f>
        <v>TORO IDAL 100A/50mA</v>
      </c>
      <c r="G503" s="25" t="str">
        <f>VLOOKUP(E503,'LISTA ITEMS'!$E$2:$G$875,3,FALSE)</f>
        <v>UND</v>
      </c>
      <c r="H503" s="74">
        <v>46083</v>
      </c>
      <c r="I503" s="75">
        <v>6</v>
      </c>
      <c r="J503" s="27"/>
      <c r="K503" s="70">
        <v>46098</v>
      </c>
      <c r="L503" s="67">
        <v>0</v>
      </c>
      <c r="M503" s="54">
        <v>46098</v>
      </c>
      <c r="N503" s="55">
        <v>0</v>
      </c>
      <c r="O503" s="70">
        <v>46098</v>
      </c>
      <c r="P503" s="71">
        <v>0</v>
      </c>
      <c r="Q503" s="36">
        <v>46098</v>
      </c>
      <c r="R503" s="26">
        <f t="shared" si="22"/>
        <v>6</v>
      </c>
      <c r="S503" s="85"/>
      <c r="T503" s="84"/>
      <c r="U503" s="27"/>
      <c r="V503" s="70"/>
      <c r="W503" s="67"/>
      <c r="X503" s="54"/>
      <c r="Y503" s="55"/>
      <c r="Z503" s="70"/>
      <c r="AA503" s="71"/>
      <c r="AB503" s="31"/>
      <c r="AC503" s="26">
        <f t="shared" si="23"/>
        <v>6</v>
      </c>
      <c r="AD503" s="25"/>
      <c r="AE503" s="25"/>
      <c r="AF503" s="48">
        <v>10</v>
      </c>
      <c r="AG503" s="48">
        <v>1</v>
      </c>
      <c r="AH503" s="48" t="s">
        <v>252</v>
      </c>
    </row>
    <row r="504" spans="1:34" x14ac:dyDescent="0.3">
      <c r="A504" s="65">
        <v>187</v>
      </c>
      <c r="B504" s="25">
        <v>16</v>
      </c>
      <c r="C504" s="25">
        <v>63</v>
      </c>
      <c r="D504" s="25">
        <v>365</v>
      </c>
      <c r="E504" s="30" t="str">
        <f t="shared" si="21"/>
        <v>16-63-365</v>
      </c>
      <c r="F504" s="13" t="str">
        <f>VLOOKUP(E504,'LISTA ITEMS'!$E$2:$G$875,2,FALSE)</f>
        <v>TORO IDAL 200A/5A (LOVATO)</v>
      </c>
      <c r="G504" s="25" t="str">
        <f>VLOOKUP(E504,'LISTA ITEMS'!$E$2:$G$875,3,FALSE)</f>
        <v>UND</v>
      </c>
      <c r="H504" s="74">
        <v>46083</v>
      </c>
      <c r="I504" s="75">
        <v>5</v>
      </c>
      <c r="J504" s="27"/>
      <c r="K504" s="70">
        <v>46098</v>
      </c>
      <c r="L504" s="67">
        <v>0</v>
      </c>
      <c r="M504" s="54">
        <v>46098</v>
      </c>
      <c r="N504" s="55">
        <v>0</v>
      </c>
      <c r="O504" s="70">
        <v>46098</v>
      </c>
      <c r="P504" s="71">
        <v>0</v>
      </c>
      <c r="Q504" s="36">
        <v>46098</v>
      </c>
      <c r="R504" s="26">
        <f t="shared" si="22"/>
        <v>5</v>
      </c>
      <c r="S504" s="85"/>
      <c r="T504" s="84"/>
      <c r="U504" s="27"/>
      <c r="V504" s="70"/>
      <c r="W504" s="67"/>
      <c r="X504" s="54"/>
      <c r="Y504" s="55"/>
      <c r="Z504" s="70"/>
      <c r="AA504" s="71"/>
      <c r="AB504" s="31"/>
      <c r="AC504" s="26">
        <f t="shared" si="23"/>
        <v>5</v>
      </c>
      <c r="AD504" s="25"/>
      <c r="AE504" s="25"/>
      <c r="AF504" s="48">
        <v>10</v>
      </c>
      <c r="AG504" s="48">
        <v>1</v>
      </c>
      <c r="AH504" s="48" t="s">
        <v>252</v>
      </c>
    </row>
    <row r="505" spans="1:34" x14ac:dyDescent="0.3">
      <c r="A505" s="65">
        <v>186</v>
      </c>
      <c r="B505" s="25">
        <v>16</v>
      </c>
      <c r="C505" s="25">
        <v>63</v>
      </c>
      <c r="D505" s="25">
        <v>364</v>
      </c>
      <c r="E505" s="30" t="str">
        <f t="shared" si="21"/>
        <v>16-63-364</v>
      </c>
      <c r="F505" s="13" t="str">
        <f>VLOOKUP(E505,'LISTA ITEMS'!$E$2:$G$875,2,FALSE)</f>
        <v>TORO IDAL 250A/5A (LOVATO)</v>
      </c>
      <c r="G505" s="25" t="str">
        <f>VLOOKUP(E505,'LISTA ITEMS'!$E$2:$G$875,3,FALSE)</f>
        <v>UND</v>
      </c>
      <c r="H505" s="74">
        <v>46083</v>
      </c>
      <c r="I505" s="75">
        <v>6</v>
      </c>
      <c r="J505" s="27"/>
      <c r="K505" s="70">
        <v>46098</v>
      </c>
      <c r="L505" s="67">
        <v>0</v>
      </c>
      <c r="M505" s="54">
        <v>46098</v>
      </c>
      <c r="N505" s="55">
        <v>0</v>
      </c>
      <c r="O505" s="70">
        <v>46098</v>
      </c>
      <c r="P505" s="71">
        <v>0</v>
      </c>
      <c r="Q505" s="36">
        <v>46098</v>
      </c>
      <c r="R505" s="26">
        <f t="shared" si="22"/>
        <v>6</v>
      </c>
      <c r="S505" s="85"/>
      <c r="T505" s="84"/>
      <c r="U505" s="27"/>
      <c r="V505" s="70"/>
      <c r="W505" s="67"/>
      <c r="X505" s="54"/>
      <c r="Y505" s="55"/>
      <c r="Z505" s="70"/>
      <c r="AA505" s="71"/>
      <c r="AB505" s="31"/>
      <c r="AC505" s="26">
        <f t="shared" si="23"/>
        <v>6</v>
      </c>
      <c r="AD505" s="25"/>
      <c r="AE505" s="25"/>
      <c r="AF505" s="48">
        <v>10</v>
      </c>
      <c r="AG505" s="48">
        <v>1</v>
      </c>
      <c r="AH505" s="48" t="s">
        <v>252</v>
      </c>
    </row>
    <row r="506" spans="1:34" x14ac:dyDescent="0.3">
      <c r="A506" s="65">
        <v>188</v>
      </c>
      <c r="B506" s="25">
        <v>16</v>
      </c>
      <c r="C506" s="25">
        <v>63</v>
      </c>
      <c r="D506" s="25">
        <v>366</v>
      </c>
      <c r="E506" s="30" t="str">
        <f t="shared" si="21"/>
        <v>16-63-366</v>
      </c>
      <c r="F506" s="13" t="str">
        <f>VLOOKUP(E506,'LISTA ITEMS'!$E$2:$G$875,2,FALSE)</f>
        <v>TORO IDAL 400A/5A (SACI)</v>
      </c>
      <c r="G506" s="25" t="str">
        <f>VLOOKUP(E506,'LISTA ITEMS'!$E$2:$G$875,3,FALSE)</f>
        <v>UND</v>
      </c>
      <c r="H506" s="74">
        <v>46083</v>
      </c>
      <c r="I506" s="75">
        <v>1</v>
      </c>
      <c r="J506" s="27"/>
      <c r="K506" s="70">
        <v>46098</v>
      </c>
      <c r="L506" s="67">
        <v>0</v>
      </c>
      <c r="M506" s="54">
        <v>46098</v>
      </c>
      <c r="N506" s="55">
        <v>0</v>
      </c>
      <c r="O506" s="70">
        <v>46098</v>
      </c>
      <c r="P506" s="71">
        <v>0</v>
      </c>
      <c r="Q506" s="36">
        <v>46098</v>
      </c>
      <c r="R506" s="26">
        <f t="shared" si="22"/>
        <v>1</v>
      </c>
      <c r="S506" s="85"/>
      <c r="T506" s="84"/>
      <c r="U506" s="27"/>
      <c r="V506" s="70"/>
      <c r="W506" s="67"/>
      <c r="X506" s="54"/>
      <c r="Y506" s="55"/>
      <c r="Z506" s="70"/>
      <c r="AA506" s="71"/>
      <c r="AB506" s="31"/>
      <c r="AC506" s="26">
        <f t="shared" si="23"/>
        <v>1</v>
      </c>
      <c r="AD506" s="25"/>
      <c r="AE506" s="25"/>
      <c r="AF506" s="48">
        <v>10</v>
      </c>
      <c r="AG506" s="48">
        <v>1</v>
      </c>
      <c r="AH506" s="48" t="s">
        <v>252</v>
      </c>
    </row>
    <row r="507" spans="1:34" x14ac:dyDescent="0.3">
      <c r="A507" s="65">
        <v>189</v>
      </c>
      <c r="B507" s="25">
        <v>16</v>
      </c>
      <c r="C507" s="25">
        <v>63</v>
      </c>
      <c r="D507" s="25">
        <v>367</v>
      </c>
      <c r="E507" s="30" t="str">
        <f t="shared" si="21"/>
        <v>16-63-367</v>
      </c>
      <c r="F507" s="13" t="str">
        <f>VLOOKUP(E507,'LISTA ITEMS'!$E$2:$G$875,2,FALSE)</f>
        <v>TORO IDAL 600A/5A (SACI)</v>
      </c>
      <c r="G507" s="25" t="str">
        <f>VLOOKUP(E507,'LISTA ITEMS'!$E$2:$G$875,3,FALSE)</f>
        <v>UND</v>
      </c>
      <c r="H507" s="74">
        <v>46083</v>
      </c>
      <c r="I507" s="75">
        <v>3</v>
      </c>
      <c r="J507" s="27"/>
      <c r="K507" s="70">
        <v>46098</v>
      </c>
      <c r="L507" s="67">
        <v>0</v>
      </c>
      <c r="M507" s="54">
        <v>46098</v>
      </c>
      <c r="N507" s="55">
        <v>0</v>
      </c>
      <c r="O507" s="70">
        <v>46098</v>
      </c>
      <c r="P507" s="71">
        <v>0</v>
      </c>
      <c r="Q507" s="36">
        <v>46098</v>
      </c>
      <c r="R507" s="26">
        <f t="shared" si="22"/>
        <v>3</v>
      </c>
      <c r="S507" s="85"/>
      <c r="T507" s="84"/>
      <c r="U507" s="27"/>
      <c r="V507" s="70"/>
      <c r="W507" s="67"/>
      <c r="X507" s="54"/>
      <c r="Y507" s="55"/>
      <c r="Z507" s="70"/>
      <c r="AA507" s="71"/>
      <c r="AB507" s="31"/>
      <c r="AC507" s="26">
        <f t="shared" si="23"/>
        <v>3</v>
      </c>
      <c r="AD507" s="25"/>
      <c r="AE507" s="25"/>
      <c r="AF507" s="47">
        <v>10</v>
      </c>
      <c r="AG507" s="47">
        <v>1</v>
      </c>
      <c r="AH507" s="47" t="s">
        <v>252</v>
      </c>
    </row>
    <row r="508" spans="1:34" ht="43.2" x14ac:dyDescent="0.3">
      <c r="A508" s="65">
        <v>178</v>
      </c>
      <c r="B508" s="25">
        <v>16</v>
      </c>
      <c r="C508" s="25">
        <v>63</v>
      </c>
      <c r="D508" s="25">
        <v>357</v>
      </c>
      <c r="E508" s="30" t="str">
        <f t="shared" si="21"/>
        <v>16-63-357</v>
      </c>
      <c r="F508" s="13" t="str">
        <f>VLOOKUP(E508,'LISTA ITEMS'!$E$2:$G$875,2,FALSE)</f>
        <v>TORO IDAL CURRENT TRANSFORMER 100A:50mA For MULTIPLUS-II (VICTRON ENERGY)</v>
      </c>
      <c r="G508" s="25" t="str">
        <f>VLOOKUP(E508,'LISTA ITEMS'!$E$2:$G$875,3,FALSE)</f>
        <v>UND</v>
      </c>
      <c r="H508" s="74">
        <v>46083</v>
      </c>
      <c r="I508" s="75">
        <v>4</v>
      </c>
      <c r="J508" s="27"/>
      <c r="K508" s="70">
        <v>46098</v>
      </c>
      <c r="L508" s="67">
        <v>0</v>
      </c>
      <c r="M508" s="54">
        <v>46098</v>
      </c>
      <c r="N508" s="55">
        <v>0</v>
      </c>
      <c r="O508" s="70">
        <v>46098</v>
      </c>
      <c r="P508" s="71">
        <v>0</v>
      </c>
      <c r="Q508" s="36">
        <v>46098</v>
      </c>
      <c r="R508" s="26">
        <f t="shared" si="22"/>
        <v>4</v>
      </c>
      <c r="S508" s="85"/>
      <c r="T508" s="84"/>
      <c r="U508" s="27"/>
      <c r="V508" s="70"/>
      <c r="W508" s="67"/>
      <c r="X508" s="54"/>
      <c r="Y508" s="55"/>
      <c r="Z508" s="70"/>
      <c r="AA508" s="71"/>
      <c r="AB508" s="31"/>
      <c r="AC508" s="26">
        <f t="shared" si="23"/>
        <v>4</v>
      </c>
      <c r="AD508" s="25" t="s">
        <v>328</v>
      </c>
      <c r="AE508" s="25" t="s">
        <v>430</v>
      </c>
      <c r="AF508" s="48">
        <v>10</v>
      </c>
      <c r="AG508" s="48">
        <v>1</v>
      </c>
      <c r="AH508" s="48" t="s">
        <v>251</v>
      </c>
    </row>
    <row r="509" spans="1:34" x14ac:dyDescent="0.3">
      <c r="A509" s="65">
        <v>182</v>
      </c>
      <c r="B509" s="25">
        <v>16</v>
      </c>
      <c r="C509" s="25">
        <v>63</v>
      </c>
      <c r="D509" s="25">
        <v>360</v>
      </c>
      <c r="E509" s="30" t="str">
        <f t="shared" si="21"/>
        <v>16-63-360</v>
      </c>
      <c r="F509" s="13" t="str">
        <f>VLOOKUP(E509,'LISTA ITEMS'!$E$2:$G$875,2,FALSE)</f>
        <v>TORO IDAL MONOFASICO 100A/5mA (HUAWEI)</v>
      </c>
      <c r="G509" s="25" t="str">
        <f>VLOOKUP(E509,'LISTA ITEMS'!$E$2:$G$875,3,FALSE)</f>
        <v>UND</v>
      </c>
      <c r="H509" s="74">
        <v>46083</v>
      </c>
      <c r="I509" s="75">
        <v>2</v>
      </c>
      <c r="J509" s="27"/>
      <c r="K509" s="70">
        <v>46098</v>
      </c>
      <c r="L509" s="67">
        <v>0</v>
      </c>
      <c r="M509" s="54">
        <v>46098</v>
      </c>
      <c r="N509" s="55">
        <v>0</v>
      </c>
      <c r="O509" s="70">
        <v>46098</v>
      </c>
      <c r="P509" s="71">
        <v>0</v>
      </c>
      <c r="Q509" s="36">
        <v>46098</v>
      </c>
      <c r="R509" s="26">
        <f t="shared" si="22"/>
        <v>2</v>
      </c>
      <c r="S509" s="85"/>
      <c r="T509" s="84"/>
      <c r="U509" s="27"/>
      <c r="V509" s="70"/>
      <c r="W509" s="67"/>
      <c r="X509" s="54"/>
      <c r="Y509" s="55"/>
      <c r="Z509" s="70"/>
      <c r="AA509" s="71"/>
      <c r="AB509" s="31"/>
      <c r="AC509" s="26">
        <f t="shared" si="23"/>
        <v>2</v>
      </c>
      <c r="AD509" s="25"/>
      <c r="AE509" s="25"/>
      <c r="AF509" s="48">
        <v>10</v>
      </c>
      <c r="AG509" s="48">
        <v>1</v>
      </c>
      <c r="AH509" s="48" t="s">
        <v>252</v>
      </c>
    </row>
    <row r="510" spans="1:34" x14ac:dyDescent="0.3">
      <c r="A510" s="65">
        <v>183</v>
      </c>
      <c r="B510" s="25">
        <v>16</v>
      </c>
      <c r="C510" s="25">
        <v>63</v>
      </c>
      <c r="D510" s="25">
        <v>361</v>
      </c>
      <c r="E510" s="30" t="str">
        <f t="shared" si="21"/>
        <v>16-63-361</v>
      </c>
      <c r="F510" s="13" t="str">
        <f>VLOOKUP(E510,'LISTA ITEMS'!$E$2:$G$875,2,FALSE)</f>
        <v>TORO IDAL TRIFASICO 250A/5mA (HUAWEI)</v>
      </c>
      <c r="G510" s="25" t="str">
        <f>VLOOKUP(E510,'LISTA ITEMS'!$E$2:$G$875,3,FALSE)</f>
        <v>UND</v>
      </c>
      <c r="H510" s="74">
        <v>46083</v>
      </c>
      <c r="I510" s="75">
        <v>3</v>
      </c>
      <c r="J510" s="27"/>
      <c r="K510" s="70">
        <v>46098</v>
      </c>
      <c r="L510" s="67">
        <v>0</v>
      </c>
      <c r="M510" s="54">
        <v>46098</v>
      </c>
      <c r="N510" s="55">
        <v>0</v>
      </c>
      <c r="O510" s="70">
        <v>46098</v>
      </c>
      <c r="P510" s="71">
        <v>0</v>
      </c>
      <c r="Q510" s="36">
        <v>46098</v>
      </c>
      <c r="R510" s="26">
        <f t="shared" si="22"/>
        <v>3</v>
      </c>
      <c r="S510" s="85"/>
      <c r="T510" s="84"/>
      <c r="U510" s="27"/>
      <c r="V510" s="70"/>
      <c r="W510" s="67"/>
      <c r="X510" s="54"/>
      <c r="Y510" s="55"/>
      <c r="Z510" s="70"/>
      <c r="AA510" s="71"/>
      <c r="AB510" s="31"/>
      <c r="AC510" s="26">
        <f t="shared" si="23"/>
        <v>3</v>
      </c>
      <c r="AD510" s="25"/>
      <c r="AE510" s="25"/>
      <c r="AF510" s="47">
        <v>10</v>
      </c>
      <c r="AG510" s="47">
        <v>1</v>
      </c>
      <c r="AH510" s="47" t="s">
        <v>252</v>
      </c>
    </row>
    <row r="511" spans="1:34" x14ac:dyDescent="0.3">
      <c r="A511" s="65">
        <v>152</v>
      </c>
      <c r="B511" s="25">
        <v>9</v>
      </c>
      <c r="C511" s="25">
        <v>2</v>
      </c>
      <c r="D511" s="25">
        <v>291</v>
      </c>
      <c r="E511" s="30" t="str">
        <f t="shared" si="21"/>
        <v>9-2-291</v>
      </c>
      <c r="F511" s="13" t="str">
        <f>VLOOKUP(E511,'LISTA ITEMS'!$E$2:$G$875,2,FALSE)</f>
        <v>TUBO ELECTRICO PVC 25mm - 3mt(AISCAN)</v>
      </c>
      <c r="G511" s="25" t="str">
        <f>VLOOKUP(E511,'LISTA ITEMS'!$E$2:$G$875,3,FALSE)</f>
        <v>UND</v>
      </c>
      <c r="H511" s="74">
        <v>46083</v>
      </c>
      <c r="I511" s="75">
        <v>-35</v>
      </c>
      <c r="J511" s="27"/>
      <c r="K511" s="70">
        <v>46098</v>
      </c>
      <c r="L511" s="67">
        <v>13</v>
      </c>
      <c r="M511" s="54">
        <v>46098</v>
      </c>
      <c r="N511" s="55">
        <v>171</v>
      </c>
      <c r="O511" s="70">
        <v>46098</v>
      </c>
      <c r="P511" s="71">
        <v>55</v>
      </c>
      <c r="Q511" s="36">
        <v>46098</v>
      </c>
      <c r="R511" s="26">
        <f t="shared" si="22"/>
        <v>94</v>
      </c>
      <c r="S511" s="85"/>
      <c r="T511" s="84"/>
      <c r="U511" s="27"/>
      <c r="V511" s="70"/>
      <c r="W511" s="67"/>
      <c r="X511" s="54"/>
      <c r="Y511" s="55"/>
      <c r="Z511" s="70"/>
      <c r="AA511" s="71"/>
      <c r="AB511" s="31"/>
      <c r="AC511" s="26">
        <f t="shared" si="23"/>
        <v>94</v>
      </c>
      <c r="AD511" s="25"/>
      <c r="AE511" s="25"/>
      <c r="AF511" s="48" t="s">
        <v>315</v>
      </c>
      <c r="AG511" s="48" t="s">
        <v>119</v>
      </c>
      <c r="AH511" s="48" t="s">
        <v>316</v>
      </c>
    </row>
    <row r="512" spans="1:34" ht="28.8" x14ac:dyDescent="0.3">
      <c r="A512" s="65">
        <v>83</v>
      </c>
      <c r="B512" s="25">
        <v>8</v>
      </c>
      <c r="C512" s="25">
        <v>41</v>
      </c>
      <c r="D512" s="25">
        <v>265</v>
      </c>
      <c r="E512" s="30" t="str">
        <f t="shared" si="21"/>
        <v>8-41-265</v>
      </c>
      <c r="F512" s="13" t="str">
        <f>VLOOKUP(E512,'LISTA ITEMS'!$E$2:$G$875,2,FALSE)</f>
        <v>TUERCA HEXAGONAL CLASE RESISTENCIA DIN 934 M8 A/GALV.</v>
      </c>
      <c r="G512" s="25" t="str">
        <f>VLOOKUP(E512,'LISTA ITEMS'!$E$2:$G$875,3,FALSE)</f>
        <v>UND</v>
      </c>
      <c r="H512" s="74">
        <v>46083</v>
      </c>
      <c r="I512" s="75">
        <v>1500</v>
      </c>
      <c r="J512" s="27"/>
      <c r="K512" s="70">
        <v>46098</v>
      </c>
      <c r="L512" s="67">
        <v>0</v>
      </c>
      <c r="M512" s="54">
        <v>46098</v>
      </c>
      <c r="N512" s="55">
        <v>0</v>
      </c>
      <c r="O512" s="70">
        <v>46098</v>
      </c>
      <c r="P512" s="71">
        <v>0</v>
      </c>
      <c r="Q512" s="36">
        <v>46098</v>
      </c>
      <c r="R512" s="26">
        <f t="shared" si="22"/>
        <v>1500</v>
      </c>
      <c r="S512" s="85"/>
      <c r="T512" s="84"/>
      <c r="U512" s="27"/>
      <c r="V512" s="70"/>
      <c r="W512" s="67"/>
      <c r="X512" s="54"/>
      <c r="Y512" s="55"/>
      <c r="Z512" s="70"/>
      <c r="AA512" s="71"/>
      <c r="AB512" s="31"/>
      <c r="AC512" s="26">
        <f t="shared" si="23"/>
        <v>1500</v>
      </c>
      <c r="AD512" s="25"/>
      <c r="AE512" s="25"/>
      <c r="AF512" s="48">
        <v>7</v>
      </c>
      <c r="AG512" s="48">
        <v>2</v>
      </c>
      <c r="AH512" s="48" t="s">
        <v>45</v>
      </c>
    </row>
    <row r="513" spans="1:36" ht="28.8" x14ac:dyDescent="0.3">
      <c r="A513" s="65">
        <v>233</v>
      </c>
      <c r="B513" s="25">
        <v>7</v>
      </c>
      <c r="C513" s="25">
        <v>85</v>
      </c>
      <c r="D513" s="25">
        <v>413</v>
      </c>
      <c r="E513" s="30" t="str">
        <f t="shared" si="21"/>
        <v>7-85-413</v>
      </c>
      <c r="F513" s="13" t="str">
        <f>VLOOKUP(E513,'LISTA ITEMS'!$E$2:$G$875,2,FALSE)</f>
        <v>UNIDAD EXTERIOR DE BAMBA DE CALOR WH-UD12HE5 (PANASONIC)</v>
      </c>
      <c r="G513" s="25" t="str">
        <f>VLOOKUP(E513,'LISTA ITEMS'!$E$2:$G$875,3,FALSE)</f>
        <v>UND</v>
      </c>
      <c r="H513" s="74">
        <v>46083</v>
      </c>
      <c r="I513" s="75">
        <v>2</v>
      </c>
      <c r="J513" s="27"/>
      <c r="K513" s="70">
        <v>46098</v>
      </c>
      <c r="L513" s="67">
        <v>0</v>
      </c>
      <c r="M513" s="54">
        <v>46098</v>
      </c>
      <c r="N513" s="55">
        <v>0</v>
      </c>
      <c r="O513" s="70">
        <v>46098</v>
      </c>
      <c r="P513" s="71">
        <v>0</v>
      </c>
      <c r="Q513" s="36">
        <v>46098</v>
      </c>
      <c r="R513" s="26">
        <f t="shared" si="22"/>
        <v>2</v>
      </c>
      <c r="S513" s="85"/>
      <c r="T513" s="84"/>
      <c r="U513" s="27"/>
      <c r="V513" s="70"/>
      <c r="W513" s="67"/>
      <c r="X513" s="54"/>
      <c r="Y513" s="55"/>
      <c r="Z513" s="70"/>
      <c r="AA513" s="71"/>
      <c r="AB513" s="31"/>
      <c r="AC513" s="26">
        <f t="shared" si="23"/>
        <v>2</v>
      </c>
      <c r="AD513" s="25"/>
      <c r="AE513" s="25"/>
      <c r="AF513" s="13"/>
      <c r="AG513" s="13"/>
      <c r="AH513" s="13"/>
    </row>
    <row r="514" spans="1:36" ht="28.8" x14ac:dyDescent="0.3">
      <c r="A514" s="65">
        <v>208</v>
      </c>
      <c r="B514" s="25">
        <v>16</v>
      </c>
      <c r="C514" s="25">
        <v>10</v>
      </c>
      <c r="D514" s="25">
        <v>386</v>
      </c>
      <c r="E514" s="30" t="str">
        <f t="shared" si="21"/>
        <v>16-10-386</v>
      </c>
      <c r="F514" s="13" t="str">
        <f>VLOOKUP(E514,'LISTA ITEMS'!$E$2:$G$875,2,FALSE)</f>
        <v>VALVULA 3 VIAS 3/4 M-M 313134 P/FANCOIS (WATTS)</v>
      </c>
      <c r="G514" s="25" t="str">
        <f>VLOOKUP(E514,'LISTA ITEMS'!$E$2:$G$875,3,FALSE)</f>
        <v>UND</v>
      </c>
      <c r="H514" s="74">
        <v>46083</v>
      </c>
      <c r="I514" s="75">
        <v>6</v>
      </c>
      <c r="J514" s="27"/>
      <c r="K514" s="70">
        <v>46098</v>
      </c>
      <c r="L514" s="67">
        <v>0</v>
      </c>
      <c r="M514" s="54">
        <v>46098</v>
      </c>
      <c r="N514" s="55">
        <v>0</v>
      </c>
      <c r="O514" s="70">
        <v>46098</v>
      </c>
      <c r="P514" s="71">
        <v>0</v>
      </c>
      <c r="Q514" s="36">
        <v>46098</v>
      </c>
      <c r="R514" s="26">
        <f t="shared" si="22"/>
        <v>6</v>
      </c>
      <c r="S514" s="85"/>
      <c r="T514" s="84"/>
      <c r="U514" s="27"/>
      <c r="V514" s="70"/>
      <c r="W514" s="67"/>
      <c r="X514" s="54"/>
      <c r="Y514" s="55"/>
      <c r="Z514" s="70"/>
      <c r="AA514" s="71"/>
      <c r="AB514" s="31"/>
      <c r="AC514" s="26">
        <f t="shared" si="23"/>
        <v>6</v>
      </c>
      <c r="AD514" s="25"/>
      <c r="AE514" s="25"/>
      <c r="AF514" s="13"/>
      <c r="AG514" s="13"/>
      <c r="AH514" s="13"/>
    </row>
    <row r="515" spans="1:36" x14ac:dyDescent="0.3">
      <c r="A515" s="65">
        <v>571</v>
      </c>
      <c r="B515" s="25" t="s">
        <v>9</v>
      </c>
      <c r="C515" s="25" t="s">
        <v>9</v>
      </c>
      <c r="D515" s="25" t="s">
        <v>9</v>
      </c>
      <c r="E515" s="30" t="s">
        <v>9</v>
      </c>
      <c r="F515" s="13" t="s">
        <v>9</v>
      </c>
      <c r="G515" s="25" t="s">
        <v>9</v>
      </c>
      <c r="H515" s="76" t="s">
        <v>9</v>
      </c>
      <c r="I515" s="75">
        <v>0</v>
      </c>
      <c r="J515" s="27" t="s">
        <v>9</v>
      </c>
      <c r="K515" s="13" t="s">
        <v>9</v>
      </c>
      <c r="L515" s="67">
        <f>SUM(L512:L514)</f>
        <v>0</v>
      </c>
      <c r="M515" s="56" t="s">
        <v>9</v>
      </c>
      <c r="N515" s="67">
        <f>SUM(N512:N514)</f>
        <v>0</v>
      </c>
      <c r="O515" s="13" t="s">
        <v>9</v>
      </c>
      <c r="P515" s="71" t="s">
        <v>9</v>
      </c>
      <c r="Q515" s="31" t="s">
        <v>9</v>
      </c>
      <c r="R515" s="26" t="s">
        <v>9</v>
      </c>
      <c r="S515" s="85" t="s">
        <v>9</v>
      </c>
      <c r="T515" s="84" t="s">
        <v>9</v>
      </c>
      <c r="U515" s="27" t="s">
        <v>9</v>
      </c>
      <c r="V515" s="13" t="s">
        <v>9</v>
      </c>
      <c r="W515" s="67" t="s">
        <v>9</v>
      </c>
      <c r="X515" s="56" t="s">
        <v>9</v>
      </c>
      <c r="Y515" s="56" t="s">
        <v>9</v>
      </c>
      <c r="Z515" s="13" t="s">
        <v>9</v>
      </c>
      <c r="AA515" s="71" t="s">
        <v>9</v>
      </c>
      <c r="AB515" s="31" t="s">
        <v>9</v>
      </c>
      <c r="AC515" s="26" t="s">
        <v>9</v>
      </c>
      <c r="AD515" s="25" t="s">
        <v>9</v>
      </c>
      <c r="AE515" s="25" t="s">
        <v>9</v>
      </c>
      <c r="AF515" s="13" t="s">
        <v>9</v>
      </c>
      <c r="AG515" s="13" t="s">
        <v>9</v>
      </c>
      <c r="AH515" s="13" t="s">
        <v>9</v>
      </c>
      <c r="AI515" s="2" t="s">
        <v>9</v>
      </c>
      <c r="AJ515" s="2" t="s">
        <v>9</v>
      </c>
    </row>
    <row r="516" spans="1:36" x14ac:dyDescent="0.3">
      <c r="I516" s="81"/>
      <c r="L516" s="79"/>
      <c r="N516" s="82">
        <v>12</v>
      </c>
      <c r="P516" s="80"/>
      <c r="W516" s="79"/>
      <c r="Y516" s="82">
        <v>12</v>
      </c>
      <c r="AA516" s="80"/>
    </row>
    <row r="517" spans="1:36" x14ac:dyDescent="0.3">
      <c r="I517" s="81"/>
      <c r="L517" s="79"/>
      <c r="N517" s="82">
        <v>4640</v>
      </c>
      <c r="P517" s="80"/>
      <c r="W517" s="79"/>
      <c r="Y517" s="82">
        <v>4640</v>
      </c>
      <c r="AA517" s="80"/>
    </row>
    <row r="544" spans="5:36" s="1" customFormat="1" x14ac:dyDescent="0.3">
      <c r="E544" s="3"/>
      <c r="F544" s="2"/>
      <c r="G544" s="32"/>
      <c r="H544" s="2"/>
      <c r="I544" s="34"/>
      <c r="J544" s="2"/>
      <c r="K544" s="2"/>
      <c r="L544" s="68"/>
      <c r="M544" s="2"/>
      <c r="N544" s="33"/>
      <c r="O544" s="2"/>
      <c r="P544" s="72"/>
      <c r="Q544" s="2"/>
      <c r="R544" s="2"/>
      <c r="S544" s="2"/>
      <c r="T544" s="2"/>
      <c r="U544" s="2"/>
      <c r="V544" s="2"/>
      <c r="W544" s="68"/>
      <c r="X544" s="2"/>
      <c r="Y544" s="33"/>
      <c r="Z544" s="2"/>
      <c r="AA544" s="72"/>
      <c r="AB544" s="2"/>
      <c r="AC544" s="2"/>
      <c r="AG544" s="1">
        <v>2</v>
      </c>
      <c r="AI544" s="2"/>
      <c r="AJ544" s="2"/>
    </row>
  </sheetData>
  <autoFilter ref="A3:AH517" xr:uid="{A38B47D7-F60E-41A1-A90D-7C42107FF128}">
    <sortState xmlns:xlrd2="http://schemas.microsoft.com/office/spreadsheetml/2017/richdata2" ref="A4:AH517">
      <sortCondition ref="F3:F517"/>
    </sortState>
  </autoFilter>
  <mergeCells count="15">
    <mergeCell ref="AF2:AH2"/>
    <mergeCell ref="K1:R1"/>
    <mergeCell ref="V1:AC1"/>
    <mergeCell ref="A2:C2"/>
    <mergeCell ref="D2:F2"/>
    <mergeCell ref="H2:I2"/>
    <mergeCell ref="K2:L2"/>
    <mergeCell ref="M2:N2"/>
    <mergeCell ref="O2:P2"/>
    <mergeCell ref="Q2:R2"/>
    <mergeCell ref="S2:T2"/>
    <mergeCell ref="V2:W2"/>
    <mergeCell ref="X2:Y2"/>
    <mergeCell ref="Z2:AA2"/>
    <mergeCell ref="AB2:AC2"/>
  </mergeCells>
  <conditionalFormatting sqref="E1:E1048576">
    <cfRule type="duplicateValues" dxfId="3" priority="1"/>
    <cfRule type="duplicateValues" dxfId="2" priority="2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678CB-0BC0-4E89-9443-E3269C00BFFC}">
  <sheetPr>
    <tabColor theme="1"/>
  </sheetPr>
  <dimension ref="A1:R54"/>
  <sheetViews>
    <sheetView zoomScale="85" zoomScaleNormal="85" workbookViewId="0">
      <pane xSplit="6" ySplit="2" topLeftCell="H8" activePane="bottomRight" state="frozen"/>
      <selection pane="topRight" activeCell="G1" sqref="G1"/>
      <selection pane="bottomLeft" activeCell="A3" sqref="A3"/>
      <selection pane="bottomRight" activeCell="J18" sqref="J18"/>
    </sheetView>
  </sheetViews>
  <sheetFormatPr baseColWidth="10" defaultRowHeight="14.4" x14ac:dyDescent="0.3"/>
  <cols>
    <col min="1" max="1" width="5.88671875" style="1" bestFit="1" customWidth="1"/>
    <col min="2" max="2" width="7.21875" style="1" customWidth="1"/>
    <col min="3" max="3" width="11.33203125" style="1" customWidth="1"/>
    <col min="4" max="4" width="5.6640625" style="1" customWidth="1"/>
    <col min="5" max="5" width="14" style="142" bestFit="1" customWidth="1"/>
    <col min="6" max="6" width="40.5546875" style="2" customWidth="1"/>
    <col min="7" max="7" width="11.5546875" style="32"/>
    <col min="8" max="8" width="7.5546875" style="2" customWidth="1"/>
    <col min="9" max="9" width="8.21875" style="2" customWidth="1"/>
    <col min="10" max="10" width="19.109375" style="1" customWidth="1"/>
    <col min="11" max="13" width="11.5546875" style="139"/>
    <col min="14" max="16384" width="11.5546875" style="2"/>
  </cols>
  <sheetData>
    <row r="1" spans="1:13" s="29" customFormat="1" ht="28.8" customHeight="1" x14ac:dyDescent="0.3">
      <c r="A1" s="128" t="s">
        <v>106</v>
      </c>
      <c r="B1" s="129"/>
      <c r="C1" s="130"/>
      <c r="D1" s="131" t="s">
        <v>132</v>
      </c>
      <c r="E1" s="143"/>
      <c r="F1" s="133"/>
      <c r="G1" s="18"/>
      <c r="H1" s="137" t="s">
        <v>466</v>
      </c>
      <c r="I1" s="138"/>
      <c r="J1" s="24"/>
      <c r="K1" s="140" t="s">
        <v>490</v>
      </c>
      <c r="L1" s="140"/>
      <c r="M1" s="140"/>
    </row>
    <row r="2" spans="1:13" s="24" customFormat="1" ht="28.8" x14ac:dyDescent="0.3">
      <c r="A2" s="19" t="s">
        <v>11</v>
      </c>
      <c r="B2" s="19" t="s">
        <v>1</v>
      </c>
      <c r="C2" s="19" t="s">
        <v>2</v>
      </c>
      <c r="D2" s="19" t="s">
        <v>3</v>
      </c>
      <c r="E2" s="144" t="s">
        <v>4</v>
      </c>
      <c r="F2" s="19" t="s">
        <v>5</v>
      </c>
      <c r="G2" s="7" t="s">
        <v>6</v>
      </c>
      <c r="H2" s="86" t="s">
        <v>54</v>
      </c>
      <c r="I2" s="87" t="s">
        <v>7</v>
      </c>
      <c r="J2" s="19" t="s">
        <v>469</v>
      </c>
      <c r="K2" s="141" t="s">
        <v>335</v>
      </c>
      <c r="L2" s="141" t="s">
        <v>249</v>
      </c>
      <c r="M2" s="141" t="s">
        <v>250</v>
      </c>
    </row>
    <row r="3" spans="1:13" ht="31.8" customHeight="1" x14ac:dyDescent="0.3">
      <c r="A3" s="65">
        <v>97</v>
      </c>
      <c r="B3" s="25">
        <v>7</v>
      </c>
      <c r="C3" s="25">
        <v>54</v>
      </c>
      <c r="D3" s="25">
        <v>295</v>
      </c>
      <c r="E3" s="145" t="str">
        <f>CONCATENATE(B3,"-",C3,"-",D3)</f>
        <v>7-54-295</v>
      </c>
      <c r="F3" s="150" t="str">
        <f>VLOOKUP(E3,'LISTA ITEMS'!$E$2:$G$875,2,FALSE)</f>
        <v>BATERIA LFP LITHIUM DL5.OC (DYNESS)</v>
      </c>
      <c r="G3" s="25" t="str">
        <f>VLOOKUP(E3,'LISTA ITEMS'!$E$2:$G$875,3,FALSE)</f>
        <v>UND</v>
      </c>
      <c r="H3" s="85">
        <v>46104</v>
      </c>
      <c r="I3" s="149">
        <v>5</v>
      </c>
      <c r="J3" s="25"/>
      <c r="K3" s="146">
        <v>6</v>
      </c>
      <c r="L3" s="146" t="s">
        <v>119</v>
      </c>
      <c r="M3" s="146" t="s">
        <v>316</v>
      </c>
    </row>
    <row r="4" spans="1:13" ht="31.8" customHeight="1" x14ac:dyDescent="0.3">
      <c r="A4" s="65">
        <v>243</v>
      </c>
      <c r="B4" s="25">
        <v>7</v>
      </c>
      <c r="C4" s="25">
        <v>54</v>
      </c>
      <c r="D4" s="25">
        <v>423</v>
      </c>
      <c r="E4" s="30" t="s">
        <v>492</v>
      </c>
      <c r="F4" s="148" t="s">
        <v>491</v>
      </c>
      <c r="G4" s="25" t="s">
        <v>10</v>
      </c>
      <c r="H4" s="85">
        <v>46104</v>
      </c>
      <c r="I4" s="149">
        <v>8</v>
      </c>
      <c r="J4" s="25"/>
      <c r="K4" s="146" t="s">
        <v>418</v>
      </c>
      <c r="L4" s="146" t="s">
        <v>488</v>
      </c>
      <c r="M4" s="146" t="s">
        <v>316</v>
      </c>
    </row>
    <row r="5" spans="1:13" ht="31.8" customHeight="1" x14ac:dyDescent="0.3">
      <c r="A5" s="65">
        <v>115</v>
      </c>
      <c r="B5" s="25">
        <v>7</v>
      </c>
      <c r="C5" s="25">
        <v>54</v>
      </c>
      <c r="D5" s="25">
        <v>323</v>
      </c>
      <c r="E5" s="145" t="str">
        <f>CONCATENATE(B5,"-",C5,"-",D5)</f>
        <v>7-54-323</v>
      </c>
      <c r="F5" s="150" t="str">
        <f>VLOOKUP(E5,'LISTA ITEMS'!$E$2:$G$875,2,FALSE)</f>
        <v>BATERIA LPF LITHIUM B3 48V 3.6kWh (DYNESS)</v>
      </c>
      <c r="G5" s="25" t="str">
        <f>VLOOKUP(E5,'LISTA ITEMS'!$E$2:$G$875,3,FALSE)</f>
        <v>UND</v>
      </c>
      <c r="H5" s="85">
        <v>46104</v>
      </c>
      <c r="I5" s="149">
        <v>1</v>
      </c>
      <c r="J5" s="25"/>
      <c r="K5" s="146" t="s">
        <v>418</v>
      </c>
      <c r="L5" s="146" t="s">
        <v>488</v>
      </c>
      <c r="M5" s="146" t="s">
        <v>316</v>
      </c>
    </row>
    <row r="6" spans="1:13" ht="31.8" customHeight="1" x14ac:dyDescent="0.3">
      <c r="A6" s="65">
        <v>226</v>
      </c>
      <c r="B6" s="25">
        <v>7</v>
      </c>
      <c r="C6" s="25">
        <v>54</v>
      </c>
      <c r="D6" s="25">
        <v>404</v>
      </c>
      <c r="E6" s="145" t="str">
        <f>CONCATENATE(B6,"-",C6,"-",D6)</f>
        <v>7-54-404</v>
      </c>
      <c r="F6" s="148" t="str">
        <f>VLOOKUP(E6,'LISTA ITEMS'!$E$2:$G$875,2,FALSE)</f>
        <v>BATERIA RECARGABLE LITHIUM DL10 POWERBOX G2 (DYNESS)</v>
      </c>
      <c r="G6" s="25" t="str">
        <f>VLOOKUP(E6,'LISTA ITEMS'!$E$2:$G$875,3,FALSE)</f>
        <v>UND</v>
      </c>
      <c r="H6" s="85">
        <v>46104</v>
      </c>
      <c r="I6" s="149">
        <v>1</v>
      </c>
      <c r="J6" s="52"/>
      <c r="K6" s="146" t="s">
        <v>418</v>
      </c>
      <c r="L6" s="146" t="s">
        <v>488</v>
      </c>
      <c r="M6" s="147" t="s">
        <v>316</v>
      </c>
    </row>
    <row r="7" spans="1:13" ht="31.8" customHeight="1" x14ac:dyDescent="0.3">
      <c r="A7" s="65">
        <v>205</v>
      </c>
      <c r="B7" s="25">
        <v>16</v>
      </c>
      <c r="C7" s="25">
        <v>45</v>
      </c>
      <c r="D7" s="25">
        <v>383</v>
      </c>
      <c r="E7" s="145" t="str">
        <f>CONCATENATE(B7,"-",C7,"-",D7)</f>
        <v>16-45-383</v>
      </c>
      <c r="F7" s="148" t="str">
        <f>VLOOKUP(E7,'LISTA ITEMS'!$E$2:$G$875,2,FALSE)</f>
        <v xml:space="preserve">CAJA BLANCA P/BATERIA (DYNNES) </v>
      </c>
      <c r="G7" s="25" t="str">
        <f>VLOOKUP(E7,'LISTA ITEMS'!$E$2:$G$875,3,FALSE)</f>
        <v>UND</v>
      </c>
      <c r="H7" s="85">
        <v>46104</v>
      </c>
      <c r="I7" s="149">
        <v>3</v>
      </c>
      <c r="J7" s="25"/>
      <c r="K7" s="146">
        <v>6</v>
      </c>
      <c r="L7" s="146" t="s">
        <v>488</v>
      </c>
      <c r="M7" s="147" t="s">
        <v>316</v>
      </c>
    </row>
    <row r="8" spans="1:13" ht="31.8" customHeight="1" x14ac:dyDescent="0.3">
      <c r="A8" s="65">
        <v>180</v>
      </c>
      <c r="B8" s="25">
        <v>7</v>
      </c>
      <c r="C8" s="25">
        <v>35</v>
      </c>
      <c r="D8" s="25">
        <v>286</v>
      </c>
      <c r="E8" s="145" t="str">
        <f>CONCATENATE(B8,"-",C8,"-",D8)</f>
        <v>7-35-286</v>
      </c>
      <c r="F8" s="150" t="str">
        <f>VLOOKUP(E8,'LISTA ITEMS'!$E$2:$G$875,2,FALSE)</f>
        <v>INVERSOR SPH 6000TL BL-UP 6KW (GROWATT)</v>
      </c>
      <c r="G8" s="25" t="str">
        <f>VLOOKUP(E8,'LISTA ITEMS'!$E$2:$G$875,3,FALSE)</f>
        <v>UND</v>
      </c>
      <c r="H8" s="85">
        <v>46104</v>
      </c>
      <c r="I8" s="149">
        <v>8</v>
      </c>
      <c r="J8" s="25"/>
      <c r="K8" s="146">
        <v>6</v>
      </c>
      <c r="L8" s="146" t="s">
        <v>119</v>
      </c>
      <c r="M8" s="146" t="s">
        <v>316</v>
      </c>
    </row>
    <row r="9" spans="1:13" ht="31.8" customHeight="1" x14ac:dyDescent="0.3">
      <c r="A9" s="65">
        <v>55</v>
      </c>
      <c r="B9" s="25">
        <v>7</v>
      </c>
      <c r="C9" s="25">
        <v>38</v>
      </c>
      <c r="D9" s="25">
        <v>237</v>
      </c>
      <c r="E9" s="145" t="str">
        <f>CONCATENATE(B9,"-",C9,"-",D9)</f>
        <v>7-38-237</v>
      </c>
      <c r="F9" s="148" t="str">
        <f>VLOOKUP(E9,'LISTA ITEMS'!$E$2:$G$875,2,FALSE)</f>
        <v>PLACA SOLAR CS6.1-60TB-505 505W / 43.4V</v>
      </c>
      <c r="G9" s="25" t="str">
        <f>VLOOKUP(E9,'LISTA ITEMS'!$E$2:$G$875,3,FALSE)</f>
        <v>UND</v>
      </c>
      <c r="H9" s="85">
        <v>46104</v>
      </c>
      <c r="I9" s="149">
        <v>2</v>
      </c>
      <c r="J9" s="25" t="s">
        <v>486</v>
      </c>
      <c r="K9" s="146">
        <v>5</v>
      </c>
      <c r="L9" s="146" t="s">
        <v>366</v>
      </c>
      <c r="M9" s="146">
        <v>1</v>
      </c>
    </row>
    <row r="10" spans="1:13" ht="31.8" customHeight="1" x14ac:dyDescent="0.3">
      <c r="A10" s="65">
        <v>53</v>
      </c>
      <c r="B10" s="25">
        <v>7</v>
      </c>
      <c r="C10" s="25">
        <v>38</v>
      </c>
      <c r="D10" s="25">
        <v>235</v>
      </c>
      <c r="E10" s="145" t="str">
        <f>CONCATENATE(B10,"-",C10,"-",D10)</f>
        <v>7-38-235</v>
      </c>
      <c r="F10" s="148" t="str">
        <f>VLOOKUP(E10,'LISTA ITEMS'!$E$2:$G$875,2,FALSE)</f>
        <v>PLACA SOLAR CS6L-450MS 450W / 34.4V</v>
      </c>
      <c r="G10" s="25" t="str">
        <f>VLOOKUP(E10,'LISTA ITEMS'!$E$2:$G$875,3,FALSE)</f>
        <v>UND</v>
      </c>
      <c r="H10" s="85">
        <v>46104</v>
      </c>
      <c r="I10" s="149">
        <v>1</v>
      </c>
      <c r="J10" s="25" t="s">
        <v>486</v>
      </c>
      <c r="K10" s="146">
        <v>5</v>
      </c>
      <c r="L10" s="146" t="s">
        <v>366</v>
      </c>
      <c r="M10" s="146">
        <v>5</v>
      </c>
    </row>
    <row r="11" spans="1:13" ht="31.8" customHeight="1" x14ac:dyDescent="0.3">
      <c r="A11" s="65">
        <v>60</v>
      </c>
      <c r="B11" s="25">
        <v>7</v>
      </c>
      <c r="C11" s="25">
        <v>38</v>
      </c>
      <c r="D11" s="25">
        <v>242</v>
      </c>
      <c r="E11" s="145" t="str">
        <f>CONCATENATE(B11,"-",C11,"-",D11)</f>
        <v>7-38-242</v>
      </c>
      <c r="F11" s="148" t="str">
        <f>VLOOKUP(E11,'LISTA ITEMS'!$E$2:$G$875,2,FALSE)</f>
        <v>PLACA SOLAR CS6W-585T 585W / 52.4V</v>
      </c>
      <c r="G11" s="25" t="str">
        <f>VLOOKUP(E11,'LISTA ITEMS'!$E$2:$G$875,3,FALSE)</f>
        <v>UND</v>
      </c>
      <c r="H11" s="85">
        <v>46104</v>
      </c>
      <c r="I11" s="149">
        <v>3</v>
      </c>
      <c r="J11" s="25" t="s">
        <v>487</v>
      </c>
      <c r="K11" s="146">
        <v>5</v>
      </c>
      <c r="L11" s="146" t="s">
        <v>366</v>
      </c>
      <c r="M11" s="146">
        <v>5</v>
      </c>
    </row>
    <row r="12" spans="1:13" ht="31.8" hidden="1" customHeight="1" x14ac:dyDescent="0.3">
      <c r="A12" s="65">
        <v>52</v>
      </c>
      <c r="B12" s="25">
        <v>7</v>
      </c>
      <c r="C12" s="25">
        <v>38</v>
      </c>
      <c r="D12" s="25">
        <v>234</v>
      </c>
      <c r="E12" s="145" t="str">
        <f>CONCATENATE(B12,"-",C12,"-",D12)</f>
        <v>7-38-234</v>
      </c>
      <c r="F12" s="148" t="str">
        <f>VLOOKUP(E12,'LISTA ITEMS'!$E$2:$G$875,2,FALSE)</f>
        <v>PLACA SOLAR CSP-6P-345W / 38.3C</v>
      </c>
      <c r="G12" s="25" t="str">
        <f>VLOOKUP(E12,'LISTA ITEMS'!$E$2:$G$875,3,FALSE)</f>
        <v>UND</v>
      </c>
      <c r="H12" s="85">
        <v>46104</v>
      </c>
      <c r="I12" s="149">
        <v>1</v>
      </c>
      <c r="J12" s="25" t="s">
        <v>487</v>
      </c>
      <c r="K12" s="146">
        <v>5</v>
      </c>
      <c r="L12" s="146" t="s">
        <v>366</v>
      </c>
      <c r="M12" s="146">
        <v>4</v>
      </c>
    </row>
    <row r="13" spans="1:13" ht="31.8" hidden="1" customHeight="1" x14ac:dyDescent="0.3">
      <c r="A13" s="65">
        <v>51</v>
      </c>
      <c r="B13" s="25">
        <v>7</v>
      </c>
      <c r="C13" s="25">
        <v>38</v>
      </c>
      <c r="D13" s="25">
        <v>233</v>
      </c>
      <c r="E13" s="145" t="str">
        <f>CONCATENATE(B13,"-",C13,"-",D13)</f>
        <v>7-38-233</v>
      </c>
      <c r="F13" s="148" t="str">
        <f>VLOOKUP(E13,'LISTA ITEMS'!$E$2:$G$875,2,FALSE)</f>
        <v>PLACA SOLAR EX-275P-60 275W / 31.50V</v>
      </c>
      <c r="G13" s="25" t="str">
        <f>VLOOKUP(E13,'LISTA ITEMS'!$E$2:$G$875,3,FALSE)</f>
        <v>UND</v>
      </c>
      <c r="H13" s="85">
        <v>46104</v>
      </c>
      <c r="I13" s="149">
        <v>1</v>
      </c>
      <c r="J13" s="25" t="s">
        <v>487</v>
      </c>
      <c r="K13" s="146">
        <v>5</v>
      </c>
      <c r="L13" s="146" t="s">
        <v>366</v>
      </c>
      <c r="M13" s="146">
        <v>3</v>
      </c>
    </row>
    <row r="14" spans="1:13" ht="31.8" customHeight="1" x14ac:dyDescent="0.3">
      <c r="A14" s="65">
        <v>65</v>
      </c>
      <c r="B14" s="25">
        <v>7</v>
      </c>
      <c r="C14" s="25">
        <v>38</v>
      </c>
      <c r="D14" s="25">
        <v>247</v>
      </c>
      <c r="E14" s="145" t="str">
        <f>CONCATENATE(B14,"-",C14,"-",D14)</f>
        <v>7-38-247</v>
      </c>
      <c r="F14" s="150" t="str">
        <f>VLOOKUP(E14,'LISTA ITEMS'!$E$2:$G$875,2,FALSE)</f>
        <v>PLACA SOLAR JAM60D42-535LB 535W / 44.13V</v>
      </c>
      <c r="G14" s="25" t="str">
        <f>VLOOKUP(E14,'LISTA ITEMS'!$E$2:$G$875,3,FALSE)</f>
        <v>UND</v>
      </c>
      <c r="H14" s="85">
        <v>46104</v>
      </c>
      <c r="I14" s="149">
        <f>3*36+11</f>
        <v>119</v>
      </c>
      <c r="J14" s="25" t="s">
        <v>486</v>
      </c>
      <c r="K14" s="146">
        <v>6</v>
      </c>
      <c r="L14" s="146" t="s">
        <v>119</v>
      </c>
      <c r="M14" s="146" t="s">
        <v>316</v>
      </c>
    </row>
    <row r="15" spans="1:13" ht="31.8" customHeight="1" x14ac:dyDescent="0.3">
      <c r="A15" s="65">
        <v>54</v>
      </c>
      <c r="B15" s="25">
        <v>7</v>
      </c>
      <c r="C15" s="25">
        <v>38</v>
      </c>
      <c r="D15" s="25">
        <v>236</v>
      </c>
      <c r="E15" s="145" t="str">
        <f>CONCATENATE(B15,"-",C15,"-",D15)</f>
        <v>7-38-236</v>
      </c>
      <c r="F15" s="148" t="str">
        <f>VLOOKUP(E15,'LISTA ITEMS'!$E$2:$G$875,2,FALSE)</f>
        <v>PLACA SOLAR JAM66S30-505MR 505W / 45.72V</v>
      </c>
      <c r="G15" s="25" t="str">
        <f>VLOOKUP(E15,'LISTA ITEMS'!$E$2:$G$875,3,FALSE)</f>
        <v>UND</v>
      </c>
      <c r="H15" s="85">
        <v>46104</v>
      </c>
      <c r="I15" s="149">
        <v>1</v>
      </c>
      <c r="J15" s="25" t="s">
        <v>487</v>
      </c>
      <c r="K15" s="146">
        <v>5</v>
      </c>
      <c r="L15" s="146" t="s">
        <v>366</v>
      </c>
      <c r="M15" s="146">
        <v>2</v>
      </c>
    </row>
    <row r="16" spans="1:13" ht="31.8" customHeight="1" x14ac:dyDescent="0.3">
      <c r="A16" s="65">
        <v>58</v>
      </c>
      <c r="B16" s="25">
        <v>7</v>
      </c>
      <c r="C16" s="25">
        <v>38</v>
      </c>
      <c r="D16" s="25">
        <v>240</v>
      </c>
      <c r="E16" s="145" t="str">
        <f>CONCATENATE(B16,"-",C16,"-",D16)</f>
        <v>7-38-240</v>
      </c>
      <c r="F16" s="148" t="str">
        <f>VLOOKUP(E16,'LISTA ITEMS'!$E$2:$G$875,2,FALSE)</f>
        <v>PLACA SOLAR JAM72D30-545MB 545W / 49.75V</v>
      </c>
      <c r="G16" s="25" t="str">
        <f>VLOOKUP(E16,'LISTA ITEMS'!$E$2:$G$875,3,FALSE)</f>
        <v>UND</v>
      </c>
      <c r="H16" s="85">
        <v>46104</v>
      </c>
      <c r="I16" s="149">
        <v>1</v>
      </c>
      <c r="J16" s="25" t="s">
        <v>487</v>
      </c>
      <c r="K16" s="146">
        <v>5</v>
      </c>
      <c r="L16" s="146" t="s">
        <v>366</v>
      </c>
      <c r="M16" s="146">
        <v>8</v>
      </c>
    </row>
    <row r="17" spans="1:13" ht="31.8" customHeight="1" x14ac:dyDescent="0.3">
      <c r="A17" s="65">
        <v>63</v>
      </c>
      <c r="B17" s="25">
        <v>7</v>
      </c>
      <c r="C17" s="25">
        <v>38</v>
      </c>
      <c r="D17" s="25">
        <v>245</v>
      </c>
      <c r="E17" s="145" t="str">
        <f>CONCATENATE(B17,"-",C17,"-",D17)</f>
        <v>7-38-245</v>
      </c>
      <c r="F17" s="148" t="str">
        <f>VLOOKUP(E17,'LISTA ITEMS'!$E$2:$G$875,2,FALSE)</f>
        <v>PLACA SOLAR JAM72D40-590MB 590W / 52.37V</v>
      </c>
      <c r="G17" s="25" t="str">
        <f>VLOOKUP(E17,'LISTA ITEMS'!$E$2:$G$875,3,FALSE)</f>
        <v>UND</v>
      </c>
      <c r="H17" s="85">
        <v>46104</v>
      </c>
      <c r="I17" s="149">
        <v>2</v>
      </c>
      <c r="J17" s="25" t="s">
        <v>487</v>
      </c>
      <c r="K17" s="146">
        <v>5</v>
      </c>
      <c r="L17" s="146" t="s">
        <v>366</v>
      </c>
      <c r="M17" s="146">
        <v>3</v>
      </c>
    </row>
    <row r="18" spans="1:13" ht="31.8" customHeight="1" x14ac:dyDescent="0.3">
      <c r="A18" s="65">
        <v>67</v>
      </c>
      <c r="B18" s="25">
        <v>7</v>
      </c>
      <c r="C18" s="25">
        <v>38</v>
      </c>
      <c r="D18" s="25">
        <v>249</v>
      </c>
      <c r="E18" s="145" t="str">
        <f>CONCATENATE(B18,"-",C18,"-",D18)</f>
        <v>7-38-249</v>
      </c>
      <c r="F18" s="148" t="str">
        <f>VLOOKUP(E18,'LISTA ITEMS'!$E$2:$G$875,2,FALSE)</f>
        <v>PLACA SOLAR JAM72S30-570LR 570W / 50.68V</v>
      </c>
      <c r="G18" s="25" t="str">
        <f>VLOOKUP(E18,'LISTA ITEMS'!$E$2:$G$875,3,FALSE)</f>
        <v>UND</v>
      </c>
      <c r="H18" s="85">
        <v>46104</v>
      </c>
      <c r="I18" s="149">
        <v>9</v>
      </c>
      <c r="J18" s="25" t="s">
        <v>487</v>
      </c>
      <c r="K18" s="146">
        <v>4</v>
      </c>
      <c r="L18" s="146" t="s">
        <v>488</v>
      </c>
      <c r="M18" s="146" t="s">
        <v>316</v>
      </c>
    </row>
    <row r="19" spans="1:13" ht="31.8" customHeight="1" x14ac:dyDescent="0.3">
      <c r="A19" s="65">
        <v>57</v>
      </c>
      <c r="B19" s="25">
        <v>7</v>
      </c>
      <c r="C19" s="25">
        <v>38</v>
      </c>
      <c r="D19" s="25">
        <v>239</v>
      </c>
      <c r="E19" s="145" t="str">
        <f>CONCATENATE(B19,"-",C19,"-",D19)</f>
        <v>7-38-239</v>
      </c>
      <c r="F19" s="148" t="str">
        <f>VLOOKUP(E19,'LISTA ITEMS'!$E$2:$G$875,2,FALSE)</f>
        <v>PLACA SOLAR JAMS0D42-520LB 520W / 43.53V</v>
      </c>
      <c r="G19" s="25" t="str">
        <f>VLOOKUP(E19,'LISTA ITEMS'!$E$2:$G$875,3,FALSE)</f>
        <v>UND</v>
      </c>
      <c r="H19" s="85">
        <v>46104</v>
      </c>
      <c r="I19" s="149">
        <v>1</v>
      </c>
      <c r="J19" s="25" t="s">
        <v>487</v>
      </c>
      <c r="K19" s="146">
        <v>5</v>
      </c>
      <c r="L19" s="146" t="s">
        <v>366</v>
      </c>
      <c r="M19" s="146">
        <v>8</v>
      </c>
    </row>
    <row r="20" spans="1:13" ht="31.8" customHeight="1" x14ac:dyDescent="0.3">
      <c r="A20" s="65">
        <v>59</v>
      </c>
      <c r="B20" s="25">
        <v>7</v>
      </c>
      <c r="C20" s="25">
        <v>38</v>
      </c>
      <c r="D20" s="25">
        <v>241</v>
      </c>
      <c r="E20" s="145" t="str">
        <f>CONCATENATE(B20,"-",C20,"-",D20)</f>
        <v>7-38-241</v>
      </c>
      <c r="F20" s="148" t="str">
        <f>VLOOKUP(E20,'LISTA ITEMS'!$E$2:$G$875,2,FALSE)</f>
        <v>PLACA SOLAR PS555M6H-24TH 555W / 41.64V</v>
      </c>
      <c r="G20" s="25" t="str">
        <f>VLOOKUP(E20,'LISTA ITEMS'!$E$2:$G$875,3,FALSE)</f>
        <v>UND</v>
      </c>
      <c r="H20" s="85">
        <v>46104</v>
      </c>
      <c r="I20" s="149">
        <v>2</v>
      </c>
      <c r="J20" s="25" t="s">
        <v>487</v>
      </c>
      <c r="K20" s="146">
        <v>5</v>
      </c>
      <c r="L20" s="146" t="s">
        <v>366</v>
      </c>
      <c r="M20" s="146">
        <v>7</v>
      </c>
    </row>
    <row r="21" spans="1:13" ht="31.8" customHeight="1" x14ac:dyDescent="0.3">
      <c r="A21" s="65">
        <v>242</v>
      </c>
      <c r="B21" s="25">
        <v>7</v>
      </c>
      <c r="C21" s="25">
        <v>38</v>
      </c>
      <c r="D21" s="25">
        <v>422</v>
      </c>
      <c r="E21" s="145" t="str">
        <f>CONCATENATE(B21,"-",C21,"-",D21)</f>
        <v>7-38-422</v>
      </c>
      <c r="F21" s="148" t="str">
        <f>VLOOKUP(E21,'LISTA ITEMS'!$E$2:$G$875,2,FALSE)</f>
        <v>PLACA SOLAR PS595M8GFH-24/TNH 595W (PHONO)</v>
      </c>
      <c r="G21" s="25" t="str">
        <f>VLOOKUP(E21,'LISTA ITEMS'!$E$2:$G$875,3,FALSE)</f>
        <v>UND</v>
      </c>
      <c r="H21" s="85">
        <v>46104</v>
      </c>
      <c r="I21" s="149">
        <v>15</v>
      </c>
      <c r="J21" s="25" t="s">
        <v>493</v>
      </c>
      <c r="K21" s="146">
        <v>5</v>
      </c>
      <c r="L21" s="146" t="s">
        <v>488</v>
      </c>
      <c r="M21" s="146" t="s">
        <v>316</v>
      </c>
    </row>
    <row r="22" spans="1:13" ht="31.8" customHeight="1" x14ac:dyDescent="0.3">
      <c r="A22" s="65">
        <v>62</v>
      </c>
      <c r="B22" s="25">
        <v>7</v>
      </c>
      <c r="C22" s="25">
        <v>38</v>
      </c>
      <c r="D22" s="25">
        <v>244</v>
      </c>
      <c r="E22" s="145" t="str">
        <f>CONCATENATE(B22,"-",C22,"-",D22)</f>
        <v>7-38-244</v>
      </c>
      <c r="F22" s="148" t="str">
        <f>VLOOKUP(E22,'LISTA ITEMS'!$E$2:$G$875,2,FALSE)</f>
        <v>PLACA SOLAR SK9612MHVC-550 550W / 42.16V</v>
      </c>
      <c r="G22" s="25" t="str">
        <f>VLOOKUP(E22,'LISTA ITEMS'!$E$2:$G$875,3,FALSE)</f>
        <v>UND</v>
      </c>
      <c r="H22" s="85">
        <v>46104</v>
      </c>
      <c r="I22" s="149">
        <v>1</v>
      </c>
      <c r="J22" s="25" t="s">
        <v>487</v>
      </c>
      <c r="K22" s="146">
        <v>5</v>
      </c>
      <c r="L22" s="146" t="s">
        <v>366</v>
      </c>
      <c r="M22" s="146">
        <v>2</v>
      </c>
    </row>
    <row r="23" spans="1:13" ht="31.8" customHeight="1" x14ac:dyDescent="0.3">
      <c r="A23" s="65">
        <v>56</v>
      </c>
      <c r="B23" s="25">
        <v>7</v>
      </c>
      <c r="C23" s="25">
        <v>38</v>
      </c>
      <c r="D23" s="25">
        <v>238</v>
      </c>
      <c r="E23" s="145" t="str">
        <f>CONCATENATE(B23,"-",C23,"-",D23)</f>
        <v>7-38-238</v>
      </c>
      <c r="F23" s="148" t="str">
        <f>VLOOKUP(E23,'LISTA ITEMS'!$E$2:$G$875,2,FALSE)</f>
        <v>PLACA SOLAR SPR-P3-375-BLK-E4-AC 375W / 35.5V</v>
      </c>
      <c r="G23" s="25" t="str">
        <f>VLOOKUP(E23,'LISTA ITEMS'!$E$2:$G$875,3,FALSE)</f>
        <v>UND</v>
      </c>
      <c r="H23" s="85">
        <v>46104</v>
      </c>
      <c r="I23" s="149">
        <v>1</v>
      </c>
      <c r="J23" s="25" t="s">
        <v>486</v>
      </c>
      <c r="K23" s="146">
        <v>5</v>
      </c>
      <c r="L23" s="146" t="s">
        <v>366</v>
      </c>
      <c r="M23" s="146">
        <v>7</v>
      </c>
    </row>
    <row r="24" spans="1:13" ht="31.8" customHeight="1" x14ac:dyDescent="0.3">
      <c r="A24" s="65">
        <v>64</v>
      </c>
      <c r="B24" s="25">
        <v>7</v>
      </c>
      <c r="C24" s="25">
        <v>38</v>
      </c>
      <c r="D24" s="25">
        <v>246</v>
      </c>
      <c r="E24" s="145" t="str">
        <f>CONCATENATE(B24,"-",C24,"-",D24)</f>
        <v>7-38-246</v>
      </c>
      <c r="F24" s="148" t="str">
        <f>VLOOKUP(E24,'LISTA ITEMS'!$E$2:$G$875,2,FALSE)</f>
        <v>PLACA SOLAR TSM-505DE18M.08(II) 505W / 43.0V</v>
      </c>
      <c r="G24" s="25" t="str">
        <f>VLOOKUP(E24,'LISTA ITEMS'!$E$2:$G$875,3,FALSE)</f>
        <v>UND</v>
      </c>
      <c r="H24" s="85">
        <v>46104</v>
      </c>
      <c r="I24" s="149">
        <v>2</v>
      </c>
      <c r="J24" s="25" t="s">
        <v>486</v>
      </c>
      <c r="K24" s="146">
        <v>5</v>
      </c>
      <c r="L24" s="146" t="s">
        <v>366</v>
      </c>
      <c r="M24" s="146">
        <v>4</v>
      </c>
    </row>
    <row r="25" spans="1:13" ht="31.8" customHeight="1" x14ac:dyDescent="0.3">
      <c r="A25" s="65">
        <v>61</v>
      </c>
      <c r="B25" s="25">
        <v>7</v>
      </c>
      <c r="C25" s="25">
        <v>38</v>
      </c>
      <c r="D25" s="25">
        <v>243</v>
      </c>
      <c r="E25" s="145" t="str">
        <f>CONCATENATE(B25,"-",C25,"-",D25)</f>
        <v>7-38-243</v>
      </c>
      <c r="F25" s="148" t="str">
        <f>VLOOKUP(E25,'LISTA ITEMS'!$E$2:$G$875,2,FALSE)</f>
        <v>PLACA SOLAR YL550D-49e 1500V 1/2 550W / 42.0V</v>
      </c>
      <c r="G25" s="25" t="str">
        <f>VLOOKUP(E25,'LISTA ITEMS'!$E$2:$G$875,3,FALSE)</f>
        <v>UND</v>
      </c>
      <c r="H25" s="85">
        <v>46104</v>
      </c>
      <c r="I25" s="149">
        <v>1</v>
      </c>
      <c r="J25" s="25" t="s">
        <v>487</v>
      </c>
      <c r="K25" s="146">
        <v>5</v>
      </c>
      <c r="L25" s="146" t="s">
        <v>366</v>
      </c>
      <c r="M25" s="146">
        <v>1</v>
      </c>
    </row>
    <row r="26" spans="1:13" x14ac:dyDescent="0.3">
      <c r="E26" s="3"/>
      <c r="K26" s="1"/>
      <c r="L26" s="1"/>
      <c r="M26" s="1"/>
    </row>
    <row r="27" spans="1:13" x14ac:dyDescent="0.3">
      <c r="E27" s="3"/>
      <c r="K27" s="1"/>
      <c r="L27" s="1"/>
      <c r="M27" s="1"/>
    </row>
    <row r="54" spans="5:14" s="1" customFormat="1" x14ac:dyDescent="0.3">
      <c r="E54" s="142"/>
      <c r="F54" s="2"/>
      <c r="G54" s="32"/>
      <c r="H54" s="2"/>
      <c r="I54" s="2"/>
      <c r="K54" s="139"/>
      <c r="L54" s="139">
        <v>2</v>
      </c>
      <c r="M54" s="139"/>
      <c r="N54" s="2"/>
    </row>
  </sheetData>
  <mergeCells count="4">
    <mergeCell ref="K1:M1"/>
    <mergeCell ref="A1:C1"/>
    <mergeCell ref="D1:F1"/>
    <mergeCell ref="H1:I1"/>
  </mergeCells>
  <conditionalFormatting sqref="E1:E1048576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BASE DE CONTROL</vt:lpstr>
      <vt:lpstr>LISTA ITEMS</vt:lpstr>
      <vt:lpstr>ESTRUCTURA CODIGO</vt:lpstr>
      <vt:lpstr>OTRO</vt:lpstr>
      <vt:lpstr>INV CRISTOBAL 23-3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AFC Renovables</dc:creator>
  <cp:lastModifiedBy>AFC Renovables</cp:lastModifiedBy>
  <dcterms:created xsi:type="dcterms:W3CDTF">2025-11-26T16:13:08Z</dcterms:created>
  <dcterms:modified xsi:type="dcterms:W3CDTF">2026-03-23T12:08:48Z</dcterms:modified>
</cp:coreProperties>
</file>