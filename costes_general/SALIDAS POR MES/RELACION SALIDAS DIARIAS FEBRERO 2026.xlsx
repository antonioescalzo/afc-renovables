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B011E6A-5E12-4F61-BEA7-C190CBA82B94}" xr6:coauthVersionLast="47" xr6:coauthVersionMax="47" xr10:uidLastSave="{00000000-0000-0000-0000-000000000000}"/>
  <bookViews>
    <workbookView xWindow="-108" yWindow="-108" windowWidth="23256" windowHeight="12456" tabRatio="929" firstSheet="5" activeTab="39" xr2:uid="{D7F44234-10BE-4990-9313-5E72422798F5}"/>
  </bookViews>
  <sheets>
    <sheet name="LISTA ITEMS" sheetId="3" state="hidden" r:id="rId1"/>
    <sheet name="FMT BASE TECNICOS" sheetId="11" state="hidden" r:id="rId2"/>
    <sheet name="FMT BASE" sheetId="10" state="hidden" r:id="rId3"/>
    <sheet name="Hector 05feb" sheetId="12" state="hidden" r:id="rId4"/>
    <sheet name="HECTOR-JAVI 06FEB" sheetId="14" state="hidden" r:id="rId5"/>
    <sheet name="SALI FEBRE 2026" sheetId="7" r:id="rId6"/>
    <sheet name="CONSOLIDADO V2" sheetId="50" r:id="rId7"/>
    <sheet name="LISTA ITEMS (2)" sheetId="13" r:id="rId8"/>
    <sheet name="FMT BASE ALMACENISTA" sheetId="9" r:id="rId9"/>
    <sheet name="CONSOLIDADO" sheetId="23" state="hidden" r:id="rId10"/>
    <sheet name="ANTONIO-JESUS 06FEB" sheetId="15" state="hidden" r:id="rId11"/>
    <sheet name="ANTONIO 05FEB" sheetId="22" state="hidden" r:id="rId12"/>
    <sheet name="JAVI CARDENAS 09FEB" sheetId="18" state="hidden" r:id="rId13"/>
    <sheet name="HECTOR Y MANUEL 09FEB" sheetId="17" state="hidden" r:id="rId14"/>
    <sheet name="CRISTOBAL 09FEB" sheetId="19" state="hidden" r:id="rId15"/>
    <sheet name="JUANJO 10FEB" sheetId="20" state="hidden" r:id="rId16"/>
    <sheet name="#10 11FEB" sheetId="21" state="hidden" r:id="rId17"/>
    <sheet name="#11 12FEB" sheetId="28" state="hidden" r:id="rId18"/>
    <sheet name="#12 12FEB" sheetId="29" state="hidden" r:id="rId19"/>
    <sheet name="#13 13FEB" sheetId="30" state="hidden" r:id="rId20"/>
    <sheet name="#14 16FEB" sheetId="31" state="hidden" r:id="rId21"/>
    <sheet name="TABLA UNIFICADA" sheetId="27" state="hidden" r:id="rId22"/>
    <sheet name="#15 17FEB" sheetId="32" state="hidden" r:id="rId23"/>
    <sheet name="#16 17FEB" sheetId="33" state="hidden" r:id="rId24"/>
    <sheet name="#17 17FEB" sheetId="34" state="hidden" r:id="rId25"/>
    <sheet name="#18 17FEB" sheetId="35" state="hidden" r:id="rId26"/>
    <sheet name="#19 18FEB" sheetId="36" state="hidden" r:id="rId27"/>
    <sheet name="#20 18FEB" sheetId="37" state="hidden" r:id="rId28"/>
    <sheet name="#21 19FEB" sheetId="38" state="hidden" r:id="rId29"/>
    <sheet name="#22 19FEB" sheetId="39" state="hidden" r:id="rId30"/>
    <sheet name="#23 20FEB" sheetId="40" state="hidden" r:id="rId31"/>
    <sheet name="#24 23FEB" sheetId="41" state="hidden" r:id="rId32"/>
    <sheet name="#25 20FEB" sheetId="42" state="hidden" r:id="rId33"/>
    <sheet name="#26 24FEB" sheetId="43" state="hidden" r:id="rId34"/>
    <sheet name="#27 24FEB" sheetId="44" state="hidden" r:id="rId35"/>
    <sheet name="#28 25FEB" sheetId="45" state="hidden" r:id="rId36"/>
    <sheet name="#29 25FEB" sheetId="46" r:id="rId37"/>
    <sheet name="#30 26FEB" sheetId="47" r:id="rId38"/>
    <sheet name="#31 27FEB" sheetId="48" r:id="rId39"/>
    <sheet name="#32 27FEB" sheetId="49" r:id="rId40"/>
    <sheet name="ESTRUCTURA CODIGO" sheetId="4" state="hidden" r:id="rId41"/>
  </sheets>
  <definedNames>
    <definedName name="_xlnm._FilterDatabase" localSheetId="31" hidden="1">'#24 23FEB'!$A$5:$M$38</definedName>
    <definedName name="_xlnm._FilterDatabase" localSheetId="33" hidden="1">'#26 24FEB'!$A$5:$M$44</definedName>
    <definedName name="_xlnm._FilterDatabase" localSheetId="35" hidden="1">'#28 25FEB'!$A$5:$M$44</definedName>
    <definedName name="_xlnm._FilterDatabase" localSheetId="37" hidden="1">'#30 26FEB'!$A$5:$M$39</definedName>
    <definedName name="_xlnm._FilterDatabase" localSheetId="9" hidden="1">CONSOLIDADO!$A$2:$W$195</definedName>
    <definedName name="_xlnm._FilterDatabase" localSheetId="40" hidden="1">'ESTRUCTURA CODIGO'!$A$1:$D$462</definedName>
    <definedName name="_xlnm._FilterDatabase" localSheetId="8" hidden="1">'FMT BASE ALMACENISTA'!$A$5:$M$5</definedName>
    <definedName name="_xlnm._FilterDatabase" localSheetId="13" hidden="1">'HECTOR Y MANUEL 09FEB'!$A$5:$M$38</definedName>
    <definedName name="_xlnm._FilterDatabase" localSheetId="4" hidden="1">'HECTOR-JAVI 06FEB'!$A$5:$M$38</definedName>
    <definedName name="_xlnm._FilterDatabase" localSheetId="7" hidden="1">'LISTA ITEMS (2)'!$B$2:$H$911</definedName>
    <definedName name="_xlnm._FilterDatabase" localSheetId="5" hidden="1">'SALI FEBRE 2026'!$A$2:$S$558</definedName>
    <definedName name="_xlnm.Print_Titles" localSheetId="16">'#10 11FEB'!$1:$5</definedName>
    <definedName name="_xlnm.Print_Titles" localSheetId="17">'#11 12FEB'!$1:$5</definedName>
    <definedName name="_xlnm.Print_Titles" localSheetId="18">'#12 12FEB'!$1:$5</definedName>
    <definedName name="_xlnm.Print_Titles" localSheetId="19">'#13 13FEB'!$1:$5</definedName>
    <definedName name="_xlnm.Print_Titles" localSheetId="20">'#14 16FEB'!$1:$5</definedName>
    <definedName name="_xlnm.Print_Titles" localSheetId="22">'#15 17FEB'!$1:$5</definedName>
    <definedName name="_xlnm.Print_Titles" localSheetId="23">'#16 17FEB'!$1:$5</definedName>
    <definedName name="_xlnm.Print_Titles" localSheetId="24">'#17 17FEB'!$1:$5</definedName>
    <definedName name="_xlnm.Print_Titles" localSheetId="25">'#18 17FEB'!$1:$5</definedName>
    <definedName name="_xlnm.Print_Titles" localSheetId="26">'#19 18FEB'!$1:$5</definedName>
    <definedName name="_xlnm.Print_Titles" localSheetId="27">'#20 18FEB'!$1:$5</definedName>
    <definedName name="_xlnm.Print_Titles" localSheetId="28">'#21 19FEB'!$1:$5</definedName>
    <definedName name="_xlnm.Print_Titles" localSheetId="29">'#22 19FEB'!$1:$5</definedName>
    <definedName name="_xlnm.Print_Titles" localSheetId="30">'#23 20FEB'!$1:$5</definedName>
    <definedName name="_xlnm.Print_Titles" localSheetId="31">'#24 23FEB'!$1:$5</definedName>
    <definedName name="_xlnm.Print_Titles" localSheetId="32">'#25 20FEB'!$1:$5</definedName>
    <definedName name="_xlnm.Print_Titles" localSheetId="33">'#26 24FEB'!$1:$5</definedName>
    <definedName name="_xlnm.Print_Titles" localSheetId="34">'#27 24FEB'!$1:$5</definedName>
    <definedName name="_xlnm.Print_Titles" localSheetId="35">'#28 25FEB'!$1:$5</definedName>
    <definedName name="_xlnm.Print_Titles" localSheetId="36">'#29 25FEB'!$1:$5</definedName>
    <definedName name="_xlnm.Print_Titles" localSheetId="37">'#30 26FEB'!$1:$5</definedName>
    <definedName name="_xlnm.Print_Titles" localSheetId="38">'#31 27FEB'!$1:$5</definedName>
    <definedName name="_xlnm.Print_Titles" localSheetId="39">'#32 27FEB'!$1:$5</definedName>
    <definedName name="_xlnm.Print_Titles" localSheetId="11">'ANTONIO 05FEB'!$1:$5</definedName>
    <definedName name="_xlnm.Print_Titles" localSheetId="10">'ANTONIO-JESUS 06FEB'!$1:$4</definedName>
    <definedName name="_xlnm.Print_Titles" localSheetId="14">'CRISTOBAL 09FEB'!$1:$5</definedName>
    <definedName name="_xlnm.Print_Titles" localSheetId="2">'FMT BASE'!$1:$4</definedName>
    <definedName name="_xlnm.Print_Titles" localSheetId="8">'FMT BASE ALMACENISTA'!$1:$5</definedName>
    <definedName name="_xlnm.Print_Titles" localSheetId="3">'Hector 05feb'!$1:$4</definedName>
    <definedName name="_xlnm.Print_Titles" localSheetId="13">'HECTOR Y MANUEL 09FEB'!$1:$5</definedName>
    <definedName name="_xlnm.Print_Titles" localSheetId="4">'HECTOR-JAVI 06FEB'!$1:$5</definedName>
    <definedName name="_xlnm.Print_Titles" localSheetId="12">'JAVI CARDENAS 09FEB'!$1:$5</definedName>
    <definedName name="_xlnm.Print_Titles" localSheetId="15">'JUANJO 10FEB'!$1:$5</definedName>
  </definedNames>
  <calcPr calcId="181029"/>
  <pivotCaches>
    <pivotCache cacheId="26" r:id="rId42"/>
    <pivotCache cacheId="27" r:id="rId4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58" i="7" l="1"/>
  <c r="P558" i="7"/>
  <c r="M556" i="7"/>
  <c r="O556" i="7" s="1"/>
  <c r="M555" i="7"/>
  <c r="O555" i="7" s="1"/>
  <c r="M554" i="7"/>
  <c r="N554" i="7" s="1"/>
  <c r="M553" i="7"/>
  <c r="O553" i="7" s="1"/>
  <c r="M552" i="7"/>
  <c r="O552" i="7" s="1"/>
  <c r="M551" i="7"/>
  <c r="O551" i="7" s="1"/>
  <c r="M550" i="7"/>
  <c r="N550" i="7" s="1"/>
  <c r="M549" i="7"/>
  <c r="O549" i="7" s="1"/>
  <c r="M548" i="7"/>
  <c r="O548" i="7" s="1"/>
  <c r="M547" i="7"/>
  <c r="O547" i="7" s="1"/>
  <c r="M546" i="7"/>
  <c r="N546" i="7" s="1"/>
  <c r="M545" i="7"/>
  <c r="N545" i="7" s="1"/>
  <c r="M544" i="7"/>
  <c r="O544" i="7" s="1"/>
  <c r="M543" i="7"/>
  <c r="O543" i="7" s="1"/>
  <c r="M542" i="7"/>
  <c r="N542" i="7" s="1"/>
  <c r="M541" i="7"/>
  <c r="N541" i="7" s="1"/>
  <c r="M540" i="7"/>
  <c r="O540" i="7" s="1"/>
  <c r="M539" i="7"/>
  <c r="O539" i="7" s="1"/>
  <c r="M538" i="7"/>
  <c r="N538" i="7" s="1"/>
  <c r="M537" i="7"/>
  <c r="O537" i="7" s="1"/>
  <c r="M536" i="7"/>
  <c r="O536" i="7" s="1"/>
  <c r="M535" i="7"/>
  <c r="O535" i="7" s="1"/>
  <c r="M534" i="7"/>
  <c r="N534" i="7" s="1"/>
  <c r="M533" i="7"/>
  <c r="O533" i="7" s="1"/>
  <c r="M532" i="7"/>
  <c r="O532" i="7" s="1"/>
  <c r="M531" i="7"/>
  <c r="O531" i="7" s="1"/>
  <c r="M530" i="7"/>
  <c r="N530" i="7" s="1"/>
  <c r="M529" i="7"/>
  <c r="O529" i="7" s="1"/>
  <c r="M528" i="7"/>
  <c r="O528" i="7" s="1"/>
  <c r="M527" i="7"/>
  <c r="O527" i="7" s="1"/>
  <c r="M526" i="7"/>
  <c r="N526" i="7" s="1"/>
  <c r="M525" i="7"/>
  <c r="O525" i="7" s="1"/>
  <c r="M524" i="7"/>
  <c r="O524" i="7" s="1"/>
  <c r="M523" i="7"/>
  <c r="O523" i="7" s="1"/>
  <c r="M522" i="7"/>
  <c r="N522" i="7" s="1"/>
  <c r="M521" i="7"/>
  <c r="O521" i="7" s="1"/>
  <c r="M520" i="7"/>
  <c r="O520" i="7" s="1"/>
  <c r="M519" i="7"/>
  <c r="O519" i="7" s="1"/>
  <c r="M518" i="7"/>
  <c r="N518" i="7" s="1"/>
  <c r="M517" i="7"/>
  <c r="O517" i="7" s="1"/>
  <c r="M516" i="7"/>
  <c r="O516" i="7" s="1"/>
  <c r="M515" i="7"/>
  <c r="O515" i="7" s="1"/>
  <c r="M514" i="7"/>
  <c r="N514" i="7" s="1"/>
  <c r="M513" i="7"/>
  <c r="N513" i="7" s="1"/>
  <c r="M512" i="7"/>
  <c r="N512" i="7" s="1"/>
  <c r="M511" i="7"/>
  <c r="O511" i="7" s="1"/>
  <c r="M510" i="7"/>
  <c r="O510" i="7" s="1"/>
  <c r="M509" i="7"/>
  <c r="O509" i="7" s="1"/>
  <c r="L44" i="49"/>
  <c r="E44" i="49"/>
  <c r="G44" i="49" s="1"/>
  <c r="L43" i="49"/>
  <c r="E43" i="49"/>
  <c r="G43" i="49" s="1"/>
  <c r="L42" i="49"/>
  <c r="E42" i="49"/>
  <c r="G42" i="49" s="1"/>
  <c r="L41" i="49"/>
  <c r="E41" i="49"/>
  <c r="G41" i="49" s="1"/>
  <c r="L40" i="49"/>
  <c r="E40" i="49"/>
  <c r="G40" i="49" s="1"/>
  <c r="L39" i="49"/>
  <c r="E39" i="49"/>
  <c r="G39" i="49" s="1"/>
  <c r="L38" i="49"/>
  <c r="E38" i="49"/>
  <c r="G38" i="49" s="1"/>
  <c r="L37" i="49"/>
  <c r="E37" i="49"/>
  <c r="G37" i="49" s="1"/>
  <c r="L36" i="49"/>
  <c r="E36" i="49"/>
  <c r="G36" i="49" s="1"/>
  <c r="L35" i="49"/>
  <c r="E35" i="49"/>
  <c r="G35" i="49" s="1"/>
  <c r="L34" i="49"/>
  <c r="E34" i="49"/>
  <c r="G34" i="49" s="1"/>
  <c r="L33" i="49"/>
  <c r="E33" i="49"/>
  <c r="G33" i="49" s="1"/>
  <c r="L32" i="49"/>
  <c r="E32" i="49"/>
  <c r="G32" i="49" s="1"/>
  <c r="L31" i="49"/>
  <c r="E31" i="49"/>
  <c r="G31" i="49" s="1"/>
  <c r="L30" i="49"/>
  <c r="E30" i="49"/>
  <c r="G30" i="49" s="1"/>
  <c r="L29" i="49"/>
  <c r="E29" i="49"/>
  <c r="G29" i="49" s="1"/>
  <c r="L28" i="49"/>
  <c r="E28" i="49"/>
  <c r="G28" i="49" s="1"/>
  <c r="L27" i="49"/>
  <c r="E27" i="49"/>
  <c r="G27" i="49" s="1"/>
  <c r="L26" i="49"/>
  <c r="E26" i="49"/>
  <c r="G26" i="49" s="1"/>
  <c r="L25" i="49"/>
  <c r="E25" i="49"/>
  <c r="G25" i="49" s="1"/>
  <c r="L24" i="49"/>
  <c r="E24" i="49"/>
  <c r="G24" i="49" s="1"/>
  <c r="L23" i="49"/>
  <c r="E23" i="49"/>
  <c r="G23" i="49" s="1"/>
  <c r="L22" i="49"/>
  <c r="E22" i="49"/>
  <c r="G22" i="49" s="1"/>
  <c r="L21" i="49"/>
  <c r="E21" i="49"/>
  <c r="G21" i="49" s="1"/>
  <c r="L20" i="49"/>
  <c r="E20" i="49"/>
  <c r="G20" i="49" s="1"/>
  <c r="L19" i="49"/>
  <c r="E19" i="49"/>
  <c r="G19" i="49" s="1"/>
  <c r="L18" i="49"/>
  <c r="E18" i="49"/>
  <c r="G18" i="49" s="1"/>
  <c r="L17" i="49"/>
  <c r="E17" i="49"/>
  <c r="G17" i="49" s="1"/>
  <c r="L16" i="49"/>
  <c r="E16" i="49"/>
  <c r="G16" i="49" s="1"/>
  <c r="L15" i="49"/>
  <c r="E15" i="49"/>
  <c r="G15" i="49" s="1"/>
  <c r="L14" i="49"/>
  <c r="E14" i="49"/>
  <c r="G14" i="49" s="1"/>
  <c r="L13" i="49"/>
  <c r="E13" i="49"/>
  <c r="G13" i="49" s="1"/>
  <c r="L12" i="49"/>
  <c r="E12" i="49"/>
  <c r="G12" i="49" s="1"/>
  <c r="L11" i="49"/>
  <c r="E11" i="49"/>
  <c r="G11" i="49" s="1"/>
  <c r="L10" i="49"/>
  <c r="E10" i="49"/>
  <c r="G10" i="49" s="1"/>
  <c r="L9" i="49"/>
  <c r="E9" i="49"/>
  <c r="G9" i="49" s="1"/>
  <c r="L8" i="49"/>
  <c r="E8" i="49"/>
  <c r="G8" i="49" s="1"/>
  <c r="L7" i="49"/>
  <c r="E7" i="49"/>
  <c r="G7" i="49" s="1"/>
  <c r="L6" i="49"/>
  <c r="E6" i="49"/>
  <c r="G6" i="49" s="1"/>
  <c r="L44" i="48"/>
  <c r="E44" i="48"/>
  <c r="G44" i="48" s="1"/>
  <c r="L43" i="48"/>
  <c r="E43" i="48"/>
  <c r="G43" i="48" s="1"/>
  <c r="L42" i="48"/>
  <c r="E42" i="48"/>
  <c r="G42" i="48" s="1"/>
  <c r="L41" i="48"/>
  <c r="E41" i="48"/>
  <c r="G41" i="48" s="1"/>
  <c r="L40" i="48"/>
  <c r="E40" i="48"/>
  <c r="G40" i="48" s="1"/>
  <c r="L39" i="48"/>
  <c r="E39" i="48"/>
  <c r="G39" i="48" s="1"/>
  <c r="L38" i="48"/>
  <c r="E38" i="48"/>
  <c r="G38" i="48" s="1"/>
  <c r="L37" i="48"/>
  <c r="E37" i="48"/>
  <c r="G37" i="48" s="1"/>
  <c r="L36" i="48"/>
  <c r="E36" i="48"/>
  <c r="G36" i="48" s="1"/>
  <c r="L35" i="48"/>
  <c r="E35" i="48"/>
  <c r="G35" i="48" s="1"/>
  <c r="L34" i="48"/>
  <c r="E34" i="48"/>
  <c r="G34" i="48" s="1"/>
  <c r="L33" i="48"/>
  <c r="E33" i="48"/>
  <c r="G33" i="48" s="1"/>
  <c r="L32" i="48"/>
  <c r="E32" i="48"/>
  <c r="G32" i="48" s="1"/>
  <c r="L31" i="48"/>
  <c r="E31" i="48"/>
  <c r="G31" i="48" s="1"/>
  <c r="L30" i="48"/>
  <c r="E30" i="48"/>
  <c r="G30" i="48" s="1"/>
  <c r="L29" i="48"/>
  <c r="E29" i="48"/>
  <c r="G29" i="48" s="1"/>
  <c r="L28" i="48"/>
  <c r="E28" i="48"/>
  <c r="G28" i="48" s="1"/>
  <c r="L27" i="48"/>
  <c r="E27" i="48"/>
  <c r="G27" i="48" s="1"/>
  <c r="L26" i="48"/>
  <c r="E26" i="48"/>
  <c r="G26" i="48" s="1"/>
  <c r="L25" i="48"/>
  <c r="E25" i="48"/>
  <c r="G25" i="48" s="1"/>
  <c r="L24" i="48"/>
  <c r="E24" i="48"/>
  <c r="G24" i="48" s="1"/>
  <c r="L23" i="48"/>
  <c r="E23" i="48"/>
  <c r="G23" i="48" s="1"/>
  <c r="L22" i="48"/>
  <c r="E22" i="48"/>
  <c r="G22" i="48" s="1"/>
  <c r="L21" i="48"/>
  <c r="E21" i="48"/>
  <c r="G21" i="48" s="1"/>
  <c r="L20" i="48"/>
  <c r="E20" i="48"/>
  <c r="G20" i="48" s="1"/>
  <c r="L19" i="48"/>
  <c r="E19" i="48"/>
  <c r="G19" i="48" s="1"/>
  <c r="L18" i="48"/>
  <c r="E18" i="48"/>
  <c r="G18" i="48" s="1"/>
  <c r="L17" i="48"/>
  <c r="E17" i="48"/>
  <c r="G17" i="48" s="1"/>
  <c r="L16" i="48"/>
  <c r="E16" i="48"/>
  <c r="G16" i="48" s="1"/>
  <c r="L15" i="48"/>
  <c r="E15" i="48"/>
  <c r="G15" i="48" s="1"/>
  <c r="L14" i="48"/>
  <c r="E14" i="48"/>
  <c r="G14" i="48" s="1"/>
  <c r="L13" i="48"/>
  <c r="E13" i="48"/>
  <c r="G13" i="48" s="1"/>
  <c r="L12" i="48"/>
  <c r="E12" i="48"/>
  <c r="G12" i="48" s="1"/>
  <c r="L11" i="48"/>
  <c r="E11" i="48"/>
  <c r="G11" i="48" s="1"/>
  <c r="L10" i="48"/>
  <c r="E10" i="48"/>
  <c r="G10" i="48" s="1"/>
  <c r="L9" i="48"/>
  <c r="E9" i="48"/>
  <c r="G9" i="48" s="1"/>
  <c r="L8" i="48"/>
  <c r="E8" i="48"/>
  <c r="G8" i="48" s="1"/>
  <c r="L7" i="48"/>
  <c r="E7" i="48"/>
  <c r="G7" i="48" s="1"/>
  <c r="L6" i="48"/>
  <c r="E6" i="48"/>
  <c r="G6" i="48" s="1"/>
  <c r="L39" i="47"/>
  <c r="E39" i="47"/>
  <c r="G39" i="47" s="1"/>
  <c r="L38" i="47"/>
  <c r="E38" i="47"/>
  <c r="G38" i="47" s="1"/>
  <c r="L37" i="47"/>
  <c r="E37" i="47"/>
  <c r="G37" i="47" s="1"/>
  <c r="L36" i="47"/>
  <c r="E36" i="47"/>
  <c r="G36" i="47" s="1"/>
  <c r="L35" i="47"/>
  <c r="E35" i="47"/>
  <c r="G35" i="47" s="1"/>
  <c r="L34" i="47"/>
  <c r="E34" i="47"/>
  <c r="G34" i="47" s="1"/>
  <c r="L33" i="47"/>
  <c r="E33" i="47"/>
  <c r="G33" i="47" s="1"/>
  <c r="L32" i="47"/>
  <c r="E32" i="47"/>
  <c r="G32" i="47" s="1"/>
  <c r="L31" i="47"/>
  <c r="E31" i="47"/>
  <c r="G31" i="47" s="1"/>
  <c r="L30" i="47"/>
  <c r="E30" i="47"/>
  <c r="G30" i="47" s="1"/>
  <c r="L29" i="47"/>
  <c r="E29" i="47"/>
  <c r="G29" i="47" s="1"/>
  <c r="L28" i="47"/>
  <c r="E28" i="47"/>
  <c r="G28" i="47" s="1"/>
  <c r="L27" i="47"/>
  <c r="E27" i="47"/>
  <c r="G27" i="47" s="1"/>
  <c r="L26" i="47"/>
  <c r="E26" i="47"/>
  <c r="G26" i="47" s="1"/>
  <c r="L25" i="47"/>
  <c r="E25" i="47"/>
  <c r="G25" i="47" s="1"/>
  <c r="L24" i="47"/>
  <c r="E24" i="47"/>
  <c r="G24" i="47" s="1"/>
  <c r="L23" i="47"/>
  <c r="E23" i="47"/>
  <c r="G23" i="47" s="1"/>
  <c r="L22" i="47"/>
  <c r="E22" i="47"/>
  <c r="G22" i="47" s="1"/>
  <c r="L21" i="47"/>
  <c r="E21" i="47"/>
  <c r="G21" i="47" s="1"/>
  <c r="L20" i="47"/>
  <c r="E20" i="47"/>
  <c r="G20" i="47" s="1"/>
  <c r="L19" i="47"/>
  <c r="E19" i="47"/>
  <c r="G19" i="47" s="1"/>
  <c r="L18" i="47"/>
  <c r="E18" i="47"/>
  <c r="G18" i="47" s="1"/>
  <c r="L17" i="47"/>
  <c r="E17" i="47"/>
  <c r="G17" i="47" s="1"/>
  <c r="L16" i="47"/>
  <c r="E16" i="47"/>
  <c r="G16" i="47" s="1"/>
  <c r="L15" i="47"/>
  <c r="E15" i="47"/>
  <c r="G15" i="47" s="1"/>
  <c r="L14" i="47"/>
  <c r="E14" i="47"/>
  <c r="G14" i="47" s="1"/>
  <c r="L13" i="47"/>
  <c r="E13" i="47"/>
  <c r="G13" i="47" s="1"/>
  <c r="L12" i="47"/>
  <c r="E12" i="47"/>
  <c r="G12" i="47" s="1"/>
  <c r="L11" i="47"/>
  <c r="E11" i="47"/>
  <c r="G11" i="47" s="1"/>
  <c r="L10" i="47"/>
  <c r="E10" i="47"/>
  <c r="G10" i="47" s="1"/>
  <c r="L9" i="47"/>
  <c r="E9" i="47"/>
  <c r="G9" i="47" s="1"/>
  <c r="L8" i="47"/>
  <c r="E8" i="47"/>
  <c r="G8" i="47" s="1"/>
  <c r="L7" i="47"/>
  <c r="E7" i="47"/>
  <c r="G7" i="47" s="1"/>
  <c r="L6" i="47"/>
  <c r="E6" i="47"/>
  <c r="G6" i="47" s="1"/>
  <c r="L24" i="46"/>
  <c r="E24" i="46"/>
  <c r="G24" i="46" s="1"/>
  <c r="L23" i="46"/>
  <c r="E23" i="46"/>
  <c r="G23" i="46" s="1"/>
  <c r="L22" i="46"/>
  <c r="E22" i="46"/>
  <c r="G22" i="46" s="1"/>
  <c r="L21" i="46"/>
  <c r="E21" i="46"/>
  <c r="G21" i="46" s="1"/>
  <c r="L20" i="46"/>
  <c r="E20" i="46"/>
  <c r="G20" i="46" s="1"/>
  <c r="L19" i="46"/>
  <c r="E19" i="46"/>
  <c r="G19" i="46" s="1"/>
  <c r="L18" i="46"/>
  <c r="E18" i="46"/>
  <c r="G18" i="46" s="1"/>
  <c r="L17" i="46"/>
  <c r="E17" i="46"/>
  <c r="G17" i="46" s="1"/>
  <c r="L16" i="46"/>
  <c r="E16" i="46"/>
  <c r="G16" i="46" s="1"/>
  <c r="L15" i="46"/>
  <c r="E15" i="46"/>
  <c r="G15" i="46" s="1"/>
  <c r="L14" i="46"/>
  <c r="E14" i="46"/>
  <c r="G14" i="46" s="1"/>
  <c r="L13" i="46"/>
  <c r="E13" i="46"/>
  <c r="G13" i="46" s="1"/>
  <c r="L12" i="46"/>
  <c r="E12" i="46"/>
  <c r="G12" i="46" s="1"/>
  <c r="L11" i="46"/>
  <c r="E11" i="46"/>
  <c r="G11" i="46" s="1"/>
  <c r="L10" i="46"/>
  <c r="E10" i="46"/>
  <c r="G10" i="46" s="1"/>
  <c r="L9" i="46"/>
  <c r="E9" i="46"/>
  <c r="G9" i="46" s="1"/>
  <c r="L8" i="46"/>
  <c r="E8" i="46"/>
  <c r="G8" i="46" s="1"/>
  <c r="L7" i="46"/>
  <c r="E7" i="46"/>
  <c r="G7" i="46" s="1"/>
  <c r="L6" i="46"/>
  <c r="E6" i="46"/>
  <c r="G6" i="46" s="1"/>
  <c r="L44" i="45"/>
  <c r="E44" i="45"/>
  <c r="G44" i="45" s="1"/>
  <c r="L43" i="45"/>
  <c r="E43" i="45"/>
  <c r="G43" i="45" s="1"/>
  <c r="L42" i="45"/>
  <c r="E42" i="45"/>
  <c r="G42" i="45" s="1"/>
  <c r="L41" i="45"/>
  <c r="E41" i="45"/>
  <c r="G41" i="45" s="1"/>
  <c r="L40" i="45"/>
  <c r="E40" i="45"/>
  <c r="G40" i="45" s="1"/>
  <c r="L39" i="45"/>
  <c r="E39" i="45"/>
  <c r="G39" i="45" s="1"/>
  <c r="L38" i="45"/>
  <c r="E38" i="45"/>
  <c r="G38" i="45" s="1"/>
  <c r="L37" i="45"/>
  <c r="E37" i="45"/>
  <c r="G37" i="45" s="1"/>
  <c r="L36" i="45"/>
  <c r="E36" i="45"/>
  <c r="G36" i="45" s="1"/>
  <c r="L35" i="45"/>
  <c r="E35" i="45"/>
  <c r="G35" i="45" s="1"/>
  <c r="L34" i="45"/>
  <c r="E34" i="45"/>
  <c r="G34" i="45" s="1"/>
  <c r="L33" i="45"/>
  <c r="E33" i="45"/>
  <c r="G33" i="45" s="1"/>
  <c r="L32" i="45"/>
  <c r="E32" i="45"/>
  <c r="G32" i="45" s="1"/>
  <c r="L31" i="45"/>
  <c r="E31" i="45"/>
  <c r="G31" i="45" s="1"/>
  <c r="L30" i="45"/>
  <c r="E30" i="45"/>
  <c r="G30" i="45" s="1"/>
  <c r="L29" i="45"/>
  <c r="E29" i="45"/>
  <c r="G29" i="45" s="1"/>
  <c r="L28" i="45"/>
  <c r="E28" i="45"/>
  <c r="G28" i="45" s="1"/>
  <c r="L27" i="45"/>
  <c r="E27" i="45"/>
  <c r="G27" i="45" s="1"/>
  <c r="L26" i="45"/>
  <c r="E26" i="45"/>
  <c r="G26" i="45" s="1"/>
  <c r="L25" i="45"/>
  <c r="E25" i="45"/>
  <c r="G25" i="45" s="1"/>
  <c r="L24" i="45"/>
  <c r="E24" i="45"/>
  <c r="G24" i="45" s="1"/>
  <c r="L23" i="45"/>
  <c r="E23" i="45"/>
  <c r="G23" i="45" s="1"/>
  <c r="L22" i="45"/>
  <c r="E22" i="45"/>
  <c r="G22" i="45" s="1"/>
  <c r="L21" i="45"/>
  <c r="E21" i="45"/>
  <c r="G21" i="45" s="1"/>
  <c r="L20" i="45"/>
  <c r="E20" i="45"/>
  <c r="G20" i="45" s="1"/>
  <c r="L19" i="45"/>
  <c r="E19" i="45"/>
  <c r="G19" i="45" s="1"/>
  <c r="L18" i="45"/>
  <c r="E18" i="45"/>
  <c r="G18" i="45" s="1"/>
  <c r="L17" i="45"/>
  <c r="E17" i="45"/>
  <c r="G17" i="45" s="1"/>
  <c r="L16" i="45"/>
  <c r="E16" i="45"/>
  <c r="G16" i="45" s="1"/>
  <c r="L15" i="45"/>
  <c r="E15" i="45"/>
  <c r="G15" i="45" s="1"/>
  <c r="L14" i="45"/>
  <c r="E14" i="45"/>
  <c r="G14" i="45" s="1"/>
  <c r="L13" i="45"/>
  <c r="E13" i="45"/>
  <c r="G13" i="45" s="1"/>
  <c r="L12" i="45"/>
  <c r="E12" i="45"/>
  <c r="G12" i="45" s="1"/>
  <c r="L11" i="45"/>
  <c r="E11" i="45"/>
  <c r="G11" i="45" s="1"/>
  <c r="L10" i="45"/>
  <c r="E10" i="45"/>
  <c r="G10" i="45" s="1"/>
  <c r="L9" i="45"/>
  <c r="E9" i="45"/>
  <c r="G9" i="45" s="1"/>
  <c r="L8" i="45"/>
  <c r="E8" i="45"/>
  <c r="G8" i="45" s="1"/>
  <c r="L7" i="45"/>
  <c r="E7" i="45"/>
  <c r="G7" i="45" s="1"/>
  <c r="L6" i="45"/>
  <c r="E6" i="45"/>
  <c r="G6" i="45" s="1"/>
  <c r="L44" i="44"/>
  <c r="E44" i="44"/>
  <c r="G44" i="44" s="1"/>
  <c r="L43" i="44"/>
  <c r="E43" i="44"/>
  <c r="G43" i="44" s="1"/>
  <c r="L42" i="44"/>
  <c r="E42" i="44"/>
  <c r="G42" i="44" s="1"/>
  <c r="L41" i="44"/>
  <c r="E41" i="44"/>
  <c r="G41" i="44" s="1"/>
  <c r="L40" i="44"/>
  <c r="E40" i="44"/>
  <c r="G40" i="44" s="1"/>
  <c r="L39" i="44"/>
  <c r="E39" i="44"/>
  <c r="G39" i="44" s="1"/>
  <c r="L38" i="44"/>
  <c r="E38" i="44"/>
  <c r="G38" i="44" s="1"/>
  <c r="L37" i="44"/>
  <c r="E37" i="44"/>
  <c r="G37" i="44" s="1"/>
  <c r="L36" i="44"/>
  <c r="E36" i="44"/>
  <c r="G36" i="44" s="1"/>
  <c r="L35" i="44"/>
  <c r="E35" i="44"/>
  <c r="G35" i="44" s="1"/>
  <c r="L34" i="44"/>
  <c r="E34" i="44"/>
  <c r="G34" i="44" s="1"/>
  <c r="L33" i="44"/>
  <c r="E33" i="44"/>
  <c r="G33" i="44" s="1"/>
  <c r="L32" i="44"/>
  <c r="E32" i="44"/>
  <c r="G32" i="44" s="1"/>
  <c r="L31" i="44"/>
  <c r="E31" i="44"/>
  <c r="G31" i="44" s="1"/>
  <c r="L30" i="44"/>
  <c r="E30" i="44"/>
  <c r="G30" i="44" s="1"/>
  <c r="L29" i="44"/>
  <c r="E29" i="44"/>
  <c r="G29" i="44" s="1"/>
  <c r="L28" i="44"/>
  <c r="E28" i="44"/>
  <c r="G28" i="44" s="1"/>
  <c r="L27" i="44"/>
  <c r="E27" i="44"/>
  <c r="G27" i="44" s="1"/>
  <c r="L26" i="44"/>
  <c r="E26" i="44"/>
  <c r="G26" i="44" s="1"/>
  <c r="L25" i="44"/>
  <c r="E25" i="44"/>
  <c r="G25" i="44" s="1"/>
  <c r="L24" i="44"/>
  <c r="E24" i="44"/>
  <c r="G24" i="44" s="1"/>
  <c r="L23" i="44"/>
  <c r="E23" i="44"/>
  <c r="G23" i="44" s="1"/>
  <c r="L22" i="44"/>
  <c r="E22" i="44"/>
  <c r="G22" i="44" s="1"/>
  <c r="L21" i="44"/>
  <c r="E21" i="44"/>
  <c r="G21" i="44" s="1"/>
  <c r="L20" i="44"/>
  <c r="E20" i="44"/>
  <c r="G20" i="44" s="1"/>
  <c r="L19" i="44"/>
  <c r="E19" i="44"/>
  <c r="G19" i="44" s="1"/>
  <c r="L18" i="44"/>
  <c r="E18" i="44"/>
  <c r="G18" i="44" s="1"/>
  <c r="L17" i="44"/>
  <c r="E17" i="44"/>
  <c r="G17" i="44" s="1"/>
  <c r="L16" i="44"/>
  <c r="E16" i="44"/>
  <c r="G16" i="44" s="1"/>
  <c r="L15" i="44"/>
  <c r="E15" i="44"/>
  <c r="G15" i="44" s="1"/>
  <c r="L14" i="44"/>
  <c r="E14" i="44"/>
  <c r="G14" i="44" s="1"/>
  <c r="L13" i="44"/>
  <c r="E13" i="44"/>
  <c r="G13" i="44" s="1"/>
  <c r="L12" i="44"/>
  <c r="E12" i="44"/>
  <c r="G12" i="44" s="1"/>
  <c r="L11" i="44"/>
  <c r="E11" i="44"/>
  <c r="G11" i="44" s="1"/>
  <c r="L10" i="44"/>
  <c r="E10" i="44"/>
  <c r="G10" i="44" s="1"/>
  <c r="L9" i="44"/>
  <c r="E9" i="44"/>
  <c r="G9" i="44" s="1"/>
  <c r="L8" i="44"/>
  <c r="E8" i="44"/>
  <c r="G8" i="44" s="1"/>
  <c r="L7" i="44"/>
  <c r="E7" i="44"/>
  <c r="G7" i="44" s="1"/>
  <c r="L6" i="44"/>
  <c r="E6" i="44"/>
  <c r="G6" i="44" s="1"/>
  <c r="O545" i="7" l="1"/>
  <c r="N529" i="7"/>
  <c r="O518" i="7"/>
  <c r="N521" i="7"/>
  <c r="O550" i="7"/>
  <c r="N553" i="7"/>
  <c r="O514" i="7"/>
  <c r="N517" i="7"/>
  <c r="O534" i="7"/>
  <c r="N537" i="7"/>
  <c r="O542" i="7"/>
  <c r="O541" i="7"/>
  <c r="O530" i="7"/>
  <c r="N533" i="7"/>
  <c r="O546" i="7"/>
  <c r="N549" i="7"/>
  <c r="O538" i="7"/>
  <c r="O554" i="7"/>
  <c r="O513" i="7"/>
  <c r="O522" i="7"/>
  <c r="N525" i="7"/>
  <c r="O526" i="7"/>
  <c r="N516" i="7"/>
  <c r="N520" i="7"/>
  <c r="N524" i="7"/>
  <c r="N528" i="7"/>
  <c r="N532" i="7"/>
  <c r="N536" i="7"/>
  <c r="N540" i="7"/>
  <c r="N544" i="7"/>
  <c r="N548" i="7"/>
  <c r="N552" i="7"/>
  <c r="N556" i="7"/>
  <c r="N515" i="7"/>
  <c r="N519" i="7"/>
  <c r="N523" i="7"/>
  <c r="N527" i="7"/>
  <c r="N531" i="7"/>
  <c r="N535" i="7"/>
  <c r="N539" i="7"/>
  <c r="N543" i="7"/>
  <c r="N547" i="7"/>
  <c r="N551" i="7"/>
  <c r="N555" i="7"/>
  <c r="N511" i="7"/>
  <c r="O512" i="7"/>
  <c r="N510" i="7"/>
  <c r="N509" i="7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L44" i="43" l="1"/>
  <c r="E44" i="43"/>
  <c r="F44" i="43" s="1"/>
  <c r="L43" i="43"/>
  <c r="E43" i="43"/>
  <c r="F43" i="43" s="1"/>
  <c r="L42" i="43"/>
  <c r="E42" i="43"/>
  <c r="F42" i="43" s="1"/>
  <c r="L41" i="43"/>
  <c r="G41" i="43"/>
  <c r="E41" i="43"/>
  <c r="F41" i="43" s="1"/>
  <c r="L40" i="43"/>
  <c r="E40" i="43"/>
  <c r="F40" i="43" s="1"/>
  <c r="L39" i="43"/>
  <c r="E39" i="43"/>
  <c r="F39" i="43" s="1"/>
  <c r="L38" i="43"/>
  <c r="E38" i="43"/>
  <c r="F38" i="43" s="1"/>
  <c r="L37" i="43"/>
  <c r="E37" i="43"/>
  <c r="F37" i="43" s="1"/>
  <c r="L36" i="43"/>
  <c r="E36" i="43"/>
  <c r="F36" i="43" s="1"/>
  <c r="L35" i="43"/>
  <c r="E35" i="43"/>
  <c r="F35" i="43" s="1"/>
  <c r="L34" i="43"/>
  <c r="E34" i="43"/>
  <c r="F34" i="43" s="1"/>
  <c r="L33" i="43"/>
  <c r="G33" i="43"/>
  <c r="E33" i="43"/>
  <c r="F33" i="43" s="1"/>
  <c r="L32" i="43"/>
  <c r="E32" i="43"/>
  <c r="F32" i="43" s="1"/>
  <c r="L31" i="43"/>
  <c r="E31" i="43"/>
  <c r="F31" i="43" s="1"/>
  <c r="L30" i="43"/>
  <c r="E30" i="43"/>
  <c r="F30" i="43" s="1"/>
  <c r="L29" i="43"/>
  <c r="G29" i="43"/>
  <c r="E29" i="43"/>
  <c r="F29" i="43" s="1"/>
  <c r="L28" i="43"/>
  <c r="E28" i="43"/>
  <c r="F28" i="43" s="1"/>
  <c r="L27" i="43"/>
  <c r="E27" i="43"/>
  <c r="F27" i="43" s="1"/>
  <c r="L26" i="43"/>
  <c r="E26" i="43"/>
  <c r="F26" i="43" s="1"/>
  <c r="L25" i="43"/>
  <c r="G25" i="43"/>
  <c r="E25" i="43"/>
  <c r="F25" i="43" s="1"/>
  <c r="L24" i="43"/>
  <c r="E24" i="43"/>
  <c r="F24" i="43" s="1"/>
  <c r="L23" i="43"/>
  <c r="E23" i="43"/>
  <c r="F23" i="43" s="1"/>
  <c r="L22" i="43"/>
  <c r="E22" i="43"/>
  <c r="F22" i="43" s="1"/>
  <c r="L21" i="43"/>
  <c r="E21" i="43"/>
  <c r="F21" i="43" s="1"/>
  <c r="L20" i="43"/>
  <c r="E20" i="43"/>
  <c r="F20" i="43" s="1"/>
  <c r="L19" i="43"/>
  <c r="E19" i="43"/>
  <c r="F19" i="43" s="1"/>
  <c r="L18" i="43"/>
  <c r="G18" i="43"/>
  <c r="E18" i="43"/>
  <c r="F18" i="43" s="1"/>
  <c r="L17" i="43"/>
  <c r="G17" i="43"/>
  <c r="E17" i="43"/>
  <c r="F17" i="43" s="1"/>
  <c r="L16" i="43"/>
  <c r="E16" i="43"/>
  <c r="F16" i="43" s="1"/>
  <c r="L15" i="43"/>
  <c r="E15" i="43"/>
  <c r="F15" i="43" s="1"/>
  <c r="L14" i="43"/>
  <c r="E14" i="43"/>
  <c r="F14" i="43" s="1"/>
  <c r="L13" i="43"/>
  <c r="E13" i="43"/>
  <c r="F13" i="43" s="1"/>
  <c r="L12" i="43"/>
  <c r="E12" i="43"/>
  <c r="F12" i="43" s="1"/>
  <c r="L11" i="43"/>
  <c r="E11" i="43"/>
  <c r="F11" i="43" s="1"/>
  <c r="L10" i="43"/>
  <c r="E10" i="43"/>
  <c r="F10" i="43" s="1"/>
  <c r="L9" i="43"/>
  <c r="E9" i="43"/>
  <c r="F9" i="43" s="1"/>
  <c r="L8" i="43"/>
  <c r="E8" i="43"/>
  <c r="F8" i="43" s="1"/>
  <c r="L7" i="43"/>
  <c r="G7" i="43"/>
  <c r="E7" i="43"/>
  <c r="F7" i="43" s="1"/>
  <c r="L6" i="43"/>
  <c r="E6" i="43"/>
  <c r="F6" i="43" s="1"/>
  <c r="L40" i="9"/>
  <c r="E40" i="9"/>
  <c r="G40" i="9" s="1"/>
  <c r="L39" i="9"/>
  <c r="E39" i="9"/>
  <c r="G39" i="9" s="1"/>
  <c r="L38" i="9"/>
  <c r="E38" i="9"/>
  <c r="G38" i="9" s="1"/>
  <c r="L37" i="9"/>
  <c r="E37" i="9"/>
  <c r="G37" i="9" s="1"/>
  <c r="L42" i="9"/>
  <c r="E42" i="9"/>
  <c r="G42" i="9" s="1"/>
  <c r="L41" i="9"/>
  <c r="E41" i="9"/>
  <c r="G41" i="9" s="1"/>
  <c r="L43" i="9"/>
  <c r="E43" i="9"/>
  <c r="G43" i="9" s="1"/>
  <c r="L37" i="41"/>
  <c r="E37" i="41"/>
  <c r="G37" i="41" s="1"/>
  <c r="L37" i="42"/>
  <c r="E37" i="42"/>
  <c r="G37" i="42" s="1"/>
  <c r="L36" i="42"/>
  <c r="E36" i="42"/>
  <c r="G36" i="42" s="1"/>
  <c r="L35" i="42"/>
  <c r="E35" i="42"/>
  <c r="G35" i="42" s="1"/>
  <c r="L34" i="42"/>
  <c r="E34" i="42"/>
  <c r="G34" i="42" s="1"/>
  <c r="L33" i="42"/>
  <c r="E33" i="42"/>
  <c r="G33" i="42" s="1"/>
  <c r="L32" i="42"/>
  <c r="E32" i="42"/>
  <c r="G32" i="42" s="1"/>
  <c r="L31" i="42"/>
  <c r="E31" i="42"/>
  <c r="G31" i="42" s="1"/>
  <c r="L30" i="42"/>
  <c r="E30" i="42"/>
  <c r="G30" i="42" s="1"/>
  <c r="L29" i="42"/>
  <c r="E29" i="42"/>
  <c r="G29" i="42" s="1"/>
  <c r="L28" i="42"/>
  <c r="E28" i="42"/>
  <c r="G28" i="42" s="1"/>
  <c r="L27" i="42"/>
  <c r="E27" i="42"/>
  <c r="G27" i="42" s="1"/>
  <c r="L26" i="42"/>
  <c r="E26" i="42"/>
  <c r="G26" i="42" s="1"/>
  <c r="L25" i="42"/>
  <c r="E25" i="42"/>
  <c r="G25" i="42" s="1"/>
  <c r="L24" i="42"/>
  <c r="E24" i="42"/>
  <c r="G24" i="42" s="1"/>
  <c r="L23" i="42"/>
  <c r="E23" i="42"/>
  <c r="G23" i="42" s="1"/>
  <c r="L22" i="42"/>
  <c r="E22" i="42"/>
  <c r="G22" i="42" s="1"/>
  <c r="L21" i="42"/>
  <c r="E21" i="42"/>
  <c r="G21" i="42" s="1"/>
  <c r="L20" i="42"/>
  <c r="E20" i="42"/>
  <c r="G20" i="42" s="1"/>
  <c r="L19" i="42"/>
  <c r="E19" i="42"/>
  <c r="G19" i="42" s="1"/>
  <c r="L18" i="42"/>
  <c r="E18" i="42"/>
  <c r="G18" i="42" s="1"/>
  <c r="L17" i="42"/>
  <c r="E17" i="42"/>
  <c r="G17" i="42" s="1"/>
  <c r="L16" i="42"/>
  <c r="E16" i="42"/>
  <c r="G16" i="42" s="1"/>
  <c r="L15" i="42"/>
  <c r="E15" i="42"/>
  <c r="G15" i="42" s="1"/>
  <c r="L14" i="42"/>
  <c r="E14" i="42"/>
  <c r="G14" i="42" s="1"/>
  <c r="L13" i="42"/>
  <c r="E13" i="42"/>
  <c r="G13" i="42" s="1"/>
  <c r="L12" i="42"/>
  <c r="E12" i="42"/>
  <c r="G12" i="42" s="1"/>
  <c r="L11" i="42"/>
  <c r="E11" i="42"/>
  <c r="G11" i="42" s="1"/>
  <c r="L10" i="42"/>
  <c r="E10" i="42"/>
  <c r="G10" i="42" s="1"/>
  <c r="L9" i="42"/>
  <c r="E9" i="42"/>
  <c r="G9" i="42" s="1"/>
  <c r="L8" i="42"/>
  <c r="E8" i="42"/>
  <c r="G8" i="42" s="1"/>
  <c r="L7" i="42"/>
  <c r="E7" i="42"/>
  <c r="G7" i="42" s="1"/>
  <c r="L6" i="42"/>
  <c r="E6" i="42"/>
  <c r="G6" i="42" s="1"/>
  <c r="L38" i="41"/>
  <c r="E38" i="41"/>
  <c r="F38" i="41" s="1"/>
  <c r="L36" i="41"/>
  <c r="E36" i="41"/>
  <c r="F36" i="41" s="1"/>
  <c r="L35" i="41"/>
  <c r="G35" i="41"/>
  <c r="E35" i="41"/>
  <c r="F35" i="41" s="1"/>
  <c r="L34" i="41"/>
  <c r="E34" i="41"/>
  <c r="F34" i="41" s="1"/>
  <c r="L33" i="41"/>
  <c r="E33" i="41"/>
  <c r="F33" i="41" s="1"/>
  <c r="L32" i="41"/>
  <c r="E32" i="41"/>
  <c r="F32" i="41" s="1"/>
  <c r="L31" i="41"/>
  <c r="E31" i="41"/>
  <c r="F31" i="41" s="1"/>
  <c r="L30" i="41"/>
  <c r="E30" i="41"/>
  <c r="F30" i="41" s="1"/>
  <c r="L29" i="41"/>
  <c r="E29" i="41"/>
  <c r="F29" i="41" s="1"/>
  <c r="L28" i="41"/>
  <c r="E28" i="41"/>
  <c r="F28" i="41" s="1"/>
  <c r="L27" i="41"/>
  <c r="E27" i="41"/>
  <c r="F27" i="41" s="1"/>
  <c r="L26" i="41"/>
  <c r="E26" i="41"/>
  <c r="F26" i="41" s="1"/>
  <c r="L25" i="41"/>
  <c r="E25" i="41"/>
  <c r="F25" i="41" s="1"/>
  <c r="L24" i="41"/>
  <c r="E24" i="41"/>
  <c r="F24" i="41" s="1"/>
  <c r="L23" i="41"/>
  <c r="E23" i="41"/>
  <c r="F23" i="41" s="1"/>
  <c r="L22" i="41"/>
  <c r="E22" i="41"/>
  <c r="F22" i="41" s="1"/>
  <c r="L21" i="41"/>
  <c r="E21" i="41"/>
  <c r="F21" i="41" s="1"/>
  <c r="L20" i="41"/>
  <c r="E20" i="41"/>
  <c r="F20" i="41" s="1"/>
  <c r="L19" i="41"/>
  <c r="E19" i="41"/>
  <c r="F19" i="41" s="1"/>
  <c r="L18" i="41"/>
  <c r="E18" i="41"/>
  <c r="F18" i="41" s="1"/>
  <c r="L17" i="41"/>
  <c r="E17" i="41"/>
  <c r="F17" i="41" s="1"/>
  <c r="L16" i="41"/>
  <c r="E16" i="41"/>
  <c r="F16" i="41" s="1"/>
  <c r="L15" i="41"/>
  <c r="E15" i="41"/>
  <c r="F15" i="41" s="1"/>
  <c r="L14" i="41"/>
  <c r="E14" i="41"/>
  <c r="F14" i="41" s="1"/>
  <c r="L13" i="41"/>
  <c r="E13" i="41"/>
  <c r="F13" i="41" s="1"/>
  <c r="L12" i="41"/>
  <c r="E12" i="41"/>
  <c r="F12" i="41" s="1"/>
  <c r="L11" i="41"/>
  <c r="E11" i="41"/>
  <c r="F11" i="41" s="1"/>
  <c r="L10" i="41"/>
  <c r="E10" i="41"/>
  <c r="F10" i="41" s="1"/>
  <c r="L9" i="41"/>
  <c r="E9" i="41"/>
  <c r="F9" i="41" s="1"/>
  <c r="L8" i="41"/>
  <c r="E8" i="41"/>
  <c r="F8" i="41" s="1"/>
  <c r="L7" i="41"/>
  <c r="E7" i="41"/>
  <c r="F7" i="41" s="1"/>
  <c r="L6" i="41"/>
  <c r="E6" i="41"/>
  <c r="F6" i="41" s="1"/>
  <c r="L23" i="9"/>
  <c r="E23" i="9"/>
  <c r="G23" i="9" s="1"/>
  <c r="L7" i="9"/>
  <c r="E7" i="9"/>
  <c r="G7" i="9" s="1"/>
  <c r="L20" i="9"/>
  <c r="E20" i="9"/>
  <c r="G20" i="9" s="1"/>
  <c r="L16" i="9"/>
  <c r="E16" i="9"/>
  <c r="G16" i="9" s="1"/>
  <c r="L26" i="9"/>
  <c r="E26" i="9"/>
  <c r="G26" i="9" s="1"/>
  <c r="L19" i="9"/>
  <c r="E19" i="9"/>
  <c r="G19" i="9" s="1"/>
  <c r="L31" i="9"/>
  <c r="E31" i="9"/>
  <c r="G31" i="9" s="1"/>
  <c r="L32" i="9"/>
  <c r="E32" i="9"/>
  <c r="G32" i="9" s="1"/>
  <c r="L27" i="9"/>
  <c r="E27" i="9"/>
  <c r="G27" i="9" s="1"/>
  <c r="L28" i="9"/>
  <c r="E28" i="9"/>
  <c r="G28" i="9" s="1"/>
  <c r="L25" i="9"/>
  <c r="E25" i="9"/>
  <c r="G25" i="9" s="1"/>
  <c r="L6" i="9"/>
  <c r="E6" i="9"/>
  <c r="G6" i="9" s="1"/>
  <c r="L15" i="9"/>
  <c r="E15" i="9"/>
  <c r="G15" i="9" s="1"/>
  <c r="L34" i="9"/>
  <c r="E34" i="9"/>
  <c r="G34" i="9" s="1"/>
  <c r="L21" i="9"/>
  <c r="E21" i="9"/>
  <c r="G21" i="9" s="1"/>
  <c r="L35" i="9"/>
  <c r="E35" i="9"/>
  <c r="G35" i="9" s="1"/>
  <c r="L13" i="9"/>
  <c r="E13" i="9"/>
  <c r="G13" i="9" s="1"/>
  <c r="E36" i="9"/>
  <c r="F36" i="9" s="1"/>
  <c r="L36" i="9"/>
  <c r="E44" i="9"/>
  <c r="F44" i="9" s="1"/>
  <c r="L44" i="9"/>
  <c r="L20" i="40"/>
  <c r="E20" i="40"/>
  <c r="G20" i="40" s="1"/>
  <c r="L19" i="40"/>
  <c r="E19" i="40"/>
  <c r="G19" i="40" s="1"/>
  <c r="L18" i="40"/>
  <c r="E18" i="40"/>
  <c r="G18" i="40" s="1"/>
  <c r="L17" i="40"/>
  <c r="E17" i="40"/>
  <c r="G17" i="40" s="1"/>
  <c r="L16" i="40"/>
  <c r="E16" i="40"/>
  <c r="G16" i="40" s="1"/>
  <c r="L15" i="40"/>
  <c r="E15" i="40"/>
  <c r="G15" i="40" s="1"/>
  <c r="L14" i="40"/>
  <c r="E14" i="40"/>
  <c r="G14" i="40" s="1"/>
  <c r="L13" i="40"/>
  <c r="E13" i="40"/>
  <c r="G13" i="40" s="1"/>
  <c r="L12" i="40"/>
  <c r="E12" i="40"/>
  <c r="G12" i="40" s="1"/>
  <c r="L11" i="40"/>
  <c r="E11" i="40"/>
  <c r="G11" i="40" s="1"/>
  <c r="L10" i="40"/>
  <c r="E10" i="40"/>
  <c r="G10" i="40" s="1"/>
  <c r="L9" i="40"/>
  <c r="E9" i="40"/>
  <c r="G9" i="40" s="1"/>
  <c r="L8" i="40"/>
  <c r="E8" i="40"/>
  <c r="G8" i="40" s="1"/>
  <c r="L7" i="40"/>
  <c r="E7" i="40"/>
  <c r="G7" i="40" s="1"/>
  <c r="L6" i="40"/>
  <c r="E6" i="40"/>
  <c r="G6" i="40" s="1"/>
  <c r="L30" i="39"/>
  <c r="E30" i="39"/>
  <c r="G30" i="39" s="1"/>
  <c r="L29" i="39"/>
  <c r="F29" i="39"/>
  <c r="E29" i="39"/>
  <c r="G29" i="39" s="1"/>
  <c r="L28" i="39"/>
  <c r="E28" i="39"/>
  <c r="G28" i="39" s="1"/>
  <c r="L27" i="39"/>
  <c r="F27" i="39"/>
  <c r="E27" i="39"/>
  <c r="G27" i="39" s="1"/>
  <c r="L26" i="39"/>
  <c r="E26" i="39"/>
  <c r="G26" i="39" s="1"/>
  <c r="L25" i="39"/>
  <c r="E25" i="39"/>
  <c r="G25" i="39" s="1"/>
  <c r="L24" i="39"/>
  <c r="F24" i="39"/>
  <c r="E24" i="39"/>
  <c r="G24" i="39" s="1"/>
  <c r="L23" i="39"/>
  <c r="E23" i="39"/>
  <c r="G23" i="39" s="1"/>
  <c r="L22" i="39"/>
  <c r="E22" i="39"/>
  <c r="G22" i="39" s="1"/>
  <c r="L21" i="39"/>
  <c r="E21" i="39"/>
  <c r="G21" i="39" s="1"/>
  <c r="L20" i="39"/>
  <c r="E20" i="39"/>
  <c r="G20" i="39" s="1"/>
  <c r="E19" i="39"/>
  <c r="F19" i="39" s="1"/>
  <c r="L18" i="39"/>
  <c r="E18" i="39"/>
  <c r="F18" i="39" s="1"/>
  <c r="L17" i="39"/>
  <c r="E17" i="39"/>
  <c r="F17" i="39" s="1"/>
  <c r="L16" i="39"/>
  <c r="E16" i="39"/>
  <c r="F16" i="39" s="1"/>
  <c r="L15" i="39"/>
  <c r="E15" i="39"/>
  <c r="F15" i="39" s="1"/>
  <c r="L14" i="39"/>
  <c r="E14" i="39"/>
  <c r="F14" i="39" s="1"/>
  <c r="L13" i="39"/>
  <c r="E13" i="39"/>
  <c r="F13" i="39" s="1"/>
  <c r="L12" i="39"/>
  <c r="E12" i="39"/>
  <c r="F12" i="39" s="1"/>
  <c r="L11" i="39"/>
  <c r="E11" i="39"/>
  <c r="F11" i="39" s="1"/>
  <c r="L10" i="39"/>
  <c r="E10" i="39"/>
  <c r="F10" i="39" s="1"/>
  <c r="L9" i="39"/>
  <c r="E9" i="39"/>
  <c r="F9" i="39" s="1"/>
  <c r="L8" i="39"/>
  <c r="E8" i="39"/>
  <c r="F8" i="39" s="1"/>
  <c r="L7" i="39"/>
  <c r="E7" i="39"/>
  <c r="F7" i="39" s="1"/>
  <c r="L6" i="39"/>
  <c r="E6" i="39"/>
  <c r="F6" i="39" s="1"/>
  <c r="E38" i="38"/>
  <c r="G38" i="38" s="1"/>
  <c r="L37" i="38"/>
  <c r="E37" i="38"/>
  <c r="G37" i="38" s="1"/>
  <c r="L36" i="38"/>
  <c r="E36" i="38"/>
  <c r="G36" i="38" s="1"/>
  <c r="L35" i="38"/>
  <c r="E35" i="38"/>
  <c r="G35" i="38" s="1"/>
  <c r="L34" i="38"/>
  <c r="E34" i="38"/>
  <c r="G34" i="38" s="1"/>
  <c r="L33" i="38"/>
  <c r="E33" i="38"/>
  <c r="G33" i="38" s="1"/>
  <c r="L32" i="38"/>
  <c r="E32" i="38"/>
  <c r="G32" i="38" s="1"/>
  <c r="L31" i="38"/>
  <c r="E31" i="38"/>
  <c r="G31" i="38" s="1"/>
  <c r="L30" i="38"/>
  <c r="E30" i="38"/>
  <c r="G30" i="38" s="1"/>
  <c r="L29" i="38"/>
  <c r="E29" i="38"/>
  <c r="G29" i="38" s="1"/>
  <c r="L28" i="38"/>
  <c r="E28" i="38"/>
  <c r="G28" i="38" s="1"/>
  <c r="L27" i="38"/>
  <c r="E27" i="38"/>
  <c r="G27" i="38" s="1"/>
  <c r="L26" i="38"/>
  <c r="E26" i="38"/>
  <c r="G26" i="38" s="1"/>
  <c r="L25" i="38"/>
  <c r="E25" i="38"/>
  <c r="G25" i="38" s="1"/>
  <c r="L24" i="38"/>
  <c r="E24" i="38"/>
  <c r="G24" i="38" s="1"/>
  <c r="L23" i="38"/>
  <c r="E23" i="38"/>
  <c r="G23" i="38" s="1"/>
  <c r="L22" i="38"/>
  <c r="E22" i="38"/>
  <c r="G22" i="38" s="1"/>
  <c r="G21" i="38"/>
  <c r="E21" i="38"/>
  <c r="F21" i="38" s="1"/>
  <c r="L20" i="38"/>
  <c r="G20" i="38"/>
  <c r="E20" i="38"/>
  <c r="F20" i="38" s="1"/>
  <c r="L19" i="38"/>
  <c r="G19" i="38"/>
  <c r="E19" i="38"/>
  <c r="F19" i="38" s="1"/>
  <c r="L18" i="38"/>
  <c r="G18" i="38"/>
  <c r="E18" i="38"/>
  <c r="F18" i="38" s="1"/>
  <c r="L17" i="38"/>
  <c r="G17" i="38"/>
  <c r="E17" i="38"/>
  <c r="F17" i="38" s="1"/>
  <c r="L16" i="38"/>
  <c r="G16" i="38"/>
  <c r="E16" i="38"/>
  <c r="F16" i="38" s="1"/>
  <c r="L15" i="38"/>
  <c r="G15" i="38"/>
  <c r="E15" i="38"/>
  <c r="F15" i="38" s="1"/>
  <c r="L14" i="38"/>
  <c r="E14" i="38"/>
  <c r="F14" i="38" s="1"/>
  <c r="L13" i="38"/>
  <c r="G13" i="38"/>
  <c r="E13" i="38"/>
  <c r="F13" i="38" s="1"/>
  <c r="L12" i="38"/>
  <c r="G12" i="38"/>
  <c r="E12" i="38"/>
  <c r="F12" i="38" s="1"/>
  <c r="L11" i="38"/>
  <c r="G11" i="38"/>
  <c r="E11" i="38"/>
  <c r="F11" i="38" s="1"/>
  <c r="L10" i="38"/>
  <c r="G10" i="38"/>
  <c r="E10" i="38"/>
  <c r="F10" i="38" s="1"/>
  <c r="L9" i="38"/>
  <c r="G9" i="38"/>
  <c r="E9" i="38"/>
  <c r="F9" i="38" s="1"/>
  <c r="L8" i="38"/>
  <c r="G8" i="38"/>
  <c r="E8" i="38"/>
  <c r="F8" i="38" s="1"/>
  <c r="L7" i="38"/>
  <c r="G7" i="38"/>
  <c r="E7" i="38"/>
  <c r="F7" i="38" s="1"/>
  <c r="L6" i="38"/>
  <c r="G6" i="38"/>
  <c r="E6" i="38"/>
  <c r="F6" i="38" s="1"/>
  <c r="E38" i="37"/>
  <c r="G38" i="37" s="1"/>
  <c r="L37" i="37"/>
  <c r="E37" i="37"/>
  <c r="G37" i="37" s="1"/>
  <c r="L36" i="37"/>
  <c r="E36" i="37"/>
  <c r="G36" i="37" s="1"/>
  <c r="L35" i="37"/>
  <c r="E35" i="37"/>
  <c r="G35" i="37" s="1"/>
  <c r="L34" i="37"/>
  <c r="E34" i="37"/>
  <c r="G34" i="37" s="1"/>
  <c r="L33" i="37"/>
  <c r="E33" i="37"/>
  <c r="G33" i="37" s="1"/>
  <c r="L32" i="37"/>
  <c r="E32" i="37"/>
  <c r="G32" i="37" s="1"/>
  <c r="L31" i="37"/>
  <c r="E31" i="37"/>
  <c r="G31" i="37" s="1"/>
  <c r="L30" i="37"/>
  <c r="E30" i="37"/>
  <c r="G30" i="37" s="1"/>
  <c r="L29" i="37"/>
  <c r="E29" i="37"/>
  <c r="G29" i="37" s="1"/>
  <c r="L28" i="37"/>
  <c r="E28" i="37"/>
  <c r="G28" i="37" s="1"/>
  <c r="L27" i="37"/>
  <c r="E27" i="37"/>
  <c r="G27" i="37" s="1"/>
  <c r="L26" i="37"/>
  <c r="E26" i="37"/>
  <c r="G26" i="37" s="1"/>
  <c r="L25" i="37"/>
  <c r="E25" i="37"/>
  <c r="G25" i="37" s="1"/>
  <c r="L24" i="37"/>
  <c r="E24" i="37"/>
  <c r="G24" i="37" s="1"/>
  <c r="L23" i="37"/>
  <c r="E23" i="37"/>
  <c r="G23" i="37" s="1"/>
  <c r="L22" i="37"/>
  <c r="E22" i="37"/>
  <c r="G22" i="37" s="1"/>
  <c r="G21" i="37"/>
  <c r="E21" i="37"/>
  <c r="F21" i="37" s="1"/>
  <c r="L20" i="37"/>
  <c r="G20" i="37"/>
  <c r="E20" i="37"/>
  <c r="F20" i="37" s="1"/>
  <c r="L19" i="37"/>
  <c r="G19" i="37"/>
  <c r="E19" i="37"/>
  <c r="F19" i="37" s="1"/>
  <c r="L18" i="37"/>
  <c r="G18" i="37"/>
  <c r="E18" i="37"/>
  <c r="F18" i="37" s="1"/>
  <c r="L17" i="37"/>
  <c r="G17" i="37"/>
  <c r="E17" i="37"/>
  <c r="F17" i="37" s="1"/>
  <c r="L16" i="37"/>
  <c r="G16" i="37"/>
  <c r="E16" i="37"/>
  <c r="F16" i="37" s="1"/>
  <c r="L15" i="37"/>
  <c r="G15" i="37"/>
  <c r="E15" i="37"/>
  <c r="F15" i="37" s="1"/>
  <c r="L14" i="37"/>
  <c r="G14" i="37"/>
  <c r="E14" i="37"/>
  <c r="F14" i="37" s="1"/>
  <c r="L13" i="37"/>
  <c r="G13" i="37"/>
  <c r="E13" i="37"/>
  <c r="F13" i="37" s="1"/>
  <c r="L12" i="37"/>
  <c r="G12" i="37"/>
  <c r="E12" i="37"/>
  <c r="F12" i="37" s="1"/>
  <c r="L11" i="37"/>
  <c r="G11" i="37"/>
  <c r="E11" i="37"/>
  <c r="F11" i="37" s="1"/>
  <c r="L10" i="37"/>
  <c r="G10" i="37"/>
  <c r="E10" i="37"/>
  <c r="F10" i="37" s="1"/>
  <c r="L9" i="37"/>
  <c r="G9" i="37"/>
  <c r="E9" i="37"/>
  <c r="F9" i="37" s="1"/>
  <c r="L8" i="37"/>
  <c r="G8" i="37"/>
  <c r="E8" i="37"/>
  <c r="F8" i="37" s="1"/>
  <c r="L7" i="37"/>
  <c r="G7" i="37"/>
  <c r="E7" i="37"/>
  <c r="F7" i="37" s="1"/>
  <c r="L6" i="37"/>
  <c r="G6" i="37"/>
  <c r="E6" i="37"/>
  <c r="F6" i="37" s="1"/>
  <c r="E38" i="36"/>
  <c r="G38" i="36" s="1"/>
  <c r="L37" i="36"/>
  <c r="E37" i="36"/>
  <c r="G37" i="36" s="1"/>
  <c r="L36" i="36"/>
  <c r="E36" i="36"/>
  <c r="G36" i="36" s="1"/>
  <c r="L35" i="36"/>
  <c r="E35" i="36"/>
  <c r="G35" i="36" s="1"/>
  <c r="L34" i="36"/>
  <c r="E34" i="36"/>
  <c r="G34" i="36" s="1"/>
  <c r="L33" i="36"/>
  <c r="E33" i="36"/>
  <c r="G33" i="36" s="1"/>
  <c r="L32" i="36"/>
  <c r="E32" i="36"/>
  <c r="G32" i="36" s="1"/>
  <c r="L31" i="36"/>
  <c r="E31" i="36"/>
  <c r="G31" i="36" s="1"/>
  <c r="L30" i="36"/>
  <c r="E30" i="36"/>
  <c r="G30" i="36" s="1"/>
  <c r="L29" i="36"/>
  <c r="E29" i="36"/>
  <c r="G29" i="36" s="1"/>
  <c r="L28" i="36"/>
  <c r="E28" i="36"/>
  <c r="G28" i="36" s="1"/>
  <c r="L27" i="36"/>
  <c r="E27" i="36"/>
  <c r="G27" i="36" s="1"/>
  <c r="L26" i="36"/>
  <c r="E26" i="36"/>
  <c r="G26" i="36" s="1"/>
  <c r="L25" i="36"/>
  <c r="E25" i="36"/>
  <c r="G25" i="36" s="1"/>
  <c r="L24" i="36"/>
  <c r="E24" i="36"/>
  <c r="G24" i="36" s="1"/>
  <c r="L23" i="36"/>
  <c r="E23" i="36"/>
  <c r="G23" i="36" s="1"/>
  <c r="L22" i="36"/>
  <c r="E22" i="36"/>
  <c r="G22" i="36" s="1"/>
  <c r="G21" i="36"/>
  <c r="E21" i="36"/>
  <c r="F21" i="36" s="1"/>
  <c r="L20" i="36"/>
  <c r="G20" i="36"/>
  <c r="E20" i="36"/>
  <c r="F20" i="36" s="1"/>
  <c r="L19" i="36"/>
  <c r="G19" i="36"/>
  <c r="E19" i="36"/>
  <c r="F19" i="36" s="1"/>
  <c r="L18" i="36"/>
  <c r="G18" i="36"/>
  <c r="E18" i="36"/>
  <c r="F18" i="36" s="1"/>
  <c r="L17" i="36"/>
  <c r="G17" i="36"/>
  <c r="E17" i="36"/>
  <c r="F17" i="36" s="1"/>
  <c r="L16" i="36"/>
  <c r="G16" i="36"/>
  <c r="E16" i="36"/>
  <c r="F16" i="36" s="1"/>
  <c r="L15" i="36"/>
  <c r="G15" i="36"/>
  <c r="E15" i="36"/>
  <c r="F15" i="36" s="1"/>
  <c r="L14" i="36"/>
  <c r="G14" i="36"/>
  <c r="E14" i="36"/>
  <c r="F14" i="36" s="1"/>
  <c r="L13" i="36"/>
  <c r="G13" i="36"/>
  <c r="E13" i="36"/>
  <c r="F13" i="36" s="1"/>
  <c r="L12" i="36"/>
  <c r="G12" i="36"/>
  <c r="E12" i="36"/>
  <c r="F12" i="36" s="1"/>
  <c r="L11" i="36"/>
  <c r="G11" i="36"/>
  <c r="E11" i="36"/>
  <c r="F11" i="36" s="1"/>
  <c r="L10" i="36"/>
  <c r="G10" i="36"/>
  <c r="E10" i="36"/>
  <c r="F10" i="36" s="1"/>
  <c r="L9" i="36"/>
  <c r="G9" i="36"/>
  <c r="E9" i="36"/>
  <c r="F9" i="36" s="1"/>
  <c r="L8" i="36"/>
  <c r="G8" i="36"/>
  <c r="E8" i="36"/>
  <c r="F8" i="36" s="1"/>
  <c r="L7" i="36"/>
  <c r="G7" i="36"/>
  <c r="E7" i="36"/>
  <c r="F7" i="36" s="1"/>
  <c r="L6" i="36"/>
  <c r="G6" i="36"/>
  <c r="E6" i="36"/>
  <c r="F6" i="36" s="1"/>
  <c r="L36" i="34"/>
  <c r="E36" i="34"/>
  <c r="G36" i="34" s="1"/>
  <c r="E38" i="35"/>
  <c r="G38" i="35" s="1"/>
  <c r="L37" i="35"/>
  <c r="E37" i="35"/>
  <c r="G37" i="35" s="1"/>
  <c r="L36" i="35"/>
  <c r="E36" i="35"/>
  <c r="G36" i="35" s="1"/>
  <c r="L35" i="35"/>
  <c r="E35" i="35"/>
  <c r="G35" i="35" s="1"/>
  <c r="L34" i="35"/>
  <c r="E34" i="35"/>
  <c r="G34" i="35" s="1"/>
  <c r="L33" i="35"/>
  <c r="E33" i="35"/>
  <c r="G33" i="35" s="1"/>
  <c r="L32" i="35"/>
  <c r="E32" i="35"/>
  <c r="G32" i="35" s="1"/>
  <c r="L31" i="35"/>
  <c r="E31" i="35"/>
  <c r="G31" i="35" s="1"/>
  <c r="L30" i="35"/>
  <c r="E30" i="35"/>
  <c r="G30" i="35" s="1"/>
  <c r="L29" i="35"/>
  <c r="E29" i="35"/>
  <c r="G29" i="35" s="1"/>
  <c r="L28" i="35"/>
  <c r="E28" i="35"/>
  <c r="G28" i="35" s="1"/>
  <c r="L27" i="35"/>
  <c r="E27" i="35"/>
  <c r="G27" i="35" s="1"/>
  <c r="L26" i="35"/>
  <c r="E26" i="35"/>
  <c r="G26" i="35" s="1"/>
  <c r="L25" i="35"/>
  <c r="E25" i="35"/>
  <c r="G25" i="35" s="1"/>
  <c r="L24" i="35"/>
  <c r="E24" i="35"/>
  <c r="G24" i="35" s="1"/>
  <c r="L23" i="35"/>
  <c r="E23" i="35"/>
  <c r="G23" i="35" s="1"/>
  <c r="L22" i="35"/>
  <c r="E22" i="35"/>
  <c r="G22" i="35" s="1"/>
  <c r="G21" i="35"/>
  <c r="E21" i="35"/>
  <c r="F21" i="35" s="1"/>
  <c r="L20" i="35"/>
  <c r="G20" i="35"/>
  <c r="E20" i="35"/>
  <c r="F20" i="35" s="1"/>
  <c r="L19" i="35"/>
  <c r="G19" i="35"/>
  <c r="E19" i="35"/>
  <c r="F19" i="35" s="1"/>
  <c r="L18" i="35"/>
  <c r="E18" i="35"/>
  <c r="F18" i="35" s="1"/>
  <c r="L17" i="35"/>
  <c r="G17" i="35"/>
  <c r="E17" i="35"/>
  <c r="F17" i="35" s="1"/>
  <c r="L16" i="35"/>
  <c r="E16" i="35"/>
  <c r="F16" i="35" s="1"/>
  <c r="L15" i="35"/>
  <c r="G15" i="35"/>
  <c r="E15" i="35"/>
  <c r="F15" i="35" s="1"/>
  <c r="L14" i="35"/>
  <c r="G14" i="35"/>
  <c r="E14" i="35"/>
  <c r="F14" i="35" s="1"/>
  <c r="L13" i="35"/>
  <c r="G13" i="35"/>
  <c r="E13" i="35"/>
  <c r="F13" i="35" s="1"/>
  <c r="L12" i="35"/>
  <c r="G12" i="35"/>
  <c r="E12" i="35"/>
  <c r="F12" i="35" s="1"/>
  <c r="L11" i="35"/>
  <c r="G11" i="35"/>
  <c r="E11" i="35"/>
  <c r="F11" i="35" s="1"/>
  <c r="L10" i="35"/>
  <c r="G10" i="35"/>
  <c r="E10" i="35"/>
  <c r="F10" i="35" s="1"/>
  <c r="L9" i="35"/>
  <c r="G9" i="35"/>
  <c r="E9" i="35"/>
  <c r="F9" i="35" s="1"/>
  <c r="L8" i="35"/>
  <c r="G8" i="35"/>
  <c r="E8" i="35"/>
  <c r="F8" i="35" s="1"/>
  <c r="L7" i="35"/>
  <c r="G7" i="35"/>
  <c r="E7" i="35"/>
  <c r="F7" i="35" s="1"/>
  <c r="L6" i="35"/>
  <c r="G6" i="35"/>
  <c r="E6" i="35"/>
  <c r="F6" i="35" s="1"/>
  <c r="F35" i="34"/>
  <c r="L35" i="34"/>
  <c r="L37" i="34"/>
  <c r="G35" i="34"/>
  <c r="E37" i="34"/>
  <c r="G37" i="34" s="1"/>
  <c r="E35" i="34"/>
  <c r="L29" i="34"/>
  <c r="L30" i="34"/>
  <c r="L31" i="34"/>
  <c r="L32" i="34"/>
  <c r="L33" i="34"/>
  <c r="L34" i="34"/>
  <c r="E32" i="34"/>
  <c r="G32" i="34" s="1"/>
  <c r="E31" i="34"/>
  <c r="F31" i="34" s="1"/>
  <c r="E30" i="34"/>
  <c r="F30" i="34" s="1"/>
  <c r="E29" i="34"/>
  <c r="G29" i="34" s="1"/>
  <c r="E34" i="34"/>
  <c r="G34" i="34" s="1"/>
  <c r="E33" i="34"/>
  <c r="F33" i="34" s="1"/>
  <c r="L28" i="34"/>
  <c r="E28" i="34"/>
  <c r="F28" i="34" s="1"/>
  <c r="L27" i="34"/>
  <c r="E27" i="34"/>
  <c r="G27" i="34" s="1"/>
  <c r="L26" i="34"/>
  <c r="E26" i="34"/>
  <c r="F26" i="34" s="1"/>
  <c r="L25" i="34"/>
  <c r="E25" i="34"/>
  <c r="G25" i="34" s="1"/>
  <c r="L24" i="34"/>
  <c r="E24" i="34"/>
  <c r="G24" i="34" s="1"/>
  <c r="L23" i="34"/>
  <c r="E23" i="34"/>
  <c r="G23" i="34" s="1"/>
  <c r="L22" i="34"/>
  <c r="E22" i="34"/>
  <c r="G22" i="34" s="1"/>
  <c r="E21" i="34"/>
  <c r="F21" i="34" s="1"/>
  <c r="L20" i="34"/>
  <c r="E20" i="34"/>
  <c r="F20" i="34" s="1"/>
  <c r="L19" i="34"/>
  <c r="E19" i="34"/>
  <c r="F19" i="34" s="1"/>
  <c r="L18" i="34"/>
  <c r="E18" i="34"/>
  <c r="F18" i="34" s="1"/>
  <c r="L17" i="34"/>
  <c r="E17" i="34"/>
  <c r="F17" i="34" s="1"/>
  <c r="L16" i="34"/>
  <c r="E16" i="34"/>
  <c r="F16" i="34" s="1"/>
  <c r="L15" i="34"/>
  <c r="E15" i="34"/>
  <c r="F15" i="34" s="1"/>
  <c r="L14" i="34"/>
  <c r="E14" i="34"/>
  <c r="F14" i="34" s="1"/>
  <c r="L13" i="34"/>
  <c r="E13" i="34"/>
  <c r="F13" i="34" s="1"/>
  <c r="L12" i="34"/>
  <c r="E12" i="34"/>
  <c r="F12" i="34" s="1"/>
  <c r="L11" i="34"/>
  <c r="E11" i="34"/>
  <c r="F11" i="34" s="1"/>
  <c r="L10" i="34"/>
  <c r="E10" i="34"/>
  <c r="F10" i="34" s="1"/>
  <c r="L9" i="34"/>
  <c r="E9" i="34"/>
  <c r="F9" i="34" s="1"/>
  <c r="L8" i="34"/>
  <c r="E8" i="34"/>
  <c r="F8" i="34" s="1"/>
  <c r="L7" i="34"/>
  <c r="E7" i="34"/>
  <c r="F7" i="34" s="1"/>
  <c r="L6" i="34"/>
  <c r="E6" i="34"/>
  <c r="F6" i="34" s="1"/>
  <c r="E38" i="33"/>
  <c r="G38" i="33" s="1"/>
  <c r="L37" i="33"/>
  <c r="E37" i="33"/>
  <c r="G37" i="33" s="1"/>
  <c r="L36" i="33"/>
  <c r="E36" i="33"/>
  <c r="G36" i="33" s="1"/>
  <c r="L35" i="33"/>
  <c r="E35" i="33"/>
  <c r="G35" i="33" s="1"/>
  <c r="L34" i="33"/>
  <c r="E34" i="33"/>
  <c r="G34" i="33" s="1"/>
  <c r="L33" i="33"/>
  <c r="E33" i="33"/>
  <c r="G33" i="33" s="1"/>
  <c r="L32" i="33"/>
  <c r="E32" i="33"/>
  <c r="G32" i="33" s="1"/>
  <c r="L31" i="33"/>
  <c r="E31" i="33"/>
  <c r="G31" i="33" s="1"/>
  <c r="L30" i="33"/>
  <c r="E30" i="33"/>
  <c r="G30" i="33" s="1"/>
  <c r="L29" i="33"/>
  <c r="E29" i="33"/>
  <c r="G29" i="33" s="1"/>
  <c r="L28" i="33"/>
  <c r="E28" i="33"/>
  <c r="G28" i="33" s="1"/>
  <c r="L27" i="33"/>
  <c r="E27" i="33"/>
  <c r="G27" i="33" s="1"/>
  <c r="L26" i="33"/>
  <c r="E26" i="33"/>
  <c r="G26" i="33" s="1"/>
  <c r="L25" i="33"/>
  <c r="E25" i="33"/>
  <c r="G25" i="33" s="1"/>
  <c r="L24" i="33"/>
  <c r="E24" i="33"/>
  <c r="G24" i="33" s="1"/>
  <c r="L23" i="33"/>
  <c r="E23" i="33"/>
  <c r="G23" i="33" s="1"/>
  <c r="L22" i="33"/>
  <c r="E22" i="33"/>
  <c r="G22" i="33" s="1"/>
  <c r="E21" i="33"/>
  <c r="G21" i="33" s="1"/>
  <c r="L20" i="33"/>
  <c r="E20" i="33"/>
  <c r="G20" i="33" s="1"/>
  <c r="L19" i="33"/>
  <c r="E19" i="33"/>
  <c r="G19" i="33" s="1"/>
  <c r="L18" i="33"/>
  <c r="E18" i="33"/>
  <c r="G18" i="33" s="1"/>
  <c r="L17" i="33"/>
  <c r="E17" i="33"/>
  <c r="G17" i="33" s="1"/>
  <c r="L16" i="33"/>
  <c r="E16" i="33"/>
  <c r="G16" i="33" s="1"/>
  <c r="L15" i="33"/>
  <c r="E15" i="33"/>
  <c r="G15" i="33" s="1"/>
  <c r="L14" i="33"/>
  <c r="E14" i="33"/>
  <c r="G14" i="33" s="1"/>
  <c r="L13" i="33"/>
  <c r="E13" i="33"/>
  <c r="G13" i="33" s="1"/>
  <c r="L12" i="33"/>
  <c r="E12" i="33"/>
  <c r="G12" i="33" s="1"/>
  <c r="L11" i="33"/>
  <c r="E11" i="33"/>
  <c r="G11" i="33" s="1"/>
  <c r="L10" i="33"/>
  <c r="E10" i="33"/>
  <c r="G10" i="33" s="1"/>
  <c r="L9" i="33"/>
  <c r="E9" i="33"/>
  <c r="G9" i="33" s="1"/>
  <c r="L8" i="33"/>
  <c r="E8" i="33"/>
  <c r="G8" i="33" s="1"/>
  <c r="L7" i="33"/>
  <c r="E7" i="33"/>
  <c r="G7" i="33" s="1"/>
  <c r="L6" i="33"/>
  <c r="E6" i="33"/>
  <c r="G6" i="33" s="1"/>
  <c r="E38" i="32"/>
  <c r="G38" i="32" s="1"/>
  <c r="L37" i="32"/>
  <c r="E37" i="32"/>
  <c r="G37" i="32" s="1"/>
  <c r="L36" i="32"/>
  <c r="E36" i="32"/>
  <c r="G36" i="32" s="1"/>
  <c r="L35" i="32"/>
  <c r="E35" i="32"/>
  <c r="G35" i="32" s="1"/>
  <c r="L34" i="32"/>
  <c r="E34" i="32"/>
  <c r="G34" i="32" s="1"/>
  <c r="L33" i="32"/>
  <c r="E33" i="32"/>
  <c r="G33" i="32" s="1"/>
  <c r="L32" i="32"/>
  <c r="E32" i="32"/>
  <c r="G32" i="32" s="1"/>
  <c r="L31" i="32"/>
  <c r="E31" i="32"/>
  <c r="G31" i="32" s="1"/>
  <c r="L30" i="32"/>
  <c r="E30" i="32"/>
  <c r="G30" i="32" s="1"/>
  <c r="L29" i="32"/>
  <c r="E29" i="32"/>
  <c r="G29" i="32" s="1"/>
  <c r="L28" i="32"/>
  <c r="E28" i="32"/>
  <c r="G28" i="32" s="1"/>
  <c r="L27" i="32"/>
  <c r="E27" i="32"/>
  <c r="G27" i="32" s="1"/>
  <c r="L26" i="32"/>
  <c r="E26" i="32"/>
  <c r="G26" i="32" s="1"/>
  <c r="L25" i="32"/>
  <c r="E25" i="32"/>
  <c r="G25" i="32" s="1"/>
  <c r="L24" i="32"/>
  <c r="E24" i="32"/>
  <c r="G24" i="32" s="1"/>
  <c r="L23" i="32"/>
  <c r="E23" i="32"/>
  <c r="G23" i="32" s="1"/>
  <c r="L22" i="32"/>
  <c r="E22" i="32"/>
  <c r="G22" i="32" s="1"/>
  <c r="G21" i="32"/>
  <c r="F21" i="32"/>
  <c r="E21" i="32"/>
  <c r="L20" i="32"/>
  <c r="G20" i="32"/>
  <c r="F20" i="32"/>
  <c r="E20" i="32"/>
  <c r="L19" i="32"/>
  <c r="G19" i="32"/>
  <c r="F19" i="32"/>
  <c r="E19" i="32"/>
  <c r="L18" i="32"/>
  <c r="G18" i="32"/>
  <c r="F18" i="32"/>
  <c r="E18" i="32"/>
  <c r="L17" i="32"/>
  <c r="G17" i="32"/>
  <c r="F17" i="32"/>
  <c r="E17" i="32"/>
  <c r="L16" i="32"/>
  <c r="G16" i="32"/>
  <c r="F16" i="32"/>
  <c r="E16" i="32"/>
  <c r="L15" i="32"/>
  <c r="G15" i="32"/>
  <c r="F15" i="32"/>
  <c r="E15" i="32"/>
  <c r="L14" i="32"/>
  <c r="G14" i="32"/>
  <c r="F14" i="32"/>
  <c r="E14" i="32"/>
  <c r="L13" i="32"/>
  <c r="G13" i="32"/>
  <c r="F13" i="32"/>
  <c r="E13" i="32"/>
  <c r="L12" i="32"/>
  <c r="G12" i="32"/>
  <c r="F12" i="32"/>
  <c r="E12" i="32"/>
  <c r="L11" i="32"/>
  <c r="G11" i="32"/>
  <c r="F11" i="32"/>
  <c r="E11" i="32"/>
  <c r="L10" i="32"/>
  <c r="G10" i="32"/>
  <c r="F10" i="32"/>
  <c r="E10" i="32"/>
  <c r="L9" i="32"/>
  <c r="G9" i="32"/>
  <c r="F9" i="32"/>
  <c r="E9" i="32"/>
  <c r="L8" i="32"/>
  <c r="G8" i="32"/>
  <c r="F8" i="32"/>
  <c r="E8" i="32"/>
  <c r="L7" i="32"/>
  <c r="G7" i="32"/>
  <c r="F7" i="32"/>
  <c r="E7" i="32"/>
  <c r="L6" i="32"/>
  <c r="G6" i="32"/>
  <c r="F6" i="32"/>
  <c r="E6" i="32"/>
  <c r="L21" i="17"/>
  <c r="E38" i="31"/>
  <c r="F38" i="31" s="1"/>
  <c r="L37" i="31"/>
  <c r="G37" i="31"/>
  <c r="E37" i="31"/>
  <c r="F37" i="31" s="1"/>
  <c r="L36" i="31"/>
  <c r="E36" i="31"/>
  <c r="F36" i="31" s="1"/>
  <c r="L35" i="31"/>
  <c r="E35" i="31"/>
  <c r="F35" i="31" s="1"/>
  <c r="L34" i="31"/>
  <c r="E34" i="31"/>
  <c r="F34" i="31" s="1"/>
  <c r="L33" i="31"/>
  <c r="G33" i="31"/>
  <c r="E33" i="31"/>
  <c r="F33" i="31" s="1"/>
  <c r="L32" i="31"/>
  <c r="E32" i="31"/>
  <c r="F32" i="31" s="1"/>
  <c r="L31" i="31"/>
  <c r="E31" i="31"/>
  <c r="F31" i="31" s="1"/>
  <c r="L30" i="31"/>
  <c r="E30" i="31"/>
  <c r="F30" i="31" s="1"/>
  <c r="L29" i="31"/>
  <c r="G29" i="31"/>
  <c r="E29" i="31"/>
  <c r="F29" i="31" s="1"/>
  <c r="L28" i="31"/>
  <c r="E28" i="31"/>
  <c r="F28" i="31" s="1"/>
  <c r="L27" i="31"/>
  <c r="G27" i="31"/>
  <c r="E27" i="31"/>
  <c r="F27" i="31" s="1"/>
  <c r="L26" i="31"/>
  <c r="G26" i="31"/>
  <c r="E26" i="31"/>
  <c r="F26" i="31" s="1"/>
  <c r="L25" i="31"/>
  <c r="G25" i="31"/>
  <c r="E25" i="31"/>
  <c r="F25" i="31" s="1"/>
  <c r="L24" i="31"/>
  <c r="G24" i="31"/>
  <c r="E24" i="31"/>
  <c r="F24" i="31" s="1"/>
  <c r="L23" i="31"/>
  <c r="G23" i="31"/>
  <c r="E23" i="31"/>
  <c r="F23" i="31" s="1"/>
  <c r="L22" i="31"/>
  <c r="G22" i="31"/>
  <c r="E22" i="31"/>
  <c r="F22" i="31" s="1"/>
  <c r="F21" i="31"/>
  <c r="E21" i="31"/>
  <c r="G21" i="31" s="1"/>
  <c r="L20" i="31"/>
  <c r="F20" i="31"/>
  <c r="E20" i="31"/>
  <c r="G20" i="31" s="1"/>
  <c r="L19" i="31"/>
  <c r="F19" i="31"/>
  <c r="E19" i="31"/>
  <c r="G19" i="31" s="1"/>
  <c r="L18" i="31"/>
  <c r="F18" i="31"/>
  <c r="E18" i="31"/>
  <c r="G18" i="31" s="1"/>
  <c r="L17" i="31"/>
  <c r="F17" i="31"/>
  <c r="E17" i="31"/>
  <c r="G17" i="31" s="1"/>
  <c r="L16" i="31"/>
  <c r="F16" i="31"/>
  <c r="E16" i="31"/>
  <c r="G16" i="31" s="1"/>
  <c r="L15" i="31"/>
  <c r="F15" i="31"/>
  <c r="E15" i="31"/>
  <c r="G15" i="31" s="1"/>
  <c r="L14" i="31"/>
  <c r="F14" i="31"/>
  <c r="E14" i="31"/>
  <c r="G14" i="31" s="1"/>
  <c r="L13" i="31"/>
  <c r="F13" i="31"/>
  <c r="E13" i="31"/>
  <c r="G13" i="31" s="1"/>
  <c r="L12" i="31"/>
  <c r="F12" i="31"/>
  <c r="E12" i="31"/>
  <c r="G12" i="31" s="1"/>
  <c r="L11" i="31"/>
  <c r="F11" i="31"/>
  <c r="E11" i="31"/>
  <c r="G11" i="31" s="1"/>
  <c r="L10" i="31"/>
  <c r="F10" i="31"/>
  <c r="E10" i="31"/>
  <c r="G10" i="31" s="1"/>
  <c r="L9" i="31"/>
  <c r="F9" i="31"/>
  <c r="E9" i="31"/>
  <c r="G9" i="31" s="1"/>
  <c r="L8" i="31"/>
  <c r="F8" i="31"/>
  <c r="E8" i="31"/>
  <c r="G8" i="31" s="1"/>
  <c r="L7" i="31"/>
  <c r="F7" i="31"/>
  <c r="E7" i="31"/>
  <c r="G7" i="31" s="1"/>
  <c r="L6" i="31"/>
  <c r="F6" i="31"/>
  <c r="E6" i="31"/>
  <c r="G6" i="31" s="1"/>
  <c r="G9" i="43" l="1"/>
  <c r="G14" i="43"/>
  <c r="G13" i="43"/>
  <c r="G21" i="43"/>
  <c r="G37" i="43"/>
  <c r="G8" i="43"/>
  <c r="G12" i="43"/>
  <c r="G16" i="43"/>
  <c r="G20" i="43"/>
  <c r="G24" i="43"/>
  <c r="G28" i="43"/>
  <c r="G32" i="43"/>
  <c r="G36" i="43"/>
  <c r="G40" i="43"/>
  <c r="G44" i="43"/>
  <c r="G11" i="43"/>
  <c r="G15" i="43"/>
  <c r="G19" i="43"/>
  <c r="G23" i="43"/>
  <c r="G27" i="43"/>
  <c r="G31" i="43"/>
  <c r="G35" i="43"/>
  <c r="G39" i="43"/>
  <c r="G43" i="43"/>
  <c r="G6" i="43"/>
  <c r="G10" i="43"/>
  <c r="G22" i="43"/>
  <c r="G26" i="43"/>
  <c r="G30" i="43"/>
  <c r="G34" i="43"/>
  <c r="G38" i="43"/>
  <c r="G42" i="43"/>
  <c r="F37" i="9"/>
  <c r="F38" i="9"/>
  <c r="F39" i="9"/>
  <c r="F40" i="9"/>
  <c r="F41" i="9"/>
  <c r="F42" i="9"/>
  <c r="F43" i="9"/>
  <c r="G19" i="41"/>
  <c r="G23" i="41"/>
  <c r="G27" i="41"/>
  <c r="G7" i="41"/>
  <c r="G11" i="41"/>
  <c r="G15" i="41"/>
  <c r="G31" i="41"/>
  <c r="G18" i="41"/>
  <c r="G22" i="41"/>
  <c r="G26" i="41"/>
  <c r="G30" i="41"/>
  <c r="G34" i="41"/>
  <c r="F37" i="41"/>
  <c r="G14" i="41"/>
  <c r="G13" i="41"/>
  <c r="G17" i="41"/>
  <c r="G21" i="41"/>
  <c r="G25" i="41"/>
  <c r="G29" i="41"/>
  <c r="G33" i="41"/>
  <c r="G38" i="41"/>
  <c r="G6" i="41"/>
  <c r="G10" i="41"/>
  <c r="G9" i="41"/>
  <c r="G8" i="41"/>
  <c r="G12" i="41"/>
  <c r="G16" i="41"/>
  <c r="G20" i="41"/>
  <c r="G24" i="41"/>
  <c r="G28" i="41"/>
  <c r="G32" i="41"/>
  <c r="G36" i="41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19" i="9"/>
  <c r="F26" i="9"/>
  <c r="F16" i="9"/>
  <c r="F20" i="9"/>
  <c r="F7" i="9"/>
  <c r="F23" i="9"/>
  <c r="F6" i="9"/>
  <c r="F25" i="9"/>
  <c r="F28" i="9"/>
  <c r="F27" i="9"/>
  <c r="F32" i="9"/>
  <c r="F31" i="9"/>
  <c r="F21" i="9"/>
  <c r="F34" i="9"/>
  <c r="F15" i="9"/>
  <c r="G44" i="9"/>
  <c r="G36" i="9"/>
  <c r="F13" i="9"/>
  <c r="F35" i="9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5" i="39"/>
  <c r="F28" i="39"/>
  <c r="F21" i="39"/>
  <c r="F20" i="39"/>
  <c r="F23" i="39"/>
  <c r="F22" i="39"/>
  <c r="F26" i="39"/>
  <c r="F30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14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G18" i="35"/>
  <c r="F36" i="34"/>
  <c r="G16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G30" i="34"/>
  <c r="G31" i="34"/>
  <c r="F29" i="34"/>
  <c r="F25" i="34"/>
  <c r="G33" i="34"/>
  <c r="F32" i="34"/>
  <c r="G26" i="34"/>
  <c r="F34" i="34"/>
  <c r="F37" i="34"/>
  <c r="G28" i="34"/>
  <c r="F27" i="34"/>
  <c r="F24" i="34"/>
  <c r="F23" i="34"/>
  <c r="F22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G28" i="31"/>
  <c r="G32" i="31"/>
  <c r="G31" i="31"/>
  <c r="G35" i="31"/>
  <c r="G36" i="31"/>
  <c r="G30" i="31"/>
  <c r="G34" i="31"/>
  <c r="G38" i="31"/>
  <c r="K8" i="17" l="1"/>
  <c r="K12" i="17"/>
  <c r="E38" i="30"/>
  <c r="G38" i="30" s="1"/>
  <c r="L37" i="30"/>
  <c r="E37" i="30"/>
  <c r="G37" i="30" s="1"/>
  <c r="L36" i="30"/>
  <c r="E36" i="30"/>
  <c r="G36" i="30" s="1"/>
  <c r="L35" i="30"/>
  <c r="E35" i="30"/>
  <c r="G35" i="30" s="1"/>
  <c r="L34" i="30"/>
  <c r="E34" i="30"/>
  <c r="G34" i="30" s="1"/>
  <c r="L33" i="30"/>
  <c r="E33" i="30"/>
  <c r="G33" i="30" s="1"/>
  <c r="L32" i="30"/>
  <c r="E32" i="30"/>
  <c r="G32" i="30" s="1"/>
  <c r="L31" i="30"/>
  <c r="E31" i="30"/>
  <c r="G31" i="30" s="1"/>
  <c r="L30" i="30"/>
  <c r="E30" i="30"/>
  <c r="G30" i="30" s="1"/>
  <c r="L29" i="30"/>
  <c r="E29" i="30"/>
  <c r="G29" i="30" s="1"/>
  <c r="L28" i="30"/>
  <c r="E28" i="30"/>
  <c r="G28" i="30" s="1"/>
  <c r="L27" i="30"/>
  <c r="E27" i="30"/>
  <c r="G27" i="30" s="1"/>
  <c r="L26" i="30"/>
  <c r="E26" i="30"/>
  <c r="G26" i="30" s="1"/>
  <c r="L25" i="30"/>
  <c r="E25" i="30"/>
  <c r="G25" i="30" s="1"/>
  <c r="L24" i="30"/>
  <c r="E24" i="30"/>
  <c r="G24" i="30" s="1"/>
  <c r="L23" i="30"/>
  <c r="E23" i="30"/>
  <c r="G23" i="30" s="1"/>
  <c r="L22" i="30"/>
  <c r="E22" i="30"/>
  <c r="G22" i="30" s="1"/>
  <c r="G21" i="30"/>
  <c r="E21" i="30"/>
  <c r="F21" i="30" s="1"/>
  <c r="L20" i="30"/>
  <c r="G20" i="30"/>
  <c r="E20" i="30"/>
  <c r="F20" i="30" s="1"/>
  <c r="L19" i="30"/>
  <c r="G19" i="30"/>
  <c r="E19" i="30"/>
  <c r="F19" i="30" s="1"/>
  <c r="L18" i="30"/>
  <c r="G18" i="30"/>
  <c r="E18" i="30"/>
  <c r="F18" i="30" s="1"/>
  <c r="L17" i="30"/>
  <c r="G17" i="30"/>
  <c r="E17" i="30"/>
  <c r="F17" i="30" s="1"/>
  <c r="L16" i="30"/>
  <c r="G16" i="30"/>
  <c r="E16" i="30"/>
  <c r="F16" i="30" s="1"/>
  <c r="L15" i="30"/>
  <c r="G15" i="30"/>
  <c r="E15" i="30"/>
  <c r="F15" i="30" s="1"/>
  <c r="L14" i="30"/>
  <c r="G14" i="30"/>
  <c r="E14" i="30"/>
  <c r="F14" i="30" s="1"/>
  <c r="L13" i="30"/>
  <c r="G13" i="30"/>
  <c r="E13" i="30"/>
  <c r="F13" i="30" s="1"/>
  <c r="L12" i="30"/>
  <c r="G12" i="30"/>
  <c r="E12" i="30"/>
  <c r="F12" i="30" s="1"/>
  <c r="L11" i="30"/>
  <c r="G11" i="30"/>
  <c r="E11" i="30"/>
  <c r="F11" i="30" s="1"/>
  <c r="L10" i="30"/>
  <c r="G10" i="30"/>
  <c r="E10" i="30"/>
  <c r="F10" i="30" s="1"/>
  <c r="L9" i="30"/>
  <c r="G9" i="30"/>
  <c r="E9" i="30"/>
  <c r="F9" i="30" s="1"/>
  <c r="L8" i="30"/>
  <c r="G8" i="30"/>
  <c r="E8" i="30"/>
  <c r="F8" i="30" s="1"/>
  <c r="L7" i="30"/>
  <c r="G7" i="30"/>
  <c r="E7" i="30"/>
  <c r="F7" i="30" s="1"/>
  <c r="L6" i="30"/>
  <c r="G6" i="30"/>
  <c r="E6" i="30"/>
  <c r="F6" i="30" s="1"/>
  <c r="E38" i="29"/>
  <c r="G38" i="29" s="1"/>
  <c r="L37" i="29"/>
  <c r="E37" i="29"/>
  <c r="G37" i="29" s="1"/>
  <c r="L36" i="29"/>
  <c r="E36" i="29"/>
  <c r="G36" i="29" s="1"/>
  <c r="L35" i="29"/>
  <c r="E35" i="29"/>
  <c r="G35" i="29" s="1"/>
  <c r="L34" i="29"/>
  <c r="E34" i="29"/>
  <c r="G34" i="29" s="1"/>
  <c r="L33" i="29"/>
  <c r="E33" i="29"/>
  <c r="G33" i="29" s="1"/>
  <c r="L32" i="29"/>
  <c r="E32" i="29"/>
  <c r="G32" i="29" s="1"/>
  <c r="L31" i="29"/>
  <c r="E31" i="29"/>
  <c r="G31" i="29" s="1"/>
  <c r="L30" i="29"/>
  <c r="E30" i="29"/>
  <c r="G30" i="29" s="1"/>
  <c r="L29" i="29"/>
  <c r="E29" i="29"/>
  <c r="G29" i="29" s="1"/>
  <c r="L28" i="29"/>
  <c r="E28" i="29"/>
  <c r="G28" i="29" s="1"/>
  <c r="L27" i="29"/>
  <c r="E27" i="29"/>
  <c r="G27" i="29" s="1"/>
  <c r="L26" i="29"/>
  <c r="E26" i="29"/>
  <c r="G26" i="29" s="1"/>
  <c r="L25" i="29"/>
  <c r="E25" i="29"/>
  <c r="G25" i="29" s="1"/>
  <c r="L24" i="29"/>
  <c r="E24" i="29"/>
  <c r="G24" i="29" s="1"/>
  <c r="L23" i="29"/>
  <c r="E23" i="29"/>
  <c r="G23" i="29" s="1"/>
  <c r="L22" i="29"/>
  <c r="E22" i="29"/>
  <c r="G22" i="29" s="1"/>
  <c r="G21" i="29"/>
  <c r="E21" i="29"/>
  <c r="F21" i="29" s="1"/>
  <c r="L20" i="29"/>
  <c r="G20" i="29"/>
  <c r="E20" i="29"/>
  <c r="F20" i="29" s="1"/>
  <c r="L19" i="29"/>
  <c r="G19" i="29"/>
  <c r="E19" i="29"/>
  <c r="F19" i="29" s="1"/>
  <c r="L18" i="29"/>
  <c r="G18" i="29"/>
  <c r="E18" i="29"/>
  <c r="F18" i="29" s="1"/>
  <c r="L17" i="29"/>
  <c r="G17" i="29"/>
  <c r="E17" i="29"/>
  <c r="F17" i="29" s="1"/>
  <c r="L16" i="29"/>
  <c r="G16" i="29"/>
  <c r="E16" i="29"/>
  <c r="F16" i="29" s="1"/>
  <c r="L15" i="29"/>
  <c r="G15" i="29"/>
  <c r="E15" i="29"/>
  <c r="F15" i="29" s="1"/>
  <c r="L14" i="29"/>
  <c r="G14" i="29"/>
  <c r="E14" i="29"/>
  <c r="F14" i="29" s="1"/>
  <c r="L13" i="29"/>
  <c r="G13" i="29"/>
  <c r="E13" i="29"/>
  <c r="F13" i="29" s="1"/>
  <c r="L12" i="29"/>
  <c r="G12" i="29"/>
  <c r="E12" i="29"/>
  <c r="F12" i="29" s="1"/>
  <c r="L11" i="29"/>
  <c r="G11" i="29"/>
  <c r="E11" i="29"/>
  <c r="F11" i="29" s="1"/>
  <c r="L10" i="29"/>
  <c r="G10" i="29"/>
  <c r="E10" i="29"/>
  <c r="F10" i="29" s="1"/>
  <c r="L9" i="29"/>
  <c r="G9" i="29"/>
  <c r="E9" i="29"/>
  <c r="F9" i="29" s="1"/>
  <c r="L8" i="29"/>
  <c r="G8" i="29"/>
  <c r="E8" i="29"/>
  <c r="F8" i="29" s="1"/>
  <c r="L7" i="29"/>
  <c r="G7" i="29"/>
  <c r="E7" i="29"/>
  <c r="F7" i="29" s="1"/>
  <c r="L6" i="29"/>
  <c r="G6" i="29"/>
  <c r="E6" i="29"/>
  <c r="F6" i="29" s="1"/>
  <c r="E38" i="28"/>
  <c r="G38" i="28" s="1"/>
  <c r="L37" i="28"/>
  <c r="E37" i="28"/>
  <c r="G37" i="28" s="1"/>
  <c r="L36" i="28"/>
  <c r="E36" i="28"/>
  <c r="G36" i="28" s="1"/>
  <c r="L35" i="28"/>
  <c r="E35" i="28"/>
  <c r="G35" i="28" s="1"/>
  <c r="L34" i="28"/>
  <c r="E34" i="28"/>
  <c r="G34" i="28" s="1"/>
  <c r="L33" i="28"/>
  <c r="E33" i="28"/>
  <c r="G33" i="28" s="1"/>
  <c r="L32" i="28"/>
  <c r="E32" i="28"/>
  <c r="G32" i="28" s="1"/>
  <c r="L31" i="28"/>
  <c r="E31" i="28"/>
  <c r="G31" i="28" s="1"/>
  <c r="L30" i="28"/>
  <c r="E30" i="28"/>
  <c r="G30" i="28" s="1"/>
  <c r="L29" i="28"/>
  <c r="E29" i="28"/>
  <c r="G29" i="28" s="1"/>
  <c r="L28" i="28"/>
  <c r="E28" i="28"/>
  <c r="G28" i="28" s="1"/>
  <c r="L27" i="28"/>
  <c r="E27" i="28"/>
  <c r="G27" i="28" s="1"/>
  <c r="L26" i="28"/>
  <c r="E26" i="28"/>
  <c r="G26" i="28" s="1"/>
  <c r="L25" i="28"/>
  <c r="E25" i="28"/>
  <c r="G25" i="28" s="1"/>
  <c r="L24" i="28"/>
  <c r="E24" i="28"/>
  <c r="G24" i="28" s="1"/>
  <c r="L23" i="28"/>
  <c r="E23" i="28"/>
  <c r="G23" i="28" s="1"/>
  <c r="L22" i="28"/>
  <c r="E22" i="28"/>
  <c r="G22" i="28" s="1"/>
  <c r="G21" i="28"/>
  <c r="E21" i="28"/>
  <c r="F21" i="28" s="1"/>
  <c r="L20" i="28"/>
  <c r="G20" i="28"/>
  <c r="E20" i="28"/>
  <c r="F20" i="28" s="1"/>
  <c r="L19" i="28"/>
  <c r="G19" i="28"/>
  <c r="E19" i="28"/>
  <c r="F19" i="28" s="1"/>
  <c r="L18" i="28"/>
  <c r="G18" i="28"/>
  <c r="E18" i="28"/>
  <c r="F18" i="28" s="1"/>
  <c r="L17" i="28"/>
  <c r="G17" i="28"/>
  <c r="E17" i="28"/>
  <c r="F17" i="28" s="1"/>
  <c r="L16" i="28"/>
  <c r="G16" i="28"/>
  <c r="E16" i="28"/>
  <c r="F16" i="28" s="1"/>
  <c r="L15" i="28"/>
  <c r="G15" i="28"/>
  <c r="E15" i="28"/>
  <c r="F15" i="28" s="1"/>
  <c r="L14" i="28"/>
  <c r="G14" i="28"/>
  <c r="E14" i="28"/>
  <c r="F14" i="28" s="1"/>
  <c r="L13" i="28"/>
  <c r="G13" i="28"/>
  <c r="E13" i="28"/>
  <c r="F13" i="28" s="1"/>
  <c r="L12" i="28"/>
  <c r="G12" i="28"/>
  <c r="E12" i="28"/>
  <c r="F12" i="28" s="1"/>
  <c r="L11" i="28"/>
  <c r="G11" i="28"/>
  <c r="E11" i="28"/>
  <c r="F11" i="28" s="1"/>
  <c r="L10" i="28"/>
  <c r="G10" i="28"/>
  <c r="E10" i="28"/>
  <c r="F10" i="28" s="1"/>
  <c r="L9" i="28"/>
  <c r="G9" i="28"/>
  <c r="E9" i="28"/>
  <c r="F9" i="28" s="1"/>
  <c r="L8" i="28"/>
  <c r="G8" i="28"/>
  <c r="E8" i="28"/>
  <c r="F8" i="28" s="1"/>
  <c r="L7" i="28"/>
  <c r="G7" i="28"/>
  <c r="E7" i="28"/>
  <c r="F7" i="28" s="1"/>
  <c r="L6" i="28"/>
  <c r="G6" i="28"/>
  <c r="E6" i="28"/>
  <c r="F6" i="28" s="1"/>
  <c r="F22" i="30" l="1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M149" i="23" l="1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L149" i="23"/>
  <c r="L150" i="23"/>
  <c r="L151" i="23"/>
  <c r="L152" i="23"/>
  <c r="L153" i="23"/>
  <c r="L154" i="23"/>
  <c r="L155" i="23"/>
  <c r="L156" i="23"/>
  <c r="L157" i="23"/>
  <c r="L158" i="23"/>
  <c r="L159" i="23"/>
  <c r="L160" i="23"/>
  <c r="L161" i="23"/>
  <c r="L162" i="23"/>
  <c r="L163" i="23"/>
  <c r="L164" i="23"/>
  <c r="L165" i="23"/>
  <c r="L166" i="23"/>
  <c r="L167" i="23"/>
  <c r="L168" i="23"/>
  <c r="L169" i="23"/>
  <c r="L170" i="23"/>
  <c r="L171" i="23"/>
  <c r="L172" i="23"/>
  <c r="L173" i="23"/>
  <c r="L174" i="23"/>
  <c r="L175" i="23"/>
  <c r="L176" i="23"/>
  <c r="L177" i="23"/>
  <c r="L178" i="23"/>
  <c r="L179" i="23"/>
  <c r="L180" i="23"/>
  <c r="L181" i="23"/>
  <c r="L182" i="23"/>
  <c r="L183" i="23"/>
  <c r="L184" i="23"/>
  <c r="L185" i="23"/>
  <c r="L186" i="23"/>
  <c r="L187" i="23"/>
  <c r="L188" i="23"/>
  <c r="L189" i="23"/>
  <c r="L190" i="23"/>
  <c r="L191" i="23"/>
  <c r="L192" i="23"/>
  <c r="L193" i="23"/>
  <c r="L194" i="23"/>
  <c r="K195" i="23"/>
  <c r="K148" i="23"/>
  <c r="M148" i="23" s="1"/>
  <c r="K147" i="23"/>
  <c r="L147" i="23" s="1"/>
  <c r="K146" i="23"/>
  <c r="L146" i="23" s="1"/>
  <c r="K145" i="23"/>
  <c r="L145" i="23" s="1"/>
  <c r="K144" i="23"/>
  <c r="M144" i="23" s="1"/>
  <c r="K143" i="23"/>
  <c r="L143" i="23" s="1"/>
  <c r="K142" i="23"/>
  <c r="L142" i="23" s="1"/>
  <c r="K141" i="23"/>
  <c r="M141" i="23" s="1"/>
  <c r="K140" i="23"/>
  <c r="M140" i="23" s="1"/>
  <c r="K139" i="23"/>
  <c r="L139" i="23" s="1"/>
  <c r="K138" i="23"/>
  <c r="L138" i="23" s="1"/>
  <c r="K137" i="23"/>
  <c r="L137" i="23" s="1"/>
  <c r="K136" i="23"/>
  <c r="M136" i="23" s="1"/>
  <c r="K135" i="23"/>
  <c r="L135" i="23" s="1"/>
  <c r="K134" i="23"/>
  <c r="L134" i="23" s="1"/>
  <c r="K133" i="23"/>
  <c r="M133" i="23" s="1"/>
  <c r="K132" i="23"/>
  <c r="M132" i="23" s="1"/>
  <c r="K131" i="23"/>
  <c r="L131" i="23" s="1"/>
  <c r="K130" i="23"/>
  <c r="L130" i="23" s="1"/>
  <c r="K129" i="23"/>
  <c r="L129" i="23" s="1"/>
  <c r="K128" i="23"/>
  <c r="M128" i="23" s="1"/>
  <c r="K127" i="23"/>
  <c r="M127" i="23" s="1"/>
  <c r="K126" i="23"/>
  <c r="L126" i="23" s="1"/>
  <c r="K125" i="23"/>
  <c r="L125" i="23" s="1"/>
  <c r="K124" i="23"/>
  <c r="M124" i="23" s="1"/>
  <c r="K123" i="23"/>
  <c r="M123" i="23" s="1"/>
  <c r="K122" i="23"/>
  <c r="L122" i="23" s="1"/>
  <c r="K121" i="23"/>
  <c r="L121" i="23" s="1"/>
  <c r="K120" i="23"/>
  <c r="M120" i="23" s="1"/>
  <c r="K119" i="23"/>
  <c r="M119" i="23" s="1"/>
  <c r="K118" i="23"/>
  <c r="L118" i="23" s="1"/>
  <c r="K117" i="23"/>
  <c r="L117" i="23" s="1"/>
  <c r="K116" i="23"/>
  <c r="M116" i="23" s="1"/>
  <c r="K115" i="23"/>
  <c r="M115" i="23" s="1"/>
  <c r="K114" i="23"/>
  <c r="L114" i="23" s="1"/>
  <c r="K112" i="23"/>
  <c r="L112" i="23" s="1"/>
  <c r="K111" i="23"/>
  <c r="M111" i="23" s="1"/>
  <c r="K110" i="23"/>
  <c r="M110" i="23" s="1"/>
  <c r="K109" i="23"/>
  <c r="L109" i="23" s="1"/>
  <c r="K108" i="23"/>
  <c r="L108" i="23" s="1"/>
  <c r="K107" i="23"/>
  <c r="M107" i="23" s="1"/>
  <c r="K106" i="23"/>
  <c r="M106" i="23" s="1"/>
  <c r="K105" i="23"/>
  <c r="L105" i="23" s="1"/>
  <c r="K104" i="23"/>
  <c r="L104" i="23" s="1"/>
  <c r="K103" i="23"/>
  <c r="M103" i="23" s="1"/>
  <c r="K102" i="23"/>
  <c r="M102" i="23" s="1"/>
  <c r="K101" i="23"/>
  <c r="L101" i="23" s="1"/>
  <c r="K100" i="23"/>
  <c r="L100" i="23" s="1"/>
  <c r="K99" i="23"/>
  <c r="M99" i="23" s="1"/>
  <c r="K98" i="23"/>
  <c r="M98" i="23" s="1"/>
  <c r="K97" i="23"/>
  <c r="L97" i="23" s="1"/>
  <c r="K96" i="23"/>
  <c r="L96" i="23" s="1"/>
  <c r="K95" i="23"/>
  <c r="M95" i="23" s="1"/>
  <c r="K94" i="23"/>
  <c r="M94" i="23" s="1"/>
  <c r="K93" i="23"/>
  <c r="L93" i="23" s="1"/>
  <c r="K92" i="23"/>
  <c r="L92" i="23" s="1"/>
  <c r="K91" i="23"/>
  <c r="M91" i="23" s="1"/>
  <c r="K90" i="23"/>
  <c r="M90" i="23" s="1"/>
  <c r="K89" i="23"/>
  <c r="L89" i="23" s="1"/>
  <c r="K88" i="23"/>
  <c r="L88" i="23" s="1"/>
  <c r="K87" i="23"/>
  <c r="M87" i="23" s="1"/>
  <c r="K86" i="23"/>
  <c r="M86" i="23" s="1"/>
  <c r="K85" i="23"/>
  <c r="L85" i="23" s="1"/>
  <c r="K84" i="23"/>
  <c r="L84" i="23" s="1"/>
  <c r="K83" i="23"/>
  <c r="M83" i="23" s="1"/>
  <c r="K82" i="23"/>
  <c r="M82" i="23" s="1"/>
  <c r="K81" i="23"/>
  <c r="L81" i="23" s="1"/>
  <c r="K80" i="23"/>
  <c r="L80" i="23" s="1"/>
  <c r="K79" i="23"/>
  <c r="M79" i="23" s="1"/>
  <c r="K78" i="23"/>
  <c r="M78" i="23" s="1"/>
  <c r="K77" i="23"/>
  <c r="L77" i="23" s="1"/>
  <c r="K76" i="23"/>
  <c r="L76" i="23" s="1"/>
  <c r="K75" i="23"/>
  <c r="M75" i="23" s="1"/>
  <c r="K74" i="23"/>
  <c r="M74" i="23" s="1"/>
  <c r="K73" i="23"/>
  <c r="L73" i="23" s="1"/>
  <c r="K72" i="23"/>
  <c r="L72" i="23" s="1"/>
  <c r="K71" i="23"/>
  <c r="M71" i="23" s="1"/>
  <c r="K70" i="23"/>
  <c r="M70" i="23" s="1"/>
  <c r="K69" i="23"/>
  <c r="L69" i="23" s="1"/>
  <c r="K68" i="23"/>
  <c r="L68" i="23" s="1"/>
  <c r="K67" i="23"/>
  <c r="M67" i="23" s="1"/>
  <c r="K66" i="23"/>
  <c r="M66" i="23" s="1"/>
  <c r="K65" i="23"/>
  <c r="L65" i="23" s="1"/>
  <c r="K64" i="23"/>
  <c r="L64" i="23" s="1"/>
  <c r="K63" i="23"/>
  <c r="M63" i="23" s="1"/>
  <c r="K62" i="23"/>
  <c r="M62" i="23" s="1"/>
  <c r="K61" i="23"/>
  <c r="L61" i="23" s="1"/>
  <c r="K60" i="23"/>
  <c r="L60" i="23" s="1"/>
  <c r="K59" i="23"/>
  <c r="M59" i="23" s="1"/>
  <c r="K58" i="23"/>
  <c r="M58" i="23" s="1"/>
  <c r="K57" i="23"/>
  <c r="L57" i="23" s="1"/>
  <c r="K56" i="23"/>
  <c r="L56" i="23" s="1"/>
  <c r="K55" i="23"/>
  <c r="M55" i="23" s="1"/>
  <c r="K54" i="23"/>
  <c r="M54" i="23" s="1"/>
  <c r="K53" i="23"/>
  <c r="L53" i="23" s="1"/>
  <c r="K52" i="23"/>
  <c r="L52" i="23" s="1"/>
  <c r="K51" i="23"/>
  <c r="M51" i="23" s="1"/>
  <c r="K50" i="23"/>
  <c r="M50" i="23" s="1"/>
  <c r="K49" i="23"/>
  <c r="L49" i="23" s="1"/>
  <c r="K48" i="23"/>
  <c r="L48" i="23" s="1"/>
  <c r="K47" i="23"/>
  <c r="L47" i="23" s="1"/>
  <c r="K46" i="23"/>
  <c r="M46" i="23" s="1"/>
  <c r="K45" i="23"/>
  <c r="L45" i="23" s="1"/>
  <c r="K44" i="23"/>
  <c r="L44" i="23" s="1"/>
  <c r="K43" i="23"/>
  <c r="M43" i="23" s="1"/>
  <c r="K42" i="23"/>
  <c r="M42" i="23" s="1"/>
  <c r="K41" i="23"/>
  <c r="L41" i="23" s="1"/>
  <c r="K40" i="23"/>
  <c r="M40" i="23" s="1"/>
  <c r="K39" i="23"/>
  <c r="L39" i="23" s="1"/>
  <c r="K38" i="23"/>
  <c r="K37" i="23"/>
  <c r="L37" i="23" s="1"/>
  <c r="K36" i="23"/>
  <c r="L36" i="23" s="1"/>
  <c r="K35" i="23"/>
  <c r="M35" i="23" s="1"/>
  <c r="K34" i="23"/>
  <c r="M34" i="23" s="1"/>
  <c r="K33" i="23"/>
  <c r="L33" i="23" s="1"/>
  <c r="K32" i="23"/>
  <c r="M32" i="23" s="1"/>
  <c r="K31" i="23"/>
  <c r="M31" i="23" s="1"/>
  <c r="K30" i="23"/>
  <c r="M30" i="23" s="1"/>
  <c r="K29" i="23"/>
  <c r="L29" i="23" s="1"/>
  <c r="K28" i="23"/>
  <c r="L28" i="23" s="1"/>
  <c r="K27" i="23"/>
  <c r="L27" i="23" s="1"/>
  <c r="K26" i="23"/>
  <c r="M26" i="23" s="1"/>
  <c r="K25" i="23"/>
  <c r="L25" i="23" s="1"/>
  <c r="K24" i="23"/>
  <c r="M24" i="23" s="1"/>
  <c r="K23" i="23"/>
  <c r="M23" i="23" s="1"/>
  <c r="K22" i="23"/>
  <c r="M22" i="23" s="1"/>
  <c r="K21" i="23"/>
  <c r="L21" i="23" s="1"/>
  <c r="K20" i="23"/>
  <c r="L20" i="23" s="1"/>
  <c r="K19" i="23"/>
  <c r="L19" i="23" s="1"/>
  <c r="K18" i="23"/>
  <c r="M18" i="23" s="1"/>
  <c r="K17" i="23"/>
  <c r="L17" i="23" s="1"/>
  <c r="K16" i="23"/>
  <c r="M16" i="23" s="1"/>
  <c r="K15" i="23"/>
  <c r="M15" i="23" s="1"/>
  <c r="K14" i="23"/>
  <c r="M14" i="23" s="1"/>
  <c r="K13" i="23"/>
  <c r="L13" i="23" s="1"/>
  <c r="K12" i="23"/>
  <c r="L12" i="23" s="1"/>
  <c r="K11" i="23"/>
  <c r="M11" i="23" s="1"/>
  <c r="N10" i="23"/>
  <c r="K10" i="23"/>
  <c r="M10" i="23" s="1"/>
  <c r="K9" i="23"/>
  <c r="M9" i="23" s="1"/>
  <c r="K8" i="23"/>
  <c r="L8" i="23" s="1"/>
  <c r="K7" i="23"/>
  <c r="L7" i="23" s="1"/>
  <c r="K6" i="23"/>
  <c r="M6" i="23" s="1"/>
  <c r="K5" i="23"/>
  <c r="M5" i="23" s="1"/>
  <c r="K4" i="23"/>
  <c r="L4" i="23" s="1"/>
  <c r="K3" i="23"/>
  <c r="L3" i="23" s="1"/>
  <c r="E38" i="22"/>
  <c r="G38" i="22" s="1"/>
  <c r="L37" i="22"/>
  <c r="E37" i="22"/>
  <c r="G37" i="22" s="1"/>
  <c r="L36" i="22"/>
  <c r="E36" i="22"/>
  <c r="G36" i="22" s="1"/>
  <c r="L35" i="22"/>
  <c r="E35" i="22"/>
  <c r="G35" i="22" s="1"/>
  <c r="L34" i="22"/>
  <c r="E34" i="22"/>
  <c r="G34" i="22" s="1"/>
  <c r="L33" i="22"/>
  <c r="E33" i="22"/>
  <c r="G33" i="22" s="1"/>
  <c r="L32" i="22"/>
  <c r="E32" i="22"/>
  <c r="G32" i="22" s="1"/>
  <c r="L31" i="22"/>
  <c r="E31" i="22"/>
  <c r="G31" i="22" s="1"/>
  <c r="L30" i="22"/>
  <c r="E30" i="22"/>
  <c r="G30" i="22" s="1"/>
  <c r="L29" i="22"/>
  <c r="E29" i="22"/>
  <c r="G29" i="22" s="1"/>
  <c r="L28" i="22"/>
  <c r="E28" i="22"/>
  <c r="G28" i="22" s="1"/>
  <c r="L27" i="22"/>
  <c r="E27" i="22"/>
  <c r="G27" i="22" s="1"/>
  <c r="L26" i="22"/>
  <c r="E26" i="22"/>
  <c r="G26" i="22" s="1"/>
  <c r="L25" i="22"/>
  <c r="E25" i="22"/>
  <c r="G25" i="22" s="1"/>
  <c r="L24" i="22"/>
  <c r="E24" i="22"/>
  <c r="G24" i="22" s="1"/>
  <c r="L23" i="22"/>
  <c r="E23" i="22"/>
  <c r="G23" i="22" s="1"/>
  <c r="L22" i="22"/>
  <c r="E22" i="22"/>
  <c r="G22" i="22" s="1"/>
  <c r="G21" i="22"/>
  <c r="E21" i="22"/>
  <c r="F21" i="22" s="1"/>
  <c r="L20" i="22"/>
  <c r="G20" i="22"/>
  <c r="E20" i="22"/>
  <c r="F20" i="22" s="1"/>
  <c r="L19" i="22"/>
  <c r="G19" i="22"/>
  <c r="E19" i="22"/>
  <c r="F19" i="22" s="1"/>
  <c r="L18" i="22"/>
  <c r="G18" i="22"/>
  <c r="E18" i="22"/>
  <c r="F18" i="22" s="1"/>
  <c r="L17" i="22"/>
  <c r="G17" i="22"/>
  <c r="E17" i="22"/>
  <c r="F17" i="22" s="1"/>
  <c r="L16" i="22"/>
  <c r="G16" i="22"/>
  <c r="E16" i="22"/>
  <c r="F16" i="22" s="1"/>
  <c r="L15" i="22"/>
  <c r="G15" i="22"/>
  <c r="E15" i="22"/>
  <c r="F15" i="22" s="1"/>
  <c r="L14" i="22"/>
  <c r="G14" i="22"/>
  <c r="E14" i="22"/>
  <c r="F14" i="22" s="1"/>
  <c r="L13" i="22"/>
  <c r="G13" i="22"/>
  <c r="E13" i="22"/>
  <c r="F13" i="22" s="1"/>
  <c r="L12" i="22"/>
  <c r="G12" i="22"/>
  <c r="E12" i="22"/>
  <c r="F12" i="22" s="1"/>
  <c r="L11" i="22"/>
  <c r="G11" i="22"/>
  <c r="E11" i="22"/>
  <c r="F11" i="22" s="1"/>
  <c r="L10" i="22"/>
  <c r="G10" i="22"/>
  <c r="E10" i="22"/>
  <c r="F10" i="22" s="1"/>
  <c r="L9" i="22"/>
  <c r="G9" i="22"/>
  <c r="E9" i="22"/>
  <c r="F9" i="22" s="1"/>
  <c r="L8" i="22"/>
  <c r="G8" i="22"/>
  <c r="E8" i="22"/>
  <c r="F8" i="22" s="1"/>
  <c r="L7" i="22"/>
  <c r="G7" i="22"/>
  <c r="E7" i="22"/>
  <c r="F7" i="22" s="1"/>
  <c r="L6" i="22"/>
  <c r="G6" i="22"/>
  <c r="E6" i="22"/>
  <c r="F6" i="22" s="1"/>
  <c r="E38" i="21"/>
  <c r="G38" i="21" s="1"/>
  <c r="L37" i="21"/>
  <c r="G37" i="21"/>
  <c r="F37" i="21"/>
  <c r="E37" i="21"/>
  <c r="L36" i="21"/>
  <c r="G36" i="21"/>
  <c r="F36" i="21"/>
  <c r="E36" i="21"/>
  <c r="L35" i="21"/>
  <c r="G35" i="21"/>
  <c r="F35" i="21"/>
  <c r="E35" i="21"/>
  <c r="L34" i="21"/>
  <c r="G34" i="21"/>
  <c r="F34" i="21"/>
  <c r="E34" i="21"/>
  <c r="L33" i="21"/>
  <c r="G33" i="21"/>
  <c r="F33" i="21"/>
  <c r="E33" i="21"/>
  <c r="L32" i="21"/>
  <c r="G32" i="21"/>
  <c r="F32" i="21"/>
  <c r="E32" i="21"/>
  <c r="L31" i="21"/>
  <c r="G31" i="21"/>
  <c r="F31" i="21"/>
  <c r="E31" i="21"/>
  <c r="L30" i="21"/>
  <c r="G30" i="21"/>
  <c r="F30" i="21"/>
  <c r="E30" i="21"/>
  <c r="L29" i="21"/>
  <c r="G29" i="21"/>
  <c r="F29" i="21"/>
  <c r="E29" i="21"/>
  <c r="L28" i="21"/>
  <c r="G28" i="21"/>
  <c r="F28" i="21"/>
  <c r="E28" i="21"/>
  <c r="L27" i="21"/>
  <c r="G27" i="21"/>
  <c r="F27" i="21"/>
  <c r="E27" i="21"/>
  <c r="L26" i="21"/>
  <c r="G26" i="21"/>
  <c r="F26" i="21"/>
  <c r="E26" i="21"/>
  <c r="L25" i="21"/>
  <c r="G25" i="21"/>
  <c r="F25" i="21"/>
  <c r="E25" i="21"/>
  <c r="L24" i="21"/>
  <c r="G24" i="21"/>
  <c r="F24" i="21"/>
  <c r="E24" i="21"/>
  <c r="L23" i="21"/>
  <c r="G23" i="21"/>
  <c r="F23" i="21"/>
  <c r="E23" i="21"/>
  <c r="L22" i="21"/>
  <c r="G22" i="21"/>
  <c r="F22" i="21"/>
  <c r="E22" i="21"/>
  <c r="E21" i="21"/>
  <c r="G21" i="21" s="1"/>
  <c r="L20" i="21"/>
  <c r="E20" i="21"/>
  <c r="F20" i="21" s="1"/>
  <c r="L19" i="21"/>
  <c r="E19" i="21"/>
  <c r="G19" i="21" s="1"/>
  <c r="L18" i="21"/>
  <c r="E18" i="21"/>
  <c r="G18" i="21" s="1"/>
  <c r="L17" i="21"/>
  <c r="E17" i="21"/>
  <c r="G17" i="21" s="1"/>
  <c r="L16" i="21"/>
  <c r="E16" i="21"/>
  <c r="G16" i="21" s="1"/>
  <c r="L15" i="21"/>
  <c r="E15" i="21"/>
  <c r="G15" i="21" s="1"/>
  <c r="L14" i="21"/>
  <c r="E14" i="21"/>
  <c r="G14" i="21" s="1"/>
  <c r="L13" i="21"/>
  <c r="E13" i="21"/>
  <c r="G13" i="21" s="1"/>
  <c r="L12" i="21"/>
  <c r="E12" i="21"/>
  <c r="G12" i="21" s="1"/>
  <c r="L11" i="21"/>
  <c r="E11" i="21"/>
  <c r="G11" i="21" s="1"/>
  <c r="L10" i="21"/>
  <c r="E10" i="21"/>
  <c r="G10" i="21" s="1"/>
  <c r="L9" i="21"/>
  <c r="E9" i="21"/>
  <c r="G9" i="21" s="1"/>
  <c r="L8" i="21"/>
  <c r="E8" i="21"/>
  <c r="G8" i="21" s="1"/>
  <c r="L7" i="21"/>
  <c r="E7" i="21"/>
  <c r="G7" i="21" s="1"/>
  <c r="L6" i="21"/>
  <c r="E6" i="21"/>
  <c r="G6" i="21" s="1"/>
  <c r="T13" i="23" l="1"/>
  <c r="T8" i="23"/>
  <c r="U58" i="23"/>
  <c r="U24" i="23"/>
  <c r="T84" i="23"/>
  <c r="T53" i="23"/>
  <c r="T4" i="23"/>
  <c r="T21" i="23"/>
  <c r="T27" i="23"/>
  <c r="T76" i="23"/>
  <c r="T60" i="23"/>
  <c r="T108" i="23"/>
  <c r="T68" i="23"/>
  <c r="T33" i="23"/>
  <c r="T44" i="23"/>
  <c r="T19" i="23"/>
  <c r="T3" i="23"/>
  <c r="T114" i="23"/>
  <c r="U55" i="23"/>
  <c r="U79" i="23"/>
  <c r="U78" i="23"/>
  <c r="U11" i="23"/>
  <c r="U9" i="23"/>
  <c r="U6" i="23"/>
  <c r="U106" i="23"/>
  <c r="U34" i="23"/>
  <c r="U70" i="23"/>
  <c r="U5" i="23"/>
  <c r="U35" i="23"/>
  <c r="U116" i="23"/>
  <c r="T57" i="23"/>
  <c r="T61" i="23"/>
  <c r="T20" i="23"/>
  <c r="T39" i="23"/>
  <c r="U54" i="23"/>
  <c r="U32" i="23"/>
  <c r="U50" i="23"/>
  <c r="T65" i="23"/>
  <c r="T64" i="23"/>
  <c r="T28" i="23"/>
  <c r="T7" i="23"/>
  <c r="T122" i="23"/>
  <c r="T96" i="23"/>
  <c r="T45" i="23"/>
  <c r="T48" i="23"/>
  <c r="T36" i="23"/>
  <c r="T12" i="23"/>
  <c r="U18" i="23"/>
  <c r="U22" i="23"/>
  <c r="U26" i="23"/>
  <c r="U107" i="23"/>
  <c r="U46" i="23"/>
  <c r="U71" i="23"/>
  <c r="U31" i="23"/>
  <c r="U23" i="23"/>
  <c r="U14" i="23"/>
  <c r="U15" i="23"/>
  <c r="T145" i="23"/>
  <c r="T17" i="23"/>
  <c r="U10" i="23"/>
  <c r="U67" i="23"/>
  <c r="T25" i="23"/>
  <c r="T121" i="23"/>
  <c r="T72" i="23"/>
  <c r="T29" i="23"/>
  <c r="T41" i="23"/>
  <c r="U66" i="23"/>
  <c r="U16" i="23"/>
  <c r="U30" i="23"/>
  <c r="M38" i="23"/>
  <c r="U38" i="23" s="1"/>
  <c r="V34" i="23"/>
  <c r="V72" i="23"/>
  <c r="V106" i="23"/>
  <c r="V121" i="23"/>
  <c r="V6" i="23"/>
  <c r="V9" i="23"/>
  <c r="V25" i="23"/>
  <c r="V11" i="23"/>
  <c r="V78" i="23"/>
  <c r="V79" i="23"/>
  <c r="V55" i="23"/>
  <c r="V70" i="23"/>
  <c r="V84" i="23"/>
  <c r="V66" i="23"/>
  <c r="V21" i="23"/>
  <c r="V76" i="23"/>
  <c r="V60" i="23"/>
  <c r="V68" i="23"/>
  <c r="V30" i="23"/>
  <c r="V19" i="23"/>
  <c r="V114" i="23"/>
  <c r="W58" i="23"/>
  <c r="W64" i="23"/>
  <c r="W28" i="23"/>
  <c r="W122" i="23"/>
  <c r="W67" i="23"/>
  <c r="W32" i="23"/>
  <c r="W48" i="23"/>
  <c r="W36" i="23"/>
  <c r="V10" i="23"/>
  <c r="V65" i="23"/>
  <c r="V24" i="23"/>
  <c r="V7" i="23"/>
  <c r="V54" i="23"/>
  <c r="V96" i="23"/>
  <c r="V45" i="23"/>
  <c r="V50" i="23"/>
  <c r="V12" i="23"/>
  <c r="W79" i="23"/>
  <c r="W11" i="23"/>
  <c r="W9" i="23"/>
  <c r="W121" i="23"/>
  <c r="W72" i="23"/>
  <c r="W70" i="23"/>
  <c r="W41" i="23"/>
  <c r="W35" i="23"/>
  <c r="V53" i="23"/>
  <c r="V4" i="23"/>
  <c r="V27" i="23"/>
  <c r="V16" i="23"/>
  <c r="V108" i="23"/>
  <c r="V33" i="23"/>
  <c r="V44" i="23"/>
  <c r="V3" i="23"/>
  <c r="V38" i="23"/>
  <c r="W10" i="23"/>
  <c r="W65" i="23"/>
  <c r="W24" i="23"/>
  <c r="W7" i="23"/>
  <c r="W54" i="23"/>
  <c r="W96" i="23"/>
  <c r="W45" i="23"/>
  <c r="W50" i="23"/>
  <c r="W12" i="23"/>
  <c r="V58" i="23"/>
  <c r="V64" i="23"/>
  <c r="V28" i="23"/>
  <c r="V122" i="23"/>
  <c r="V67" i="23"/>
  <c r="V32" i="23"/>
  <c r="V48" i="23"/>
  <c r="V36" i="23"/>
  <c r="W13" i="23"/>
  <c r="W55" i="23"/>
  <c r="W78" i="23"/>
  <c r="W25" i="23"/>
  <c r="W6" i="23"/>
  <c r="W106" i="23"/>
  <c r="W34" i="23"/>
  <c r="W29" i="23"/>
  <c r="W5" i="23"/>
  <c r="W116" i="23"/>
  <c r="V29" i="23"/>
  <c r="V41" i="23"/>
  <c r="V5" i="23"/>
  <c r="V35" i="23"/>
  <c r="V116" i="23"/>
  <c r="W145" i="23"/>
  <c r="W57" i="23"/>
  <c r="W18" i="23"/>
  <c r="W22" i="23"/>
  <c r="W26" i="23"/>
  <c r="W8" i="23"/>
  <c r="W17" i="23"/>
  <c r="W61" i="23"/>
  <c r="W107" i="23"/>
  <c r="W46" i="23"/>
  <c r="W71" i="23"/>
  <c r="W31" i="23"/>
  <c r="W23" i="23"/>
  <c r="W20" i="23"/>
  <c r="W14" i="23"/>
  <c r="W15" i="23"/>
  <c r="W39" i="23"/>
  <c r="V145" i="23"/>
  <c r="V57" i="23"/>
  <c r="V18" i="23"/>
  <c r="V22" i="23"/>
  <c r="V26" i="23"/>
  <c r="V8" i="23"/>
  <c r="V17" i="23"/>
  <c r="V61" i="23"/>
  <c r="V107" i="23"/>
  <c r="V46" i="23"/>
  <c r="V71" i="23"/>
  <c r="V31" i="23"/>
  <c r="V23" i="23"/>
  <c r="V20" i="23"/>
  <c r="V14" i="23"/>
  <c r="V15" i="23"/>
  <c r="V39" i="23"/>
  <c r="W84" i="23"/>
  <c r="W53" i="23"/>
  <c r="W66" i="23"/>
  <c r="W4" i="23"/>
  <c r="W21" i="23"/>
  <c r="W27" i="23"/>
  <c r="W76" i="23"/>
  <c r="W16" i="23"/>
  <c r="W60" i="23"/>
  <c r="W108" i="23"/>
  <c r="W68" i="23"/>
  <c r="W33" i="23"/>
  <c r="W30" i="23"/>
  <c r="W44" i="23"/>
  <c r="W19" i="23"/>
  <c r="W3" i="23"/>
  <c r="W114" i="23"/>
  <c r="W38" i="23"/>
  <c r="V13" i="23"/>
  <c r="M61" i="23"/>
  <c r="U61" i="23" s="1"/>
  <c r="M64" i="23"/>
  <c r="U64" i="23" s="1"/>
  <c r="M126" i="23"/>
  <c r="M93" i="23"/>
  <c r="M96" i="23"/>
  <c r="U96" i="23" s="1"/>
  <c r="M21" i="23"/>
  <c r="U21" i="23" s="1"/>
  <c r="L24" i="23"/>
  <c r="T24" i="23" s="1"/>
  <c r="M48" i="23"/>
  <c r="U48" i="23" s="1"/>
  <c r="M77" i="23"/>
  <c r="M80" i="23"/>
  <c r="M109" i="23"/>
  <c r="M112" i="23"/>
  <c r="M53" i="23"/>
  <c r="U53" i="23" s="1"/>
  <c r="M56" i="23"/>
  <c r="M69" i="23"/>
  <c r="M72" i="23"/>
  <c r="U72" i="23" s="1"/>
  <c r="M85" i="23"/>
  <c r="M88" i="23"/>
  <c r="M101" i="23"/>
  <c r="M104" i="23"/>
  <c r="M118" i="23"/>
  <c r="M121" i="23"/>
  <c r="U121" i="23" s="1"/>
  <c r="M147" i="23"/>
  <c r="M7" i="23"/>
  <c r="U7" i="23" s="1"/>
  <c r="M13" i="23"/>
  <c r="U13" i="23" s="1"/>
  <c r="L16" i="23"/>
  <c r="T16" i="23" s="1"/>
  <c r="M36" i="23"/>
  <c r="U36" i="23" s="1"/>
  <c r="M45" i="23"/>
  <c r="U45" i="23" s="1"/>
  <c r="M20" i="23"/>
  <c r="U20" i="23" s="1"/>
  <c r="M29" i="23"/>
  <c r="U29" i="23" s="1"/>
  <c r="L32" i="23"/>
  <c r="T32" i="23" s="1"/>
  <c r="M37" i="23"/>
  <c r="L40" i="23"/>
  <c r="M57" i="23"/>
  <c r="U57" i="23" s="1"/>
  <c r="M60" i="23"/>
  <c r="U60" i="23" s="1"/>
  <c r="M73" i="23"/>
  <c r="M76" i="23"/>
  <c r="U76" i="23" s="1"/>
  <c r="M89" i="23"/>
  <c r="M92" i="23"/>
  <c r="M114" i="23"/>
  <c r="U114" i="23" s="1"/>
  <c r="M117" i="23"/>
  <c r="M131" i="23"/>
  <c r="M52" i="23"/>
  <c r="M65" i="23"/>
  <c r="U65" i="23" s="1"/>
  <c r="M68" i="23"/>
  <c r="U68" i="23" s="1"/>
  <c r="M81" i="23"/>
  <c r="M84" i="23"/>
  <c r="U84" i="23" s="1"/>
  <c r="M97" i="23"/>
  <c r="M100" i="23"/>
  <c r="M105" i="23"/>
  <c r="M108" i="23"/>
  <c r="U108" i="23" s="1"/>
  <c r="M122" i="23"/>
  <c r="U122" i="23" s="1"/>
  <c r="M125" i="23"/>
  <c r="M4" i="23"/>
  <c r="U4" i="23" s="1"/>
  <c r="M139" i="23"/>
  <c r="M3" i="23"/>
  <c r="U3" i="23" s="1"/>
  <c r="M12" i="23"/>
  <c r="U12" i="23" s="1"/>
  <c r="M28" i="23"/>
  <c r="U28" i="23" s="1"/>
  <c r="M44" i="23"/>
  <c r="U44" i="23" s="1"/>
  <c r="M130" i="23"/>
  <c r="M134" i="23"/>
  <c r="M138" i="23"/>
  <c r="M142" i="23"/>
  <c r="M146" i="23"/>
  <c r="M8" i="23"/>
  <c r="U8" i="23" s="1"/>
  <c r="M17" i="23"/>
  <c r="U17" i="23" s="1"/>
  <c r="M33" i="23"/>
  <c r="U33" i="23" s="1"/>
  <c r="M49" i="23"/>
  <c r="M129" i="23"/>
  <c r="L133" i="23"/>
  <c r="M137" i="23"/>
  <c r="L141" i="23"/>
  <c r="M145" i="23"/>
  <c r="U145" i="23" s="1"/>
  <c r="M25" i="23"/>
  <c r="U25" i="23" s="1"/>
  <c r="M41" i="23"/>
  <c r="U41" i="23" s="1"/>
  <c r="L55" i="23"/>
  <c r="T55" i="23" s="1"/>
  <c r="L59" i="23"/>
  <c r="L63" i="23"/>
  <c r="L67" i="23"/>
  <c r="T67" i="23" s="1"/>
  <c r="L71" i="23"/>
  <c r="T71" i="23" s="1"/>
  <c r="L75" i="23"/>
  <c r="L79" i="23"/>
  <c r="T79" i="23" s="1"/>
  <c r="L83" i="23"/>
  <c r="L87" i="23"/>
  <c r="L91" i="23"/>
  <c r="L95" i="23"/>
  <c r="L99" i="23"/>
  <c r="L103" i="23"/>
  <c r="L107" i="23"/>
  <c r="T107" i="23" s="1"/>
  <c r="L111" i="23"/>
  <c r="L116" i="23"/>
  <c r="T116" i="23" s="1"/>
  <c r="L120" i="23"/>
  <c r="L124" i="23"/>
  <c r="L128" i="23"/>
  <c r="L136" i="23"/>
  <c r="L144" i="23"/>
  <c r="L6" i="23"/>
  <c r="T6" i="23" s="1"/>
  <c r="L15" i="23"/>
  <c r="T15" i="23" s="1"/>
  <c r="L35" i="23"/>
  <c r="T35" i="23" s="1"/>
  <c r="L43" i="23"/>
  <c r="L51" i="23"/>
  <c r="L5" i="23"/>
  <c r="T5" i="23" s="1"/>
  <c r="L14" i="23"/>
  <c r="T14" i="23" s="1"/>
  <c r="L18" i="23"/>
  <c r="T18" i="23" s="1"/>
  <c r="M19" i="23"/>
  <c r="U19" i="23" s="1"/>
  <c r="M27" i="23"/>
  <c r="U27" i="23" s="1"/>
  <c r="L34" i="23"/>
  <c r="T34" i="23" s="1"/>
  <c r="L38" i="23"/>
  <c r="T38" i="23" s="1"/>
  <c r="M39" i="23"/>
  <c r="U39" i="23" s="1"/>
  <c r="M47" i="23"/>
  <c r="L54" i="23"/>
  <c r="T54" i="23" s="1"/>
  <c r="L62" i="23"/>
  <c r="L66" i="23"/>
  <c r="T66" i="23" s="1"/>
  <c r="L74" i="23"/>
  <c r="L78" i="23"/>
  <c r="T78" i="23" s="1"/>
  <c r="L82" i="23"/>
  <c r="L10" i="23"/>
  <c r="T10" i="23" s="1"/>
  <c r="L11" i="23"/>
  <c r="T11" i="23" s="1"/>
  <c r="L23" i="23"/>
  <c r="T23" i="23" s="1"/>
  <c r="L31" i="23"/>
  <c r="T31" i="23" s="1"/>
  <c r="L9" i="23"/>
  <c r="T9" i="23" s="1"/>
  <c r="L22" i="23"/>
  <c r="T22" i="23" s="1"/>
  <c r="L26" i="23"/>
  <c r="T26" i="23" s="1"/>
  <c r="L30" i="23"/>
  <c r="T30" i="23" s="1"/>
  <c r="L42" i="23"/>
  <c r="L46" i="23"/>
  <c r="T46" i="23" s="1"/>
  <c r="L50" i="23"/>
  <c r="T50" i="23" s="1"/>
  <c r="L58" i="23"/>
  <c r="T58" i="23" s="1"/>
  <c r="L70" i="23"/>
  <c r="T70" i="23" s="1"/>
  <c r="L86" i="23"/>
  <c r="L90" i="23"/>
  <c r="L94" i="23"/>
  <c r="L98" i="23"/>
  <c r="L102" i="23"/>
  <c r="L106" i="23"/>
  <c r="T106" i="23" s="1"/>
  <c r="L110" i="23"/>
  <c r="L115" i="23"/>
  <c r="L119" i="23"/>
  <c r="L123" i="23"/>
  <c r="L127" i="23"/>
  <c r="L132" i="23"/>
  <c r="M135" i="23"/>
  <c r="L140" i="23"/>
  <c r="M143" i="23"/>
  <c r="L148" i="23"/>
  <c r="M195" i="23"/>
  <c r="L195" i="23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G20" i="21"/>
  <c r="F6" i="21"/>
  <c r="F7" i="21"/>
  <c r="F8" i="21"/>
  <c r="F9" i="21"/>
  <c r="F10" i="21"/>
  <c r="F11" i="21"/>
  <c r="F13" i="21"/>
  <c r="F14" i="21"/>
  <c r="F15" i="21"/>
  <c r="F16" i="21"/>
  <c r="F17" i="21"/>
  <c r="F18" i="21"/>
  <c r="F19" i="21"/>
  <c r="F21" i="21"/>
  <c r="F38" i="21"/>
  <c r="E38" i="20" l="1"/>
  <c r="G38" i="20" s="1"/>
  <c r="L37" i="20"/>
  <c r="E37" i="20"/>
  <c r="G37" i="20" s="1"/>
  <c r="L36" i="20"/>
  <c r="E36" i="20"/>
  <c r="G36" i="20" s="1"/>
  <c r="L35" i="20"/>
  <c r="E35" i="20"/>
  <c r="G35" i="20" s="1"/>
  <c r="L34" i="20"/>
  <c r="E34" i="20"/>
  <c r="G34" i="20" s="1"/>
  <c r="L33" i="20"/>
  <c r="E33" i="20"/>
  <c r="G33" i="20" s="1"/>
  <c r="L32" i="20"/>
  <c r="E32" i="20"/>
  <c r="G32" i="20" s="1"/>
  <c r="L31" i="20"/>
  <c r="E31" i="20"/>
  <c r="G31" i="20" s="1"/>
  <c r="L30" i="20"/>
  <c r="E30" i="20"/>
  <c r="G30" i="20" s="1"/>
  <c r="L29" i="20"/>
  <c r="E29" i="20"/>
  <c r="G29" i="20" s="1"/>
  <c r="L28" i="20"/>
  <c r="E28" i="20"/>
  <c r="G28" i="20" s="1"/>
  <c r="L27" i="20"/>
  <c r="E27" i="20"/>
  <c r="G27" i="20" s="1"/>
  <c r="L26" i="20"/>
  <c r="E26" i="20"/>
  <c r="G26" i="20" s="1"/>
  <c r="L25" i="20"/>
  <c r="E25" i="20"/>
  <c r="G25" i="20" s="1"/>
  <c r="L24" i="20"/>
  <c r="E24" i="20"/>
  <c r="G24" i="20" s="1"/>
  <c r="L23" i="20"/>
  <c r="E23" i="20"/>
  <c r="G23" i="20" s="1"/>
  <c r="L22" i="20"/>
  <c r="E22" i="20"/>
  <c r="G22" i="20" s="1"/>
  <c r="E21" i="20"/>
  <c r="F21" i="20" s="1"/>
  <c r="L20" i="20"/>
  <c r="G20" i="20"/>
  <c r="E20" i="20"/>
  <c r="F20" i="20" s="1"/>
  <c r="L19" i="20"/>
  <c r="E19" i="20"/>
  <c r="F19" i="20" s="1"/>
  <c r="L18" i="20"/>
  <c r="E18" i="20"/>
  <c r="F18" i="20" s="1"/>
  <c r="L17" i="20"/>
  <c r="E17" i="20"/>
  <c r="F17" i="20" s="1"/>
  <c r="L16" i="20"/>
  <c r="E16" i="20"/>
  <c r="F16" i="20" s="1"/>
  <c r="L15" i="20"/>
  <c r="E15" i="20"/>
  <c r="F15" i="20" s="1"/>
  <c r="L14" i="20"/>
  <c r="E14" i="20"/>
  <c r="F14" i="20" s="1"/>
  <c r="L13" i="20"/>
  <c r="G13" i="20"/>
  <c r="E13" i="20"/>
  <c r="F13" i="20" s="1"/>
  <c r="L12" i="20"/>
  <c r="E12" i="20"/>
  <c r="F12" i="20" s="1"/>
  <c r="L11" i="20"/>
  <c r="E11" i="20"/>
  <c r="F11" i="20" s="1"/>
  <c r="L10" i="20"/>
  <c r="E10" i="20"/>
  <c r="F10" i="20" s="1"/>
  <c r="L9" i="20"/>
  <c r="G9" i="20"/>
  <c r="E9" i="20"/>
  <c r="F9" i="20" s="1"/>
  <c r="L8" i="20"/>
  <c r="E8" i="20"/>
  <c r="F8" i="20" s="1"/>
  <c r="L7" i="20"/>
  <c r="E7" i="20"/>
  <c r="F7" i="20" s="1"/>
  <c r="L6" i="20"/>
  <c r="E6" i="20"/>
  <c r="F6" i="20" s="1"/>
  <c r="E38" i="19"/>
  <c r="G38" i="19" s="1"/>
  <c r="L37" i="19"/>
  <c r="E37" i="19"/>
  <c r="G37" i="19" s="1"/>
  <c r="L36" i="19"/>
  <c r="E36" i="19"/>
  <c r="G36" i="19" s="1"/>
  <c r="L35" i="19"/>
  <c r="E35" i="19"/>
  <c r="G35" i="19" s="1"/>
  <c r="L34" i="19"/>
  <c r="E34" i="19"/>
  <c r="G34" i="19" s="1"/>
  <c r="L33" i="19"/>
  <c r="E33" i="19"/>
  <c r="G33" i="19" s="1"/>
  <c r="L32" i="19"/>
  <c r="E32" i="19"/>
  <c r="G32" i="19" s="1"/>
  <c r="L31" i="19"/>
  <c r="E31" i="19"/>
  <c r="G31" i="19" s="1"/>
  <c r="L30" i="19"/>
  <c r="E30" i="19"/>
  <c r="G30" i="19" s="1"/>
  <c r="L29" i="19"/>
  <c r="E29" i="19"/>
  <c r="G29" i="19" s="1"/>
  <c r="L28" i="19"/>
  <c r="E28" i="19"/>
  <c r="G28" i="19" s="1"/>
  <c r="L27" i="19"/>
  <c r="E27" i="19"/>
  <c r="G27" i="19" s="1"/>
  <c r="L26" i="19"/>
  <c r="E26" i="19"/>
  <c r="G26" i="19" s="1"/>
  <c r="L25" i="19"/>
  <c r="E25" i="19"/>
  <c r="G25" i="19" s="1"/>
  <c r="L24" i="19"/>
  <c r="E24" i="19"/>
  <c r="G24" i="19" s="1"/>
  <c r="L23" i="19"/>
  <c r="E23" i="19"/>
  <c r="G23" i="19" s="1"/>
  <c r="L22" i="19"/>
  <c r="E22" i="19"/>
  <c r="G22" i="19" s="1"/>
  <c r="G21" i="19"/>
  <c r="E21" i="19"/>
  <c r="F21" i="19" s="1"/>
  <c r="L20" i="19"/>
  <c r="E20" i="19"/>
  <c r="F20" i="19" s="1"/>
  <c r="L19" i="19"/>
  <c r="E19" i="19"/>
  <c r="F19" i="19" s="1"/>
  <c r="L18" i="19"/>
  <c r="G18" i="19"/>
  <c r="E18" i="19"/>
  <c r="F18" i="19" s="1"/>
  <c r="L17" i="19"/>
  <c r="E17" i="19"/>
  <c r="F17" i="19" s="1"/>
  <c r="L16" i="19"/>
  <c r="E16" i="19"/>
  <c r="F16" i="19" s="1"/>
  <c r="L15" i="19"/>
  <c r="E15" i="19"/>
  <c r="F15" i="19" s="1"/>
  <c r="L14" i="19"/>
  <c r="E14" i="19"/>
  <c r="F14" i="19" s="1"/>
  <c r="L13" i="19"/>
  <c r="E13" i="19"/>
  <c r="F13" i="19" s="1"/>
  <c r="L12" i="19"/>
  <c r="E12" i="19"/>
  <c r="F12" i="19" s="1"/>
  <c r="L11" i="19"/>
  <c r="E11" i="19"/>
  <c r="F11" i="19" s="1"/>
  <c r="L10" i="19"/>
  <c r="G10" i="19"/>
  <c r="E10" i="19"/>
  <c r="F10" i="19" s="1"/>
  <c r="L9" i="19"/>
  <c r="E9" i="19"/>
  <c r="F9" i="19" s="1"/>
  <c r="L8" i="19"/>
  <c r="E8" i="19"/>
  <c r="F8" i="19" s="1"/>
  <c r="L7" i="19"/>
  <c r="E7" i="19"/>
  <c r="F7" i="19" s="1"/>
  <c r="L6" i="19"/>
  <c r="G6" i="19"/>
  <c r="E6" i="19"/>
  <c r="F6" i="19" s="1"/>
  <c r="E38" i="18"/>
  <c r="G38" i="18" s="1"/>
  <c r="L37" i="18"/>
  <c r="E37" i="18"/>
  <c r="G37" i="18" s="1"/>
  <c r="L36" i="18"/>
  <c r="E36" i="18"/>
  <c r="G36" i="18" s="1"/>
  <c r="L35" i="18"/>
  <c r="E35" i="18"/>
  <c r="G35" i="18" s="1"/>
  <c r="L34" i="18"/>
  <c r="E34" i="18"/>
  <c r="G34" i="18" s="1"/>
  <c r="L33" i="18"/>
  <c r="E33" i="18"/>
  <c r="G33" i="18" s="1"/>
  <c r="L32" i="18"/>
  <c r="E32" i="18"/>
  <c r="G32" i="18" s="1"/>
  <c r="L31" i="18"/>
  <c r="E31" i="18"/>
  <c r="G31" i="18" s="1"/>
  <c r="L30" i="18"/>
  <c r="E30" i="18"/>
  <c r="G30" i="18" s="1"/>
  <c r="L29" i="18"/>
  <c r="E29" i="18"/>
  <c r="G29" i="18" s="1"/>
  <c r="L28" i="18"/>
  <c r="E28" i="18"/>
  <c r="G28" i="18" s="1"/>
  <c r="L27" i="18"/>
  <c r="E27" i="18"/>
  <c r="G27" i="18" s="1"/>
  <c r="L26" i="18"/>
  <c r="E26" i="18"/>
  <c r="G26" i="18" s="1"/>
  <c r="L25" i="18"/>
  <c r="E25" i="18"/>
  <c r="G25" i="18" s="1"/>
  <c r="L24" i="18"/>
  <c r="E24" i="18"/>
  <c r="G24" i="18" s="1"/>
  <c r="L23" i="18"/>
  <c r="E23" i="18"/>
  <c r="G23" i="18" s="1"/>
  <c r="L22" i="18"/>
  <c r="E22" i="18"/>
  <c r="G22" i="18" s="1"/>
  <c r="E21" i="18"/>
  <c r="G21" i="18" s="1"/>
  <c r="L20" i="18"/>
  <c r="E20" i="18"/>
  <c r="G20" i="18" s="1"/>
  <c r="L19" i="18"/>
  <c r="E19" i="18"/>
  <c r="G19" i="18" s="1"/>
  <c r="L18" i="18"/>
  <c r="E18" i="18"/>
  <c r="F18" i="18" s="1"/>
  <c r="L17" i="18"/>
  <c r="E17" i="18"/>
  <c r="G17" i="18" s="1"/>
  <c r="L16" i="18"/>
  <c r="E16" i="18"/>
  <c r="G16" i="18" s="1"/>
  <c r="L15" i="18"/>
  <c r="E15" i="18"/>
  <c r="F15" i="18" s="1"/>
  <c r="L14" i="18"/>
  <c r="E14" i="18"/>
  <c r="G14" i="18" s="1"/>
  <c r="L13" i="18"/>
  <c r="E13" i="18"/>
  <c r="G13" i="18" s="1"/>
  <c r="L12" i="18"/>
  <c r="E12" i="18"/>
  <c r="F12" i="18" s="1"/>
  <c r="L11" i="18"/>
  <c r="E11" i="18"/>
  <c r="G11" i="18" s="1"/>
  <c r="L10" i="18"/>
  <c r="E10" i="18"/>
  <c r="G10" i="18" s="1"/>
  <c r="L9" i="18"/>
  <c r="E9" i="18"/>
  <c r="F9" i="18" s="1"/>
  <c r="L8" i="18"/>
  <c r="E8" i="18"/>
  <c r="G8" i="18" s="1"/>
  <c r="L7" i="18"/>
  <c r="E7" i="18"/>
  <c r="F7" i="18" s="1"/>
  <c r="L6" i="18"/>
  <c r="E6" i="18"/>
  <c r="F6" i="18" s="1"/>
  <c r="G17" i="19" l="1"/>
  <c r="G14" i="19"/>
  <c r="G8" i="20"/>
  <c r="G11" i="20"/>
  <c r="G12" i="20"/>
  <c r="G19" i="20"/>
  <c r="G7" i="20"/>
  <c r="G10" i="20"/>
  <c r="G21" i="20"/>
  <c r="G9" i="19"/>
  <c r="G16" i="19"/>
  <c r="G13" i="19"/>
  <c r="G8" i="19"/>
  <c r="G12" i="19"/>
  <c r="G20" i="19"/>
  <c r="G7" i="19"/>
  <c r="G11" i="19"/>
  <c r="G15" i="19"/>
  <c r="G19" i="19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G6" i="20"/>
  <c r="G15" i="20"/>
  <c r="G18" i="20"/>
  <c r="G17" i="20"/>
  <c r="G14" i="20"/>
  <c r="G16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8" i="18"/>
  <c r="F10" i="18"/>
  <c r="F11" i="18"/>
  <c r="F13" i="18"/>
  <c r="F14" i="18"/>
  <c r="F16" i="18"/>
  <c r="F17" i="18"/>
  <c r="F19" i="18"/>
  <c r="F20" i="18"/>
  <c r="F21" i="18"/>
  <c r="G6" i="18"/>
  <c r="G7" i="18"/>
  <c r="G9" i="18"/>
  <c r="G12" i="18"/>
  <c r="G15" i="18"/>
  <c r="G18" i="18"/>
  <c r="F38" i="18"/>
  <c r="E38" i="17" l="1"/>
  <c r="G38" i="17" s="1"/>
  <c r="L37" i="17"/>
  <c r="E37" i="17"/>
  <c r="G37" i="17" s="1"/>
  <c r="L36" i="17"/>
  <c r="E36" i="17"/>
  <c r="G36" i="17" s="1"/>
  <c r="L35" i="17"/>
  <c r="E35" i="17"/>
  <c r="G35" i="17" s="1"/>
  <c r="L34" i="17"/>
  <c r="E34" i="17"/>
  <c r="G34" i="17" s="1"/>
  <c r="L33" i="17"/>
  <c r="E33" i="17"/>
  <c r="G33" i="17" s="1"/>
  <c r="L32" i="17"/>
  <c r="E32" i="17"/>
  <c r="G32" i="17" s="1"/>
  <c r="L31" i="17"/>
  <c r="E31" i="17"/>
  <c r="G31" i="17" s="1"/>
  <c r="L30" i="17"/>
  <c r="E30" i="17"/>
  <c r="G30" i="17" s="1"/>
  <c r="L29" i="17"/>
  <c r="E29" i="17"/>
  <c r="G29" i="17" s="1"/>
  <c r="L28" i="17"/>
  <c r="E28" i="17"/>
  <c r="G28" i="17" s="1"/>
  <c r="L27" i="17"/>
  <c r="E27" i="17"/>
  <c r="G27" i="17" s="1"/>
  <c r="L26" i="17"/>
  <c r="E26" i="17"/>
  <c r="G26" i="17" s="1"/>
  <c r="L25" i="17"/>
  <c r="E25" i="17"/>
  <c r="G25" i="17" s="1"/>
  <c r="L24" i="17"/>
  <c r="E24" i="17"/>
  <c r="G24" i="17" s="1"/>
  <c r="L23" i="17"/>
  <c r="E23" i="17"/>
  <c r="G23" i="17" s="1"/>
  <c r="L22" i="17"/>
  <c r="E22" i="17"/>
  <c r="G22" i="17" s="1"/>
  <c r="E21" i="17"/>
  <c r="F21" i="17" s="1"/>
  <c r="L20" i="17"/>
  <c r="E20" i="17"/>
  <c r="F20" i="17" s="1"/>
  <c r="L19" i="17"/>
  <c r="E19" i="17"/>
  <c r="F19" i="17" s="1"/>
  <c r="L18" i="17"/>
  <c r="E18" i="17"/>
  <c r="F18" i="17" s="1"/>
  <c r="L17" i="17"/>
  <c r="E17" i="17"/>
  <c r="F17" i="17" s="1"/>
  <c r="L16" i="17"/>
  <c r="E16" i="17"/>
  <c r="F16" i="17" s="1"/>
  <c r="L15" i="17"/>
  <c r="E15" i="17"/>
  <c r="F15" i="17" s="1"/>
  <c r="L14" i="17"/>
  <c r="E14" i="17"/>
  <c r="F14" i="17" s="1"/>
  <c r="L13" i="17"/>
  <c r="E13" i="17"/>
  <c r="F13" i="17" s="1"/>
  <c r="L12" i="17"/>
  <c r="E12" i="17"/>
  <c r="F12" i="17" s="1"/>
  <c r="L11" i="17"/>
  <c r="E11" i="17"/>
  <c r="F11" i="17" s="1"/>
  <c r="L10" i="17"/>
  <c r="E10" i="17"/>
  <c r="F10" i="17" s="1"/>
  <c r="L9" i="17"/>
  <c r="E9" i="17"/>
  <c r="F9" i="17" s="1"/>
  <c r="L8" i="17"/>
  <c r="E8" i="17"/>
  <c r="F8" i="17" s="1"/>
  <c r="L7" i="17"/>
  <c r="E7" i="17"/>
  <c r="F7" i="17" s="1"/>
  <c r="L6" i="17"/>
  <c r="E6" i="17"/>
  <c r="F6" i="17" s="1"/>
  <c r="E37" i="15"/>
  <c r="G37" i="15" s="1"/>
  <c r="L36" i="15"/>
  <c r="G36" i="15"/>
  <c r="E36" i="15"/>
  <c r="F36" i="15" s="1"/>
  <c r="L35" i="15"/>
  <c r="G35" i="15"/>
  <c r="E35" i="15"/>
  <c r="F35" i="15" s="1"/>
  <c r="L34" i="15"/>
  <c r="G34" i="15"/>
  <c r="E34" i="15"/>
  <c r="F34" i="15" s="1"/>
  <c r="L33" i="15"/>
  <c r="G33" i="15"/>
  <c r="E33" i="15"/>
  <c r="F33" i="15" s="1"/>
  <c r="L32" i="15"/>
  <c r="G32" i="15"/>
  <c r="E32" i="15"/>
  <c r="F32" i="15" s="1"/>
  <c r="L31" i="15"/>
  <c r="G31" i="15"/>
  <c r="E31" i="15"/>
  <c r="F31" i="15" s="1"/>
  <c r="L30" i="15"/>
  <c r="G30" i="15"/>
  <c r="E30" i="15"/>
  <c r="F30" i="15" s="1"/>
  <c r="L29" i="15"/>
  <c r="G29" i="15"/>
  <c r="E29" i="15"/>
  <c r="F29" i="15" s="1"/>
  <c r="L28" i="15"/>
  <c r="G28" i="15"/>
  <c r="E28" i="15"/>
  <c r="F28" i="15" s="1"/>
  <c r="L27" i="15"/>
  <c r="G27" i="15"/>
  <c r="E27" i="15"/>
  <c r="F27" i="15" s="1"/>
  <c r="L26" i="15"/>
  <c r="G26" i="15"/>
  <c r="E26" i="15"/>
  <c r="F26" i="15" s="1"/>
  <c r="L25" i="15"/>
  <c r="G25" i="15"/>
  <c r="E25" i="15"/>
  <c r="F25" i="15" s="1"/>
  <c r="L24" i="15"/>
  <c r="G24" i="15"/>
  <c r="E24" i="15"/>
  <c r="F24" i="15" s="1"/>
  <c r="L23" i="15"/>
  <c r="G23" i="15"/>
  <c r="E23" i="15"/>
  <c r="F23" i="15" s="1"/>
  <c r="L22" i="15"/>
  <c r="G22" i="15"/>
  <c r="E22" i="15"/>
  <c r="F22" i="15" s="1"/>
  <c r="L21" i="15"/>
  <c r="G21" i="15"/>
  <c r="E21" i="15"/>
  <c r="F21" i="15" s="1"/>
  <c r="G20" i="15"/>
  <c r="F20" i="15"/>
  <c r="E20" i="15"/>
  <c r="L19" i="15"/>
  <c r="G19" i="15"/>
  <c r="F19" i="15"/>
  <c r="E19" i="15"/>
  <c r="L18" i="15"/>
  <c r="G18" i="15"/>
  <c r="F18" i="15"/>
  <c r="E18" i="15"/>
  <c r="L17" i="15"/>
  <c r="G17" i="15"/>
  <c r="F17" i="15"/>
  <c r="E17" i="15"/>
  <c r="L16" i="15"/>
  <c r="G16" i="15"/>
  <c r="F16" i="15"/>
  <c r="E16" i="15"/>
  <c r="L15" i="15"/>
  <c r="G15" i="15"/>
  <c r="F15" i="15"/>
  <c r="E15" i="15"/>
  <c r="L14" i="15"/>
  <c r="G14" i="15"/>
  <c r="F14" i="15"/>
  <c r="E14" i="15"/>
  <c r="L13" i="15"/>
  <c r="G13" i="15"/>
  <c r="F13" i="15"/>
  <c r="E13" i="15"/>
  <c r="L12" i="15"/>
  <c r="G12" i="15"/>
  <c r="F12" i="15"/>
  <c r="E12" i="15"/>
  <c r="L11" i="15"/>
  <c r="G11" i="15"/>
  <c r="F11" i="15"/>
  <c r="E11" i="15"/>
  <c r="L10" i="15"/>
  <c r="G10" i="15"/>
  <c r="F10" i="15"/>
  <c r="E10" i="15"/>
  <c r="L9" i="15"/>
  <c r="G9" i="15"/>
  <c r="F9" i="15"/>
  <c r="E9" i="15"/>
  <c r="L8" i="15"/>
  <c r="G8" i="15"/>
  <c r="F8" i="15"/>
  <c r="E8" i="15"/>
  <c r="L7" i="15"/>
  <c r="G7" i="15"/>
  <c r="F7" i="15"/>
  <c r="E7" i="15"/>
  <c r="L6" i="15"/>
  <c r="G6" i="15"/>
  <c r="F6" i="15"/>
  <c r="E6" i="15"/>
  <c r="L5" i="15"/>
  <c r="G5" i="15"/>
  <c r="F5" i="15"/>
  <c r="E5" i="15"/>
  <c r="E38" i="14"/>
  <c r="G38" i="14" s="1"/>
  <c r="L37" i="14"/>
  <c r="E37" i="14"/>
  <c r="G37" i="14" s="1"/>
  <c r="L36" i="14"/>
  <c r="E36" i="14"/>
  <c r="G36" i="14" s="1"/>
  <c r="L35" i="14"/>
  <c r="E35" i="14"/>
  <c r="G35" i="14" s="1"/>
  <c r="L34" i="14"/>
  <c r="E34" i="14"/>
  <c r="G34" i="14" s="1"/>
  <c r="L33" i="14"/>
  <c r="E33" i="14"/>
  <c r="G33" i="14" s="1"/>
  <c r="L32" i="14"/>
  <c r="E32" i="14"/>
  <c r="G32" i="14" s="1"/>
  <c r="L31" i="14"/>
  <c r="E31" i="14"/>
  <c r="G31" i="14" s="1"/>
  <c r="L30" i="14"/>
  <c r="E30" i="14"/>
  <c r="G30" i="14" s="1"/>
  <c r="L29" i="14"/>
  <c r="E29" i="14"/>
  <c r="G29" i="14" s="1"/>
  <c r="L28" i="14"/>
  <c r="E28" i="14"/>
  <c r="G28" i="14" s="1"/>
  <c r="L27" i="14"/>
  <c r="E27" i="14"/>
  <c r="G27" i="14" s="1"/>
  <c r="L26" i="14"/>
  <c r="E26" i="14"/>
  <c r="G26" i="14" s="1"/>
  <c r="L25" i="14"/>
  <c r="E25" i="14"/>
  <c r="G25" i="14" s="1"/>
  <c r="L24" i="14"/>
  <c r="E24" i="14"/>
  <c r="G24" i="14" s="1"/>
  <c r="L23" i="14"/>
  <c r="E23" i="14"/>
  <c r="G23" i="14" s="1"/>
  <c r="L22" i="14"/>
  <c r="E22" i="14"/>
  <c r="G22" i="14" s="1"/>
  <c r="E21" i="14"/>
  <c r="F21" i="14" s="1"/>
  <c r="L20" i="14"/>
  <c r="E20" i="14"/>
  <c r="F20" i="14" s="1"/>
  <c r="L19" i="14"/>
  <c r="E19" i="14"/>
  <c r="F19" i="14" s="1"/>
  <c r="L18" i="14"/>
  <c r="E18" i="14"/>
  <c r="F18" i="14" s="1"/>
  <c r="L17" i="14"/>
  <c r="E17" i="14"/>
  <c r="F17" i="14" s="1"/>
  <c r="L16" i="14"/>
  <c r="E16" i="14"/>
  <c r="F16" i="14" s="1"/>
  <c r="L15" i="14"/>
  <c r="E15" i="14"/>
  <c r="F15" i="14" s="1"/>
  <c r="L14" i="14"/>
  <c r="G14" i="14"/>
  <c r="E14" i="14"/>
  <c r="F14" i="14" s="1"/>
  <c r="L13" i="14"/>
  <c r="E13" i="14"/>
  <c r="F13" i="14" s="1"/>
  <c r="L12" i="14"/>
  <c r="E12" i="14"/>
  <c r="F12" i="14" s="1"/>
  <c r="L11" i="14"/>
  <c r="E11" i="14"/>
  <c r="F11" i="14" s="1"/>
  <c r="L10" i="14"/>
  <c r="E10" i="14"/>
  <c r="F10" i="14" s="1"/>
  <c r="L9" i="14"/>
  <c r="E9" i="14"/>
  <c r="F9" i="14" s="1"/>
  <c r="L8" i="14"/>
  <c r="E8" i="14"/>
  <c r="F8" i="14" s="1"/>
  <c r="L7" i="14"/>
  <c r="E7" i="14"/>
  <c r="F7" i="14" s="1"/>
  <c r="L6" i="14"/>
  <c r="G6" i="14"/>
  <c r="E6" i="14"/>
  <c r="F6" i="14" s="1"/>
  <c r="E8" i="9"/>
  <c r="E33" i="9"/>
  <c r="E14" i="9"/>
  <c r="E12" i="9"/>
  <c r="E10" i="9"/>
  <c r="E11" i="9"/>
  <c r="E9" i="9"/>
  <c r="E18" i="9"/>
  <c r="E22" i="9"/>
  <c r="E29" i="9"/>
  <c r="E30" i="9"/>
  <c r="E17" i="9"/>
  <c r="E24" i="9"/>
  <c r="G10" i="14" l="1"/>
  <c r="G18" i="14"/>
  <c r="G12" i="14"/>
  <c r="G20" i="14"/>
  <c r="G8" i="14"/>
  <c r="G16" i="14"/>
  <c r="G7" i="14"/>
  <c r="G11" i="14"/>
  <c r="G15" i="14"/>
  <c r="G19" i="14"/>
  <c r="G9" i="14"/>
  <c r="G13" i="14"/>
  <c r="G17" i="14"/>
  <c r="G21" i="14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G7" i="17"/>
  <c r="G9" i="17"/>
  <c r="G12" i="17"/>
  <c r="G14" i="17"/>
  <c r="G16" i="17"/>
  <c r="G19" i="17"/>
  <c r="G21" i="17"/>
  <c r="G6" i="17"/>
  <c r="G8" i="17"/>
  <c r="G10" i="17"/>
  <c r="G11" i="17"/>
  <c r="G13" i="17"/>
  <c r="G15" i="17"/>
  <c r="G17" i="17"/>
  <c r="G18" i="17"/>
  <c r="G20" i="17"/>
  <c r="F38" i="17"/>
  <c r="F37" i="15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11" i="9" l="1"/>
  <c r="F14" i="9"/>
  <c r="G33" i="9"/>
  <c r="G18" i="9"/>
  <c r="F9" i="9"/>
  <c r="G17" i="9"/>
  <c r="G11" i="9"/>
  <c r="F8" i="9"/>
  <c r="G22" i="9"/>
  <c r="F22" i="9"/>
  <c r="G8" i="9"/>
  <c r="F30" i="9"/>
  <c r="G10" i="9"/>
  <c r="F29" i="9"/>
  <c r="G9" i="9"/>
  <c r="F18" i="9"/>
  <c r="G12" i="9"/>
  <c r="G24" i="9"/>
  <c r="F33" i="9"/>
  <c r="G29" i="9"/>
  <c r="F10" i="9"/>
  <c r="F12" i="9"/>
  <c r="F17" i="9"/>
  <c r="G30" i="9"/>
  <c r="F24" i="9"/>
  <c r="G14" i="9"/>
  <c r="K36" i="12" l="1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L8" i="9"/>
  <c r="L33" i="9"/>
  <c r="L14" i="9"/>
  <c r="L12" i="9"/>
  <c r="L10" i="9"/>
  <c r="L11" i="9"/>
  <c r="L9" i="9"/>
  <c r="L18" i="9"/>
  <c r="L22" i="9"/>
  <c r="L29" i="9"/>
  <c r="L30" i="9"/>
  <c r="L17" i="9"/>
  <c r="L24" i="9"/>
  <c r="A4" i="11" l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P10" i="7" l="1"/>
  <c r="M508" i="7"/>
  <c r="N508" i="7" s="1"/>
  <c r="M507" i="7"/>
  <c r="N507" i="7" s="1"/>
  <c r="M506" i="7"/>
  <c r="N506" i="7" s="1"/>
  <c r="M505" i="7"/>
  <c r="N505" i="7" s="1"/>
  <c r="M504" i="7"/>
  <c r="N504" i="7" s="1"/>
  <c r="M503" i="7"/>
  <c r="N503" i="7" s="1"/>
  <c r="M502" i="7"/>
  <c r="N502" i="7" s="1"/>
  <c r="M501" i="7"/>
  <c r="N501" i="7" s="1"/>
  <c r="M500" i="7"/>
  <c r="N500" i="7" s="1"/>
  <c r="M499" i="7"/>
  <c r="N499" i="7" s="1"/>
  <c r="M498" i="7"/>
  <c r="N498" i="7" s="1"/>
  <c r="M497" i="7"/>
  <c r="N497" i="7" s="1"/>
  <c r="M496" i="7"/>
  <c r="N496" i="7" s="1"/>
  <c r="M495" i="7"/>
  <c r="N495" i="7" s="1"/>
  <c r="M494" i="7"/>
  <c r="N494" i="7" s="1"/>
  <c r="M493" i="7"/>
  <c r="N493" i="7" s="1"/>
  <c r="M492" i="7"/>
  <c r="N492" i="7" s="1"/>
  <c r="M491" i="7"/>
  <c r="N491" i="7" s="1"/>
  <c r="M490" i="7"/>
  <c r="N490" i="7" s="1"/>
  <c r="M489" i="7"/>
  <c r="N489" i="7" s="1"/>
  <c r="M488" i="7"/>
  <c r="N488" i="7" s="1"/>
  <c r="M487" i="7"/>
  <c r="N487" i="7" s="1"/>
  <c r="M486" i="7"/>
  <c r="N486" i="7" s="1"/>
  <c r="M485" i="7"/>
  <c r="N485" i="7" s="1"/>
  <c r="M484" i="7"/>
  <c r="N484" i="7" s="1"/>
  <c r="M483" i="7"/>
  <c r="N483" i="7" s="1"/>
  <c r="M482" i="7"/>
  <c r="N482" i="7" s="1"/>
  <c r="M481" i="7"/>
  <c r="N481" i="7" s="1"/>
  <c r="M480" i="7"/>
  <c r="N480" i="7" s="1"/>
  <c r="M479" i="7"/>
  <c r="N479" i="7" s="1"/>
  <c r="M478" i="7"/>
  <c r="N478" i="7" s="1"/>
  <c r="M477" i="7"/>
  <c r="N477" i="7" s="1"/>
  <c r="M476" i="7"/>
  <c r="N476" i="7" s="1"/>
  <c r="M475" i="7"/>
  <c r="N475" i="7" s="1"/>
  <c r="M474" i="7"/>
  <c r="N474" i="7" s="1"/>
  <c r="M473" i="7"/>
  <c r="N473" i="7" s="1"/>
  <c r="M472" i="7"/>
  <c r="N472" i="7" s="1"/>
  <c r="M471" i="7"/>
  <c r="N471" i="7" s="1"/>
  <c r="M470" i="7"/>
  <c r="N470" i="7" s="1"/>
  <c r="M469" i="7"/>
  <c r="N469" i="7" s="1"/>
  <c r="M468" i="7"/>
  <c r="N468" i="7" s="1"/>
  <c r="M467" i="7"/>
  <c r="N467" i="7" s="1"/>
  <c r="M466" i="7"/>
  <c r="N466" i="7" s="1"/>
  <c r="M465" i="7"/>
  <c r="N465" i="7" s="1"/>
  <c r="M464" i="7"/>
  <c r="N464" i="7" s="1"/>
  <c r="M463" i="7"/>
  <c r="N463" i="7" s="1"/>
  <c r="M462" i="7"/>
  <c r="N462" i="7" s="1"/>
  <c r="M461" i="7"/>
  <c r="N461" i="7" s="1"/>
  <c r="M460" i="7"/>
  <c r="N460" i="7" s="1"/>
  <c r="M459" i="7"/>
  <c r="N459" i="7" s="1"/>
  <c r="M458" i="7"/>
  <c r="N458" i="7" s="1"/>
  <c r="M457" i="7"/>
  <c r="N457" i="7" s="1"/>
  <c r="M456" i="7"/>
  <c r="N456" i="7" s="1"/>
  <c r="M455" i="7"/>
  <c r="N455" i="7" s="1"/>
  <c r="M454" i="7"/>
  <c r="N454" i="7" s="1"/>
  <c r="M453" i="7"/>
  <c r="N453" i="7" s="1"/>
  <c r="M452" i="7"/>
  <c r="N452" i="7" s="1"/>
  <c r="M451" i="7"/>
  <c r="N451" i="7" s="1"/>
  <c r="M450" i="7"/>
  <c r="N450" i="7" s="1"/>
  <c r="M449" i="7"/>
  <c r="N449" i="7" s="1"/>
  <c r="M448" i="7"/>
  <c r="N448" i="7" s="1"/>
  <c r="M447" i="7"/>
  <c r="N447" i="7" s="1"/>
  <c r="M446" i="7"/>
  <c r="N446" i="7" s="1"/>
  <c r="M445" i="7"/>
  <c r="N445" i="7" s="1"/>
  <c r="M444" i="7"/>
  <c r="N444" i="7" s="1"/>
  <c r="M443" i="7"/>
  <c r="N443" i="7" s="1"/>
  <c r="M442" i="7"/>
  <c r="N442" i="7" s="1"/>
  <c r="M441" i="7"/>
  <c r="N441" i="7" s="1"/>
  <c r="M440" i="7"/>
  <c r="N440" i="7" s="1"/>
  <c r="M439" i="7"/>
  <c r="N439" i="7" s="1"/>
  <c r="M438" i="7"/>
  <c r="N438" i="7" s="1"/>
  <c r="M437" i="7"/>
  <c r="N437" i="7" s="1"/>
  <c r="M436" i="7"/>
  <c r="N436" i="7" s="1"/>
  <c r="M435" i="7"/>
  <c r="N435" i="7" s="1"/>
  <c r="M434" i="7"/>
  <c r="N434" i="7" s="1"/>
  <c r="M433" i="7"/>
  <c r="N433" i="7" s="1"/>
  <c r="M432" i="7"/>
  <c r="N432" i="7" s="1"/>
  <c r="M431" i="7"/>
  <c r="N431" i="7" s="1"/>
  <c r="M430" i="7"/>
  <c r="N430" i="7" s="1"/>
  <c r="M429" i="7"/>
  <c r="N429" i="7" s="1"/>
  <c r="M428" i="7"/>
  <c r="N428" i="7" s="1"/>
  <c r="M427" i="7"/>
  <c r="N427" i="7" s="1"/>
  <c r="M426" i="7"/>
  <c r="N426" i="7" s="1"/>
  <c r="M425" i="7"/>
  <c r="N425" i="7" s="1"/>
  <c r="M424" i="7"/>
  <c r="N424" i="7" s="1"/>
  <c r="M423" i="7"/>
  <c r="N423" i="7" s="1"/>
  <c r="M422" i="7"/>
  <c r="N422" i="7" s="1"/>
  <c r="M421" i="7"/>
  <c r="N421" i="7" s="1"/>
  <c r="M420" i="7"/>
  <c r="N420" i="7" s="1"/>
  <c r="M419" i="7"/>
  <c r="N419" i="7" s="1"/>
  <c r="M418" i="7"/>
  <c r="N418" i="7" s="1"/>
  <c r="M417" i="7"/>
  <c r="N417" i="7" s="1"/>
  <c r="M416" i="7"/>
  <c r="N416" i="7" s="1"/>
  <c r="M415" i="7"/>
  <c r="N415" i="7" s="1"/>
  <c r="M414" i="7"/>
  <c r="N414" i="7" s="1"/>
  <c r="M413" i="7"/>
  <c r="N413" i="7" s="1"/>
  <c r="M412" i="7"/>
  <c r="N412" i="7" s="1"/>
  <c r="M411" i="7"/>
  <c r="N411" i="7" s="1"/>
  <c r="M410" i="7"/>
  <c r="N410" i="7" s="1"/>
  <c r="M409" i="7"/>
  <c r="N409" i="7" s="1"/>
  <c r="M408" i="7"/>
  <c r="N408" i="7" s="1"/>
  <c r="M407" i="7"/>
  <c r="N407" i="7" s="1"/>
  <c r="M406" i="7"/>
  <c r="N406" i="7" s="1"/>
  <c r="M405" i="7"/>
  <c r="N405" i="7" s="1"/>
  <c r="M404" i="7"/>
  <c r="N404" i="7" s="1"/>
  <c r="M403" i="7"/>
  <c r="N403" i="7" s="1"/>
  <c r="M402" i="7"/>
  <c r="N402" i="7" s="1"/>
  <c r="M401" i="7"/>
  <c r="N401" i="7" s="1"/>
  <c r="M400" i="7"/>
  <c r="N400" i="7" s="1"/>
  <c r="M399" i="7"/>
  <c r="N399" i="7" s="1"/>
  <c r="M398" i="7"/>
  <c r="N398" i="7" s="1"/>
  <c r="M397" i="7"/>
  <c r="N397" i="7" s="1"/>
  <c r="M396" i="7"/>
  <c r="N396" i="7" s="1"/>
  <c r="M395" i="7"/>
  <c r="N395" i="7" s="1"/>
  <c r="M394" i="7"/>
  <c r="N394" i="7" s="1"/>
  <c r="M393" i="7"/>
  <c r="N393" i="7" s="1"/>
  <c r="M392" i="7"/>
  <c r="N392" i="7" s="1"/>
  <c r="M391" i="7"/>
  <c r="N391" i="7" s="1"/>
  <c r="M390" i="7"/>
  <c r="N390" i="7" s="1"/>
  <c r="M389" i="7"/>
  <c r="N389" i="7" s="1"/>
  <c r="M388" i="7"/>
  <c r="N388" i="7" s="1"/>
  <c r="M387" i="7"/>
  <c r="N387" i="7" s="1"/>
  <c r="M386" i="7"/>
  <c r="N386" i="7" s="1"/>
  <c r="M385" i="7"/>
  <c r="N385" i="7" s="1"/>
  <c r="M384" i="7"/>
  <c r="N384" i="7" s="1"/>
  <c r="M383" i="7"/>
  <c r="N383" i="7" s="1"/>
  <c r="M382" i="7"/>
  <c r="N382" i="7" s="1"/>
  <c r="M381" i="7"/>
  <c r="N381" i="7" s="1"/>
  <c r="M380" i="7"/>
  <c r="N380" i="7" s="1"/>
  <c r="M379" i="7"/>
  <c r="N379" i="7" s="1"/>
  <c r="M378" i="7"/>
  <c r="N378" i="7" s="1"/>
  <c r="M377" i="7"/>
  <c r="N377" i="7" s="1"/>
  <c r="M376" i="7"/>
  <c r="N376" i="7" s="1"/>
  <c r="M375" i="7"/>
  <c r="N375" i="7" s="1"/>
  <c r="M374" i="7"/>
  <c r="N374" i="7" s="1"/>
  <c r="M373" i="7"/>
  <c r="N373" i="7" s="1"/>
  <c r="M372" i="7"/>
  <c r="N372" i="7" s="1"/>
  <c r="M371" i="7"/>
  <c r="N371" i="7" s="1"/>
  <c r="M370" i="7"/>
  <c r="N370" i="7" s="1"/>
  <c r="M369" i="7"/>
  <c r="N369" i="7" s="1"/>
  <c r="M368" i="7"/>
  <c r="N368" i="7" s="1"/>
  <c r="M367" i="7"/>
  <c r="N367" i="7" s="1"/>
  <c r="M366" i="7"/>
  <c r="N366" i="7" s="1"/>
  <c r="M365" i="7"/>
  <c r="N365" i="7" s="1"/>
  <c r="M364" i="7"/>
  <c r="N364" i="7" s="1"/>
  <c r="M363" i="7"/>
  <c r="N363" i="7" s="1"/>
  <c r="M362" i="7"/>
  <c r="N362" i="7" s="1"/>
  <c r="M361" i="7"/>
  <c r="N361" i="7" s="1"/>
  <c r="M360" i="7"/>
  <c r="N360" i="7" s="1"/>
  <c r="M359" i="7"/>
  <c r="N359" i="7" s="1"/>
  <c r="M358" i="7"/>
  <c r="N358" i="7" s="1"/>
  <c r="M357" i="7"/>
  <c r="N357" i="7" s="1"/>
  <c r="M356" i="7"/>
  <c r="N356" i="7" s="1"/>
  <c r="M355" i="7"/>
  <c r="N355" i="7" s="1"/>
  <c r="M354" i="7"/>
  <c r="N354" i="7" s="1"/>
  <c r="M353" i="7"/>
  <c r="N353" i="7" s="1"/>
  <c r="M352" i="7"/>
  <c r="N352" i="7" s="1"/>
  <c r="M351" i="7"/>
  <c r="N351" i="7" s="1"/>
  <c r="M350" i="7"/>
  <c r="N350" i="7" s="1"/>
  <c r="M349" i="7"/>
  <c r="N349" i="7" s="1"/>
  <c r="M348" i="7"/>
  <c r="N348" i="7" s="1"/>
  <c r="M347" i="7"/>
  <c r="N347" i="7" s="1"/>
  <c r="M346" i="7"/>
  <c r="N346" i="7" s="1"/>
  <c r="M345" i="7"/>
  <c r="N345" i="7" s="1"/>
  <c r="M344" i="7"/>
  <c r="N344" i="7" s="1"/>
  <c r="M343" i="7"/>
  <c r="N343" i="7" s="1"/>
  <c r="M342" i="7"/>
  <c r="N342" i="7" s="1"/>
  <c r="M341" i="7"/>
  <c r="N341" i="7" s="1"/>
  <c r="M340" i="7"/>
  <c r="N340" i="7" s="1"/>
  <c r="M339" i="7"/>
  <c r="N339" i="7" s="1"/>
  <c r="M338" i="7"/>
  <c r="N338" i="7" s="1"/>
  <c r="M337" i="7"/>
  <c r="N337" i="7" s="1"/>
  <c r="M336" i="7"/>
  <c r="N336" i="7" s="1"/>
  <c r="M335" i="7"/>
  <c r="N335" i="7" s="1"/>
  <c r="M334" i="7"/>
  <c r="N334" i="7" s="1"/>
  <c r="M333" i="7"/>
  <c r="N333" i="7" s="1"/>
  <c r="M332" i="7"/>
  <c r="N332" i="7" s="1"/>
  <c r="M331" i="7"/>
  <c r="N331" i="7" s="1"/>
  <c r="M330" i="7"/>
  <c r="N330" i="7" s="1"/>
  <c r="M329" i="7"/>
  <c r="N329" i="7" s="1"/>
  <c r="M328" i="7"/>
  <c r="N328" i="7" s="1"/>
  <c r="M327" i="7"/>
  <c r="N327" i="7" s="1"/>
  <c r="M326" i="7"/>
  <c r="N326" i="7" s="1"/>
  <c r="M325" i="7"/>
  <c r="N325" i="7" s="1"/>
  <c r="M324" i="7"/>
  <c r="N324" i="7" s="1"/>
  <c r="M323" i="7"/>
  <c r="N323" i="7" s="1"/>
  <c r="M322" i="7"/>
  <c r="N322" i="7" s="1"/>
  <c r="M321" i="7"/>
  <c r="N321" i="7" s="1"/>
  <c r="M320" i="7"/>
  <c r="N320" i="7" s="1"/>
  <c r="M319" i="7"/>
  <c r="N319" i="7" s="1"/>
  <c r="M318" i="7"/>
  <c r="N318" i="7" s="1"/>
  <c r="M317" i="7"/>
  <c r="N317" i="7" s="1"/>
  <c r="M316" i="7"/>
  <c r="N316" i="7" s="1"/>
  <c r="M315" i="7"/>
  <c r="N315" i="7" s="1"/>
  <c r="M314" i="7"/>
  <c r="N314" i="7" s="1"/>
  <c r="M313" i="7"/>
  <c r="N313" i="7" s="1"/>
  <c r="M312" i="7"/>
  <c r="N312" i="7" s="1"/>
  <c r="M311" i="7"/>
  <c r="N311" i="7" s="1"/>
  <c r="M310" i="7"/>
  <c r="N310" i="7" s="1"/>
  <c r="M309" i="7"/>
  <c r="N309" i="7" s="1"/>
  <c r="M308" i="7"/>
  <c r="N308" i="7" s="1"/>
  <c r="M307" i="7"/>
  <c r="N307" i="7" s="1"/>
  <c r="M306" i="7"/>
  <c r="N306" i="7" s="1"/>
  <c r="M305" i="7"/>
  <c r="N305" i="7" s="1"/>
  <c r="M304" i="7"/>
  <c r="N304" i="7" s="1"/>
  <c r="M303" i="7"/>
  <c r="N303" i="7" s="1"/>
  <c r="M302" i="7"/>
  <c r="N302" i="7" s="1"/>
  <c r="M301" i="7"/>
  <c r="N301" i="7" s="1"/>
  <c r="M300" i="7"/>
  <c r="N300" i="7" s="1"/>
  <c r="M299" i="7"/>
  <c r="N299" i="7" s="1"/>
  <c r="M298" i="7"/>
  <c r="N298" i="7" s="1"/>
  <c r="M297" i="7"/>
  <c r="N297" i="7" s="1"/>
  <c r="M296" i="7"/>
  <c r="N296" i="7" s="1"/>
  <c r="M295" i="7"/>
  <c r="N295" i="7" s="1"/>
  <c r="M294" i="7"/>
  <c r="N294" i="7" s="1"/>
  <c r="M293" i="7"/>
  <c r="N293" i="7" s="1"/>
  <c r="M292" i="7"/>
  <c r="N292" i="7" s="1"/>
  <c r="M291" i="7"/>
  <c r="N291" i="7" s="1"/>
  <c r="M290" i="7"/>
  <c r="N290" i="7" s="1"/>
  <c r="M289" i="7"/>
  <c r="N289" i="7" s="1"/>
  <c r="M288" i="7"/>
  <c r="N288" i="7" s="1"/>
  <c r="M287" i="7"/>
  <c r="N287" i="7" s="1"/>
  <c r="M286" i="7"/>
  <c r="N286" i="7" s="1"/>
  <c r="M285" i="7"/>
  <c r="N285" i="7" s="1"/>
  <c r="M284" i="7"/>
  <c r="N284" i="7" s="1"/>
  <c r="M283" i="7"/>
  <c r="N283" i="7" s="1"/>
  <c r="M282" i="7"/>
  <c r="N282" i="7" s="1"/>
  <c r="M281" i="7"/>
  <c r="N281" i="7" s="1"/>
  <c r="M280" i="7"/>
  <c r="N280" i="7" s="1"/>
  <c r="M279" i="7"/>
  <c r="N279" i="7" s="1"/>
  <c r="M278" i="7"/>
  <c r="N278" i="7" s="1"/>
  <c r="M277" i="7"/>
  <c r="N277" i="7" s="1"/>
  <c r="M276" i="7"/>
  <c r="N276" i="7" s="1"/>
  <c r="M275" i="7"/>
  <c r="N275" i="7" s="1"/>
  <c r="M274" i="7"/>
  <c r="N274" i="7" s="1"/>
  <c r="M273" i="7"/>
  <c r="N273" i="7" s="1"/>
  <c r="M272" i="7"/>
  <c r="N272" i="7" s="1"/>
  <c r="M271" i="7"/>
  <c r="N271" i="7" s="1"/>
  <c r="M270" i="7"/>
  <c r="N270" i="7" s="1"/>
  <c r="M269" i="7"/>
  <c r="N269" i="7" s="1"/>
  <c r="M268" i="7"/>
  <c r="N268" i="7" s="1"/>
  <c r="M267" i="7"/>
  <c r="N267" i="7" s="1"/>
  <c r="M266" i="7"/>
  <c r="N266" i="7" s="1"/>
  <c r="M265" i="7"/>
  <c r="N265" i="7" s="1"/>
  <c r="M264" i="7"/>
  <c r="N264" i="7" s="1"/>
  <c r="M263" i="7"/>
  <c r="N263" i="7" s="1"/>
  <c r="M262" i="7"/>
  <c r="N262" i="7" s="1"/>
  <c r="M261" i="7"/>
  <c r="N261" i="7" s="1"/>
  <c r="M260" i="7"/>
  <c r="N260" i="7" s="1"/>
  <c r="M259" i="7"/>
  <c r="N259" i="7" s="1"/>
  <c r="M258" i="7"/>
  <c r="N258" i="7" s="1"/>
  <c r="M257" i="7"/>
  <c r="N257" i="7" s="1"/>
  <c r="M256" i="7"/>
  <c r="N256" i="7" s="1"/>
  <c r="M255" i="7"/>
  <c r="N255" i="7" s="1"/>
  <c r="M254" i="7"/>
  <c r="N254" i="7" s="1"/>
  <c r="M253" i="7"/>
  <c r="N253" i="7" s="1"/>
  <c r="M252" i="7"/>
  <c r="N252" i="7" s="1"/>
  <c r="M251" i="7"/>
  <c r="N251" i="7" s="1"/>
  <c r="M250" i="7"/>
  <c r="N250" i="7" s="1"/>
  <c r="M249" i="7"/>
  <c r="N249" i="7" s="1"/>
  <c r="M248" i="7"/>
  <c r="N248" i="7" s="1"/>
  <c r="M247" i="7"/>
  <c r="N247" i="7" s="1"/>
  <c r="M246" i="7"/>
  <c r="N246" i="7" s="1"/>
  <c r="M245" i="7"/>
  <c r="N245" i="7" s="1"/>
  <c r="M244" i="7"/>
  <c r="N244" i="7" s="1"/>
  <c r="M243" i="7"/>
  <c r="N243" i="7" s="1"/>
  <c r="M242" i="7"/>
  <c r="N242" i="7" s="1"/>
  <c r="M241" i="7"/>
  <c r="N241" i="7" s="1"/>
  <c r="M240" i="7"/>
  <c r="N240" i="7" s="1"/>
  <c r="M239" i="7"/>
  <c r="N239" i="7" s="1"/>
  <c r="M238" i="7"/>
  <c r="N238" i="7" s="1"/>
  <c r="M237" i="7"/>
  <c r="N237" i="7" s="1"/>
  <c r="M236" i="7"/>
  <c r="N236" i="7" s="1"/>
  <c r="M235" i="7"/>
  <c r="N235" i="7" s="1"/>
  <c r="M234" i="7"/>
  <c r="N234" i="7" s="1"/>
  <c r="M233" i="7"/>
  <c r="N233" i="7" s="1"/>
  <c r="M232" i="7"/>
  <c r="N232" i="7" s="1"/>
  <c r="M231" i="7"/>
  <c r="N231" i="7" s="1"/>
  <c r="M230" i="7"/>
  <c r="N230" i="7" s="1"/>
  <c r="M229" i="7"/>
  <c r="N229" i="7" s="1"/>
  <c r="M228" i="7"/>
  <c r="N228" i="7" s="1"/>
  <c r="M227" i="7"/>
  <c r="N227" i="7" s="1"/>
  <c r="M226" i="7"/>
  <c r="N226" i="7" s="1"/>
  <c r="M225" i="7"/>
  <c r="N225" i="7" s="1"/>
  <c r="M224" i="7"/>
  <c r="N224" i="7" s="1"/>
  <c r="M223" i="7"/>
  <c r="N223" i="7" s="1"/>
  <c r="M222" i="7"/>
  <c r="N222" i="7" s="1"/>
  <c r="M221" i="7"/>
  <c r="N221" i="7" s="1"/>
  <c r="M220" i="7"/>
  <c r="N220" i="7" s="1"/>
  <c r="M219" i="7"/>
  <c r="N219" i="7" s="1"/>
  <c r="M218" i="7"/>
  <c r="N218" i="7" s="1"/>
  <c r="M217" i="7"/>
  <c r="N217" i="7" s="1"/>
  <c r="M216" i="7"/>
  <c r="N216" i="7" s="1"/>
  <c r="M215" i="7"/>
  <c r="N215" i="7" s="1"/>
  <c r="M214" i="7"/>
  <c r="N214" i="7" s="1"/>
  <c r="M213" i="7"/>
  <c r="N213" i="7" s="1"/>
  <c r="M212" i="7"/>
  <c r="N212" i="7" s="1"/>
  <c r="M211" i="7"/>
  <c r="N211" i="7" s="1"/>
  <c r="M210" i="7"/>
  <c r="N210" i="7" s="1"/>
  <c r="M209" i="7"/>
  <c r="N209" i="7" s="1"/>
  <c r="M208" i="7"/>
  <c r="N208" i="7" s="1"/>
  <c r="M207" i="7"/>
  <c r="N207" i="7" s="1"/>
  <c r="M206" i="7"/>
  <c r="N206" i="7" s="1"/>
  <c r="M205" i="7"/>
  <c r="N205" i="7" s="1"/>
  <c r="M204" i="7"/>
  <c r="N204" i="7" s="1"/>
  <c r="M203" i="7"/>
  <c r="N203" i="7" s="1"/>
  <c r="M202" i="7"/>
  <c r="N202" i="7" s="1"/>
  <c r="M201" i="7"/>
  <c r="N201" i="7" s="1"/>
  <c r="M200" i="7"/>
  <c r="N200" i="7" s="1"/>
  <c r="M199" i="7"/>
  <c r="N199" i="7" s="1"/>
  <c r="M198" i="7"/>
  <c r="N198" i="7" s="1"/>
  <c r="M197" i="7"/>
  <c r="N197" i="7" s="1"/>
  <c r="M196" i="7"/>
  <c r="N196" i="7" s="1"/>
  <c r="M195" i="7"/>
  <c r="N195" i="7" s="1"/>
  <c r="M194" i="7"/>
  <c r="N194" i="7" s="1"/>
  <c r="M193" i="7"/>
  <c r="N193" i="7" s="1"/>
  <c r="M192" i="7"/>
  <c r="N192" i="7" s="1"/>
  <c r="M191" i="7"/>
  <c r="N191" i="7" s="1"/>
  <c r="M190" i="7"/>
  <c r="N190" i="7" s="1"/>
  <c r="M189" i="7"/>
  <c r="N189" i="7" s="1"/>
  <c r="M188" i="7"/>
  <c r="N188" i="7" s="1"/>
  <c r="M187" i="7"/>
  <c r="N187" i="7" s="1"/>
  <c r="M186" i="7"/>
  <c r="N186" i="7" s="1"/>
  <c r="M185" i="7"/>
  <c r="N185" i="7" s="1"/>
  <c r="M184" i="7"/>
  <c r="N184" i="7" s="1"/>
  <c r="M183" i="7"/>
  <c r="N183" i="7" s="1"/>
  <c r="M182" i="7"/>
  <c r="N182" i="7" s="1"/>
  <c r="M181" i="7"/>
  <c r="N181" i="7" s="1"/>
  <c r="M180" i="7"/>
  <c r="N180" i="7" s="1"/>
  <c r="M179" i="7"/>
  <c r="N179" i="7" s="1"/>
  <c r="M178" i="7"/>
  <c r="N178" i="7" s="1"/>
  <c r="M177" i="7"/>
  <c r="N177" i="7" s="1"/>
  <c r="M176" i="7"/>
  <c r="N176" i="7" s="1"/>
  <c r="M175" i="7"/>
  <c r="N175" i="7" s="1"/>
  <c r="M174" i="7"/>
  <c r="N174" i="7" s="1"/>
  <c r="M173" i="7"/>
  <c r="N173" i="7" s="1"/>
  <c r="M172" i="7"/>
  <c r="N172" i="7" s="1"/>
  <c r="M171" i="7"/>
  <c r="N171" i="7" s="1"/>
  <c r="M170" i="7"/>
  <c r="N170" i="7" s="1"/>
  <c r="M169" i="7"/>
  <c r="N169" i="7" s="1"/>
  <c r="M168" i="7"/>
  <c r="N168" i="7" s="1"/>
  <c r="M167" i="7"/>
  <c r="N167" i="7" s="1"/>
  <c r="M166" i="7"/>
  <c r="N166" i="7" s="1"/>
  <c r="M165" i="7"/>
  <c r="N165" i="7" s="1"/>
  <c r="M164" i="7"/>
  <c r="N164" i="7" s="1"/>
  <c r="M163" i="7"/>
  <c r="N163" i="7" s="1"/>
  <c r="M162" i="7"/>
  <c r="N162" i="7" s="1"/>
  <c r="M161" i="7"/>
  <c r="N161" i="7" s="1"/>
  <c r="M160" i="7"/>
  <c r="N160" i="7" s="1"/>
  <c r="M159" i="7"/>
  <c r="N159" i="7" s="1"/>
  <c r="M158" i="7"/>
  <c r="N158" i="7" s="1"/>
  <c r="M157" i="7"/>
  <c r="N157" i="7" s="1"/>
  <c r="M156" i="7"/>
  <c r="N156" i="7" s="1"/>
  <c r="M155" i="7"/>
  <c r="N155" i="7" s="1"/>
  <c r="M154" i="7"/>
  <c r="N154" i="7" s="1"/>
  <c r="M153" i="7"/>
  <c r="N153" i="7" s="1"/>
  <c r="M152" i="7"/>
  <c r="N152" i="7" s="1"/>
  <c r="M151" i="7"/>
  <c r="N151" i="7" s="1"/>
  <c r="M150" i="7"/>
  <c r="N150" i="7" s="1"/>
  <c r="M149" i="7"/>
  <c r="N149" i="7" s="1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N5" i="7" l="1"/>
  <c r="O5" i="7"/>
  <c r="O9" i="7"/>
  <c r="N9" i="7"/>
  <c r="O13" i="7"/>
  <c r="N13" i="7"/>
  <c r="O17" i="7"/>
  <c r="N17" i="7"/>
  <c r="O21" i="7"/>
  <c r="N21" i="7"/>
  <c r="O25" i="7"/>
  <c r="N25" i="7"/>
  <c r="O29" i="7"/>
  <c r="N29" i="7"/>
  <c r="O33" i="7"/>
  <c r="N33" i="7"/>
  <c r="O6" i="7"/>
  <c r="N6" i="7"/>
  <c r="O10" i="7"/>
  <c r="N10" i="7"/>
  <c r="O14" i="7"/>
  <c r="N14" i="7"/>
  <c r="O18" i="7"/>
  <c r="N18" i="7"/>
  <c r="O22" i="7"/>
  <c r="N22" i="7"/>
  <c r="O26" i="7"/>
  <c r="N26" i="7"/>
  <c r="O30" i="7"/>
  <c r="N30" i="7"/>
  <c r="O34" i="7"/>
  <c r="N34" i="7"/>
  <c r="O151" i="7"/>
  <c r="O155" i="7"/>
  <c r="O159" i="7"/>
  <c r="O163" i="7"/>
  <c r="O167" i="7"/>
  <c r="O171" i="7"/>
  <c r="O175" i="7"/>
  <c r="O179" i="7"/>
  <c r="O183" i="7"/>
  <c r="O187" i="7"/>
  <c r="O191" i="7"/>
  <c r="O195" i="7"/>
  <c r="O199" i="7"/>
  <c r="O203" i="7"/>
  <c r="O207" i="7"/>
  <c r="O211" i="7"/>
  <c r="O215" i="7"/>
  <c r="O219" i="7"/>
  <c r="O223" i="7"/>
  <c r="O227" i="7"/>
  <c r="O231" i="7"/>
  <c r="O235" i="7"/>
  <c r="O239" i="7"/>
  <c r="O243" i="7"/>
  <c r="O247" i="7"/>
  <c r="O251" i="7"/>
  <c r="O255" i="7"/>
  <c r="O259" i="7"/>
  <c r="O263" i="7"/>
  <c r="O267" i="7"/>
  <c r="O271" i="7"/>
  <c r="O275" i="7"/>
  <c r="O279" i="7"/>
  <c r="O283" i="7"/>
  <c r="O287" i="7"/>
  <c r="O291" i="7"/>
  <c r="O295" i="7"/>
  <c r="O299" i="7"/>
  <c r="O303" i="7"/>
  <c r="O307" i="7"/>
  <c r="O311" i="7"/>
  <c r="O315" i="7"/>
  <c r="O319" i="7"/>
  <c r="O323" i="7"/>
  <c r="O327" i="7"/>
  <c r="O331" i="7"/>
  <c r="O335" i="7"/>
  <c r="O339" i="7"/>
  <c r="O343" i="7"/>
  <c r="O347" i="7"/>
  <c r="O351" i="7"/>
  <c r="O355" i="7"/>
  <c r="O359" i="7"/>
  <c r="O363" i="7"/>
  <c r="O367" i="7"/>
  <c r="O371" i="7"/>
  <c r="O375" i="7"/>
  <c r="O379" i="7"/>
  <c r="O383" i="7"/>
  <c r="O387" i="7"/>
  <c r="O391" i="7"/>
  <c r="O395" i="7"/>
  <c r="O399" i="7"/>
  <c r="O403" i="7"/>
  <c r="O407" i="7"/>
  <c r="O411" i="7"/>
  <c r="O415" i="7"/>
  <c r="O419" i="7"/>
  <c r="O423" i="7"/>
  <c r="O427" i="7"/>
  <c r="O431" i="7"/>
  <c r="O435" i="7"/>
  <c r="O439" i="7"/>
  <c r="O443" i="7"/>
  <c r="O447" i="7"/>
  <c r="O451" i="7"/>
  <c r="O455" i="7"/>
  <c r="O459" i="7"/>
  <c r="O463" i="7"/>
  <c r="O467" i="7"/>
  <c r="O471" i="7"/>
  <c r="O475" i="7"/>
  <c r="O479" i="7"/>
  <c r="O483" i="7"/>
  <c r="O487" i="7"/>
  <c r="O491" i="7"/>
  <c r="O495" i="7"/>
  <c r="O499" i="7"/>
  <c r="O503" i="7"/>
  <c r="O507" i="7"/>
  <c r="O152" i="7"/>
  <c r="O156" i="7"/>
  <c r="O160" i="7"/>
  <c r="O164" i="7"/>
  <c r="O168" i="7"/>
  <c r="O172" i="7"/>
  <c r="O176" i="7"/>
  <c r="O180" i="7"/>
  <c r="O184" i="7"/>
  <c r="O188" i="7"/>
  <c r="O192" i="7"/>
  <c r="O196" i="7"/>
  <c r="O200" i="7"/>
  <c r="O204" i="7"/>
  <c r="O208" i="7"/>
  <c r="O212" i="7"/>
  <c r="O216" i="7"/>
  <c r="O220" i="7"/>
  <c r="O224" i="7"/>
  <c r="O228" i="7"/>
  <c r="O232" i="7"/>
  <c r="O236" i="7"/>
  <c r="O240" i="7"/>
  <c r="O244" i="7"/>
  <c r="O248" i="7"/>
  <c r="O252" i="7"/>
  <c r="O256" i="7"/>
  <c r="O260" i="7"/>
  <c r="O264" i="7"/>
  <c r="O268" i="7"/>
  <c r="O272" i="7"/>
  <c r="O276" i="7"/>
  <c r="O280" i="7"/>
  <c r="O284" i="7"/>
  <c r="O288" i="7"/>
  <c r="O292" i="7"/>
  <c r="O296" i="7"/>
  <c r="O300" i="7"/>
  <c r="O304" i="7"/>
  <c r="O308" i="7"/>
  <c r="O312" i="7"/>
  <c r="O316" i="7"/>
  <c r="O320" i="7"/>
  <c r="O324" i="7"/>
  <c r="O328" i="7"/>
  <c r="O332" i="7"/>
  <c r="O336" i="7"/>
  <c r="O340" i="7"/>
  <c r="O344" i="7"/>
  <c r="O348" i="7"/>
  <c r="O352" i="7"/>
  <c r="O356" i="7"/>
  <c r="O360" i="7"/>
  <c r="O364" i="7"/>
  <c r="O368" i="7"/>
  <c r="O372" i="7"/>
  <c r="O376" i="7"/>
  <c r="O380" i="7"/>
  <c r="O384" i="7"/>
  <c r="O388" i="7"/>
  <c r="O392" i="7"/>
  <c r="O396" i="7"/>
  <c r="O400" i="7"/>
  <c r="O404" i="7"/>
  <c r="O408" i="7"/>
  <c r="O412" i="7"/>
  <c r="O416" i="7"/>
  <c r="O420" i="7"/>
  <c r="O424" i="7"/>
  <c r="O428" i="7"/>
  <c r="O432" i="7"/>
  <c r="O436" i="7"/>
  <c r="O440" i="7"/>
  <c r="O444" i="7"/>
  <c r="O448" i="7"/>
  <c r="O452" i="7"/>
  <c r="O456" i="7"/>
  <c r="O460" i="7"/>
  <c r="O464" i="7"/>
  <c r="O468" i="7"/>
  <c r="O472" i="7"/>
  <c r="O476" i="7"/>
  <c r="O480" i="7"/>
  <c r="O484" i="7"/>
  <c r="O488" i="7"/>
  <c r="O492" i="7"/>
  <c r="O496" i="7"/>
  <c r="O500" i="7"/>
  <c r="O504" i="7"/>
  <c r="O508" i="7"/>
  <c r="N3" i="7"/>
  <c r="O3" i="7"/>
  <c r="O7" i="7"/>
  <c r="N7" i="7"/>
  <c r="O11" i="7"/>
  <c r="N11" i="7"/>
  <c r="O15" i="7"/>
  <c r="N15" i="7"/>
  <c r="O19" i="7"/>
  <c r="N19" i="7"/>
  <c r="O23" i="7"/>
  <c r="N23" i="7"/>
  <c r="O27" i="7"/>
  <c r="N27" i="7"/>
  <c r="O31" i="7"/>
  <c r="N31" i="7"/>
  <c r="N4" i="7"/>
  <c r="O4" i="7"/>
  <c r="O8" i="7"/>
  <c r="N8" i="7"/>
  <c r="O12" i="7"/>
  <c r="N12" i="7"/>
  <c r="O16" i="7"/>
  <c r="N16" i="7"/>
  <c r="O20" i="7"/>
  <c r="N20" i="7"/>
  <c r="O24" i="7"/>
  <c r="N24" i="7"/>
  <c r="O28" i="7"/>
  <c r="N28" i="7"/>
  <c r="O32" i="7"/>
  <c r="N32" i="7"/>
  <c r="O149" i="7"/>
  <c r="O153" i="7"/>
  <c r="O157" i="7"/>
  <c r="O161" i="7"/>
  <c r="O165" i="7"/>
  <c r="O169" i="7"/>
  <c r="O173" i="7"/>
  <c r="O177" i="7"/>
  <c r="O181" i="7"/>
  <c r="O185" i="7"/>
  <c r="O189" i="7"/>
  <c r="O193" i="7"/>
  <c r="O197" i="7"/>
  <c r="O201" i="7"/>
  <c r="O205" i="7"/>
  <c r="O209" i="7"/>
  <c r="O213" i="7"/>
  <c r="O217" i="7"/>
  <c r="O221" i="7"/>
  <c r="O225" i="7"/>
  <c r="O229" i="7"/>
  <c r="O233" i="7"/>
  <c r="O237" i="7"/>
  <c r="O241" i="7"/>
  <c r="O245" i="7"/>
  <c r="O249" i="7"/>
  <c r="O253" i="7"/>
  <c r="O257" i="7"/>
  <c r="O261" i="7"/>
  <c r="O265" i="7"/>
  <c r="O269" i="7"/>
  <c r="O273" i="7"/>
  <c r="O277" i="7"/>
  <c r="O281" i="7"/>
  <c r="O285" i="7"/>
  <c r="O289" i="7"/>
  <c r="O293" i="7"/>
  <c r="O297" i="7"/>
  <c r="O301" i="7"/>
  <c r="O305" i="7"/>
  <c r="O309" i="7"/>
  <c r="O313" i="7"/>
  <c r="O317" i="7"/>
  <c r="O321" i="7"/>
  <c r="O325" i="7"/>
  <c r="O329" i="7"/>
  <c r="O333" i="7"/>
  <c r="O337" i="7"/>
  <c r="O341" i="7"/>
  <c r="O345" i="7"/>
  <c r="O349" i="7"/>
  <c r="O353" i="7"/>
  <c r="O357" i="7"/>
  <c r="O361" i="7"/>
  <c r="O365" i="7"/>
  <c r="O369" i="7"/>
  <c r="O373" i="7"/>
  <c r="O377" i="7"/>
  <c r="O381" i="7"/>
  <c r="O385" i="7"/>
  <c r="O389" i="7"/>
  <c r="O393" i="7"/>
  <c r="O397" i="7"/>
  <c r="O401" i="7"/>
  <c r="O405" i="7"/>
  <c r="O409" i="7"/>
  <c r="O413" i="7"/>
  <c r="O417" i="7"/>
  <c r="O421" i="7"/>
  <c r="O425" i="7"/>
  <c r="O429" i="7"/>
  <c r="O433" i="7"/>
  <c r="O437" i="7"/>
  <c r="O441" i="7"/>
  <c r="O445" i="7"/>
  <c r="O449" i="7"/>
  <c r="O453" i="7"/>
  <c r="O457" i="7"/>
  <c r="O461" i="7"/>
  <c r="O465" i="7"/>
  <c r="O469" i="7"/>
  <c r="O473" i="7"/>
  <c r="O477" i="7"/>
  <c r="O481" i="7"/>
  <c r="O485" i="7"/>
  <c r="O489" i="7"/>
  <c r="O493" i="7"/>
  <c r="O497" i="7"/>
  <c r="O501" i="7"/>
  <c r="O505" i="7"/>
  <c r="O150" i="7"/>
  <c r="O154" i="7"/>
  <c r="O158" i="7"/>
  <c r="O162" i="7"/>
  <c r="O166" i="7"/>
  <c r="O170" i="7"/>
  <c r="O174" i="7"/>
  <c r="O178" i="7"/>
  <c r="O182" i="7"/>
  <c r="O186" i="7"/>
  <c r="O190" i="7"/>
  <c r="O194" i="7"/>
  <c r="O198" i="7"/>
  <c r="O202" i="7"/>
  <c r="O206" i="7"/>
  <c r="O210" i="7"/>
  <c r="O214" i="7"/>
  <c r="O218" i="7"/>
  <c r="O222" i="7"/>
  <c r="O226" i="7"/>
  <c r="O230" i="7"/>
  <c r="O234" i="7"/>
  <c r="O238" i="7"/>
  <c r="O242" i="7"/>
  <c r="O246" i="7"/>
  <c r="O250" i="7"/>
  <c r="O254" i="7"/>
  <c r="O258" i="7"/>
  <c r="O262" i="7"/>
  <c r="O266" i="7"/>
  <c r="O270" i="7"/>
  <c r="O274" i="7"/>
  <c r="O278" i="7"/>
  <c r="O282" i="7"/>
  <c r="O286" i="7"/>
  <c r="O290" i="7"/>
  <c r="O294" i="7"/>
  <c r="O298" i="7"/>
  <c r="O302" i="7"/>
  <c r="O306" i="7"/>
  <c r="O310" i="7"/>
  <c r="O314" i="7"/>
  <c r="O318" i="7"/>
  <c r="O322" i="7"/>
  <c r="O326" i="7"/>
  <c r="O330" i="7"/>
  <c r="O334" i="7"/>
  <c r="O338" i="7"/>
  <c r="O342" i="7"/>
  <c r="O346" i="7"/>
  <c r="O350" i="7"/>
  <c r="O354" i="7"/>
  <c r="O358" i="7"/>
  <c r="O362" i="7"/>
  <c r="O366" i="7"/>
  <c r="O370" i="7"/>
  <c r="O374" i="7"/>
  <c r="O378" i="7"/>
  <c r="O382" i="7"/>
  <c r="O386" i="7"/>
  <c r="O390" i="7"/>
  <c r="O394" i="7"/>
  <c r="O398" i="7"/>
  <c r="O402" i="7"/>
  <c r="O406" i="7"/>
  <c r="O410" i="7"/>
  <c r="O414" i="7"/>
  <c r="O418" i="7"/>
  <c r="O422" i="7"/>
  <c r="O426" i="7"/>
  <c r="O430" i="7"/>
  <c r="O434" i="7"/>
  <c r="O438" i="7"/>
  <c r="O442" i="7"/>
  <c r="O446" i="7"/>
  <c r="O450" i="7"/>
  <c r="O454" i="7"/>
  <c r="O458" i="7"/>
  <c r="O462" i="7"/>
  <c r="O466" i="7"/>
  <c r="O470" i="7"/>
  <c r="O474" i="7"/>
  <c r="O478" i="7"/>
  <c r="O482" i="7"/>
  <c r="O486" i="7"/>
  <c r="O490" i="7"/>
  <c r="O494" i="7"/>
  <c r="O498" i="7"/>
  <c r="O502" i="7"/>
  <c r="O506" i="7"/>
  <c r="N147" i="7"/>
  <c r="O147" i="7"/>
  <c r="O144" i="7"/>
  <c r="N144" i="7"/>
  <c r="O148" i="7"/>
  <c r="N148" i="7"/>
  <c r="N140" i="7"/>
  <c r="O140" i="7"/>
  <c r="N141" i="7"/>
  <c r="O141" i="7"/>
  <c r="N145" i="7"/>
  <c r="O145" i="7"/>
  <c r="N143" i="7"/>
  <c r="O143" i="7"/>
  <c r="O142" i="7"/>
  <c r="N142" i="7"/>
  <c r="N146" i="7"/>
  <c r="O146" i="7"/>
  <c r="N139" i="7"/>
  <c r="O139" i="7"/>
  <c r="N136" i="7"/>
  <c r="O136" i="7"/>
  <c r="O135" i="7"/>
  <c r="N135" i="7"/>
  <c r="O137" i="7"/>
  <c r="N137" i="7"/>
  <c r="N138" i="7"/>
  <c r="O138" i="7"/>
  <c r="N115" i="7"/>
  <c r="O115" i="7"/>
  <c r="N123" i="7"/>
  <c r="O123" i="7"/>
  <c r="N131" i="7"/>
  <c r="O131" i="7"/>
  <c r="O116" i="7"/>
  <c r="N116" i="7"/>
  <c r="N120" i="7"/>
  <c r="O120" i="7"/>
  <c r="O124" i="7"/>
  <c r="N124" i="7"/>
  <c r="O128" i="7"/>
  <c r="N128" i="7"/>
  <c r="O132" i="7"/>
  <c r="N132" i="7"/>
  <c r="N125" i="7"/>
  <c r="O125" i="7"/>
  <c r="N129" i="7"/>
  <c r="O129" i="7"/>
  <c r="N133" i="7"/>
  <c r="O133" i="7"/>
  <c r="N119" i="7"/>
  <c r="O119" i="7"/>
  <c r="N127" i="7"/>
  <c r="O127" i="7"/>
  <c r="N117" i="7"/>
  <c r="O117" i="7"/>
  <c r="N121" i="7"/>
  <c r="O121" i="7"/>
  <c r="N114" i="7"/>
  <c r="O114" i="7"/>
  <c r="O118" i="7"/>
  <c r="N118" i="7"/>
  <c r="O122" i="7"/>
  <c r="N122" i="7"/>
  <c r="N126" i="7"/>
  <c r="O126" i="7"/>
  <c r="N130" i="7"/>
  <c r="O130" i="7"/>
  <c r="O134" i="7"/>
  <c r="N134" i="7"/>
  <c r="N107" i="7"/>
  <c r="O107" i="7"/>
  <c r="N111" i="7"/>
  <c r="O111" i="7"/>
  <c r="O112" i="7"/>
  <c r="N112" i="7"/>
  <c r="N103" i="7"/>
  <c r="O103" i="7"/>
  <c r="N108" i="7"/>
  <c r="O108" i="7"/>
  <c r="N105" i="7"/>
  <c r="O105" i="7"/>
  <c r="N109" i="7"/>
  <c r="O109" i="7"/>
  <c r="N104" i="7"/>
  <c r="O104" i="7"/>
  <c r="N102" i="7"/>
  <c r="O102" i="7"/>
  <c r="N106" i="7"/>
  <c r="O106" i="7"/>
  <c r="O110" i="7"/>
  <c r="N110" i="7"/>
  <c r="O87" i="7"/>
  <c r="N87" i="7"/>
  <c r="O95" i="7"/>
  <c r="N95" i="7"/>
  <c r="N80" i="7"/>
  <c r="O80" i="7"/>
  <c r="N88" i="7"/>
  <c r="O88" i="7"/>
  <c r="N96" i="7"/>
  <c r="O96" i="7"/>
  <c r="O81" i="7"/>
  <c r="N81" i="7"/>
  <c r="O85" i="7"/>
  <c r="N85" i="7"/>
  <c r="O89" i="7"/>
  <c r="N89" i="7"/>
  <c r="O93" i="7"/>
  <c r="N93" i="7"/>
  <c r="O97" i="7"/>
  <c r="N97" i="7"/>
  <c r="O101" i="7"/>
  <c r="N101" i="7"/>
  <c r="O83" i="7"/>
  <c r="N83" i="7"/>
  <c r="O91" i="7"/>
  <c r="N91" i="7"/>
  <c r="O99" i="7"/>
  <c r="N99" i="7"/>
  <c r="N84" i="7"/>
  <c r="O84" i="7"/>
  <c r="N92" i="7"/>
  <c r="O92" i="7"/>
  <c r="N100" i="7"/>
  <c r="O100" i="7"/>
  <c r="N82" i="7"/>
  <c r="O82" i="7"/>
  <c r="N86" i="7"/>
  <c r="O86" i="7"/>
  <c r="N90" i="7"/>
  <c r="O90" i="7"/>
  <c r="N94" i="7"/>
  <c r="O94" i="7"/>
  <c r="N98" i="7"/>
  <c r="O98" i="7"/>
  <c r="N76" i="7"/>
  <c r="O76" i="7"/>
  <c r="N71" i="7"/>
  <c r="O71" i="7"/>
  <c r="N75" i="7"/>
  <c r="O75" i="7"/>
  <c r="N72" i="7"/>
  <c r="O72" i="7"/>
  <c r="N69" i="7"/>
  <c r="O69" i="7"/>
  <c r="N73" i="7"/>
  <c r="O73" i="7"/>
  <c r="N77" i="7"/>
  <c r="O77" i="7"/>
  <c r="N67" i="7"/>
  <c r="O67" i="7"/>
  <c r="N79" i="7"/>
  <c r="O79" i="7"/>
  <c r="N68" i="7"/>
  <c r="O68" i="7"/>
  <c r="N70" i="7"/>
  <c r="O70" i="7"/>
  <c r="N74" i="7"/>
  <c r="O74" i="7"/>
  <c r="N78" i="7"/>
  <c r="O78" i="7"/>
  <c r="N43" i="7"/>
  <c r="O43" i="7"/>
  <c r="N51" i="7"/>
  <c r="O51" i="7"/>
  <c r="N63" i="7"/>
  <c r="O63" i="7"/>
  <c r="N36" i="7"/>
  <c r="O36" i="7"/>
  <c r="N40" i="7"/>
  <c r="O40" i="7"/>
  <c r="N44" i="7"/>
  <c r="O44" i="7"/>
  <c r="N48" i="7"/>
  <c r="O48" i="7"/>
  <c r="N52" i="7"/>
  <c r="O52" i="7"/>
  <c r="N56" i="7"/>
  <c r="O56" i="7"/>
  <c r="N60" i="7"/>
  <c r="O60" i="7"/>
  <c r="N64" i="7"/>
  <c r="O64" i="7"/>
  <c r="N35" i="7"/>
  <c r="O35" i="7"/>
  <c r="N47" i="7"/>
  <c r="O47" i="7"/>
  <c r="N59" i="7"/>
  <c r="O59" i="7"/>
  <c r="N37" i="7"/>
  <c r="O37" i="7"/>
  <c r="N41" i="7"/>
  <c r="O41" i="7"/>
  <c r="N45" i="7"/>
  <c r="O45" i="7"/>
  <c r="N49" i="7"/>
  <c r="O49" i="7"/>
  <c r="N53" i="7"/>
  <c r="O53" i="7"/>
  <c r="N57" i="7"/>
  <c r="O57" i="7"/>
  <c r="N61" i="7"/>
  <c r="O61" i="7"/>
  <c r="N65" i="7"/>
  <c r="O65" i="7"/>
  <c r="N39" i="7"/>
  <c r="O39" i="7"/>
  <c r="N55" i="7"/>
  <c r="O55" i="7"/>
  <c r="N38" i="7"/>
  <c r="O38" i="7"/>
  <c r="N42" i="7"/>
  <c r="O42" i="7"/>
  <c r="N46" i="7"/>
  <c r="O46" i="7"/>
  <c r="N50" i="7"/>
  <c r="O50" i="7"/>
  <c r="N54" i="7"/>
  <c r="O54" i="7"/>
  <c r="N58" i="7"/>
  <c r="O58" i="7"/>
  <c r="N62" i="7"/>
  <c r="O62" i="7"/>
  <c r="N66" i="7"/>
  <c r="O66" i="7"/>
  <c r="G236" i="4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I234" i="4" l="1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460" i="4"/>
  <c r="I461" i="4"/>
  <c r="I233" i="4"/>
  <c r="H227" i="4"/>
  <c r="H189" i="4" l="1"/>
  <c r="H5" i="4"/>
  <c r="H3" i="4"/>
  <c r="H179" i="4"/>
  <c r="H180" i="4"/>
  <c r="H181" i="4"/>
  <c r="H182" i="4"/>
  <c r="H183" i="4"/>
  <c r="H184" i="4"/>
  <c r="H185" i="4"/>
  <c r="H186" i="4"/>
  <c r="H187" i="4"/>
  <c r="H188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460" i="4"/>
  <c r="H461" i="4"/>
  <c r="H462" i="4"/>
  <c r="H4" i="4"/>
  <c r="H6" i="4"/>
  <c r="H7" i="4" l="1"/>
  <c r="H2" i="4"/>
  <c r="H190" i="4" l="1"/>
  <c r="H8" i="4"/>
  <c r="H192" i="4" l="1"/>
  <c r="H191" i="4"/>
  <c r="H9" i="4"/>
  <c r="H10" i="4" l="1"/>
  <c r="H11" i="4" l="1"/>
  <c r="H12" i="4" l="1"/>
  <c r="H13" i="4" l="1"/>
  <c r="H14" i="4" l="1"/>
  <c r="H15" i="4" l="1"/>
  <c r="H16" i="4" l="1"/>
  <c r="H17" i="4" l="1"/>
  <c r="H18" i="4" l="1"/>
  <c r="H19" i="4" l="1"/>
  <c r="H20" i="4" l="1"/>
  <c r="H21" i="4" l="1"/>
  <c r="H22" i="4" l="1"/>
  <c r="H23" i="4" l="1"/>
  <c r="H24" i="4" l="1"/>
  <c r="H25" i="4" l="1"/>
  <c r="H26" i="4" l="1"/>
  <c r="H27" i="4" l="1"/>
  <c r="H28" i="4" l="1"/>
  <c r="H29" i="4" l="1"/>
  <c r="H30" i="4" l="1"/>
  <c r="H31" i="4" l="1"/>
  <c r="H32" i="4" l="1"/>
  <c r="H33" i="4" l="1"/>
  <c r="H34" i="4" l="1"/>
  <c r="H35" i="4" l="1"/>
  <c r="H36" i="4" l="1"/>
  <c r="H37" i="4" l="1"/>
  <c r="H38" i="4" l="1"/>
  <c r="H39" i="4" l="1"/>
  <c r="H40" i="4" l="1"/>
  <c r="H41" i="4" l="1"/>
  <c r="H42" i="4" l="1"/>
  <c r="H43" i="4" l="1"/>
  <c r="H44" i="4" l="1"/>
  <c r="H45" i="4" l="1"/>
  <c r="H46" i="4" l="1"/>
  <c r="H47" i="4" l="1"/>
  <c r="H48" i="4" l="1"/>
  <c r="H49" i="4" l="1"/>
  <c r="H50" i="4" l="1"/>
  <c r="H51" i="4" l="1"/>
  <c r="H52" i="4" l="1"/>
  <c r="H53" i="4" l="1"/>
  <c r="H54" i="4" l="1"/>
  <c r="H55" i="4" l="1"/>
  <c r="H56" i="4" l="1"/>
  <c r="H57" i="4" l="1"/>
  <c r="H58" i="4" l="1"/>
  <c r="H59" i="4" l="1"/>
  <c r="H60" i="4" l="1"/>
  <c r="H61" i="4" l="1"/>
  <c r="H62" i="4" l="1"/>
  <c r="H63" i="4" l="1"/>
  <c r="H64" i="4" l="1"/>
  <c r="H65" i="4" l="1"/>
  <c r="H66" i="4" l="1"/>
  <c r="H67" i="4" l="1"/>
  <c r="H68" i="4" l="1"/>
  <c r="H69" i="4" l="1"/>
  <c r="H70" i="4" l="1"/>
  <c r="H71" i="4" l="1"/>
  <c r="H72" i="4" l="1"/>
  <c r="H73" i="4" l="1"/>
  <c r="H74" i="4" l="1"/>
  <c r="H75" i="4" l="1"/>
  <c r="H76" i="4" l="1"/>
  <c r="H77" i="4" l="1"/>
  <c r="H78" i="4" l="1"/>
  <c r="H79" i="4" l="1"/>
  <c r="H80" i="4" l="1"/>
  <c r="H81" i="4" l="1"/>
  <c r="H82" i="4" l="1"/>
  <c r="H83" i="4" l="1"/>
  <c r="H84" i="4" l="1"/>
  <c r="H85" i="4" l="1"/>
  <c r="H86" i="4" l="1"/>
  <c r="H87" i="4" l="1"/>
  <c r="H88" i="4" l="1"/>
  <c r="H89" i="4" l="1"/>
  <c r="H90" i="4" l="1"/>
  <c r="H91" i="4" l="1"/>
  <c r="H92" i="4" l="1"/>
  <c r="H93" i="4" l="1"/>
  <c r="H94" i="4" l="1"/>
  <c r="H95" i="4" l="1"/>
  <c r="H96" i="4" l="1"/>
  <c r="H97" i="4" l="1"/>
  <c r="H98" i="4" l="1"/>
  <c r="H99" i="4" l="1"/>
  <c r="H100" i="4" l="1"/>
  <c r="H101" i="4" l="1"/>
  <c r="H102" i="4" l="1"/>
  <c r="H103" i="4" l="1"/>
  <c r="H104" i="4" l="1"/>
  <c r="H105" i="4" l="1"/>
  <c r="H106" i="4" l="1"/>
  <c r="H107" i="4" l="1"/>
  <c r="H108" i="4" l="1"/>
  <c r="H109" i="4" l="1"/>
  <c r="H110" i="4" l="1"/>
  <c r="H111" i="4" l="1"/>
  <c r="H112" i="4" l="1"/>
  <c r="H113" i="4" l="1"/>
  <c r="H114" i="4" l="1"/>
  <c r="H115" i="4" l="1"/>
  <c r="H116" i="4" l="1"/>
  <c r="H117" i="4" l="1"/>
  <c r="H118" i="4" l="1"/>
  <c r="H119" i="4" l="1"/>
  <c r="H120" i="4" l="1"/>
  <c r="H121" i="4" l="1"/>
  <c r="H122" i="4" l="1"/>
  <c r="H123" i="4" l="1"/>
  <c r="H124" i="4" l="1"/>
  <c r="H125" i="4" l="1"/>
  <c r="H126" i="4" l="1"/>
  <c r="H127" i="4" l="1"/>
  <c r="H128" i="4" l="1"/>
  <c r="H129" i="4" l="1"/>
  <c r="H130" i="4" l="1"/>
  <c r="H131" i="4" l="1"/>
  <c r="H132" i="4" l="1"/>
  <c r="H133" i="4" l="1"/>
  <c r="H134" i="4" l="1"/>
  <c r="H135" i="4" l="1"/>
  <c r="H136" i="4" l="1"/>
  <c r="H137" i="4" l="1"/>
  <c r="H138" i="4" l="1"/>
  <c r="H139" i="4" l="1"/>
  <c r="H140" i="4" l="1"/>
  <c r="H141" i="4" l="1"/>
  <c r="H142" i="4" l="1"/>
  <c r="H143" i="4" l="1"/>
  <c r="H144" i="4" l="1"/>
  <c r="H145" i="4" l="1"/>
  <c r="H146" i="4" l="1"/>
  <c r="H147" i="4" l="1"/>
  <c r="H148" i="4" l="1"/>
  <c r="H149" i="4" l="1"/>
  <c r="H150" i="4" l="1"/>
  <c r="H151" i="4" l="1"/>
  <c r="H152" i="4" l="1"/>
  <c r="H153" i="4" l="1"/>
  <c r="H154" i="4" l="1"/>
  <c r="H155" i="4" l="1"/>
  <c r="H156" i="4" l="1"/>
  <c r="H157" i="4" l="1"/>
  <c r="H158" i="4" l="1"/>
  <c r="H159" i="4" l="1"/>
  <c r="H160" i="4" l="1"/>
  <c r="H161" i="4" l="1"/>
  <c r="H162" i="4" l="1"/>
  <c r="H163" i="4" l="1"/>
  <c r="H164" i="4" l="1"/>
  <c r="H165" i="4" l="1"/>
  <c r="H166" i="4" l="1"/>
  <c r="H167" i="4" l="1"/>
  <c r="H168" i="4" l="1"/>
  <c r="H169" i="4" l="1"/>
  <c r="H170" i="4" l="1"/>
  <c r="H171" i="4" l="1"/>
  <c r="H172" i="4" l="1"/>
  <c r="H173" i="4" l="1"/>
  <c r="H174" i="4" l="1"/>
  <c r="H175" i="4" l="1"/>
  <c r="H176" i="4" l="1"/>
  <c r="H177" i="4" l="1"/>
  <c r="H17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AFC Renovables</author>
  </authors>
  <commentList>
    <comment ref="K8" authorId="0" shapeId="0" xr:uid="{5CD5EBC1-1A84-4E91-88DA-C901C42D2582}">
      <text>
        <r>
          <rPr>
            <b/>
            <sz val="9"/>
            <color indexed="81"/>
            <rFont val="Tahoma"/>
            <family val="2"/>
          </rPr>
          <t>AFC Renovables:</t>
        </r>
        <r>
          <rPr>
            <sz val="9"/>
            <color indexed="81"/>
            <rFont val="Tahoma"/>
            <family val="2"/>
          </rPr>
          <t xml:space="preserve">
1 insidencias
11 fisicas</t>
        </r>
      </text>
    </comment>
    <comment ref="K12" authorId="0" shapeId="0" xr:uid="{73E24048-5EC4-48B5-83C0-1784B99DDA85}">
      <text>
        <r>
          <rPr>
            <b/>
            <sz val="9"/>
            <color indexed="81"/>
            <rFont val="Tahoma"/>
            <family val="2"/>
          </rPr>
          <t>AFC Renovables:</t>
        </r>
        <r>
          <rPr>
            <sz val="9"/>
            <color indexed="81"/>
            <rFont val="Tahoma"/>
            <family val="2"/>
          </rPr>
          <t xml:space="preserve">
4 insidencias
4 fisica</t>
        </r>
      </text>
    </comment>
  </commentList>
</comments>
</file>

<file path=xl/sharedStrings.xml><?xml version="1.0" encoding="utf-8"?>
<sst xmlns="http://schemas.openxmlformats.org/spreadsheetml/2006/main" count="8697" uniqueCount="842">
  <si>
    <t>GRUPO</t>
  </si>
  <si>
    <t>ELEMENTO</t>
  </si>
  <si>
    <t>ITEM</t>
  </si>
  <si>
    <t>CONCATENADO</t>
  </si>
  <si>
    <t>DESCRIPCION</t>
  </si>
  <si>
    <t>UND MEDIDA</t>
  </si>
  <si>
    <t>PROVEEDOR</t>
  </si>
  <si>
    <t>X</t>
  </si>
  <si>
    <t>UND</t>
  </si>
  <si>
    <t>LINEA</t>
  </si>
  <si>
    <t>CAUCHO</t>
  </si>
  <si>
    <t>HILO</t>
  </si>
  <si>
    <t>GALVANIZADO</t>
  </si>
  <si>
    <t>COBRE</t>
  </si>
  <si>
    <t>ACERO</t>
  </si>
  <si>
    <t>EQUIPOS</t>
  </si>
  <si>
    <t>ACERO GALVALIZADO</t>
  </si>
  <si>
    <t>ALUMINIO</t>
  </si>
  <si>
    <t>HIERRO</t>
  </si>
  <si>
    <t>CODO</t>
  </si>
  <si>
    <t>TUBO</t>
  </si>
  <si>
    <t>TE</t>
  </si>
  <si>
    <t>PVC</t>
  </si>
  <si>
    <t>ABRAZADERA</t>
  </si>
  <si>
    <t>SOMBRERETE</t>
  </si>
  <si>
    <t>DEFLECTOR</t>
  </si>
  <si>
    <t>COLECTOR</t>
  </si>
  <si>
    <t>ROSETON</t>
  </si>
  <si>
    <t>TERMINAL ANTILLUVIA</t>
  </si>
  <si>
    <t>VALVULA</t>
  </si>
  <si>
    <t>REDUCCION</t>
  </si>
  <si>
    <t>EMBELLECEDOR</t>
  </si>
  <si>
    <t>KIT</t>
  </si>
  <si>
    <t>PERFIL</t>
  </si>
  <si>
    <t>BARRA</t>
  </si>
  <si>
    <t>ENSAMBLE</t>
  </si>
  <si>
    <t>ANGULO</t>
  </si>
  <si>
    <t>LAMINA</t>
  </si>
  <si>
    <t>TAPA</t>
  </si>
  <si>
    <t>ESTUFA</t>
  </si>
  <si>
    <t>12 KW CALEFACCION</t>
  </si>
  <si>
    <t>9 KW CALEFACCION</t>
  </si>
  <si>
    <t>G</t>
  </si>
  <si>
    <t>E</t>
  </si>
  <si>
    <t>I</t>
  </si>
  <si>
    <t>CONCATENAR</t>
  </si>
  <si>
    <t>PLACA SOLAR</t>
  </si>
  <si>
    <t>PROVEEDOR PRIMARIO</t>
  </si>
  <si>
    <t>PROVEEDOR SECUNDARIO</t>
  </si>
  <si>
    <t>AFC RENOVABLES</t>
  </si>
  <si>
    <t>PLASTICO</t>
  </si>
  <si>
    <t>TACO BRIDA</t>
  </si>
  <si>
    <t>TACO BRIDA BLANCO</t>
  </si>
  <si>
    <t>TACO BRIDA NEGRO</t>
  </si>
  <si>
    <t>TACO P/BRIDA BLANCO</t>
  </si>
  <si>
    <t>RECA</t>
  </si>
  <si>
    <t>TACO P/BRIDA NEGRO</t>
  </si>
  <si>
    <t>BRIDA</t>
  </si>
  <si>
    <t>BRIDA P/INTERIOR BLANCA</t>
  </si>
  <si>
    <t>BRIDA P/INTERIOR NEGRA</t>
  </si>
  <si>
    <t>BRIDA P/EXTERIOR NEGRA</t>
  </si>
  <si>
    <t>CINTA</t>
  </si>
  <si>
    <t>CINTA BLANCA AISLANTE PVC 19MM</t>
  </si>
  <si>
    <t>CINTA NEGRA AISLANTE PVC 19MM</t>
  </si>
  <si>
    <t>CINTA BLANCA AISLANTE PVC 50MM</t>
  </si>
  <si>
    <t>CINTA NEGRA AISLANTE PVC 50MM</t>
  </si>
  <si>
    <t>CINTA VERDE AMARILLA AISLANTE PVC 19MM</t>
  </si>
  <si>
    <t>CINTA ROJA AISLANTE PVC 19MM</t>
  </si>
  <si>
    <t>CINTA AZUL AISLANTE PVC 19MM</t>
  </si>
  <si>
    <t xml:space="preserve">CINTA ACERO PERFORADA PARA MONTAJE </t>
  </si>
  <si>
    <t>FIBRA</t>
  </si>
  <si>
    <t>DISCO</t>
  </si>
  <si>
    <t>DISCO CORTE ACERO/INOX A1 2EN1</t>
  </si>
  <si>
    <t>ANCLAJE</t>
  </si>
  <si>
    <t>WURTH</t>
  </si>
  <si>
    <t>METALICO</t>
  </si>
  <si>
    <t>ANCLAJE PLASTICO ROSCADO PARA CARTON Y PLADUR TIPO K (WURTH)</t>
  </si>
  <si>
    <t>ANCLAJE METALICO ROSCADO PARA PLADUR TIPO K (WURTH)</t>
  </si>
  <si>
    <t>ESTACION DE CARGA</t>
  </si>
  <si>
    <t>ESTACION DE CARGA THOR O7AS-P-V1 GROWATT</t>
  </si>
  <si>
    <t>GROWATT</t>
  </si>
  <si>
    <t>TORNILLO</t>
  </si>
  <si>
    <t>TORNILLO C/AVELLANADA CON R/COMPLETA PARA AGLOMERADO/MADERA X40</t>
  </si>
  <si>
    <t>TORNILLO C/AVELLANADA CON R/COMPLETA PARA AGLOMERADO/MADERA X50</t>
  </si>
  <si>
    <t>TORNILLO C/AVELLANADA CON R/PARCIAL PARA AGLOMERADO/MADERA X70</t>
  </si>
  <si>
    <t>ARANDELA</t>
  </si>
  <si>
    <t>ARANDELA A/GALVANIZADO 6.4X18X1.5</t>
  </si>
  <si>
    <t>ARANDELA A/GALVANIZADO 8.4X20X1.25</t>
  </si>
  <si>
    <t>TORNILLO FIJACION FUERTE C/HEZAGONAL R/COMPLETA M-8 X70</t>
  </si>
  <si>
    <r>
      <t xml:space="preserve">ARGOLLA  A/GALVANIZADO R/PARCIAL </t>
    </r>
    <r>
      <rPr>
        <sz val="11"/>
        <color theme="1"/>
        <rFont val="Calibri"/>
        <family val="2"/>
      </rPr>
      <t>Ꝋ</t>
    </r>
    <r>
      <rPr>
        <sz val="9.35"/>
        <color theme="1"/>
        <rFont val="Calibri"/>
        <family val="2"/>
      </rPr>
      <t>23 12X190</t>
    </r>
  </si>
  <si>
    <t>ARGOLLA</t>
  </si>
  <si>
    <t>ARGOLLA  A/GALVANIZADO R/PARCIAL Ꝋ23 12X190</t>
  </si>
  <si>
    <t>TORNILLO A/GALVANIZADO CON C/HEZAGONAL, R/COMPLETA, C/ARANDELA Y AUTOTALADRANTE 6.3X90</t>
  </si>
  <si>
    <t>TORNILLO A/GALVANIZADO CON C/HEZAGONAL, R/COMPLETA, C/ARANDELA Y AUTOTALADRANTE 6.3X50</t>
  </si>
  <si>
    <t>ABRAZADERA EN U C/TUERCA HEZAGONAL</t>
  </si>
  <si>
    <t>PERRILLO PAR CABLE Nª 6/8mm 25x30 A/GALVANIZADO Y T/HEZAGONAL</t>
  </si>
  <si>
    <t>PERRILLO</t>
  </si>
  <si>
    <t>TORNILLO A/INOX CABEZA CILINDRICA ALLEN M8X35mm</t>
  </si>
  <si>
    <t>ACERO INOXIDABLE</t>
  </si>
  <si>
    <t>TORNILLO A/INOX CABEZA CILINDRICA ALLEN M8X30mm</t>
  </si>
  <si>
    <t>ESTUFA CALEFACCION 9 KW</t>
  </si>
  <si>
    <t>ESTUFA CALEFACCION 12 KW</t>
  </si>
  <si>
    <t>CABLE</t>
  </si>
  <si>
    <t>CABLE Nª 6 MARRON</t>
  </si>
  <si>
    <t>CABLE Nª 6 GRIS</t>
  </si>
  <si>
    <t>CABLE Nª 6 VERDE/AMARILLO</t>
  </si>
  <si>
    <t>CABLE Nª 6 AZUL</t>
  </si>
  <si>
    <t>CABLE Nª 6 NEGRO</t>
  </si>
  <si>
    <t>MT</t>
  </si>
  <si>
    <t>BELTRAN Y CRIADO</t>
  </si>
  <si>
    <t>CABLE Nª 16 MARRON</t>
  </si>
  <si>
    <t>CABLE Nª 16 NEGRO</t>
  </si>
  <si>
    <t>CABLE Nª 16 AZUL</t>
  </si>
  <si>
    <t>CABLE Nª 16 GRIS</t>
  </si>
  <si>
    <t>CABLE Nª 10 VERDE/AMARILLO</t>
  </si>
  <si>
    <t>CABLE Nª 10 MARRON</t>
  </si>
  <si>
    <t>CABLE Nª 10 GRIS</t>
  </si>
  <si>
    <t>CABLE Nª 10 AZUL</t>
  </si>
  <si>
    <t>CABLE Nª 10 NEGRO</t>
  </si>
  <si>
    <t>CURVA PVC M-25 GRIS TIPO A</t>
  </si>
  <si>
    <t>CURVA PVC M-25 GRIS TIPO B</t>
  </si>
  <si>
    <t>CURVA</t>
  </si>
  <si>
    <t>CURVA PVC M-40 GRIS</t>
  </si>
  <si>
    <t>OPTIMIZADOR</t>
  </si>
  <si>
    <t>OPTIMIZADOR SUN2000P-375W</t>
  </si>
  <si>
    <t>ELECTRICO</t>
  </si>
  <si>
    <t>N/A</t>
  </si>
  <si>
    <t>MICRORAIL</t>
  </si>
  <si>
    <t>MICRORAIL 2X30 PERFORADO</t>
  </si>
  <si>
    <t>ESTRUSUR SOLAR</t>
  </si>
  <si>
    <t>INVERSOR</t>
  </si>
  <si>
    <t>INVERSOR M-5K-64-PAR- A MARCA ROHS COMPLIANT</t>
  </si>
  <si>
    <t>INVERSOR AXPERT MK5-3K-24V-PLUS MARCA ROHS COMPLIANT</t>
  </si>
  <si>
    <t>INVERSOR VICTROM ENERGY MULTIPLUS 24/3000/70-16-230V</t>
  </si>
  <si>
    <t>VICTROM ENERGY</t>
  </si>
  <si>
    <t>CONTROLADOR</t>
  </si>
  <si>
    <t>CONTROLADOR SMART SOLAR MPPT 250/100-TR VICTROM ENERGY</t>
  </si>
  <si>
    <t>SOPORTE CENTRAL NEGRO</t>
  </si>
  <si>
    <t>SOPORTE</t>
  </si>
  <si>
    <t>PLACA</t>
  </si>
  <si>
    <t>PLACA SOLAR EX-275P-60 275W / 31.50V</t>
  </si>
  <si>
    <t>PLACA SOLAR CSP-6P-345W / 38.3C</t>
  </si>
  <si>
    <t>PLACA SOLAR CS6L-450MS 450W / 34.4V</t>
  </si>
  <si>
    <t>PLACA SOLAR JAM66S30-505MR 505W / 45.72V</t>
  </si>
  <si>
    <t>PLACA SOLAR CS6.1-60TB-505 505W / 43.4V</t>
  </si>
  <si>
    <t>PLACA SOLAR SPR-P3-375-BLK-E4-AC 375W / 35.5V</t>
  </si>
  <si>
    <t>PLACA SOLAR JAMS0D42-520LB 520W / 43.53V</t>
  </si>
  <si>
    <t>PLACA SOLAR JAM72D30-545MB 545W / 49.75V</t>
  </si>
  <si>
    <t>PLACA SOLAR PS555M6H-24TH 555W / 41.64V</t>
  </si>
  <si>
    <t>PLACA SOLAR CS6W-585T 585W / 52.4V</t>
  </si>
  <si>
    <t>PLACA SOLAR YL550D-49e 1500V 1/2 550W / 42.0V</t>
  </si>
  <si>
    <t>PLACA SOLAR SK9612MHVC-550 550W / 42.16V</t>
  </si>
  <si>
    <t>PLACA SOLAR JAM72D40-590MB 590W / 52.37V</t>
  </si>
  <si>
    <t>PLACA SOLAR TSM-505DE18M.08(II) 505W / 43.0V</t>
  </si>
  <si>
    <t>PLACA SOLAR JAM60D42-535LB 535W / 44.13V</t>
  </si>
  <si>
    <t>PLACA SOLAR TSM-505NEG 18R.28 505W / 33.5V</t>
  </si>
  <si>
    <t>PLACA SOLAR JAM72S30-570LR 570W / 50.68V</t>
  </si>
  <si>
    <t>SUNPOWER</t>
  </si>
  <si>
    <t>JASOLAR</t>
  </si>
  <si>
    <t>PHONO</t>
  </si>
  <si>
    <t>CANADIANSOLAR</t>
  </si>
  <si>
    <t>YINGLI SOLAR</t>
  </si>
  <si>
    <t>AKCOME</t>
  </si>
  <si>
    <t>TRINASOLAR</t>
  </si>
  <si>
    <t>EXIOM SOLUTION SA</t>
  </si>
  <si>
    <t>CRADY SOLAR</t>
  </si>
  <si>
    <t>13-21-180</t>
  </si>
  <si>
    <t>13-21-181</t>
  </si>
  <si>
    <t>13-22-182</t>
  </si>
  <si>
    <t>13-22-183</t>
  </si>
  <si>
    <t>13-22-184</t>
  </si>
  <si>
    <t>13-23-185</t>
  </si>
  <si>
    <t>13-23-186</t>
  </si>
  <si>
    <t>13-23-187</t>
  </si>
  <si>
    <t>13-23-188</t>
  </si>
  <si>
    <t>13-23-189</t>
  </si>
  <si>
    <t>13-23-190</t>
  </si>
  <si>
    <t>13-23-191</t>
  </si>
  <si>
    <t>6-23-192</t>
  </si>
  <si>
    <t>14-24-193</t>
  </si>
  <si>
    <t>13-25-194</t>
  </si>
  <si>
    <t>15-25-195</t>
  </si>
  <si>
    <t>7-26-196</t>
  </si>
  <si>
    <t>4-27-197</t>
  </si>
  <si>
    <t>4-27-198</t>
  </si>
  <si>
    <t>4-27-199</t>
  </si>
  <si>
    <t>8-28-200</t>
  </si>
  <si>
    <t>8-28-201</t>
  </si>
  <si>
    <t>4-27-202</t>
  </si>
  <si>
    <t>8-29-202</t>
  </si>
  <si>
    <t>8-27-203</t>
  </si>
  <si>
    <t>8-27-204</t>
  </si>
  <si>
    <t>8-4-205</t>
  </si>
  <si>
    <t>8-30-206</t>
  </si>
  <si>
    <t>1-27-207</t>
  </si>
  <si>
    <t>1-27-208</t>
  </si>
  <si>
    <t>3-31-209</t>
  </si>
  <si>
    <t>3-31-210</t>
  </si>
  <si>
    <t>3-31-211</t>
  </si>
  <si>
    <t>3-31-212</t>
  </si>
  <si>
    <t>3-31-213</t>
  </si>
  <si>
    <t>3-31-214</t>
  </si>
  <si>
    <t>3-31-215</t>
  </si>
  <si>
    <t>3-31-216</t>
  </si>
  <si>
    <t>3-31-217</t>
  </si>
  <si>
    <t>3-31-218</t>
  </si>
  <si>
    <t>3-31-219</t>
  </si>
  <si>
    <t>3-31-220</t>
  </si>
  <si>
    <t>3-31-221</t>
  </si>
  <si>
    <t>3-31-222</t>
  </si>
  <si>
    <t>9-32-223</t>
  </si>
  <si>
    <t>9-32-224</t>
  </si>
  <si>
    <t>9-32-225</t>
  </si>
  <si>
    <t>16-33-226</t>
  </si>
  <si>
    <t>10-34-227</t>
  </si>
  <si>
    <t>7-35-228</t>
  </si>
  <si>
    <t>7-35-229</t>
  </si>
  <si>
    <t>7-36-231</t>
  </si>
  <si>
    <t>7-35-230</t>
  </si>
  <si>
    <t>10-37-232</t>
  </si>
  <si>
    <t>7-38-233</t>
  </si>
  <si>
    <t>7-38-234</t>
  </si>
  <si>
    <t>7-38-235</t>
  </si>
  <si>
    <t>7-38-236</t>
  </si>
  <si>
    <t>7-38-237</t>
  </si>
  <si>
    <t>7-38-238</t>
  </si>
  <si>
    <t>7-38-239</t>
  </si>
  <si>
    <t>7-38-240</t>
  </si>
  <si>
    <t>7-38-241</t>
  </si>
  <si>
    <t>7-38-242</t>
  </si>
  <si>
    <t>7-38-243</t>
  </si>
  <si>
    <t>7-38-244</t>
  </si>
  <si>
    <t>7-38-245</t>
  </si>
  <si>
    <t>7-38-246</t>
  </si>
  <si>
    <t>7-38-247</t>
  </si>
  <si>
    <t>7-38-248</t>
  </si>
  <si>
    <t>7-38-249</t>
  </si>
  <si>
    <t>--</t>
  </si>
  <si>
    <t>CASQUILLO ESPACIADOR GALV M8X25</t>
  </si>
  <si>
    <t>TORNILLO ESPARRAGO GALV TX25 M8X80</t>
  </si>
  <si>
    <t>ANCLAJE PLASTICO MULTIUSO NYLON 2ALAS 14X100</t>
  </si>
  <si>
    <t>ANCLAJE PLASTICO MULTIUSO C/COLLARIN 6X36MM</t>
  </si>
  <si>
    <t>ANCLAJE PLASTICO MULTIUSO C/COLLARIN 8X51MM</t>
  </si>
  <si>
    <t>ANCLAJE PLASTICO MULTIUSO C/COLLARIN 10X61MM</t>
  </si>
  <si>
    <t>ANCLAJE PLASTICO MULTIUSO C/COLLARIN 12X71MM</t>
  </si>
  <si>
    <t>ARANDELA A/GALVANIZADO P/CARROCERIA 8.4X30X1.5</t>
  </si>
  <si>
    <t>ARANDELA A/GALVANIZADO P/CARROCERIA 8.4X25X1.25</t>
  </si>
  <si>
    <t>KIT TORNILLO TIPO T 18X30mm CON ARANDELA Y T/HEXAGONAL M8X25MM A/GALV</t>
  </si>
  <si>
    <t>KIT TORNILLO TIPO T 10X23mm CON ARANDELA DE PRESION, ARANDELA LISA Y T/HEXAGONAL M8X20MM A/INOX</t>
  </si>
  <si>
    <t>ARANDELA DE PRESION A/INOX PARA TORN. M8</t>
  </si>
  <si>
    <t>KIT TORNILLO TIPO T 18X30mm CON ARANDELA Y T/HEXAGONAL M8X35MM A/GALV</t>
  </si>
  <si>
    <t>ARANDELA A/INOX 9X1.5 PARA TORN. M8</t>
  </si>
  <si>
    <t>ARANDELA A/INOX 11X20mm PARA TORN. M8/M10</t>
  </si>
  <si>
    <t>TUERCA HEXAGONAL CLASE RESISTENCIA DIN 934 M8 A/GALV.</t>
  </si>
  <si>
    <t>TORNILLO ESPARRAGO GALV TX25 M8X120</t>
  </si>
  <si>
    <t>ALM-07-SAL</t>
  </si>
  <si>
    <t>RELACION DETALLA DE SALIDAS DIARIAS</t>
  </si>
  <si>
    <t>CLEINTE</t>
  </si>
  <si>
    <t>CIUDAD</t>
  </si>
  <si>
    <t>NOTA</t>
  </si>
  <si>
    <t>JESUS MORALES BUSTOS</t>
  </si>
  <si>
    <t>JAEN</t>
  </si>
  <si>
    <t>HECTOR Y MANUEL</t>
  </si>
  <si>
    <t>INSTALACION DE INTERCAMBIADOR SPE 10KW</t>
  </si>
  <si>
    <t>PARTE TRABAJO #</t>
  </si>
  <si>
    <t>CANT.</t>
  </si>
  <si>
    <t>FECHA DE CARGUE</t>
  </si>
  <si>
    <t>BARRA PERFORADA PARA REFUERZO 20X10X2MT GALV.</t>
  </si>
  <si>
    <t>PROINCO</t>
  </si>
  <si>
    <t>PATA ALUMINIO PARA ESTRUCTURA PLACA SOLAR</t>
  </si>
  <si>
    <t>CASQUILLO</t>
  </si>
  <si>
    <t>ESPARRAGO</t>
  </si>
  <si>
    <t>TUERCA</t>
  </si>
  <si>
    <t>PATA</t>
  </si>
  <si>
    <t>7-20-178</t>
  </si>
  <si>
    <t>7-20-179</t>
  </si>
  <si>
    <t>4-39-250</t>
  </si>
  <si>
    <t>4-40-251</t>
  </si>
  <si>
    <t>13-25-252</t>
  </si>
  <si>
    <t>13-25-253</t>
  </si>
  <si>
    <t>13-25-254</t>
  </si>
  <si>
    <t>13-25-255</t>
  </si>
  <si>
    <t>13-25-256</t>
  </si>
  <si>
    <t>8-28-257</t>
  </si>
  <si>
    <t>8-28-258</t>
  </si>
  <si>
    <t>8-13-259</t>
  </si>
  <si>
    <t>1-13-260</t>
  </si>
  <si>
    <t>1-28-261</t>
  </si>
  <si>
    <t>8-13-262</t>
  </si>
  <si>
    <t>1-28-263</t>
  </si>
  <si>
    <t>1-28-264</t>
  </si>
  <si>
    <t>8-41-265</t>
  </si>
  <si>
    <t>4-40-266</t>
  </si>
  <si>
    <t>4-15-267</t>
  </si>
  <si>
    <t>10-42-268</t>
  </si>
  <si>
    <t>10-15-269</t>
  </si>
  <si>
    <t xml:space="preserve">BARRA ALUMINIO PARA ESTRUCTURA </t>
  </si>
  <si>
    <t>10-43-270</t>
  </si>
  <si>
    <t>EMPALME ALUMINIO P/BARRA</t>
  </si>
  <si>
    <t>17-44-271</t>
  </si>
  <si>
    <t>SELLANTE QUIMICO BLANCO</t>
  </si>
  <si>
    <t>17-44-272</t>
  </si>
  <si>
    <t>SELLANTE QUIMICO GRIS</t>
  </si>
  <si>
    <t>17-44-273</t>
  </si>
  <si>
    <t>SELLANTE QUIMICO TACO</t>
  </si>
  <si>
    <t>7-35-274</t>
  </si>
  <si>
    <t>INVERSOR HIBRIDO MONOFASICO SPE 10000ES 10KW BATER. BAJO VOLTAJE Y BACKUP INCORP. (GROWATT)</t>
  </si>
  <si>
    <r>
      <t xml:space="preserve">INSTALACION DE INTERCAMBIADOR SPE 10KW
</t>
    </r>
    <r>
      <rPr>
        <b/>
        <sz val="11"/>
        <color rgb="FFFF0000"/>
        <rFont val="Calibri"/>
        <family val="2"/>
        <scheme val="minor"/>
      </rPr>
      <t>S/N HAQ1F4P4JV</t>
    </r>
  </si>
  <si>
    <t>16-45-275</t>
  </si>
  <si>
    <t>CAJA DISTRIBUCION INTERIOR 18 ELEM. (SOLERA)</t>
  </si>
  <si>
    <t>16-45-276</t>
  </si>
  <si>
    <t>CAJA ESTANCA (COCHERA) EXTERIOR 18PT (IDE)</t>
  </si>
  <si>
    <t>CABLE Nª 6 C/ALTERNA MARRON</t>
  </si>
  <si>
    <t>CABLE Nª 6 C/ALTERNA GRIS</t>
  </si>
  <si>
    <t>CABLE Nª 6 C/ALTERNA VERDE/AMARILLO</t>
  </si>
  <si>
    <t>CABLE Nª 6 C/ALTERNA AZUL</t>
  </si>
  <si>
    <t>CABLE Nª 6 C/ALTERNA NEGRO</t>
  </si>
  <si>
    <t>CABLE Nª 10 C/ALTERNA VERDE/AMARILLO</t>
  </si>
  <si>
    <t>CABLE Nª 10 C/ALTERNA MARRON</t>
  </si>
  <si>
    <t>CABLE Nª 10 C/ALTERNA GRIS</t>
  </si>
  <si>
    <t>CABLE Nª 10 C/ALTERNA AZUL</t>
  </si>
  <si>
    <t>CABLE Nª 10 C/ALTERNA NEGRO</t>
  </si>
  <si>
    <t>CABLE Nª 16 C/ALTERNA NEGRO</t>
  </si>
  <si>
    <t>CABLE Nª 16 C/ALTERNA MARRON</t>
  </si>
  <si>
    <t>CABLE Nª 16 C/ALTERNA AZUL</t>
  </si>
  <si>
    <t>CABLE Nª 16 C/ALTERNA GRIS</t>
  </si>
  <si>
    <t>COTO</t>
  </si>
  <si>
    <t>3-31-277</t>
  </si>
  <si>
    <t>CABLE Nª 10 P/PLACA SOLAR NEGRO</t>
  </si>
  <si>
    <t>3-31-278</t>
  </si>
  <si>
    <t>CABLE Nª 10 P/PLACA SOLAR ROJO</t>
  </si>
  <si>
    <t>16-46-279</t>
  </si>
  <si>
    <t>MANGUERA CORRUGADA NEGRA</t>
  </si>
  <si>
    <t>16-47-280</t>
  </si>
  <si>
    <t>DIFERENCIAL EPR2A063030 2P-63A-30mA (MAXGE)</t>
  </si>
  <si>
    <t>16-48-281</t>
  </si>
  <si>
    <t>PORTA FUSIBLE SGF-32-DC (MAXGE)</t>
  </si>
  <si>
    <t>16-49-282</t>
  </si>
  <si>
    <t>CONTACTOR MODULAR RV32 (REVALCO)</t>
  </si>
  <si>
    <t>INVERSOLAR</t>
  </si>
  <si>
    <t>16-50-283</t>
  </si>
  <si>
    <t>FUSIBLE 32A-1000VDC (SASSIN)</t>
  </si>
  <si>
    <t>16-51-284</t>
  </si>
  <si>
    <t>LIMITADOR MONOFASICO 3SUR1 15/30kA-275V (SASSIN)</t>
  </si>
  <si>
    <t>16-52-285</t>
  </si>
  <si>
    <t>TERMICO EPBE63M1NC63 1P+N C63 (MAXGE)</t>
  </si>
  <si>
    <t>FORMATO ALISTAMIENTO DE MATERIALES (ALMACENISTA)</t>
  </si>
  <si>
    <t>FMT-03-ALM</t>
  </si>
  <si>
    <t>CODIGO</t>
  </si>
  <si>
    <t>CLIENTE</t>
  </si>
  <si>
    <t># FORMT. ALISTAM.</t>
  </si>
  <si>
    <t>UND MED.</t>
  </si>
  <si>
    <t>VERIFICA TECNICO</t>
  </si>
  <si>
    <r>
      <rPr>
        <b/>
        <sz val="10"/>
        <color theme="1"/>
        <rFont val="Calibri"/>
        <family val="2"/>
        <scheme val="minor"/>
      </rPr>
      <t xml:space="preserve">ALISTADO POR:   </t>
    </r>
    <r>
      <rPr>
        <b/>
        <sz val="14"/>
        <color theme="1"/>
        <rFont val="Calibri"/>
        <family val="2"/>
        <scheme val="minor"/>
      </rPr>
      <t xml:space="preserve">                                 
</t>
    </r>
    <r>
      <rPr>
        <sz val="14"/>
        <color theme="1"/>
        <rFont val="Calibri"/>
        <family val="2"/>
        <scheme val="minor"/>
      </rPr>
      <t>FABIO GUTIERREZ</t>
    </r>
    <r>
      <rPr>
        <b/>
        <sz val="14"/>
        <color theme="1"/>
        <rFont val="Calibri"/>
        <family val="2"/>
        <scheme val="minor"/>
      </rPr>
      <t xml:space="preserve">                     </t>
    </r>
  </si>
  <si>
    <t>CONSEC. #</t>
  </si>
  <si>
    <r>
      <t xml:space="preserve">PARTE
TRAB. #   </t>
    </r>
    <r>
      <rPr>
        <b/>
        <sz val="16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       </t>
    </r>
  </si>
  <si>
    <t>si</t>
  </si>
  <si>
    <r>
      <t xml:space="preserve">FECHA              </t>
    </r>
    <r>
      <rPr>
        <sz val="11"/>
        <color theme="1"/>
        <rFont val="Calibri"/>
        <family val="2"/>
        <scheme val="minor"/>
      </rPr>
      <t xml:space="preserve"> 02feb2026</t>
    </r>
    <r>
      <rPr>
        <b/>
        <sz val="11"/>
        <color theme="1"/>
        <rFont val="Calibri"/>
        <family val="2"/>
        <scheme val="minor"/>
      </rPr>
      <t xml:space="preserve">
REQUER.</t>
    </r>
  </si>
  <si>
    <r>
      <rPr>
        <b/>
        <sz val="10"/>
        <color theme="1"/>
        <rFont val="Calibri"/>
        <family val="2"/>
        <scheme val="minor"/>
      </rPr>
      <t xml:space="preserve">ALISTADO POR:   </t>
    </r>
    <r>
      <rPr>
        <b/>
        <sz val="14"/>
        <color theme="1"/>
        <rFont val="Calibri"/>
        <family val="2"/>
        <scheme val="minor"/>
      </rPr>
      <t xml:space="preserve">                                 
</t>
    </r>
    <r>
      <rPr>
        <b/>
        <sz val="14"/>
        <color theme="1"/>
        <rFont val="Calibri"/>
        <family val="2"/>
        <scheme val="minor"/>
      </rPr>
      <t xml:space="preserve">           </t>
    </r>
  </si>
  <si>
    <r>
      <t xml:space="preserve">FECHA             </t>
    </r>
    <r>
      <rPr>
        <b/>
        <sz val="11"/>
        <color theme="1"/>
        <rFont val="Calibri"/>
        <family val="2"/>
        <scheme val="minor"/>
      </rPr>
      <t xml:space="preserve">
REQUER.</t>
    </r>
  </si>
  <si>
    <t>FORMATO TOMA DE MATERIALES (TECNICOS)</t>
  </si>
  <si>
    <t>FMT-02-ALM</t>
  </si>
  <si>
    <t>CANTIDAD</t>
  </si>
  <si>
    <t>NOMBRE</t>
  </si>
  <si>
    <t>HAQ1F4P4JV</t>
  </si>
  <si>
    <t>FECHA</t>
  </si>
  <si>
    <t>CANT. REAL CONSUMIDA</t>
  </si>
  <si>
    <t>DEVOLUC.</t>
  </si>
  <si>
    <t>Mancha Real</t>
  </si>
  <si>
    <t>FECHA
REQUER.</t>
  </si>
  <si>
    <t xml:space="preserve">TOMA DE INVENTARIO </t>
  </si>
  <si>
    <t>16-49-288</t>
  </si>
  <si>
    <t>16-53-289</t>
  </si>
  <si>
    <t>16-59-322</t>
  </si>
  <si>
    <t>CLAVIJA CAUCHO NEGRA 10/16A</t>
  </si>
  <si>
    <t>SERIAL Nª</t>
  </si>
  <si>
    <t>14031612302260443
14031612302260454
14031612302260445</t>
  </si>
  <si>
    <t>PATA ALUMINIO PARA ESTRUCTURA PLACA SOLAR ANGULO 30º</t>
  </si>
  <si>
    <t>MANGUERA CORRUGADA 25mm NEGRA</t>
  </si>
  <si>
    <t>7-35-286</t>
  </si>
  <si>
    <t>INVERSOR SPH 6000TL BL-UP 6KW (GROWATT)</t>
  </si>
  <si>
    <t>10-37-287</t>
  </si>
  <si>
    <t>SOPORTE CENTRAL GRIS</t>
  </si>
  <si>
    <t>CONTACTOR MODULAR EPC1-6322-P7 (MAXGE)</t>
  </si>
  <si>
    <t>PINCHO DE COMUNICACIÓN WIFI SHINEWILAN X (GROWATT)</t>
  </si>
  <si>
    <t>16-53-290</t>
  </si>
  <si>
    <t>PINCHO DE COMUNICACIÓN WIFI SHINEWILAN X2 (GROWATT)</t>
  </si>
  <si>
    <t>9-2-291</t>
  </si>
  <si>
    <t>TUBO ELECTRICO PVC 25mm - 3mt(AISCAN)</t>
  </si>
  <si>
    <t>16-52-292</t>
  </si>
  <si>
    <t>TERMICO EPBE63M1NC63M1NC40 1P+N C40 (MAXGE)</t>
  </si>
  <si>
    <t>16-52-293</t>
  </si>
  <si>
    <t>TERMICO EPBE63M1NC63M1NC32 1P+N C32 (MAXGE)</t>
  </si>
  <si>
    <t>16-45-294</t>
  </si>
  <si>
    <t>CAJA DE ESTANCA 133X180X80 EV161 (IDE)</t>
  </si>
  <si>
    <t>7-54-295</t>
  </si>
  <si>
    <t>BATERIA LFP LITHIUM DL5.OC (DYNESS)</t>
  </si>
  <si>
    <t>7-35-296</t>
  </si>
  <si>
    <t>INVERSOR HIBRIDO MONOFASICO SUN 12KW AM3 (DEYE)</t>
  </si>
  <si>
    <t>16-55-297</t>
  </si>
  <si>
    <t>MEDIDOR ENERGIA DE CARRIL MODBUS 220/230V MONOFASICO (EASTRON)</t>
  </si>
  <si>
    <t>16-35-298</t>
  </si>
  <si>
    <t>INVERSOR HIBRIDO TRIFASICO 10KW WIT10K HU C/BACKUP INCORPORADO Y DISEÑADO PARA BATERIA DE BAJO VOLTAJE (GROTWATT)</t>
  </si>
  <si>
    <t>16-45-299</t>
  </si>
  <si>
    <t>CAJA ESTANCA (COCHERA) EXTERIOR 8PT (IDE)</t>
  </si>
  <si>
    <t>16-45-300</t>
  </si>
  <si>
    <t>CAJA ESTANCA (COCHERA) EXTERIOR 24PT (IDE)</t>
  </si>
  <si>
    <t>16-45-301</t>
  </si>
  <si>
    <t>CAJA ESTANCA (COCHERA) EXTERIOR 36PT (IDE)</t>
  </si>
  <si>
    <t>16-56-302</t>
  </si>
  <si>
    <t>METER TRIFASICO 230/400Vac (GROWATT)</t>
  </si>
  <si>
    <t>16-56-303</t>
  </si>
  <si>
    <t>METER MONOFASICO 230/161-276Vac (GROWATT)</t>
  </si>
  <si>
    <t>16-45-304</t>
  </si>
  <si>
    <t>CAJA DE ESTANCA 197X260X100 EV231 (IDE)</t>
  </si>
  <si>
    <t>16-45-305</t>
  </si>
  <si>
    <t>CAJA DE ESTANCA 167X191X100 EV171 (IDE)</t>
  </si>
  <si>
    <t>9-32-306</t>
  </si>
  <si>
    <t>CURVA PVC M-40 GRIS TIPO B</t>
  </si>
  <si>
    <t>9-32-307</t>
  </si>
  <si>
    <t>CURVA PVC DN-20 GRIS (PEMSA)</t>
  </si>
  <si>
    <t>9-32-308</t>
  </si>
  <si>
    <t>CURVA PVC M-32 GRIS</t>
  </si>
  <si>
    <t>16-51-309</t>
  </si>
  <si>
    <t>LIMITADOR MONOFASICO EPS1 C/2 - 275-40 (MAXGE)</t>
  </si>
  <si>
    <t>16-51-310</t>
  </si>
  <si>
    <t>LIMITADOR CORRIENTE CONTINUA 2P/40HA 2.5KV (APARELEC)</t>
  </si>
  <si>
    <t>16-57-311</t>
  </si>
  <si>
    <t>PROTECTOR ALTA TENSION FV1250/3S 1500V DC 5.2KV (TOSCANO VIGIVOLT)</t>
  </si>
  <si>
    <t>16-58-312</t>
  </si>
  <si>
    <t>INTERRUPTOR DIFERENCIAL PROTECTOR PERSONA CONTRA DESCARGAS RX3 40A (LEGRAND)</t>
  </si>
  <si>
    <t>16-58-313</t>
  </si>
  <si>
    <t>INTERRUPTOR DIFERENCIAL PROTECTOR PERSONA CONTRA DESCARGAS CDC 748m 40A (HAGER)</t>
  </si>
  <si>
    <t>16-50-314</t>
  </si>
  <si>
    <t>FUSIBLE MG10PV32A (MAXGE)</t>
  </si>
  <si>
    <t>10-37-315</t>
  </si>
  <si>
    <t>SOPORTE FINAL NEGRO</t>
  </si>
  <si>
    <t>10-37-316</t>
  </si>
  <si>
    <t>SOPORTE FINAL GRIS</t>
  </si>
  <si>
    <t>16-45-317</t>
  </si>
  <si>
    <t>CAJA DISTRIBUCION INTERIOR 8 ELEM. (SOLERA)</t>
  </si>
  <si>
    <t>16-47-318</t>
  </si>
  <si>
    <t>DIFERENCIAL EPR2A040030 2P-40A-30mA (MAXGE)</t>
  </si>
  <si>
    <t>16-52-319</t>
  </si>
  <si>
    <t>TERMICO EPBE63M1NC25 1P+N C25 (MAXGE)</t>
  </si>
  <si>
    <t>16-31-320</t>
  </si>
  <si>
    <t xml:space="preserve">JUEGO CABLE PARA BATERIA DE LITIO B4850 </t>
  </si>
  <si>
    <t>8-27-321</t>
  </si>
  <si>
    <t>TORNILLO AUTOTALADRANTE CON C/HEXAGONAL - R/PARCIAL - ARANDELA CAUCHO 6X120mm  A/GALV.</t>
  </si>
  <si>
    <t>7-54-323</t>
  </si>
  <si>
    <t>BATERIA LPF LITHIUM B3 (DYNESS)</t>
  </si>
  <si>
    <t>16-60-324</t>
  </si>
  <si>
    <t>16-60-325</t>
  </si>
  <si>
    <t>REGLETA CONEXIÓN ELECTRICA 16mm NEGRA</t>
  </si>
  <si>
    <t>4-15-326</t>
  </si>
  <si>
    <t>BARRA PERFORADA PARA REFUERZO 27x18x2MT GALV.</t>
  </si>
  <si>
    <t>7-35-327</t>
  </si>
  <si>
    <t xml:space="preserve">INVERSOR 48/5000/70-50-230V MULTIPLUS (VICTROM ENERGY)  </t>
  </si>
  <si>
    <t>HQ2424266C3</t>
  </si>
  <si>
    <t>HQ2505PP6CN</t>
  </si>
  <si>
    <t>NOTA:
TODO EL MATERIAL FUE REVISADO POR LOS TECNICOS JAVI Y HECTOR.</t>
  </si>
  <si>
    <t>ZGQ0F57044</t>
  </si>
  <si>
    <t>GZL0DA813L</t>
  </si>
  <si>
    <t>DYM6F73047</t>
  </si>
  <si>
    <t>9497028225092023/21</t>
  </si>
  <si>
    <r>
      <t xml:space="preserve">NOTA: 
</t>
    </r>
    <r>
      <rPr>
        <sz val="14"/>
        <color theme="1"/>
        <rFont val="Calibri"/>
        <family val="2"/>
        <scheme val="minor"/>
      </rPr>
      <t>MATERIALES REVISADOS POR LOS TECNICOS ANTONIO Y JESUS.</t>
    </r>
  </si>
  <si>
    <t>Miguel Angel Montenegro</t>
  </si>
  <si>
    <t>Bailen</t>
  </si>
  <si>
    <t>REGISTRO</t>
  </si>
  <si>
    <t>OK</t>
  </si>
  <si>
    <t>ILDEFONSO MONILLAS CAMPAN</t>
  </si>
  <si>
    <t>MANCHA REAL</t>
  </si>
  <si>
    <t>HECTOR Y JAVI</t>
  </si>
  <si>
    <t>ELEM</t>
  </si>
  <si>
    <t>INSTALACION DE 8 PLACAS</t>
  </si>
  <si>
    <t>SERIAL</t>
  </si>
  <si>
    <t>MIGUEL ÁNGEL MONTENEGRO</t>
  </si>
  <si>
    <t>BAILEN</t>
  </si>
  <si>
    <t>ANTONIO Y JESUS</t>
  </si>
  <si>
    <t>ACONDICIONAMIENTO Y REFUERZO DE ESTRUCTURA OCACIONADOS POR CONDICIONES CLIMATICAS.</t>
  </si>
  <si>
    <t>FRANCIZCO RICO BLANCA</t>
  </si>
  <si>
    <t>949702822509202000
0949702822509202306</t>
  </si>
  <si>
    <t>DYM6F73053</t>
  </si>
  <si>
    <t>ANTONIO PERETE</t>
  </si>
  <si>
    <t>3</t>
  </si>
  <si>
    <t>31</t>
  </si>
  <si>
    <t>209</t>
  </si>
  <si>
    <t>210</t>
  </si>
  <si>
    <t>212</t>
  </si>
  <si>
    <t>213</t>
  </si>
  <si>
    <t>9</t>
  </si>
  <si>
    <t>32</t>
  </si>
  <si>
    <t>224</t>
  </si>
  <si>
    <t>221</t>
  </si>
  <si>
    <t>220</t>
  </si>
  <si>
    <t>219</t>
  </si>
  <si>
    <t>222</t>
  </si>
  <si>
    <t>218</t>
  </si>
  <si>
    <t>13</t>
  </si>
  <si>
    <t>22</t>
  </si>
  <si>
    <t>184</t>
  </si>
  <si>
    <t>21</t>
  </si>
  <si>
    <t>181</t>
  </si>
  <si>
    <t>16</t>
  </si>
  <si>
    <t>47</t>
  </si>
  <si>
    <t>280</t>
  </si>
  <si>
    <t>49</t>
  </si>
  <si>
    <t>288</t>
  </si>
  <si>
    <t>53</t>
  </si>
  <si>
    <t>290</t>
  </si>
  <si>
    <t>2</t>
  </si>
  <si>
    <t>291</t>
  </si>
  <si>
    <t>52</t>
  </si>
  <si>
    <t>292</t>
  </si>
  <si>
    <t>293</t>
  </si>
  <si>
    <t>45</t>
  </si>
  <si>
    <t>294</t>
  </si>
  <si>
    <t>7</t>
  </si>
  <si>
    <t>54</t>
  </si>
  <si>
    <t>295</t>
  </si>
  <si>
    <t>35</t>
  </si>
  <si>
    <t>286</t>
  </si>
  <si>
    <t>275</t>
  </si>
  <si>
    <t>PTE</t>
  </si>
  <si>
    <t>16-53-328</t>
  </si>
  <si>
    <t>PINCHO DE COMUNICACIÓN WIFI SHINErfsTICK- X  BLANCO (GROWATT)</t>
  </si>
  <si>
    <r>
      <t xml:space="preserve">NOTA:
</t>
    </r>
    <r>
      <rPr>
        <sz val="14"/>
        <color theme="1"/>
        <rFont val="Calibri"/>
        <family val="2"/>
        <scheme val="minor"/>
      </rPr>
      <t>Materiales revisados por el tecnico Javi Cardenas.
Adicionalmente, estos materiales seran usados en diferentes clientes.</t>
    </r>
  </si>
  <si>
    <t>10-42-329</t>
  </si>
  <si>
    <t>PATA ALUMINIO PARA ESTRUCTURA PLACA SOLAR VELA ANGULO 15º</t>
  </si>
  <si>
    <t>10-37-330</t>
  </si>
  <si>
    <t>SOPORTE EN L ALUMINIO GRIS</t>
  </si>
  <si>
    <t>16-61-331</t>
  </si>
  <si>
    <t>CONECTOR FOTOVOLTAICO HEMBRA M4 NEGRO</t>
  </si>
  <si>
    <t>16-61-332</t>
  </si>
  <si>
    <t>CONECTOR FOTOVOLTAICO MACHO M4 NEGRO</t>
  </si>
  <si>
    <t>ELEMENTOS QUEDAN EN FURGO PARA SU RESPECTIVO STOCK MINIMO.</t>
  </si>
  <si>
    <r>
      <t xml:space="preserve">NOTA:
</t>
    </r>
    <r>
      <rPr>
        <sz val="14"/>
        <color theme="1"/>
        <rFont val="Calibri"/>
        <family val="2"/>
        <scheme val="minor"/>
      </rPr>
      <t>Materiales revisados por cristobal, al igual que cargados.</t>
    </r>
  </si>
  <si>
    <t>UNIDAD ESTANCA DIURNA</t>
  </si>
  <si>
    <t>TORRE DE DON JIMENO</t>
  </si>
  <si>
    <r>
      <t xml:space="preserve">NOTA:
</t>
    </r>
    <r>
      <rPr>
        <sz val="14"/>
        <color theme="1"/>
        <rFont val="Calibri"/>
        <family val="2"/>
        <scheme val="minor"/>
      </rPr>
      <t>MATERIAL SOLICITADO POR JUNAJO Y TRANSPORTADO POR EL MISMO.</t>
    </r>
    <r>
      <rPr>
        <b/>
        <sz val="14"/>
        <color theme="1"/>
        <rFont val="Calibri"/>
        <family val="2"/>
        <scheme val="minor"/>
      </rPr>
      <t xml:space="preserve">
</t>
    </r>
  </si>
  <si>
    <t>CUADIRILLA FORMADA POR:</t>
  </si>
  <si>
    <t>ANTONIO PERETE - JAVI CARDENES - MANUEL</t>
  </si>
  <si>
    <t>JAEN
LA YEDRA</t>
  </si>
  <si>
    <t>8-64-358</t>
  </si>
  <si>
    <t>BARILLA ROSCADA M8 A/GALV X1000</t>
  </si>
  <si>
    <r>
      <t xml:space="preserve">NOTA:
</t>
    </r>
    <r>
      <rPr>
        <sz val="14"/>
        <color theme="1"/>
        <rFont val="Calibri"/>
        <family val="2"/>
        <scheme val="minor"/>
      </rPr>
      <t>MATERIALES REVISADOS POR LOS TECNICOS.</t>
    </r>
    <r>
      <rPr>
        <b/>
        <sz val="14"/>
        <color theme="1"/>
        <rFont val="Calibri"/>
        <family val="2"/>
        <scheme val="minor"/>
      </rPr>
      <t xml:space="preserve">
</t>
    </r>
  </si>
  <si>
    <t>9-A</t>
  </si>
  <si>
    <t>9-B</t>
  </si>
  <si>
    <t>HECTOR - JAVI</t>
  </si>
  <si>
    <t>HECTOR - MANUEL</t>
  </si>
  <si>
    <t>JAVI CARDENAS</t>
  </si>
  <si>
    <t>CRISTOBAL</t>
  </si>
  <si>
    <t>JUANJO</t>
  </si>
  <si>
    <r>
      <t xml:space="preserve">NOTA:
</t>
    </r>
    <r>
      <rPr>
        <sz val="14"/>
        <color theme="1"/>
        <rFont val="Calibri"/>
        <family val="2"/>
        <scheme val="minor"/>
      </rPr>
      <t>MATERIALES REVISADOS POR EL TECNICO.</t>
    </r>
    <r>
      <rPr>
        <b/>
        <sz val="14"/>
        <color theme="1"/>
        <rFont val="Calibri"/>
        <family val="2"/>
        <scheme val="minor"/>
      </rPr>
      <t xml:space="preserve">
</t>
    </r>
  </si>
  <si>
    <t>DEVOLUCION</t>
  </si>
  <si>
    <t>ANULADO</t>
  </si>
  <si>
    <t>TECNICOS RESPONSABLE</t>
  </si>
  <si>
    <t>PARA ESTE CASO, CRISTOBAL REALIZA EL TRANSPORTE DEL MATERIAL HACIA LA OBRA.</t>
  </si>
  <si>
    <t>TORRE DE DONJIMENO</t>
  </si>
  <si>
    <t>ANTONIO-JAVI-MANUEL</t>
  </si>
  <si>
    <t>CANT. ENTREGADA</t>
  </si>
  <si>
    <t>CANT. DEVOLUC.</t>
  </si>
  <si>
    <t>CANT. SALIDA</t>
  </si>
  <si>
    <t>CANT. DEVOL</t>
  </si>
  <si>
    <t>UND. MED</t>
  </si>
  <si>
    <t>CONSOLIDADO 1</t>
  </si>
  <si>
    <t>Total general</t>
  </si>
  <si>
    <t>Suma de CANT. DEVOLUC.</t>
  </si>
  <si>
    <t>Suma de CANT. ENTREGADA</t>
  </si>
  <si>
    <t>CONSOLIDADO FEBRERO</t>
  </si>
  <si>
    <t>JAVI-MANUEL-HECTOR</t>
  </si>
  <si>
    <t xml:space="preserve">EDUARDO LOPEZ </t>
  </si>
  <si>
    <t>TORREDONJIMENO</t>
  </si>
  <si>
    <t>#</t>
  </si>
  <si>
    <t>16-51-333</t>
  </si>
  <si>
    <t>13-23-334</t>
  </si>
  <si>
    <t>CINTA GRIS AISLANTE PVC 19MM</t>
  </si>
  <si>
    <t>13-23-335</t>
  </si>
  <si>
    <t>CINTA MARRON AISLANTE PVC 19MM</t>
  </si>
  <si>
    <t>16-50-336</t>
  </si>
  <si>
    <t>FUSIBLE 20A</t>
  </si>
  <si>
    <t>16-52-339</t>
  </si>
  <si>
    <t>TERMICO TRIFASICO EPB63MC25 4P-C25  (MAXGE)</t>
  </si>
  <si>
    <t>16-52-340</t>
  </si>
  <si>
    <t>TERMICO TRIFASICO EPB63M4C20 4P-C20  (MAXGE)</t>
  </si>
  <si>
    <t>16-52-341</t>
  </si>
  <si>
    <t>TERMICO TRIFASICO EPB63M4C16 4P-C16  (MAXGE)</t>
  </si>
  <si>
    <t>16-47-337</t>
  </si>
  <si>
    <t>DIFERENCIAL TRIFASICO EPR4C063300 (AC TYPE) 4P-63A-300mA AC 10KA (MAXGE)</t>
  </si>
  <si>
    <t>16-47-338</t>
  </si>
  <si>
    <t>DIFERENCIAL TRIFASICO EPR4A040030 4P-40A-30mA (MAXGE)</t>
  </si>
  <si>
    <t>16-62-342</t>
  </si>
  <si>
    <t>MAGNETO 4P-25A</t>
  </si>
  <si>
    <t>16-52-343</t>
  </si>
  <si>
    <t>TERMICO EPBE63M1NC20 1P+N C20 (MAXGE)</t>
  </si>
  <si>
    <t>16-56-344</t>
  </si>
  <si>
    <t>METER TRIFASICO DTSU666 230/400Vac (CHINT)</t>
  </si>
  <si>
    <t>16-56-345</t>
  </si>
  <si>
    <t>METER TRIFASICO SDM630 V2 MID 230/400Vac (STROMZAHLER)</t>
  </si>
  <si>
    <t>16-16-346</t>
  </si>
  <si>
    <t>REGLETA CONEXIÓN ELECTRICA 10mm NEGRA X12</t>
  </si>
  <si>
    <t>16-16-347</t>
  </si>
  <si>
    <t>REGLETA CONEXIÓN ELECTRICA 6mm NEGRA X12</t>
  </si>
  <si>
    <t>16-16-348</t>
  </si>
  <si>
    <t>REGLETA CONEXIÓN ELECTRICA 25mm NEGRA X12</t>
  </si>
  <si>
    <t>16-47-349</t>
  </si>
  <si>
    <t>DIFERENCIAL TRIFASICO TIPO A/C 4P-40A-30mA (AEG)</t>
  </si>
  <si>
    <t>16-52-350</t>
  </si>
  <si>
    <t>TERMICO EPBE63M1NC20 1P+N C20A 6KA (MAXGE)</t>
  </si>
  <si>
    <t>16-52-351</t>
  </si>
  <si>
    <t>TERMICO LIMITADOR ICP-M C32 20A (MERLIN GERIN)</t>
  </si>
  <si>
    <t>16-52-352</t>
  </si>
  <si>
    <t>TERMICO NDT C20 (CRADY)</t>
  </si>
  <si>
    <t>16-52-353</t>
  </si>
  <si>
    <t>TERMICO RX3 C20 (LEGRAND)</t>
  </si>
  <si>
    <t>16-52-354</t>
  </si>
  <si>
    <t>TERMICO RX3 C25 (LEGRAND)</t>
  </si>
  <si>
    <t>16-52-355</t>
  </si>
  <si>
    <t>TERMICO TRIFASICO EP64 - C16  (GE)</t>
  </si>
  <si>
    <t>16-52-356</t>
  </si>
  <si>
    <t>TERMICO TRIFASICO EP64 - C20  (GE)</t>
  </si>
  <si>
    <t>16-63-357</t>
  </si>
  <si>
    <t>TORO IDAL CURRENT TRANSFORMER 100A:50mA For MULTIPLUS-II (VICTRON ENERGY)</t>
  </si>
  <si>
    <t>16-52-359</t>
  </si>
  <si>
    <t>TERMICO 230V C16</t>
  </si>
  <si>
    <t>16-63-360</t>
  </si>
  <si>
    <t>TORO IDAL MONOFASICO 100A/5mA (HUAWEI)</t>
  </si>
  <si>
    <t>16-63-361</t>
  </si>
  <si>
    <t>TORO IDAL TRIFASICO 250A/5mA (HUAWEI)</t>
  </si>
  <si>
    <t>16-63-362</t>
  </si>
  <si>
    <t>TORO IDAL 100A/50mA</t>
  </si>
  <si>
    <t>16-63-363</t>
  </si>
  <si>
    <t>TORO IDAL 100A/40mA</t>
  </si>
  <si>
    <t>16-63-364</t>
  </si>
  <si>
    <t>TORO IDAL 250A/5A (LOVATO)</t>
  </si>
  <si>
    <t>16-63-365</t>
  </si>
  <si>
    <t>TORO IDAL 200A/5A (LOVATO)</t>
  </si>
  <si>
    <t>16-63-366</t>
  </si>
  <si>
    <t>TORO IDAL 400A/5A (SACI)</t>
  </si>
  <si>
    <t>16-63-367</t>
  </si>
  <si>
    <t>TORO IDAL 600A/5A (SACI)</t>
  </si>
  <si>
    <t>16-63-368</t>
  </si>
  <si>
    <t>TORO IDAL CT-100 P/MICROINVERSORES (ENPHASE)</t>
  </si>
  <si>
    <t>16-33-369</t>
  </si>
  <si>
    <t>OPTIMIZADOR TS4-A-O (TIGO)</t>
  </si>
  <si>
    <t>16-65-370</t>
  </si>
  <si>
    <t>ANTENA LSW-3 (IGEN)</t>
  </si>
  <si>
    <t>16-55-371</t>
  </si>
  <si>
    <t>MEDIDOR ESM1-EQX (SALICRU)</t>
  </si>
  <si>
    <t>16-13-372</t>
  </si>
  <si>
    <t>KIT CABLE BATERIA ARK</t>
  </si>
  <si>
    <t>16-63-373</t>
  </si>
  <si>
    <t>TORO IDAL 90A SPH (LEM)</t>
  </si>
  <si>
    <t>16-55-374</t>
  </si>
  <si>
    <t>MEDIDOR FRONIUS SMART METER TRIFASICO M/INDIRECTA</t>
  </si>
  <si>
    <t>16-55-375</t>
  </si>
  <si>
    <t>MEDIDOR FRONIUS 63A-1 MONOFASICO M/DIRECTA</t>
  </si>
  <si>
    <t>16-55-376</t>
  </si>
  <si>
    <t>MEDIDOR FRONIUS 63A TRIFASICO M/DIRECTA</t>
  </si>
  <si>
    <t>16-66-377</t>
  </si>
  <si>
    <t>RELED DE RED Q-RELAY 3P-INT (ENPHASE)</t>
  </si>
  <si>
    <t>16-13-378</t>
  </si>
  <si>
    <t>KIT MEDIDOR TORO IDAL M/INDIRECTA (CHINT)</t>
  </si>
  <si>
    <t>16-55-379</t>
  </si>
  <si>
    <t>MEDIDOR MONOFASICO M/INDIRECTA (CHINT)</t>
  </si>
  <si>
    <t>LIMITADOR MONOFASICO 3SU1 15/30kA-275V (SASSIN)</t>
  </si>
  <si>
    <t>LIMITADOR/SOBRETENSIONES TRIFASICO 3SUR1 20/40kA-400V 4P (SASSIN)</t>
  </si>
  <si>
    <t>16-50-380</t>
  </si>
  <si>
    <t>FUSIBLE 25A</t>
  </si>
  <si>
    <t>CABLE Nª 6 P/PLACA SOLAR NEGRO</t>
  </si>
  <si>
    <t>CABLE Nª 6 P/PLACA SOLAR ROJO</t>
  </si>
  <si>
    <t>13-67-381</t>
  </si>
  <si>
    <t>CANALETA PLASTICA 40X40</t>
  </si>
  <si>
    <t>13-67-382</t>
  </si>
  <si>
    <t>CANALETA PLASTICA 60X40</t>
  </si>
  <si>
    <t>DYM6F73031</t>
  </si>
  <si>
    <t>0949702822509202362
34972822506090288</t>
  </si>
  <si>
    <t>JAVI-HECTOR-MANUEL</t>
  </si>
  <si>
    <t>TOMAS</t>
  </si>
  <si>
    <t>A05250400830252
A05250400819429</t>
  </si>
  <si>
    <t>TORRE PEROJIL</t>
  </si>
  <si>
    <t>HECTOR-TOMAS</t>
  </si>
  <si>
    <t>JOSE ANGEL COBO</t>
  </si>
  <si>
    <r>
      <t xml:space="preserve">NOTA:
</t>
    </r>
    <r>
      <rPr>
        <sz val="14"/>
        <color theme="1"/>
        <rFont val="Calibri"/>
        <family val="2"/>
        <scheme val="minor"/>
      </rPr>
      <t>MA TERIALES REVISADOS POR EL TECNICO. CARGUE REALIZADO DESDE EL VIERNES PERO SE EJECUTAN LABORES EL SABADO 14 FEBRERO.</t>
    </r>
    <r>
      <rPr>
        <b/>
        <sz val="14"/>
        <color theme="1"/>
        <rFont val="Calibri"/>
        <family val="2"/>
        <scheme val="minor"/>
      </rPr>
      <t xml:space="preserve">
</t>
    </r>
  </si>
  <si>
    <t>Materiales cargados desde el viernes pero la ejecucion de labor, se realzian el dia sabado 14feb</t>
  </si>
  <si>
    <t>ok</t>
  </si>
  <si>
    <r>
      <t xml:space="preserve">NOTA:
</t>
    </r>
    <r>
      <rPr>
        <sz val="14"/>
        <color theme="1"/>
        <rFont val="Calibri"/>
        <family val="2"/>
        <scheme val="minor"/>
      </rPr>
      <t>MA TERIALES REVISADOS POR EL TECNICO.</t>
    </r>
  </si>
  <si>
    <t>MALAGA</t>
  </si>
  <si>
    <t>BARRA ALUMINIO PARA ESTRUCTURA  3.60mt</t>
  </si>
  <si>
    <t>HECTOR-JAVI-JESUS</t>
  </si>
  <si>
    <t>NER3F7AO13</t>
  </si>
  <si>
    <t>INMACULADA PORRAS</t>
  </si>
  <si>
    <r>
      <t xml:space="preserve">NOTA: 
</t>
    </r>
    <r>
      <rPr>
        <sz val="14"/>
        <color theme="1"/>
        <rFont val="Calibri"/>
        <family val="2"/>
        <scheme val="minor"/>
      </rPr>
      <t>MATERIALES REVISADOS POR LOS TECNICOS.</t>
    </r>
  </si>
  <si>
    <t>MIGUEL ANGEL LUCENA</t>
  </si>
  <si>
    <t>DYM6F7304W</t>
  </si>
  <si>
    <t>HECTOR-JAVI-TOMAS</t>
  </si>
  <si>
    <t>ANTONIO-MANUEL</t>
  </si>
  <si>
    <t>DYM6F73056</t>
  </si>
  <si>
    <t>16-45-383</t>
  </si>
  <si>
    <t xml:space="preserve">CAJA BLANCA P/BATERIA (DYNNES) </t>
  </si>
  <si>
    <t>SANTA CRUZ</t>
  </si>
  <si>
    <t>MANUEL SERRANO ARIZA</t>
  </si>
  <si>
    <t>7-68-384</t>
  </si>
  <si>
    <t>TECHO SIN ENVOLVENTE FWE12FT FONCOIL D/AGUA (DAIKIN)</t>
  </si>
  <si>
    <t>FERRETERIA UBETENSE</t>
  </si>
  <si>
    <t>16-69-385</t>
  </si>
  <si>
    <t>TERMOSTATO ELECTRONICO FWEC1A FANCOIL (DAIKIN)</t>
  </si>
  <si>
    <t>16-10-386</t>
  </si>
  <si>
    <t>VALVULA 3 VIAS 3/4 M-M 313134 P/FANCOIS (WATTS)</t>
  </si>
  <si>
    <t>16-70-387</t>
  </si>
  <si>
    <t>ACTUADOR 230V PARA V/FANCOIL 22CX230NC2 (WATTS)</t>
  </si>
  <si>
    <t>8-27-388</t>
  </si>
  <si>
    <t>TORNILLO A/GALVANIZADO CON C/HEZAGONAL, R/COMPLETA, C/ARANDELA Y AUTOTALADRANTE 6.3X35</t>
  </si>
  <si>
    <t>18-71-389</t>
  </si>
  <si>
    <t>BROCA HELICOIDAL CONICA 8,5mm</t>
  </si>
  <si>
    <t>13-67-390</t>
  </si>
  <si>
    <t>CANALETA PLASTICA 60X60</t>
  </si>
  <si>
    <t>ECLIMEN</t>
  </si>
  <si>
    <t>16-72-391</t>
  </si>
  <si>
    <t>RESISTENCIA D/ENCENDIDO 260W 1B-20X15X6-0 (2016)</t>
  </si>
  <si>
    <t>ECOFOREST</t>
  </si>
  <si>
    <t>16-73-392</t>
  </si>
  <si>
    <t>CRISTAL PARA PUERTA EAM/EH/MV</t>
  </si>
  <si>
    <t>7-26-393</t>
  </si>
  <si>
    <t>ESTACION DE CARGA THOR 22AS-S GROWATT</t>
  </si>
  <si>
    <t>6-74-394</t>
  </si>
  <si>
    <t>REPUESTO LUNA LUMIX FUNDIDA T/GRANDE 135X95mm (SML111-02) (SOLAR)</t>
  </si>
  <si>
    <t>SOLAR</t>
  </si>
  <si>
    <t>7-75-395</t>
  </si>
  <si>
    <t>REPUESTO VENTILADOR TANGENCIAL DCHA (BOCA304X40mm) Ꝋ rotor 60mm)</t>
  </si>
  <si>
    <t>16-31-396</t>
  </si>
  <si>
    <t>REPUESTO CABLE FIAT 1.5mm TARJETA-DISPLAY 16 PINES</t>
  </si>
  <si>
    <t>16-76-397</t>
  </si>
  <si>
    <t>RACK MURAL S.ABI1260 12U 635X600X600mm</t>
  </si>
  <si>
    <t>18-77-398</t>
  </si>
  <si>
    <t>PINZA AMPERIMETRICA SMART PA420MINIKPS</t>
  </si>
  <si>
    <t>SALVADOR ESCODA</t>
  </si>
  <si>
    <t>7-78-399</t>
  </si>
  <si>
    <t>ACUMULADOR AEROTERMICO HTW-AT-200SR290A</t>
  </si>
  <si>
    <t>JAEN CLIMA</t>
  </si>
  <si>
    <t>7-79-400</t>
  </si>
  <si>
    <t>DESCALCIFICADOR KINETICO ESSENTIAL 11lts</t>
  </si>
  <si>
    <t>7-80-401</t>
  </si>
  <si>
    <t>CHIMENEA NETFLAME 10KW CANALIZABLE</t>
  </si>
  <si>
    <t>16-13-402</t>
  </si>
  <si>
    <t>KIT CABLE M4 H/M AIKO 610WP</t>
  </si>
  <si>
    <t>BET SOLAR</t>
  </si>
  <si>
    <t>12-38-403</t>
  </si>
  <si>
    <t>MODULO PLACA SOLAR AIKO-A610-MAH72MW</t>
  </si>
  <si>
    <t>7-54-404</t>
  </si>
  <si>
    <t>BATERIA RECARGABLE LITHIUM DL10 POWERBOX G2 (DYNESS)</t>
  </si>
  <si>
    <t>19-81-405</t>
  </si>
  <si>
    <t>GUANTE PRO NEGRO T-9</t>
  </si>
  <si>
    <t>PAR</t>
  </si>
  <si>
    <t>7-82-406</t>
  </si>
  <si>
    <t>AIRE ACONDICIONADO COMPLETO SPLIT D/PARED SU12H6 (SUNECO)</t>
  </si>
  <si>
    <t>8-27-407</t>
  </si>
  <si>
    <t>TORNILLO AUTOTALADRANTE CON C/HEXAGONAL - R/PARCIAL - ARANDELA CAUCHO 3X90mm  A/GALV.</t>
  </si>
  <si>
    <t>WURTH
RECA</t>
  </si>
  <si>
    <t>16-4-408</t>
  </si>
  <si>
    <t>ABRAZADERA ESPECIAL P/TUBO PVC 32mm</t>
  </si>
  <si>
    <t>20-83-409</t>
  </si>
  <si>
    <t>TAMIZ NYLON 16X85</t>
  </si>
  <si>
    <t>16-35-410</t>
  </si>
  <si>
    <t>INVERSOR C/RED TRIFASICO 10KTL3-HU 10KW SUPPLY C/BACKUP INCORPORADO Y PREPARADO PARA BATERIA APX (GROTWATT)</t>
  </si>
  <si>
    <t>21-84-411</t>
  </si>
  <si>
    <t>PAPEL BLANCO BOBLE CAPA PARA LIMPIEZA 2.5 KG</t>
  </si>
  <si>
    <t>0949702822509201375</t>
  </si>
  <si>
    <t>JAVI-HECTOR</t>
  </si>
  <si>
    <t>MARTHA</t>
  </si>
  <si>
    <t>MANUEL</t>
  </si>
  <si>
    <t>ZGQ0F6B1JA</t>
  </si>
  <si>
    <t>FUE SANTA</t>
  </si>
  <si>
    <t>MARTOS</t>
  </si>
  <si>
    <t>16-31-412</t>
  </si>
  <si>
    <t>CABLE UTP RJ45 1.8m (VICTRON ENERGY)</t>
  </si>
  <si>
    <t>HQ2526QXF42</t>
  </si>
  <si>
    <t>HQ2441TN9XZ
HQ232676FXU</t>
  </si>
  <si>
    <t>34903622508250292
34903622508270250</t>
  </si>
  <si>
    <t>REGLETA CONEXIÓN ELECTRICA 35mm NEGRA 12Puntos</t>
  </si>
  <si>
    <t>INCIDENCIAS</t>
  </si>
  <si>
    <t>ALMERIA</t>
  </si>
  <si>
    <t>MANUEL-JESUS</t>
  </si>
  <si>
    <t>HQ2526X66UK</t>
  </si>
  <si>
    <t>HECTOR</t>
  </si>
  <si>
    <t>MANUELA SERRANO MORENO</t>
  </si>
  <si>
    <t>INCIDENCIA (PEDRO VERMEJO)</t>
  </si>
  <si>
    <t>ARJONA</t>
  </si>
  <si>
    <t>0949702822509201373</t>
  </si>
  <si>
    <t>DYM6F7300R</t>
  </si>
  <si>
    <t>ANTONIO FONTANERO - TOMAS</t>
  </si>
  <si>
    <t>7-85-413</t>
  </si>
  <si>
    <t>UNIDAD EXTERIOR DE BAMBA DE CALOR WH-UD12HE5 (PANASONIC)</t>
  </si>
  <si>
    <t>5620010149</t>
  </si>
  <si>
    <t>DYM6F73037</t>
  </si>
  <si>
    <t>0949702822509202287</t>
  </si>
  <si>
    <t>PERETE-MANUEL</t>
  </si>
  <si>
    <t>#14031612302250600</t>
  </si>
  <si>
    <t>HECTOR-JAVI</t>
  </si>
  <si>
    <t>JAVI-PERETE-JESUS</t>
  </si>
  <si>
    <t>ILDEFONSO MORILLAS CAMORA</t>
  </si>
  <si>
    <t>HECTOR-TOMAS-MANUEL</t>
  </si>
  <si>
    <t>PEDRO BERMEJO AGUAYO</t>
  </si>
  <si>
    <t>HECTOR-MANUEL-PERETE</t>
  </si>
  <si>
    <t>SALVADOR JIMENEZ GOLZALEZ</t>
  </si>
  <si>
    <t>LINARES-BAEZA</t>
  </si>
  <si>
    <t>ANASTASIO</t>
  </si>
  <si>
    <t>FUENTE TOJAS-CORDOBA</t>
  </si>
  <si>
    <t>JAVI-MANUEL-PERETE</t>
  </si>
  <si>
    <t>RODRIGO ANTONIO GASIMANS VERA</t>
  </si>
  <si>
    <t>EL CHAPARRAL-GRANADA</t>
  </si>
  <si>
    <t>ROSA PARADO SERRANO</t>
  </si>
  <si>
    <t>JAVI - MANUEL</t>
  </si>
  <si>
    <t>HECTOR - PERETE</t>
  </si>
  <si>
    <t>ANASTASIO AGUILERA DIAZ</t>
  </si>
  <si>
    <t>FUENTE TOJAR-CORDOBA</t>
  </si>
  <si>
    <t>JAVI CARDENAS-TOMAS</t>
  </si>
  <si>
    <t>FRANCISCO ANARADE (PLACA-PLACA)</t>
  </si>
  <si>
    <t>PEÑARROTA PUEBLO NUEVO-CORDOBA</t>
  </si>
  <si>
    <t>MANUEL-PERETE-JESUS</t>
  </si>
  <si>
    <t>ANTONIO HERNANDEZ BALLESTEROS (PLACA - PLACA)</t>
  </si>
  <si>
    <t>GUADAHORTUNA-CORDOBA</t>
  </si>
  <si>
    <t>HECTOR-MANUEL-TOMAS</t>
  </si>
  <si>
    <t>MANUEL SERRANO MORENO</t>
  </si>
  <si>
    <t>HECTOR-ANTONIO-TOMAS</t>
  </si>
  <si>
    <t>SALVADOR JIMENEZ GONZALEZ</t>
  </si>
  <si>
    <t>PEDRO VERMEJO</t>
  </si>
  <si>
    <t>TIPO DE TRABAJO</t>
  </si>
  <si>
    <t>INCIDENCIA</t>
  </si>
  <si>
    <t>INSTALACION</t>
  </si>
  <si>
    <t>UNIDAD DE NEGOCIO</t>
  </si>
  <si>
    <t>FOTOVOLTAICA</t>
  </si>
  <si>
    <t>CALEFACCION</t>
  </si>
  <si>
    <t>ADECUACION DE AREA PARA INSTALACION.</t>
  </si>
  <si>
    <t>ANTONIO FONTA-TOMAS</t>
  </si>
  <si>
    <t>HECTOR-PERETE</t>
  </si>
  <si>
    <t>BAÑOS DE LA ENCIMA-JAEN</t>
  </si>
  <si>
    <t>JAVI-MANUEL</t>
  </si>
  <si>
    <t>JAVI-TOMAS</t>
  </si>
  <si>
    <t>JAVI-HECTOR-TOMAS</t>
  </si>
  <si>
    <t>AYUNTAMIENTO ESCAÑUELA</t>
  </si>
  <si>
    <t>CONSOLIDADO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</si>
</sst>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C0A]d\-mmm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2" fontId="0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0" fillId="0" borderId="0" xfId="2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2" fontId="0" fillId="2" borderId="0" xfId="1" applyNumberFormat="1" applyFont="1" applyFill="1" applyAlignment="1">
      <alignment horizontal="center" vertical="center"/>
    </xf>
    <xf numFmtId="2" fontId="0" fillId="2" borderId="1" xfId="0" applyNumberFormat="1" applyFill="1" applyBorder="1" applyAlignment="1">
      <alignment vertical="center" wrapText="1"/>
    </xf>
    <xf numFmtId="2" fontId="0" fillId="2" borderId="0" xfId="0" applyNumberFormat="1" applyFill="1" applyAlignment="1">
      <alignment vertical="center" wrapText="1"/>
    </xf>
    <xf numFmtId="2" fontId="0" fillId="0" borderId="0" xfId="1" applyNumberFormat="1" applyFont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4" fontId="10" fillId="6" borderId="1" xfId="2" applyNumberFormat="1" applyFont="1" applyFill="1" applyBorder="1" applyAlignment="1">
      <alignment horizontal="center" vertical="center" wrapText="1"/>
    </xf>
    <xf numFmtId="164" fontId="10" fillId="6" borderId="1" xfId="2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 wrapText="1"/>
    </xf>
    <xf numFmtId="164" fontId="5" fillId="4" borderId="2" xfId="2" applyNumberFormat="1" applyFont="1" applyFill="1" applyBorder="1" applyAlignment="1">
      <alignment horizontal="center" vertical="center"/>
    </xf>
    <xf numFmtId="164" fontId="5" fillId="4" borderId="2" xfId="2" applyNumberFormat="1" applyFont="1" applyFill="1" applyBorder="1" applyAlignment="1">
      <alignment horizontal="center" vertical="center" wrapText="1"/>
    </xf>
    <xf numFmtId="14" fontId="5" fillId="4" borderId="2" xfId="2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" fontId="11" fillId="6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5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vertical="center" wrapText="1"/>
    </xf>
    <xf numFmtId="2" fontId="0" fillId="0" borderId="0" xfId="1" applyNumberFormat="1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4" borderId="1" xfId="1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14" fontId="10" fillId="6" borderId="1" xfId="2" applyNumberFormat="1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6" borderId="1" xfId="2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164" fontId="10" fillId="8" borderId="1" xfId="2" applyNumberFormat="1" applyFont="1" applyFill="1" applyBorder="1" applyAlignment="1">
      <alignment horizontal="center" vertical="center" wrapText="1"/>
    </xf>
    <xf numFmtId="14" fontId="10" fillId="8" borderId="1" xfId="2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164" fontId="10" fillId="8" borderId="1" xfId="2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 vertical="center"/>
    </xf>
    <xf numFmtId="164" fontId="0" fillId="9" borderId="1" xfId="2" applyNumberFormat="1" applyFont="1" applyFill="1" applyBorder="1" applyAlignment="1">
      <alignment horizontal="center" vertical="center" wrapText="1"/>
    </xf>
    <xf numFmtId="164" fontId="0" fillId="9" borderId="1" xfId="2" applyNumberFormat="1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164" fontId="0" fillId="6" borderId="1" xfId="2" applyNumberFormat="1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4" fontId="0" fillId="8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6" borderId="1" xfId="2" applyNumberFormat="1" applyFont="1" applyFill="1" applyBorder="1" applyAlignment="1">
      <alignment horizontal="center" vertical="center" wrapText="1"/>
    </xf>
    <xf numFmtId="14" fontId="0" fillId="6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6" fontId="0" fillId="6" borderId="1" xfId="0" applyNumberForma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 wrapText="1"/>
    </xf>
    <xf numFmtId="164" fontId="0" fillId="8" borderId="1" xfId="2" applyNumberFormat="1" applyFont="1" applyFill="1" applyBorder="1" applyAlignment="1">
      <alignment horizontal="center" vertical="center" wrapText="1"/>
    </xf>
    <xf numFmtId="14" fontId="0" fillId="8" borderId="1" xfId="2" applyNumberFormat="1" applyFon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11" fillId="11" borderId="1" xfId="0" applyNumberFormat="1" applyFont="1" applyFill="1" applyBorder="1" applyAlignment="1">
      <alignment horizontal="center" vertical="center" wrapText="1"/>
    </xf>
    <xf numFmtId="164" fontId="0" fillId="11" borderId="1" xfId="2" applyNumberFormat="1" applyFont="1" applyFill="1" applyBorder="1" applyAlignment="1">
      <alignment horizontal="center" vertical="center" wrapText="1"/>
    </xf>
    <xf numFmtId="14" fontId="0" fillId="11" borderId="1" xfId="2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164" fontId="0" fillId="11" borderId="1" xfId="2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164" fontId="0" fillId="3" borderId="1" xfId="2" applyNumberFormat="1" applyFont="1" applyFill="1" applyBorder="1" applyAlignment="1">
      <alignment horizontal="center" vertical="center" wrapText="1"/>
    </xf>
    <xf numFmtId="14" fontId="0" fillId="3" borderId="1" xfId="2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164" fontId="5" fillId="4" borderId="1" xfId="2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vertical="center"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164" fontId="5" fillId="4" borderId="2" xfId="2" applyNumberFormat="1" applyFont="1" applyFill="1" applyBorder="1" applyAlignment="1">
      <alignment vertical="center" wrapText="1"/>
    </xf>
    <xf numFmtId="164" fontId="0" fillId="6" borderId="1" xfId="2" applyNumberFormat="1" applyFont="1" applyFill="1" applyBorder="1" applyAlignment="1">
      <alignment vertical="center"/>
    </xf>
    <xf numFmtId="1" fontId="0" fillId="6" borderId="1" xfId="0" applyNumberFormat="1" applyFill="1" applyBorder="1" applyAlignment="1">
      <alignment vertical="center"/>
    </xf>
    <xf numFmtId="164" fontId="0" fillId="8" borderId="1" xfId="2" applyNumberFormat="1" applyFont="1" applyFill="1" applyBorder="1" applyAlignment="1">
      <alignment vertical="center"/>
    </xf>
    <xf numFmtId="164" fontId="0" fillId="9" borderId="1" xfId="2" applyNumberFormat="1" applyFont="1" applyFill="1" applyBorder="1" applyAlignment="1">
      <alignment vertical="center"/>
    </xf>
    <xf numFmtId="164" fontId="0" fillId="8" borderId="1" xfId="2" applyNumberFormat="1" applyFont="1" applyFill="1" applyBorder="1" applyAlignment="1">
      <alignment vertical="center" wrapText="1"/>
    </xf>
    <xf numFmtId="164" fontId="0" fillId="11" borderId="1" xfId="2" applyNumberFormat="1" applyFont="1" applyFill="1" applyBorder="1" applyAlignment="1">
      <alignment vertical="center"/>
    </xf>
    <xf numFmtId="164" fontId="0" fillId="0" borderId="1" xfId="2" applyNumberFormat="1" applyFont="1" applyFill="1" applyBorder="1" applyAlignment="1">
      <alignment vertical="center"/>
    </xf>
    <xf numFmtId="164" fontId="0" fillId="0" borderId="0" xfId="2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pivotButton="1" applyBorder="1" applyAlignment="1">
      <alignment horizontal="center" vertical="center"/>
    </xf>
    <xf numFmtId="0" fontId="0" fillId="0" borderId="1" xfId="0" pivotButton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164" fontId="10" fillId="0" borderId="1" xfId="2" applyNumberFormat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left" vertical="center" wrapText="1"/>
    </xf>
    <xf numFmtId="14" fontId="0" fillId="0" borderId="1" xfId="2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12" fillId="0" borderId="0" xfId="2" applyNumberFormat="1" applyFont="1" applyFill="1" applyAlignment="1">
      <alignment horizontal="center" vertical="center"/>
    </xf>
    <xf numFmtId="14" fontId="12" fillId="0" borderId="0" xfId="2" applyNumberFormat="1" applyFont="1" applyFill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4" fontId="3" fillId="0" borderId="1" xfId="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164" fontId="3" fillId="5" borderId="1" xfId="2" applyNumberFormat="1" applyFont="1" applyFill="1" applyBorder="1" applyAlignment="1">
      <alignment horizontal="center" vertical="center" wrapText="1"/>
    </xf>
    <xf numFmtId="14" fontId="0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2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49" fontId="0" fillId="5" borderId="1" xfId="0" applyNumberForma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1" fontId="11" fillId="14" borderId="1" xfId="0" applyNumberFormat="1" applyFont="1" applyFill="1" applyBorder="1" applyAlignment="1">
      <alignment horizontal="center" vertical="center"/>
    </xf>
    <xf numFmtId="164" fontId="3" fillId="14" borderId="1" xfId="2" applyNumberFormat="1" applyFont="1" applyFill="1" applyBorder="1" applyAlignment="1">
      <alignment horizontal="center" vertical="center" wrapText="1"/>
    </xf>
    <xf numFmtId="164" fontId="0" fillId="14" borderId="1" xfId="2" applyNumberFormat="1" applyFont="1" applyFill="1" applyBorder="1" applyAlignment="1">
      <alignment horizontal="center" vertical="center"/>
    </xf>
    <xf numFmtId="14" fontId="0" fillId="14" borderId="1" xfId="2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164" fontId="0" fillId="14" borderId="1" xfId="2" applyNumberFormat="1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64" fontId="3" fillId="11" borderId="1" xfId="2" applyNumberFormat="1" applyFont="1" applyFill="1" applyBorder="1" applyAlignment="1">
      <alignment horizontal="center" vertical="center" wrapText="1"/>
    </xf>
    <xf numFmtId="14" fontId="0" fillId="11" borderId="1" xfId="2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" fontId="11" fillId="15" borderId="1" xfId="0" applyNumberFormat="1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 wrapText="1"/>
    </xf>
    <xf numFmtId="164" fontId="3" fillId="15" borderId="1" xfId="2" applyNumberFormat="1" applyFont="1" applyFill="1" applyBorder="1" applyAlignment="1">
      <alignment horizontal="center" vertical="center" wrapText="1"/>
    </xf>
    <xf numFmtId="164" fontId="10" fillId="15" borderId="1" xfId="2" applyNumberFormat="1" applyFont="1" applyFill="1" applyBorder="1" applyAlignment="1">
      <alignment horizontal="center" vertical="center" wrapText="1"/>
    </xf>
    <xf numFmtId="14" fontId="0" fillId="15" borderId="1" xfId="2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64" fontId="0" fillId="15" borderId="1" xfId="2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pivotButton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vertical="center" wrapText="1"/>
    </xf>
    <xf numFmtId="14" fontId="10" fillId="0" borderId="1" xfId="2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4" fontId="10" fillId="0" borderId="1" xfId="2" applyNumberFormat="1" applyFont="1" applyFill="1" applyBorder="1" applyAlignment="1">
      <alignment vertical="center"/>
    </xf>
    <xf numFmtId="1" fontId="11" fillId="0" borderId="1" xfId="0" applyNumberFormat="1" applyFont="1" applyBorder="1" applyAlignment="1">
      <alignment vertical="center"/>
    </xf>
    <xf numFmtId="164" fontId="0" fillId="0" borderId="1" xfId="2" applyNumberFormat="1" applyFont="1" applyFill="1" applyBorder="1" applyAlignment="1">
      <alignment vertical="center" wrapText="1"/>
    </xf>
    <xf numFmtId="164" fontId="5" fillId="4" borderId="1" xfId="2" applyNumberFormat="1" applyFont="1" applyFill="1" applyBorder="1" applyAlignment="1">
      <alignment horizontal="center" vertical="center" wrapText="1"/>
    </xf>
    <xf numFmtId="164" fontId="0" fillId="5" borderId="1" xfId="2" applyNumberFormat="1" applyFont="1" applyFill="1" applyBorder="1" applyAlignment="1">
      <alignment horizontal="center" vertical="center" wrapText="1"/>
    </xf>
    <xf numFmtId="164" fontId="0" fillId="14" borderId="1" xfId="2" applyNumberFormat="1" applyFont="1" applyFill="1" applyBorder="1" applyAlignment="1">
      <alignment horizontal="center" vertical="center" wrapText="1"/>
    </xf>
    <xf numFmtId="164" fontId="0" fillId="15" borderId="1" xfId="2" applyNumberFormat="1" applyFont="1" applyFill="1" applyBorder="1" applyAlignment="1">
      <alignment horizontal="center" vertical="center" wrapText="1"/>
    </xf>
    <xf numFmtId="164" fontId="12" fillId="0" borderId="0" xfId="2" applyNumberFormat="1" applyFont="1" applyFill="1" applyAlignment="1">
      <alignment horizontal="center" vertical="center" wrapText="1"/>
    </xf>
    <xf numFmtId="164" fontId="0" fillId="0" borderId="0" xfId="2" applyNumberFormat="1" applyFont="1" applyFill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4" fontId="0" fillId="6" borderId="1" xfId="2" applyNumberFormat="1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164" fontId="0" fillId="6" borderId="1" xfId="2" applyNumberFormat="1" applyFont="1" applyFill="1" applyBorder="1" applyAlignment="1">
      <alignment vertical="center" wrapText="1"/>
    </xf>
    <xf numFmtId="164" fontId="3" fillId="6" borderId="1" xfId="2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64" fontId="10" fillId="9" borderId="1" xfId="2" applyNumberFormat="1" applyFont="1" applyFill="1" applyBorder="1" applyAlignment="1">
      <alignment horizontal="center" vertical="center" wrapText="1"/>
    </xf>
    <xf numFmtId="14" fontId="0" fillId="9" borderId="1" xfId="2" applyNumberFormat="1" applyFont="1" applyFill="1" applyBorder="1" applyAlignment="1">
      <alignment horizontal="center" vertical="center" wrapText="1"/>
    </xf>
    <xf numFmtId="164" fontId="3" fillId="9" borderId="1" xfId="2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7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C Renovables" refreshedDate="46093.564227893519" createdVersion="8" refreshedVersion="8" minRefreshableVersion="3" recordCount="506" xr:uid="{24464234-EF06-4934-847F-6CE66AEFA172}">
  <cacheSource type="worksheet">
    <worksheetSource ref="M2:S508" sheet="SALI FEBRE 2026"/>
  </cacheSource>
  <cacheFields count="7">
    <cacheField name="CODIGO" numFmtId="0">
      <sharedItems count="94">
        <s v="13-22-184"/>
        <s v="6-23-192"/>
        <s v="14-24-193"/>
        <s v="3-31-209"/>
        <s v="3-31-210"/>
        <s v="3-31-212"/>
        <s v="3-31-213"/>
        <s v="9-32-223"/>
        <s v="4-15-267"/>
        <s v="10-42-268"/>
        <s v="10-15-269"/>
        <s v="13-25-255"/>
        <s v="10-43-270"/>
        <s v="17-44-271"/>
        <s v="17-44-272"/>
        <s v="7-35-274"/>
        <s v="16-45-275"/>
        <s v="16-45-276"/>
        <s v="3-31-277"/>
        <s v="3-31-278"/>
        <s v="16-46-279"/>
        <s v="3-31-222"/>
        <s v="3-31-221"/>
        <s v="3-31-220"/>
        <s v="3-31-219"/>
        <s v="3-31-218"/>
        <s v="16-47-280"/>
        <s v="16-48-281"/>
        <s v="16-49-282"/>
        <s v="16-50-283"/>
        <s v="16-51-284"/>
        <s v="16-52-285"/>
        <s v="13-21-181"/>
        <s v="13-22-183"/>
        <s v="10-37-232"/>
        <s v="10-37-315"/>
        <s v="16-45-294"/>
        <s v="16-45-317"/>
        <s v="16-47-318"/>
        <s v="16-52-319"/>
        <s v="16-45-299"/>
        <s v="16-31-320"/>
        <s v="8-27-321"/>
        <s v="16-59-322"/>
        <s v="9-2-291"/>
        <s v="7-38-247"/>
        <s v="7-54-323"/>
        <s v="16-60-324"/>
        <s v="16-60-325"/>
        <s v="4-15-326"/>
        <s v="7-35-327"/>
        <s v="7-36-231"/>
        <s v="16-53-290"/>
        <s v="16-52-293"/>
        <s v="16-49-288"/>
        <s v="16-51-309"/>
        <s v="16-53-289"/>
        <s v="3-31-211"/>
        <s v="7-35-286"/>
        <s v="7-54-295"/>
        <s v="9-32-224"/>
        <s v="16-52-292"/>
        <s v="16-56-303"/>
        <s v="16-56-302"/>
        <s v="16-53-328"/>
        <s v="ANULADO"/>
        <s v="10-42-329"/>
        <s v="10-37-330"/>
        <s v="16-61-331"/>
        <s v="16-61-332"/>
        <s v="8-64-358"/>
        <s v="16-50-380"/>
        <s v="13-67-381"/>
        <s v="13-67-382"/>
        <s v="13-23-191"/>
        <s v="13-23-187"/>
        <s v="10-37-287"/>
        <s v="10-37-316"/>
        <s v="7-38-248"/>
        <s v="16-63-357"/>
        <s v="16-50-314"/>
        <s v="13-23-190"/>
        <s v="16-33-369"/>
        <s v="16-45-383"/>
        <s v="16-13-372"/>
        <s v="10-34-227"/>
        <s v="16-31-412"/>
        <s v="8-27-203"/>
        <s v="16-76-397"/>
        <s v="17-44-273"/>
        <s v="20-83-409"/>
        <s v="7-85-413"/>
        <s v="--" u="1"/>
        <s v="7-38-245" u="1"/>
      </sharedItems>
    </cacheField>
    <cacheField name="DESCRIPCION" numFmtId="0">
      <sharedItems containsMixedTypes="1" containsNumber="1" containsInteger="1" minValue="0" maxValue="0" count="93">
        <s v="BRIDA P/EXTERIOR NEGRA"/>
        <s v="CINTA ACERO PERFORADA PARA MONTAJE "/>
        <s v="DISCO CORTE ACERO/INOX A1 2EN1"/>
        <s v="CABLE Nª 6 C/ALTERNA MARRON"/>
        <s v="CABLE Nª 6 C/ALTERNA GRIS"/>
        <s v="CABLE Nª 6 C/ALTERNA AZUL"/>
        <s v="CABLE Nª 6 C/ALTERNA NEGRO"/>
        <s v="CURVA PVC M-25 GRIS TIPO A"/>
        <s v="BARRA PERFORADA PARA REFUERZO 20X10X2MT GALV."/>
        <s v="PATA ALUMINIO PARA ESTRUCTURA PLACA SOLAR ANGULO 30º"/>
        <s v="BARRA ALUMINIO PARA ESTRUCTURA  3.60mt"/>
        <s v="ANCLAJE PLASTICO MULTIUSO C/COLLARIN 10X61MM"/>
        <s v="EMPALME ALUMINIO P/BARRA"/>
        <s v="SELLANTE QUIMICO BLANCO"/>
        <s v="SELLANTE QUIMICO GRIS"/>
        <s v="INVERSOR HIBRIDO MONOFASICO SPE 10000ES 10KW BATER. BAJO VOLTAJE Y BACKUP INCORP. (GROWATT)"/>
        <s v="CAJA DISTRIBUCION INTERIOR 18 ELEM. (SOLERA)"/>
        <s v="CAJA ESTANCA (COCHERA) EXTERIOR 18PT (IDE)"/>
        <s v="CABLE Nª 6 P/PLACA SOLAR NEGRO"/>
        <s v="CABLE Nª 6 P/PLACA SOLAR ROJO"/>
        <s v="MANGUERA CORRUGADA 25mm NEGRA"/>
        <s v="CABLE Nª 10 C/ALTERNA NEGRO"/>
        <s v="CABLE Nª 10 C/ALTERNA AZUL"/>
        <s v="CABLE Nª 10 C/ALTERNA GRIS"/>
        <s v="CABLE Nª 10 C/ALTERNA MARRON"/>
        <s v="CABLE Nª 10 C/ALTERNA VERDE/AMARILLO"/>
        <s v="DIFERENCIAL EPR2A063030 2P-63A-30mA (MAXGE)"/>
        <s v="PORTA FUSIBLE SGF-32-DC (MAXGE)"/>
        <s v="CONTACTOR MODULAR RV32 (REVALCO)"/>
        <s v="FUSIBLE 32A-1000VDC (SASSIN)"/>
        <s v="LIMITADOR MONOFASICO 3SU1 15/30kA-275V (SASSIN)"/>
        <s v="TERMICO EPBE63M1NC63 1P+N C63 (MAXGE)"/>
        <s v="TACO P/BRIDA NEGRO"/>
        <s v="BRIDA P/INTERIOR NEGRA"/>
        <s v="SOPORTE CENTRAL NEGRO"/>
        <s v="SOPORTE FINAL NEGRO"/>
        <s v="CAJA DE ESTANCA 133X180X80 EV161 (IDE)"/>
        <s v="CAJA DISTRIBUCION INTERIOR 8 ELEM. (SOLERA)"/>
        <s v="DIFERENCIAL EPR2A040030 2P-40A-30mA (MAXGE)"/>
        <s v="TERMICO EPBE63M1NC25 1P+N C25 (MAXGE)"/>
        <s v="CAJA ESTANCA (COCHERA) EXTERIOR 8PT (IDE)"/>
        <s v="JUEGO CABLE PARA BATERIA DE LITIO B4850 "/>
        <s v="TORNILLO AUTOTALADRANTE CON C/HEXAGONAL - R/PARCIAL - ARANDELA CAUCHO 6X120mm  A/GALV."/>
        <s v="CLAVIJA CAUCHO NEGRA 10/16A"/>
        <s v="TUBO ELECTRICO PVC 25mm - 3mt(AISCAN)"/>
        <s v="PLACA SOLAR JAM60D42-535LB 535W / 44.13V"/>
        <s v="BATERIA LPF LITHIUM B3 (DYNESS)"/>
        <s v="REGLETA CONEXIÓN ELECTRICA 35mm NEGRA 12Puntos"/>
        <s v="REGLETA CONEXIÓN ELECTRICA 16mm NEGRA"/>
        <s v="BARRA PERFORADA PARA REFUERZO 27x18x2MT GALV."/>
        <s v="INVERSOR 48/5000/70-50-230V MULTIPLUS (VICTROM ENERGY)  "/>
        <s v="CONTROLADOR SMART SOLAR MPPT 250/100-TR VICTROM ENERGY"/>
        <s v="PINCHO DE COMUNICACIÓN WIFI SHINEWILAN X2 (GROWATT)"/>
        <s v="TERMICO EPBE63M1NC63M1NC32 1P+N C32 (MAXGE)"/>
        <s v="CONTACTOR MODULAR EPC1-6322-P7 (MAXGE)"/>
        <s v="LIMITADOR MONOFASICO EPS1 C/2 - 275-40 (MAXGE)"/>
        <s v="PINCHO DE COMUNICACIÓN WIFI SHINEWILAN X (GROWATT)"/>
        <s v="CABLE Nª 6 C/ALTERNA VERDE/AMARILLO"/>
        <s v="INVERSOR SPH 6000TL BL-UP 6KW (GROWATT)"/>
        <s v="BATERIA LFP LITHIUM DL5.OC (DYNESS)"/>
        <s v="CURVA PVC M-25 GRIS TIPO B"/>
        <s v="TERMICO EPBE63M1NC63M1NC40 1P+N C40 (MAXGE)"/>
        <s v="METER MONOFASICO 230/161-276Vac (GROWATT)"/>
        <s v="METER TRIFASICO 230/400Vac (GROWATT)"/>
        <s v="PINCHO DE COMUNICACIÓN WIFI SHINErfsTICK- X  BLANCO (GROWATT)"/>
        <s v="ANULADO"/>
        <s v="PATA ALUMINIO PARA ESTRUCTURA PLACA SOLAR VELA ANGULO 15º"/>
        <s v="SOPORTE EN L ALUMINIO GRIS"/>
        <s v="CONECTOR FOTOVOLTAICO HEMBRA M4 NEGRO"/>
        <s v="CONECTOR FOTOVOLTAICO MACHO M4 NEGRO"/>
        <s v="BARILLA ROSCADA M8 A/GALV X1000"/>
        <s v="FUSIBLE 25A"/>
        <s v="CANALETA PLASTICA 40X40"/>
        <s v="CANALETA PLASTICA 60X40"/>
        <s v="CINTA NEGRA AISLANTE PVC 19MM"/>
        <s v="CINTA VERDE AMARILLA AISLANTE PVC 19MM"/>
        <s v="SOPORTE CENTRAL GRIS"/>
        <s v="SOPORTE FINAL GRIS"/>
        <s v="PLACA SOLAR TSM-505NEG 18R.28 505W / 33.5V"/>
        <s v="TORO IDAL CURRENT TRANSFORMER 100A:50mA For MULTIPLUS-II (VICTRON ENERGY)"/>
        <s v="FUSIBLE MG10PV32A (MAXGE)"/>
        <s v="CINTA BLANCA AISLANTE PVC 19MM"/>
        <s v="OPTIMIZADOR TS4-A-O (TIGO)"/>
        <s v="CAJA BLANCA P/BATERIA (DYNNES) "/>
        <s v="KIT CABLE BATERIA ARK"/>
        <s v="MICRORAIL 2X30 PERFORADO"/>
        <s v="CABLE UTP RJ45 1.8m (VICTRON ENERGY)"/>
        <s v="TORNILLO A/GALVANIZADO CON C/HEZAGONAL, R/COMPLETA, C/ARANDELA Y AUTOTALADRANTE 6.3X90"/>
        <s v="RACK MURAL S.ABI1260 12U 635X600X600mm"/>
        <s v="SELLANTE QUIMICO TACO"/>
        <s v="TAMIZ NYLON 16X85"/>
        <s v="UNIDAD EXTERIOR DE BAMBA DE CALOR WH-UD12HE5 (PANASONIC)"/>
        <n v="0" u="1"/>
      </sharedItems>
    </cacheField>
    <cacheField name="UND MEDIDA" numFmtId="0">
      <sharedItems containsMixedTypes="1" containsNumber="1" containsInteger="1" minValue="0" maxValue="0" count="4">
        <s v="UND"/>
        <s v="MT"/>
        <s v="ANULADO"/>
        <n v="0" u="1"/>
      </sharedItems>
    </cacheField>
    <cacheField name="CANT. ENTREGADA" numFmtId="0">
      <sharedItems containsMixedTypes="1" containsNumber="1" minValue="1" maxValue="300"/>
    </cacheField>
    <cacheField name="NOTA" numFmtId="0">
      <sharedItems containsBlank="1"/>
    </cacheField>
    <cacheField name="SERIAL" numFmtId="0">
      <sharedItems containsBlank="1" containsMixedTypes="1" containsNumber="1" containsInteger="1" minValue="9.4970282250920102E+17" maxValue="9.4970282250920102E+17"/>
    </cacheField>
    <cacheField name="CANT. DEVOLUC." numFmtId="0">
      <sharedItems containsString="0" containsBlank="1" containsNumber="1" minValue="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C Renovables" refreshedDate="46093.565390277778" createdVersion="8" refreshedVersion="8" minRefreshableVersion="3" recordCount="554" xr:uid="{1DE84706-E7F5-4539-85BF-94414927D4B5}">
  <cacheSource type="worksheet">
    <worksheetSource ref="A2:S556" sheet="SALI FEBRE 2026"/>
  </cacheSource>
  <cacheFields count="19">
    <cacheField name="LINEA" numFmtId="0">
      <sharedItems containsSemiMixedTypes="0" containsString="0" containsNumber="1" containsInteger="1" minValue="1" maxValue="554"/>
    </cacheField>
    <cacheField name="# FORMT. ALISTAM." numFmtId="0">
      <sharedItems containsSemiMixedTypes="0" containsString="0" containsNumber="1" containsInteger="1" minValue="1" maxValue="32"/>
    </cacheField>
    <cacheField name="PARTE TRABAJO #" numFmtId="1">
      <sharedItems containsBlank="1" containsMixedTypes="1" containsNumber="1" containsInteger="1" minValue="2" maxValue="32"/>
    </cacheField>
    <cacheField name="UNIDAD DE NEGOCIO" numFmtId="1">
      <sharedItems containsBlank="1"/>
    </cacheField>
    <cacheField name="TIPO DE TRABAJO" numFmtId="1">
      <sharedItems containsBlank="1"/>
    </cacheField>
    <cacheField name="CLEINTE" numFmtId="0">
      <sharedItems/>
    </cacheField>
    <cacheField name="CIUDAD" numFmtId="0">
      <sharedItems containsBlank="1"/>
    </cacheField>
    <cacheField name="TECNICOS RESPONSABLE" numFmtId="0">
      <sharedItems/>
    </cacheField>
    <cacheField name="FECHA DE CARGUE" numFmtId="0">
      <sharedItems containsDate="1" containsMixedTypes="1" minDate="2026-02-02T00:00:00" maxDate="2026-10-12T00:00:00"/>
    </cacheField>
    <cacheField name="GRUPO" numFmtId="0">
      <sharedItems containsMixedTypes="1" containsNumber="1" containsInteger="1" minValue="3" maxValue="20"/>
    </cacheField>
    <cacheField name="ELEM" numFmtId="0">
      <sharedItems containsMixedTypes="1" containsNumber="1" containsInteger="1" minValue="2" maxValue="85"/>
    </cacheField>
    <cacheField name="ITEM" numFmtId="0">
      <sharedItems containsMixedTypes="1" containsNumber="1" containsInteger="1" minValue="181" maxValue="413"/>
    </cacheField>
    <cacheField name="CODIGO" numFmtId="0">
      <sharedItems count="94">
        <s v="13-22-184"/>
        <s v="6-23-192"/>
        <s v="14-24-193"/>
        <s v="3-31-209"/>
        <s v="3-31-210"/>
        <s v="3-31-212"/>
        <s v="3-31-213"/>
        <s v="9-32-223"/>
        <s v="4-15-267"/>
        <s v="10-42-268"/>
        <s v="10-15-269"/>
        <s v="13-25-255"/>
        <s v="10-43-270"/>
        <s v="17-44-271"/>
        <s v="17-44-272"/>
        <s v="7-35-274"/>
        <s v="16-45-275"/>
        <s v="16-45-276"/>
        <s v="3-31-277"/>
        <s v="3-31-278"/>
        <s v="16-46-279"/>
        <s v="3-31-222"/>
        <s v="3-31-221"/>
        <s v="3-31-220"/>
        <s v="3-31-219"/>
        <s v="3-31-218"/>
        <s v="16-47-280"/>
        <s v="16-48-281"/>
        <s v="16-49-282"/>
        <s v="16-50-283"/>
        <s v="16-51-284"/>
        <s v="16-52-285"/>
        <s v="13-21-181"/>
        <s v="13-22-183"/>
        <s v="10-37-232"/>
        <s v="10-37-315"/>
        <s v="16-45-294"/>
        <s v="16-45-317"/>
        <s v="16-47-318"/>
        <s v="16-52-319"/>
        <s v="16-45-299"/>
        <s v="16-31-320"/>
        <s v="8-27-321"/>
        <s v="16-59-322"/>
        <s v="9-2-291"/>
        <s v="7-38-247"/>
        <s v="7-54-323"/>
        <s v="16-60-324"/>
        <s v="16-60-325"/>
        <s v="4-15-326"/>
        <s v="7-35-327"/>
        <s v="7-36-231"/>
        <s v="16-53-290"/>
        <s v="16-52-293"/>
        <s v="16-49-288"/>
        <s v="16-51-309"/>
        <s v="16-53-289"/>
        <s v="3-31-211"/>
        <s v="7-35-286"/>
        <s v="7-54-295"/>
        <s v="9-32-224"/>
        <s v="16-52-292"/>
        <s v="16-56-303"/>
        <s v="16-56-302"/>
        <s v="16-53-328"/>
        <s v="ANULADO"/>
        <s v="10-42-329"/>
        <s v="10-37-330"/>
        <s v="16-61-331"/>
        <s v="16-61-332"/>
        <s v="8-64-358"/>
        <s v="16-50-380"/>
        <s v="13-67-381"/>
        <s v="13-67-382"/>
        <s v="13-23-191"/>
        <s v="13-23-187"/>
        <s v="10-37-287"/>
        <s v="10-37-316"/>
        <s v="7-38-248"/>
        <s v="16-63-357"/>
        <s v="16-50-314"/>
        <s v="13-23-190"/>
        <s v="16-33-369"/>
        <s v="16-45-383"/>
        <s v="16-13-372"/>
        <s v="10-34-227"/>
        <s v="16-31-412"/>
        <s v="8-27-203"/>
        <s v="16-76-397"/>
        <s v="17-44-273"/>
        <s v="20-83-409"/>
        <s v="7-85-413"/>
        <s v="13-23-186"/>
        <s v="--" u="1"/>
      </sharedItems>
    </cacheField>
    <cacheField name="DESCRIPCION" numFmtId="0">
      <sharedItems containsMixedTypes="1" containsNumber="1" containsInteger="1" minValue="0" maxValue="0" count="94">
        <s v="BRIDA P/EXTERIOR NEGRA"/>
        <s v="CINTA ACERO PERFORADA PARA MONTAJE "/>
        <s v="DISCO CORTE ACERO/INOX A1 2EN1"/>
        <s v="CABLE Nª 6 C/ALTERNA MARRON"/>
        <s v="CABLE Nª 6 C/ALTERNA GRIS"/>
        <s v="CABLE Nª 6 C/ALTERNA AZUL"/>
        <s v="CABLE Nª 6 C/ALTERNA NEGRO"/>
        <s v="CURVA PVC M-25 GRIS TIPO A"/>
        <s v="BARRA PERFORADA PARA REFUERZO 20X10X2MT GALV."/>
        <s v="PATA ALUMINIO PARA ESTRUCTURA PLACA SOLAR ANGULO 30º"/>
        <s v="BARRA ALUMINIO PARA ESTRUCTURA  3.60mt"/>
        <s v="ANCLAJE PLASTICO MULTIUSO C/COLLARIN 10X61MM"/>
        <s v="EMPALME ALUMINIO P/BARRA"/>
        <s v="SELLANTE QUIMICO BLANCO"/>
        <s v="SELLANTE QUIMICO GRIS"/>
        <s v="INVERSOR HIBRIDO MONOFASICO SPE 10000ES 10KW BATER. BAJO VOLTAJE Y BACKUP INCORP. (GROWATT)"/>
        <s v="CAJA DISTRIBUCION INTERIOR 18 ELEM. (SOLERA)"/>
        <s v="CAJA ESTANCA (COCHERA) EXTERIOR 18PT (IDE)"/>
        <s v="CABLE Nª 6 P/PLACA SOLAR NEGRO"/>
        <s v="CABLE Nª 6 P/PLACA SOLAR ROJO"/>
        <s v="MANGUERA CORRUGADA 25mm NEGRA"/>
        <s v="CABLE Nª 10 C/ALTERNA NEGRO"/>
        <s v="CABLE Nª 10 C/ALTERNA AZUL"/>
        <s v="CABLE Nª 10 C/ALTERNA GRIS"/>
        <s v="CABLE Nª 10 C/ALTERNA MARRON"/>
        <s v="CABLE Nª 10 C/ALTERNA VERDE/AMARILLO"/>
        <s v="DIFERENCIAL EPR2A063030 2P-63A-30mA (MAXGE)"/>
        <s v="PORTA FUSIBLE SGF-32-DC (MAXGE)"/>
        <s v="CONTACTOR MODULAR RV32 (REVALCO)"/>
        <s v="FUSIBLE 32A-1000VDC (SASSIN)"/>
        <s v="LIMITADOR MONOFASICO 3SU1 15/30kA-275V (SASSIN)"/>
        <s v="TERMICO EPBE63M1NC63 1P+N C63 (MAXGE)"/>
        <s v="TACO P/BRIDA NEGRO"/>
        <s v="BRIDA P/INTERIOR NEGRA"/>
        <s v="SOPORTE CENTRAL NEGRO"/>
        <s v="SOPORTE FINAL NEGRO"/>
        <s v="CAJA DE ESTANCA 133X180X80 EV161 (IDE)"/>
        <s v="CAJA DISTRIBUCION INTERIOR 8 ELEM. (SOLERA)"/>
        <s v="DIFERENCIAL EPR2A040030 2P-40A-30mA (MAXGE)"/>
        <s v="TERMICO EPBE63M1NC25 1P+N C25 (MAXGE)"/>
        <s v="CAJA ESTANCA (COCHERA) EXTERIOR 8PT (IDE)"/>
        <s v="JUEGO CABLE PARA BATERIA DE LITIO B4850 "/>
        <s v="TORNILLO AUTOTALADRANTE CON C/HEXAGONAL - R/PARCIAL - ARANDELA CAUCHO 6X120mm  A/GALV."/>
        <s v="CLAVIJA CAUCHO NEGRA 10/16A"/>
        <s v="TUBO ELECTRICO PVC 25mm - 3mt(AISCAN)"/>
        <s v="PLACA SOLAR JAM60D42-535LB 535W / 44.13V"/>
        <s v="BATERIA LPF LITHIUM B3 (DYNESS)"/>
        <s v="REGLETA CONEXIÓN ELECTRICA 35mm NEGRA 12Puntos"/>
        <s v="REGLETA CONEXIÓN ELECTRICA 16mm NEGRA"/>
        <s v="BARRA PERFORADA PARA REFUERZO 27x18x2MT GALV."/>
        <s v="INVERSOR 48/5000/70-50-230V MULTIPLUS (VICTROM ENERGY)  "/>
        <s v="CONTROLADOR SMART SOLAR MPPT 250/100-TR VICTROM ENERGY"/>
        <s v="PINCHO DE COMUNICACIÓN WIFI SHINEWILAN X2 (GROWATT)"/>
        <s v="TERMICO EPBE63M1NC63M1NC32 1P+N C32 (MAXGE)"/>
        <s v="CONTACTOR MODULAR EPC1-6322-P7 (MAXGE)"/>
        <s v="LIMITADOR MONOFASICO EPS1 C/2 - 275-40 (MAXGE)"/>
        <s v="PINCHO DE COMUNICACIÓN WIFI SHINEWILAN X (GROWATT)"/>
        <s v="CABLE Nª 6 C/ALTERNA VERDE/AMARILLO"/>
        <s v="INVERSOR SPH 6000TL BL-UP 6KW (GROWATT)"/>
        <s v="BATERIA LFP LITHIUM DL5.OC (DYNESS)"/>
        <s v="CURVA PVC M-25 GRIS TIPO B"/>
        <s v="TERMICO EPBE63M1NC63M1NC40 1P+N C40 (MAXGE)"/>
        <s v="METER MONOFASICO 230/161-276Vac (GROWATT)"/>
        <s v="METER TRIFASICO 230/400Vac (GROWATT)"/>
        <s v="PINCHO DE COMUNICACIÓN WIFI SHINErfsTICK- X  BLANCO (GROWATT)"/>
        <s v="ANULADO"/>
        <s v="PATA ALUMINIO PARA ESTRUCTURA PLACA SOLAR VELA ANGULO 15º"/>
        <s v="SOPORTE EN L ALUMINIO GRIS"/>
        <s v="CONECTOR FOTOVOLTAICO HEMBRA M4 NEGRO"/>
        <s v="CONECTOR FOTOVOLTAICO MACHO M4 NEGRO"/>
        <s v="BARILLA ROSCADA M8 A/GALV X1000"/>
        <s v="FUSIBLE 25A"/>
        <s v="CANALETA PLASTICA 40X40"/>
        <s v="CANALETA PLASTICA 60X40"/>
        <s v="CINTA NEGRA AISLANTE PVC 19MM"/>
        <s v="CINTA VERDE AMARILLA AISLANTE PVC 19MM"/>
        <s v="SOPORTE CENTRAL GRIS"/>
        <s v="SOPORTE FINAL GRIS"/>
        <s v="PLACA SOLAR TSM-505NEG 18R.28 505W / 33.5V"/>
        <s v="TORO IDAL CURRENT TRANSFORMER 100A:50mA For MULTIPLUS-II (VICTRON ENERGY)"/>
        <s v="FUSIBLE MG10PV32A (MAXGE)"/>
        <s v="CINTA BLANCA AISLANTE PVC 19MM"/>
        <s v="OPTIMIZADOR TS4-A-O (TIGO)"/>
        <s v="CAJA BLANCA P/BATERIA (DYNNES) "/>
        <s v="KIT CABLE BATERIA ARK"/>
        <s v="MICRORAIL 2X30 PERFORADO"/>
        <s v="CABLE UTP RJ45 1.8m (VICTRON ENERGY)"/>
        <s v="TORNILLO A/GALVANIZADO CON C/HEZAGONAL, R/COMPLETA, C/ARANDELA Y AUTOTALADRANTE 6.3X90"/>
        <s v="RACK MURAL S.ABI1260 12U 635X600X600mm"/>
        <s v="SELLANTE QUIMICO TACO"/>
        <s v="TAMIZ NYLON 16X85"/>
        <s v="UNIDAD EXTERIOR DE BAMBA DE CALOR WH-UD12HE5 (PANASONIC)"/>
        <s v="CINTA NEGRA AISLANTE PVC 50MM"/>
        <n v="0" u="1"/>
      </sharedItems>
    </cacheField>
    <cacheField name="UND MEDIDA" numFmtId="0">
      <sharedItems containsMixedTypes="1" containsNumber="1" containsInteger="1" minValue="0" maxValue="0" count="4">
        <s v="UND"/>
        <s v="MT"/>
        <s v="ANULADO"/>
        <n v="0" u="1"/>
      </sharedItems>
    </cacheField>
    <cacheField name="CANT. ENTREGADA" numFmtId="0">
      <sharedItems containsString="0" containsBlank="1" containsNumber="1" minValue="1" maxValue="300"/>
    </cacheField>
    <cacheField name="NOTA" numFmtId="0">
      <sharedItems containsBlank="1"/>
    </cacheField>
    <cacheField name="SERIAL" numFmtId="0">
      <sharedItems containsBlank="1" containsMixedTypes="1" containsNumber="1" containsInteger="1" minValue="9.4970282250920102E+17" maxValue="9.4970282250920102E+17"/>
    </cacheField>
    <cacheField name="CANT. DEVOLUC." numFmtId="0">
      <sharedItems containsString="0" containsBlank="1" containsNumber="1" minValue="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x v="0"/>
    <x v="0"/>
    <x v="0"/>
    <n v="100"/>
    <s v="INSTALACION DE INTERCAMBIADOR SPE 10KW"/>
    <m/>
    <n v="50"/>
  </r>
  <r>
    <x v="1"/>
    <x v="1"/>
    <x v="0"/>
    <n v="2"/>
    <s v="INSTALACION DE INTERCAMBIADOR SPE 10KW"/>
    <m/>
    <n v="2"/>
  </r>
  <r>
    <x v="2"/>
    <x v="2"/>
    <x v="0"/>
    <n v="1"/>
    <s v="INSTALACION DE INTERCAMBIADOR SPE 10KW"/>
    <m/>
    <n v="1"/>
  </r>
  <r>
    <x v="3"/>
    <x v="3"/>
    <x v="1"/>
    <n v="100"/>
    <s v="INSTALACION DE INTERCAMBIADOR SPE 10KW"/>
    <m/>
    <n v="100"/>
  </r>
  <r>
    <x v="4"/>
    <x v="4"/>
    <x v="1"/>
    <n v="100"/>
    <s v="INSTALACION DE INTERCAMBIADOR SPE 10KW"/>
    <m/>
    <n v="100"/>
  </r>
  <r>
    <x v="5"/>
    <x v="5"/>
    <x v="1"/>
    <n v="100"/>
    <s v="INSTALACION DE INTERCAMBIADOR SPE 10KW"/>
    <m/>
    <n v="100"/>
  </r>
  <r>
    <x v="6"/>
    <x v="6"/>
    <x v="1"/>
    <n v="100"/>
    <s v="INSTALACION DE INTERCAMBIADOR SPE 10KW"/>
    <m/>
    <n v="100"/>
  </r>
  <r>
    <x v="7"/>
    <x v="7"/>
    <x v="0"/>
    <n v="60"/>
    <s v="INSTALACION DE INTERCAMBIADOR SPE 10KW"/>
    <m/>
    <n v="22"/>
  </r>
  <r>
    <x v="8"/>
    <x v="8"/>
    <x v="0"/>
    <n v="30"/>
    <s v="INSTALACION DE INTERCAMBIADOR SPE 10KW"/>
    <m/>
    <m/>
  </r>
  <r>
    <x v="9"/>
    <x v="9"/>
    <x v="0"/>
    <n v="20"/>
    <s v="INSTALACION DE INTERCAMBIADOR SPE 10KW"/>
    <m/>
    <n v="10"/>
  </r>
  <r>
    <x v="10"/>
    <x v="10"/>
    <x v="0"/>
    <n v="20"/>
    <s v="INSTALACION DE INTERCAMBIADOR SPE 10KW"/>
    <m/>
    <m/>
  </r>
  <r>
    <x v="11"/>
    <x v="11"/>
    <x v="0"/>
    <n v="50"/>
    <s v="INSTALACION DE INTERCAMBIADOR SPE 10KW"/>
    <m/>
    <n v="50"/>
  </r>
  <r>
    <x v="12"/>
    <x v="12"/>
    <x v="0"/>
    <n v="15"/>
    <s v="INSTALACION DE INTERCAMBIADOR SPE 10KW"/>
    <m/>
    <n v="15"/>
  </r>
  <r>
    <x v="13"/>
    <x v="13"/>
    <x v="0"/>
    <n v="1"/>
    <s v="INSTALACION DE INTERCAMBIADOR SPE 10KW"/>
    <m/>
    <n v="2"/>
  </r>
  <r>
    <x v="14"/>
    <x v="14"/>
    <x v="0"/>
    <n v="1"/>
    <s v="INSTALACION DE INTERCAMBIADOR SPE 10KW"/>
    <m/>
    <n v="0.5"/>
  </r>
  <r>
    <x v="15"/>
    <x v="15"/>
    <x v="0"/>
    <n v="1"/>
    <s v="INSTALACION DE INTERCAMBIADOR SPE 10KW_x000a_S/N HAQ1F4P4JV"/>
    <m/>
    <m/>
  </r>
  <r>
    <x v="16"/>
    <x v="16"/>
    <x v="0"/>
    <n v="1"/>
    <s v="INSTALACION DE INTERCAMBIADOR SPE 10KW_x000a_S/N HAQ1F4P4JV"/>
    <m/>
    <m/>
  </r>
  <r>
    <x v="17"/>
    <x v="17"/>
    <x v="0"/>
    <n v="1"/>
    <s v="INSTALACION DE INTERCAMBIADOR SPE 10KW_x000a_S/N HAQ1F4P4JV"/>
    <m/>
    <m/>
  </r>
  <r>
    <x v="18"/>
    <x v="18"/>
    <x v="1"/>
    <n v="30"/>
    <s v="INSTALACION DE INTERCAMBIADOR SPE 10KW_x000a_S/N HAQ1F4P4JV"/>
    <m/>
    <m/>
  </r>
  <r>
    <x v="19"/>
    <x v="19"/>
    <x v="1"/>
    <n v="30"/>
    <s v="INSTALACION DE INTERCAMBIADOR SPE 10KW_x000a_S/N HAQ1F4P4JV"/>
    <m/>
    <m/>
  </r>
  <r>
    <x v="20"/>
    <x v="20"/>
    <x v="1"/>
    <n v="1"/>
    <s v="INSTALACION DE INTERCAMBIADOR SPE 10KW_x000a_S/N HAQ1F4P4JV"/>
    <m/>
    <n v="1"/>
  </r>
  <r>
    <x v="21"/>
    <x v="21"/>
    <x v="1"/>
    <n v="100"/>
    <s v="INSTALACION DE INTERCAMBIADOR SPE 10KW_x000a_S/N HAQ1F4P4JV"/>
    <m/>
    <n v="88"/>
  </r>
  <r>
    <x v="22"/>
    <x v="22"/>
    <x v="1"/>
    <n v="100"/>
    <s v="INSTALACION DE INTERCAMBIADOR SPE 10KW_x000a_S/N HAQ1F4P4JV"/>
    <m/>
    <n v="88"/>
  </r>
  <r>
    <x v="23"/>
    <x v="23"/>
    <x v="1"/>
    <n v="100"/>
    <s v="INSTALACION DE INTERCAMBIADOR SPE 10KW_x000a_S/N HAQ1F4P4JV"/>
    <m/>
    <n v="88"/>
  </r>
  <r>
    <x v="24"/>
    <x v="24"/>
    <x v="1"/>
    <n v="100"/>
    <s v="INSTALACION DE INTERCAMBIADOR SPE 10KW_x000a_S/N HAQ1F4P4JV"/>
    <m/>
    <n v="88"/>
  </r>
  <r>
    <x v="25"/>
    <x v="25"/>
    <x v="1"/>
    <n v="60"/>
    <s v="INSTALACION DE INTERCAMBIADOR SPE 10KW_x000a_S/N HAQ1F4P4JV"/>
    <m/>
    <n v="88"/>
  </r>
  <r>
    <x v="26"/>
    <x v="26"/>
    <x v="0"/>
    <n v="2"/>
    <s v="INSTALACION DE INTERCAMBIADOR SPE 10KW_x000a_S/N HAQ1F4P4JV"/>
    <m/>
    <n v="1"/>
  </r>
  <r>
    <x v="27"/>
    <x v="27"/>
    <x v="0"/>
    <n v="4"/>
    <s v="INSTALACION DE INTERCAMBIADOR SPE 10KW_x000a_S/N HAQ1F4P4JV"/>
    <m/>
    <m/>
  </r>
  <r>
    <x v="28"/>
    <x v="28"/>
    <x v="0"/>
    <n v="1"/>
    <s v="INSTALACION DE INTERCAMBIADOR SPE 10KW_x000a_S/N HAQ1F4P4JV"/>
    <m/>
    <m/>
  </r>
  <r>
    <x v="29"/>
    <x v="29"/>
    <x v="0"/>
    <n v="10"/>
    <s v="INSTALACION DE INTERCAMBIADOR SPE 10KW_x000a_S/N HAQ1F4P4JV"/>
    <m/>
    <n v="6"/>
  </r>
  <r>
    <x v="30"/>
    <x v="30"/>
    <x v="0"/>
    <n v="1"/>
    <s v="INSTALACION DE INTERCAMBIADOR SPE 10KW_x000a_S/N HAQ1F4P4JV"/>
    <m/>
    <m/>
  </r>
  <r>
    <x v="31"/>
    <x v="31"/>
    <x v="0"/>
    <n v="2"/>
    <s v="INSTALACION DE INTERCAMBIADOR SPE 10KW_x000a_S/N HAQ1F4P4JV"/>
    <m/>
    <n v="1"/>
  </r>
  <r>
    <x v="32"/>
    <x v="32"/>
    <x v="0"/>
    <n v="100"/>
    <s v="INSTALACION DE 8 PLACAS"/>
    <m/>
    <n v="100"/>
  </r>
  <r>
    <x v="33"/>
    <x v="33"/>
    <x v="0"/>
    <n v="100"/>
    <s v="INSTALACION DE 8 PLACAS"/>
    <m/>
    <n v="100"/>
  </r>
  <r>
    <x v="0"/>
    <x v="0"/>
    <x v="0"/>
    <n v="50"/>
    <s v="INSTALACION DE 8 PLACAS"/>
    <m/>
    <n v="50"/>
  </r>
  <r>
    <x v="34"/>
    <x v="34"/>
    <x v="0"/>
    <n v="25"/>
    <s v="INSTALACION DE 8 PLACAS"/>
    <m/>
    <n v="25"/>
  </r>
  <r>
    <x v="35"/>
    <x v="35"/>
    <x v="0"/>
    <n v="25"/>
    <s v="INSTALACION DE 8 PLACAS"/>
    <m/>
    <n v="25"/>
  </r>
  <r>
    <x v="1"/>
    <x v="1"/>
    <x v="0"/>
    <n v="3"/>
    <s v="INSTALACION DE 8 PLACAS"/>
    <m/>
    <n v="1.5"/>
  </r>
  <r>
    <x v="36"/>
    <x v="36"/>
    <x v="0"/>
    <n v="1"/>
    <s v="INSTALACION DE 8 PLACAS"/>
    <m/>
    <m/>
  </r>
  <r>
    <x v="12"/>
    <x v="12"/>
    <x v="0"/>
    <n v="8"/>
    <s v="INSTALACION DE 8 PLACAS"/>
    <m/>
    <n v="8"/>
  </r>
  <r>
    <x v="17"/>
    <x v="17"/>
    <x v="0"/>
    <n v="1"/>
    <s v="INSTALACION DE 8 PLACAS"/>
    <m/>
    <n v="1"/>
  </r>
  <r>
    <x v="37"/>
    <x v="37"/>
    <x v="0"/>
    <n v="1"/>
    <s v="INSTALACION DE 8 PLACAS"/>
    <m/>
    <n v="1"/>
  </r>
  <r>
    <x v="38"/>
    <x v="38"/>
    <x v="0"/>
    <n v="1"/>
    <s v="INSTALACION DE 8 PLACAS"/>
    <m/>
    <m/>
  </r>
  <r>
    <x v="39"/>
    <x v="39"/>
    <x v="0"/>
    <n v="1"/>
    <s v="INSTALACION DE 8 PLACAS"/>
    <m/>
    <m/>
  </r>
  <r>
    <x v="16"/>
    <x v="16"/>
    <x v="0"/>
    <n v="1"/>
    <s v="INSTALACION DE 8 PLACAS"/>
    <m/>
    <n v="1"/>
  </r>
  <r>
    <x v="40"/>
    <x v="40"/>
    <x v="0"/>
    <n v="1"/>
    <s v="INSTALACION DE 8 PLACAS"/>
    <m/>
    <m/>
  </r>
  <r>
    <x v="9"/>
    <x v="9"/>
    <x v="0"/>
    <n v="8"/>
    <s v="INSTALACION DE 8 PLACAS"/>
    <m/>
    <n v="8"/>
  </r>
  <r>
    <x v="41"/>
    <x v="41"/>
    <x v="0"/>
    <n v="1"/>
    <s v="INSTALACION DE 8 PLACAS"/>
    <m/>
    <m/>
  </r>
  <r>
    <x v="13"/>
    <x v="13"/>
    <x v="0"/>
    <n v="1"/>
    <s v="INSTALACION DE 8 PLACAS"/>
    <m/>
    <n v="1"/>
  </r>
  <r>
    <x v="14"/>
    <x v="14"/>
    <x v="0"/>
    <n v="1"/>
    <s v="INSTALACION DE 8 PLACAS"/>
    <m/>
    <n v="1"/>
  </r>
  <r>
    <x v="42"/>
    <x v="42"/>
    <x v="0"/>
    <n v="20"/>
    <s v="INSTALACION DE 8 PLACAS"/>
    <m/>
    <n v="20"/>
  </r>
  <r>
    <x v="43"/>
    <x v="43"/>
    <x v="0"/>
    <n v="1"/>
    <s v="INSTALACION DE 8 PLACAS"/>
    <m/>
    <m/>
  </r>
  <r>
    <x v="44"/>
    <x v="44"/>
    <x v="0"/>
    <n v="8"/>
    <s v="INSTALACION DE 8 PLACAS"/>
    <m/>
    <n v="6"/>
  </r>
  <r>
    <x v="10"/>
    <x v="10"/>
    <x v="0"/>
    <n v="10"/>
    <s v="INSTALACION DE 8 PLACAS"/>
    <m/>
    <m/>
  </r>
  <r>
    <x v="45"/>
    <x v="45"/>
    <x v="0"/>
    <n v="8"/>
    <s v="INSTALACION DE 8 PLACAS"/>
    <m/>
    <n v="8"/>
  </r>
  <r>
    <x v="46"/>
    <x v="46"/>
    <x v="0"/>
    <n v="3"/>
    <s v="INSTALACION DE 8 PLACAS"/>
    <m/>
    <m/>
  </r>
  <r>
    <x v="2"/>
    <x v="2"/>
    <x v="0"/>
    <n v="3"/>
    <s v="INSTALACION DE 8 PLACAS"/>
    <m/>
    <n v="1"/>
  </r>
  <r>
    <x v="47"/>
    <x v="47"/>
    <x v="0"/>
    <n v="1"/>
    <s v="INSTALACION DE 8 PLACAS"/>
    <m/>
    <m/>
  </r>
  <r>
    <x v="48"/>
    <x v="48"/>
    <x v="0"/>
    <n v="1"/>
    <s v="INSTALACION DE 8 PLACAS"/>
    <m/>
    <m/>
  </r>
  <r>
    <x v="18"/>
    <x v="18"/>
    <x v="1"/>
    <n v="15"/>
    <s v="INSTALACION DE 8 PLACAS"/>
    <m/>
    <n v="15"/>
  </r>
  <r>
    <x v="19"/>
    <x v="19"/>
    <x v="1"/>
    <n v="15"/>
    <s v="INSTALACION DE 8 PLACAS"/>
    <m/>
    <n v="15"/>
  </r>
  <r>
    <x v="49"/>
    <x v="49"/>
    <x v="0"/>
    <n v="6"/>
    <s v="INSTALACION DE 8 PLACAS"/>
    <m/>
    <n v="6"/>
  </r>
  <r>
    <x v="50"/>
    <x v="50"/>
    <x v="0"/>
    <n v="1"/>
    <s v="INSTALACION DE 8 PLACAS"/>
    <m/>
    <n v="1"/>
  </r>
  <r>
    <x v="51"/>
    <x v="51"/>
    <x v="0"/>
    <n v="1"/>
    <s v="INSTALACION DE 8 PLACAS"/>
    <m/>
    <m/>
  </r>
  <r>
    <x v="52"/>
    <x v="52"/>
    <x v="0"/>
    <n v="1"/>
    <s v="ACONDICIONAMIENTO Y REFUERZO DE ESTRUCTURA OCACIONADOS POR CONDICIONES CLIMATICAS."/>
    <m/>
    <m/>
  </r>
  <r>
    <x v="53"/>
    <x v="53"/>
    <x v="0"/>
    <n v="2"/>
    <s v="ACONDICIONAMIENTO Y REFUERZO DE ESTRUCTURA OCACIONADOS POR CONDICIONES CLIMATICAS."/>
    <m/>
    <m/>
  </r>
  <r>
    <x v="38"/>
    <x v="38"/>
    <x v="0"/>
    <n v="1"/>
    <s v="ACONDICIONAMIENTO Y REFUERZO DE ESTRUCTURA OCACIONADOS POR CONDICIONES CLIMATICAS."/>
    <m/>
    <m/>
  </r>
  <r>
    <x v="54"/>
    <x v="54"/>
    <x v="0"/>
    <n v="1"/>
    <s v="ACONDICIONAMIENTO Y REFUERZO DE ESTRUCTURA OCACIONADOS POR CONDICIONES CLIMATICAS."/>
    <m/>
    <m/>
  </r>
  <r>
    <x v="55"/>
    <x v="55"/>
    <x v="0"/>
    <n v="1"/>
    <s v="ACONDICIONAMIENTO Y REFUERZO DE ESTRUCTURA OCACIONADOS POR CONDICIONES CLIMATICAS."/>
    <m/>
    <m/>
  </r>
  <r>
    <x v="56"/>
    <x v="56"/>
    <x v="0"/>
    <n v="1"/>
    <s v="ACONDICIONAMIENTO Y REFUERZO DE ESTRUCTURA OCACIONADOS POR CONDICIONES CLIMATICAS."/>
    <m/>
    <m/>
  </r>
  <r>
    <x v="16"/>
    <x v="16"/>
    <x v="0"/>
    <n v="1"/>
    <s v="ACONDICIONAMIENTO Y REFUERZO DE ESTRUCTURA OCACIONADOS POR CONDICIONES CLIMATICAS."/>
    <m/>
    <m/>
  </r>
  <r>
    <x v="17"/>
    <x v="17"/>
    <x v="0"/>
    <n v="1"/>
    <s v="ACONDICIONAMIENTO Y REFUERZO DE ESTRUCTURA OCACIONADOS POR CONDICIONES CLIMATICAS."/>
    <m/>
    <m/>
  </r>
  <r>
    <x v="37"/>
    <x v="37"/>
    <x v="0"/>
    <n v="1"/>
    <s v="ACONDICIONAMIENTO Y REFUERZO DE ESTRUCTURA OCACIONADOS POR CONDICIONES CLIMATICAS."/>
    <m/>
    <m/>
  </r>
  <r>
    <x v="57"/>
    <x v="57"/>
    <x v="1"/>
    <n v="100"/>
    <s v="ACONDICIONAMIENTO Y REFUERZO DE ESTRUCTURA OCACIONADOS POR CONDICIONES CLIMATICAS."/>
    <m/>
    <m/>
  </r>
  <r>
    <x v="5"/>
    <x v="5"/>
    <x v="1"/>
    <n v="100"/>
    <s v="ACONDICIONAMIENTO Y REFUERZO DE ESTRUCTURA OCACIONADOS POR CONDICIONES CLIMATICAS."/>
    <m/>
    <m/>
  </r>
  <r>
    <x v="58"/>
    <x v="58"/>
    <x v="0"/>
    <n v="1"/>
    <s v="ACONDICIONAMIENTO Y REFUERZO DE ESTRUCTURA OCACIONADOS POR CONDICIONES CLIMATICAS."/>
    <m/>
    <m/>
  </r>
  <r>
    <x v="59"/>
    <x v="59"/>
    <x v="0"/>
    <n v="1"/>
    <s v="ACONDICIONAMIENTO Y REFUERZO DE ESTRUCTURA OCACIONADOS POR CONDICIONES CLIMATICAS."/>
    <m/>
    <m/>
  </r>
  <r>
    <x v="3"/>
    <x v="3"/>
    <x v="1"/>
    <n v="100"/>
    <m/>
    <m/>
    <n v="30"/>
  </r>
  <r>
    <x v="4"/>
    <x v="4"/>
    <x v="1"/>
    <n v="100"/>
    <m/>
    <m/>
    <n v="30"/>
  </r>
  <r>
    <x v="5"/>
    <x v="5"/>
    <x v="1"/>
    <n v="100"/>
    <m/>
    <m/>
    <n v="100"/>
  </r>
  <r>
    <x v="6"/>
    <x v="6"/>
    <x v="1"/>
    <n v="100"/>
    <m/>
    <m/>
    <n v="100"/>
  </r>
  <r>
    <x v="60"/>
    <x v="60"/>
    <x v="0"/>
    <n v="20"/>
    <m/>
    <m/>
    <m/>
  </r>
  <r>
    <x v="22"/>
    <x v="22"/>
    <x v="1"/>
    <n v="100"/>
    <m/>
    <m/>
    <n v="25"/>
  </r>
  <r>
    <x v="23"/>
    <x v="23"/>
    <x v="1"/>
    <n v="100"/>
    <m/>
    <m/>
    <n v="80"/>
  </r>
  <r>
    <x v="24"/>
    <x v="24"/>
    <x v="1"/>
    <n v="60"/>
    <m/>
    <m/>
    <n v="25"/>
  </r>
  <r>
    <x v="21"/>
    <x v="21"/>
    <x v="1"/>
    <n v="80"/>
    <m/>
    <m/>
    <n v="25"/>
  </r>
  <r>
    <x v="25"/>
    <x v="25"/>
    <x v="1"/>
    <n v="70"/>
    <m/>
    <m/>
    <n v="25"/>
  </r>
  <r>
    <x v="0"/>
    <x v="0"/>
    <x v="0"/>
    <n v="100"/>
    <m/>
    <m/>
    <m/>
  </r>
  <r>
    <x v="32"/>
    <x v="32"/>
    <x v="0"/>
    <n v="100"/>
    <m/>
    <m/>
    <m/>
  </r>
  <r>
    <x v="26"/>
    <x v="26"/>
    <x v="0"/>
    <n v="1"/>
    <m/>
    <m/>
    <m/>
  </r>
  <r>
    <x v="54"/>
    <x v="54"/>
    <x v="0"/>
    <n v="1"/>
    <m/>
    <m/>
    <m/>
  </r>
  <r>
    <x v="52"/>
    <x v="52"/>
    <x v="0"/>
    <n v="1"/>
    <m/>
    <m/>
    <m/>
  </r>
  <r>
    <x v="44"/>
    <x v="44"/>
    <x v="0"/>
    <n v="8"/>
    <m/>
    <m/>
    <m/>
  </r>
  <r>
    <x v="61"/>
    <x v="61"/>
    <x v="0"/>
    <n v="1"/>
    <m/>
    <m/>
    <m/>
  </r>
  <r>
    <x v="53"/>
    <x v="53"/>
    <x v="0"/>
    <n v="1"/>
    <m/>
    <m/>
    <m/>
  </r>
  <r>
    <x v="36"/>
    <x v="36"/>
    <x v="0"/>
    <n v="1"/>
    <m/>
    <m/>
    <m/>
  </r>
  <r>
    <x v="59"/>
    <x v="59"/>
    <x v="0"/>
    <n v="2"/>
    <m/>
    <s v="949702822509202000_x000a_0949702822509202306"/>
    <m/>
  </r>
  <r>
    <x v="58"/>
    <x v="58"/>
    <x v="0"/>
    <n v="1"/>
    <m/>
    <s v="DYM6F73053"/>
    <m/>
  </r>
  <r>
    <x v="16"/>
    <x v="16"/>
    <x v="0"/>
    <n v="1"/>
    <m/>
    <m/>
    <m/>
  </r>
  <r>
    <x v="53"/>
    <x v="53"/>
    <x v="0"/>
    <n v="1"/>
    <m/>
    <m/>
    <n v="1"/>
  </r>
  <r>
    <x v="61"/>
    <x v="61"/>
    <x v="0"/>
    <n v="1"/>
    <m/>
    <m/>
    <n v="1"/>
  </r>
  <r>
    <x v="31"/>
    <x v="31"/>
    <x v="0"/>
    <n v="1"/>
    <m/>
    <m/>
    <n v="1"/>
  </r>
  <r>
    <x v="38"/>
    <x v="38"/>
    <x v="0"/>
    <n v="1"/>
    <m/>
    <m/>
    <n v="1"/>
  </r>
  <r>
    <x v="62"/>
    <x v="62"/>
    <x v="0"/>
    <n v="1"/>
    <m/>
    <m/>
    <n v="1"/>
  </r>
  <r>
    <x v="63"/>
    <x v="63"/>
    <x v="0"/>
    <n v="1"/>
    <m/>
    <m/>
    <n v="1"/>
  </r>
  <r>
    <x v="64"/>
    <x v="64"/>
    <x v="0"/>
    <n v="1"/>
    <m/>
    <m/>
    <n v="1"/>
  </r>
  <r>
    <x v="13"/>
    <x v="13"/>
    <x v="0"/>
    <n v="1"/>
    <m/>
    <m/>
    <n v="1"/>
  </r>
  <r>
    <x v="14"/>
    <x v="14"/>
    <x v="0"/>
    <n v="1"/>
    <m/>
    <m/>
    <n v="1"/>
  </r>
  <r>
    <x v="49"/>
    <x v="49"/>
    <x v="0"/>
    <n v="7"/>
    <m/>
    <m/>
    <n v="7"/>
  </r>
  <r>
    <x v="1"/>
    <x v="1"/>
    <x v="0"/>
    <n v="2"/>
    <m/>
    <m/>
    <n v="2"/>
  </r>
  <r>
    <x v="65"/>
    <x v="65"/>
    <x v="2"/>
    <s v="ANULADO"/>
    <s v="ANULADO"/>
    <m/>
    <m/>
  </r>
  <r>
    <x v="66"/>
    <x v="66"/>
    <x v="0"/>
    <n v="7"/>
    <m/>
    <m/>
    <n v="3"/>
  </r>
  <r>
    <x v="45"/>
    <x v="45"/>
    <x v="0"/>
    <n v="12"/>
    <m/>
    <m/>
    <n v="0"/>
  </r>
  <r>
    <x v="67"/>
    <x v="67"/>
    <x v="0"/>
    <n v="20"/>
    <m/>
    <m/>
    <n v="12"/>
  </r>
  <r>
    <x v="7"/>
    <x v="7"/>
    <x v="0"/>
    <n v="20"/>
    <m/>
    <m/>
    <n v="20"/>
  </r>
  <r>
    <x v="18"/>
    <x v="18"/>
    <x v="1"/>
    <n v="15"/>
    <m/>
    <m/>
    <n v="10"/>
  </r>
  <r>
    <x v="19"/>
    <x v="19"/>
    <x v="1"/>
    <n v="15"/>
    <m/>
    <m/>
    <n v="15"/>
  </r>
  <r>
    <x v="12"/>
    <x v="12"/>
    <x v="0"/>
    <n v="8"/>
    <m/>
    <m/>
    <n v="8"/>
  </r>
  <r>
    <x v="68"/>
    <x v="68"/>
    <x v="0"/>
    <n v="10"/>
    <m/>
    <m/>
    <n v="3"/>
  </r>
  <r>
    <x v="69"/>
    <x v="69"/>
    <x v="0"/>
    <n v="10"/>
    <m/>
    <m/>
    <n v="1"/>
  </r>
  <r>
    <x v="1"/>
    <x v="1"/>
    <x v="0"/>
    <n v="1.5"/>
    <m/>
    <m/>
    <n v="2"/>
  </r>
  <r>
    <x v="13"/>
    <x v="13"/>
    <x v="0"/>
    <n v="1"/>
    <m/>
    <m/>
    <n v="1"/>
  </r>
  <r>
    <x v="14"/>
    <x v="14"/>
    <x v="0"/>
    <n v="1"/>
    <m/>
    <m/>
    <n v="1"/>
  </r>
  <r>
    <x v="33"/>
    <x v="33"/>
    <x v="0"/>
    <n v="100"/>
    <m/>
    <m/>
    <n v="100"/>
  </r>
  <r>
    <x v="0"/>
    <x v="0"/>
    <x v="0"/>
    <n v="50"/>
    <m/>
    <m/>
    <n v="50"/>
  </r>
  <r>
    <x v="32"/>
    <x v="32"/>
    <x v="0"/>
    <n v="100"/>
    <m/>
    <m/>
    <n v="100"/>
  </r>
  <r>
    <x v="2"/>
    <x v="2"/>
    <x v="0"/>
    <n v="3"/>
    <m/>
    <m/>
    <n v="3"/>
  </r>
  <r>
    <x v="34"/>
    <x v="34"/>
    <x v="0"/>
    <n v="25"/>
    <m/>
    <m/>
    <n v="20"/>
  </r>
  <r>
    <x v="35"/>
    <x v="35"/>
    <x v="0"/>
    <n v="25"/>
    <m/>
    <m/>
    <n v="20"/>
  </r>
  <r>
    <x v="44"/>
    <x v="44"/>
    <x v="0"/>
    <n v="6"/>
    <m/>
    <m/>
    <n v="6"/>
  </r>
  <r>
    <x v="42"/>
    <x v="42"/>
    <x v="0"/>
    <n v="20"/>
    <m/>
    <m/>
    <n v="20"/>
  </r>
  <r>
    <x v="49"/>
    <x v="49"/>
    <x v="0"/>
    <n v="6"/>
    <m/>
    <m/>
    <n v="6"/>
  </r>
  <r>
    <x v="38"/>
    <x v="38"/>
    <x v="0"/>
    <n v="1"/>
    <s v="PARA ESTE CASO, CRISTOBAL REALIZA EL TRANSPORTE DEL MATERIAL HACIA LA OBRA."/>
    <m/>
    <m/>
  </r>
  <r>
    <x v="28"/>
    <x v="28"/>
    <x v="0"/>
    <n v="1"/>
    <s v="PARA ESTE CASO, CRISTOBAL REALIZA EL TRANSPORTE DEL MATERIAL HACIA LA OBRA."/>
    <m/>
    <m/>
  </r>
  <r>
    <x v="53"/>
    <x v="53"/>
    <x v="0"/>
    <n v="1"/>
    <s v="PARA ESTE CASO, CRISTOBAL REALIZA EL TRANSPORTE DEL MATERIAL HACIA LA OBRA."/>
    <m/>
    <m/>
  </r>
  <r>
    <x v="45"/>
    <x v="45"/>
    <x v="0"/>
    <n v="10"/>
    <s v="PARA ESTE CASO, CRISTOBAL REALIZA EL TRANSPORTE DEL MATERIAL HACIA LA OBRA."/>
    <m/>
    <m/>
  </r>
  <r>
    <x v="52"/>
    <x v="52"/>
    <x v="0"/>
    <n v="1"/>
    <m/>
    <m/>
    <n v="1"/>
  </r>
  <r>
    <x v="12"/>
    <x v="12"/>
    <x v="0"/>
    <n v="8"/>
    <m/>
    <m/>
    <n v="4"/>
  </r>
  <r>
    <x v="44"/>
    <x v="44"/>
    <x v="0"/>
    <n v="3"/>
    <m/>
    <m/>
    <n v="0"/>
  </r>
  <r>
    <x v="35"/>
    <x v="35"/>
    <x v="0"/>
    <n v="30"/>
    <m/>
    <m/>
    <n v="15"/>
  </r>
  <r>
    <x v="67"/>
    <x v="67"/>
    <x v="0"/>
    <n v="30"/>
    <m/>
    <m/>
    <n v="1"/>
  </r>
  <r>
    <x v="34"/>
    <x v="34"/>
    <x v="0"/>
    <n v="30"/>
    <m/>
    <m/>
    <n v="20"/>
  </r>
  <r>
    <x v="70"/>
    <x v="70"/>
    <x v="0"/>
    <n v="5"/>
    <m/>
    <m/>
    <n v="2"/>
  </r>
  <r>
    <x v="1"/>
    <x v="1"/>
    <x v="0"/>
    <n v="1"/>
    <m/>
    <m/>
    <n v="1"/>
  </r>
  <r>
    <x v="0"/>
    <x v="0"/>
    <x v="0"/>
    <n v="200"/>
    <m/>
    <m/>
    <n v="200"/>
  </r>
  <r>
    <x v="7"/>
    <x v="7"/>
    <x v="0"/>
    <n v="20"/>
    <m/>
    <m/>
    <n v="10"/>
  </r>
  <r>
    <x v="38"/>
    <x v="38"/>
    <x v="0"/>
    <n v="1"/>
    <m/>
    <m/>
    <m/>
  </r>
  <r>
    <x v="30"/>
    <x v="30"/>
    <x v="0"/>
    <n v="1"/>
    <m/>
    <m/>
    <m/>
  </r>
  <r>
    <x v="28"/>
    <x v="28"/>
    <x v="0"/>
    <n v="1"/>
    <m/>
    <m/>
    <m/>
  </r>
  <r>
    <x v="53"/>
    <x v="53"/>
    <x v="0"/>
    <n v="1"/>
    <m/>
    <m/>
    <m/>
  </r>
  <r>
    <x v="27"/>
    <x v="27"/>
    <x v="0"/>
    <n v="2"/>
    <m/>
    <m/>
    <m/>
  </r>
  <r>
    <x v="61"/>
    <x v="61"/>
    <x v="0"/>
    <n v="1"/>
    <m/>
    <m/>
    <m/>
  </r>
  <r>
    <x v="71"/>
    <x v="71"/>
    <x v="0"/>
    <n v="2"/>
    <m/>
    <m/>
    <m/>
  </r>
  <r>
    <x v="52"/>
    <x v="52"/>
    <x v="0"/>
    <n v="1"/>
    <m/>
    <m/>
    <m/>
  </r>
  <r>
    <x v="64"/>
    <x v="64"/>
    <x v="0"/>
    <n v="1"/>
    <m/>
    <m/>
    <m/>
  </r>
  <r>
    <x v="37"/>
    <x v="37"/>
    <x v="0"/>
    <n v="1"/>
    <m/>
    <m/>
    <m/>
  </r>
  <r>
    <x v="44"/>
    <x v="44"/>
    <x v="0"/>
    <n v="8"/>
    <m/>
    <m/>
    <m/>
  </r>
  <r>
    <x v="57"/>
    <x v="57"/>
    <x v="1"/>
    <n v="100"/>
    <m/>
    <m/>
    <m/>
  </r>
  <r>
    <x v="6"/>
    <x v="6"/>
    <x v="1"/>
    <n v="100"/>
    <m/>
    <m/>
    <m/>
  </r>
  <r>
    <x v="23"/>
    <x v="23"/>
    <x v="1"/>
    <n v="100"/>
    <m/>
    <m/>
    <m/>
  </r>
  <r>
    <x v="22"/>
    <x v="22"/>
    <x v="1"/>
    <n v="100"/>
    <m/>
    <m/>
    <m/>
  </r>
  <r>
    <x v="7"/>
    <x v="7"/>
    <x v="0"/>
    <n v="30"/>
    <m/>
    <m/>
    <m/>
  </r>
  <r>
    <x v="12"/>
    <x v="12"/>
    <x v="0"/>
    <n v="10"/>
    <m/>
    <m/>
    <m/>
  </r>
  <r>
    <x v="72"/>
    <x v="72"/>
    <x v="0"/>
    <n v="2"/>
    <m/>
    <m/>
    <m/>
  </r>
  <r>
    <x v="73"/>
    <x v="73"/>
    <x v="0"/>
    <n v="2"/>
    <m/>
    <m/>
    <m/>
  </r>
  <r>
    <x v="67"/>
    <x v="67"/>
    <x v="0"/>
    <n v="50"/>
    <m/>
    <m/>
    <m/>
  </r>
  <r>
    <x v="35"/>
    <x v="35"/>
    <x v="0"/>
    <n v="30"/>
    <m/>
    <m/>
    <m/>
  </r>
  <r>
    <x v="34"/>
    <x v="34"/>
    <x v="0"/>
    <n v="50"/>
    <m/>
    <m/>
    <m/>
  </r>
  <r>
    <x v="18"/>
    <x v="18"/>
    <x v="1"/>
    <n v="40"/>
    <m/>
    <m/>
    <m/>
  </r>
  <r>
    <x v="19"/>
    <x v="19"/>
    <x v="1"/>
    <n v="40"/>
    <m/>
    <m/>
    <m/>
  </r>
  <r>
    <x v="10"/>
    <x v="10"/>
    <x v="0"/>
    <n v="4"/>
    <m/>
    <m/>
    <m/>
  </r>
  <r>
    <x v="58"/>
    <x v="58"/>
    <x v="0"/>
    <n v="1"/>
    <m/>
    <s v="DYM6F73031"/>
    <m/>
  </r>
  <r>
    <x v="59"/>
    <x v="59"/>
    <x v="0"/>
    <n v="2"/>
    <m/>
    <s v="0949702822509202362_x000a_34972822506090288"/>
    <m/>
  </r>
  <r>
    <x v="36"/>
    <x v="36"/>
    <x v="0"/>
    <n v="1"/>
    <m/>
    <m/>
    <m/>
  </r>
  <r>
    <x v="45"/>
    <x v="45"/>
    <x v="0"/>
    <n v="16"/>
    <m/>
    <m/>
    <m/>
  </r>
  <r>
    <x v="18"/>
    <x v="18"/>
    <x v="1"/>
    <n v="30"/>
    <m/>
    <m/>
    <n v="20"/>
  </r>
  <r>
    <x v="19"/>
    <x v="19"/>
    <x v="1"/>
    <n v="30"/>
    <m/>
    <m/>
    <n v="20"/>
  </r>
  <r>
    <x v="68"/>
    <x v="68"/>
    <x v="0"/>
    <n v="20"/>
    <m/>
    <m/>
    <n v="10"/>
  </r>
  <r>
    <x v="69"/>
    <x v="69"/>
    <x v="0"/>
    <n v="20"/>
    <m/>
    <m/>
    <n v="10"/>
  </r>
  <r>
    <x v="13"/>
    <x v="13"/>
    <x v="0"/>
    <n v="2"/>
    <m/>
    <m/>
    <n v="1"/>
  </r>
  <r>
    <x v="74"/>
    <x v="74"/>
    <x v="0"/>
    <n v="1"/>
    <m/>
    <m/>
    <n v="0"/>
  </r>
  <r>
    <x v="75"/>
    <x v="75"/>
    <x v="0"/>
    <n v="1"/>
    <m/>
    <m/>
    <n v="0"/>
  </r>
  <r>
    <x v="10"/>
    <x v="10"/>
    <x v="0"/>
    <n v="4"/>
    <s v="Materiales cargados desde el viernes pero la ejecucion de labor, se realzian el dia sabado 14feb"/>
    <m/>
    <n v="2"/>
  </r>
  <r>
    <x v="9"/>
    <x v="9"/>
    <x v="0"/>
    <n v="5"/>
    <s v="Materiales cargados desde el viernes pero la ejecucion de labor, se realzian el dia sabado 14feb"/>
    <m/>
    <n v="3"/>
  </r>
  <r>
    <x v="76"/>
    <x v="76"/>
    <x v="0"/>
    <n v="15"/>
    <s v="Materiales cargados desde el viernes pero la ejecucion de labor, se realzian el dia sabado 14feb"/>
    <m/>
    <n v="13"/>
  </r>
  <r>
    <x v="77"/>
    <x v="77"/>
    <x v="0"/>
    <n v="15"/>
    <s v="Materiales cargados desde el viernes pero la ejecucion de labor, se realzian el dia sabado 14feb"/>
    <m/>
    <n v="14"/>
  </r>
  <r>
    <x v="78"/>
    <x v="78"/>
    <x v="0"/>
    <n v="2"/>
    <s v="Materiales cargados desde el viernes pero la ejecucion de labor, se realzian el dia sabado 14feb"/>
    <s v="A05250400830252_x000a_A05250400819429"/>
    <n v="0"/>
  </r>
  <r>
    <x v="12"/>
    <x v="12"/>
    <x v="0"/>
    <n v="16"/>
    <m/>
    <m/>
    <n v="9"/>
  </r>
  <r>
    <x v="67"/>
    <x v="67"/>
    <x v="0"/>
    <n v="60"/>
    <m/>
    <m/>
    <n v="38"/>
  </r>
  <r>
    <x v="35"/>
    <x v="35"/>
    <x v="0"/>
    <n v="50"/>
    <m/>
    <m/>
    <n v="0"/>
  </r>
  <r>
    <x v="70"/>
    <x v="70"/>
    <x v="0"/>
    <n v="15"/>
    <m/>
    <m/>
    <n v="0"/>
  </r>
  <r>
    <x v="34"/>
    <x v="34"/>
    <x v="0"/>
    <n v="70"/>
    <m/>
    <m/>
    <n v="61"/>
  </r>
  <r>
    <x v="13"/>
    <x v="13"/>
    <x v="0"/>
    <n v="2"/>
    <m/>
    <m/>
    <n v="2"/>
  </r>
  <r>
    <x v="14"/>
    <x v="14"/>
    <x v="0"/>
    <n v="2"/>
    <m/>
    <m/>
    <n v="1"/>
  </r>
  <r>
    <x v="32"/>
    <x v="32"/>
    <x v="0"/>
    <n v="100"/>
    <m/>
    <m/>
    <n v="100"/>
  </r>
  <r>
    <x v="0"/>
    <x v="0"/>
    <x v="0"/>
    <n v="200"/>
    <m/>
    <m/>
    <n v="200"/>
  </r>
  <r>
    <x v="10"/>
    <x v="10"/>
    <x v="0"/>
    <n v="13"/>
    <m/>
    <m/>
    <n v="2"/>
  </r>
  <r>
    <x v="2"/>
    <x v="2"/>
    <x v="0"/>
    <n v="4"/>
    <m/>
    <m/>
    <n v="0"/>
  </r>
  <r>
    <x v="17"/>
    <x v="17"/>
    <x v="0"/>
    <n v="1"/>
    <m/>
    <m/>
    <n v="0"/>
  </r>
  <r>
    <x v="28"/>
    <x v="28"/>
    <x v="0"/>
    <n v="1"/>
    <m/>
    <m/>
    <n v="0"/>
  </r>
  <r>
    <x v="79"/>
    <x v="79"/>
    <x v="0"/>
    <n v="1"/>
    <m/>
    <m/>
    <n v="1"/>
  </r>
  <r>
    <x v="31"/>
    <x v="31"/>
    <x v="0"/>
    <n v="2"/>
    <m/>
    <m/>
    <n v="0"/>
  </r>
  <r>
    <x v="26"/>
    <x v="26"/>
    <x v="0"/>
    <n v="2"/>
    <m/>
    <m/>
    <n v="1"/>
  </r>
  <r>
    <x v="55"/>
    <x v="55"/>
    <x v="0"/>
    <n v="1"/>
    <m/>
    <m/>
    <n v="0"/>
  </r>
  <r>
    <x v="27"/>
    <x v="27"/>
    <x v="0"/>
    <n v="4"/>
    <m/>
    <m/>
    <n v="0"/>
  </r>
  <r>
    <x v="80"/>
    <x v="80"/>
    <x v="0"/>
    <n v="4"/>
    <m/>
    <m/>
    <n v="0"/>
  </r>
  <r>
    <x v="15"/>
    <x v="15"/>
    <x v="0"/>
    <n v="1"/>
    <m/>
    <s v="NER3F7AO13"/>
    <n v="0"/>
  </r>
  <r>
    <x v="45"/>
    <x v="45"/>
    <x v="0"/>
    <n v="22"/>
    <m/>
    <m/>
    <n v="0"/>
  </r>
  <r>
    <x v="17"/>
    <x v="17"/>
    <x v="0"/>
    <n v="1"/>
    <m/>
    <m/>
    <m/>
  </r>
  <r>
    <x v="54"/>
    <x v="54"/>
    <x v="0"/>
    <n v="1"/>
    <m/>
    <m/>
    <m/>
  </r>
  <r>
    <x v="38"/>
    <x v="38"/>
    <x v="0"/>
    <n v="1"/>
    <m/>
    <m/>
    <m/>
  </r>
  <r>
    <x v="61"/>
    <x v="61"/>
    <x v="0"/>
    <n v="1"/>
    <m/>
    <m/>
    <m/>
  </r>
  <r>
    <x v="53"/>
    <x v="53"/>
    <x v="0"/>
    <n v="1"/>
    <m/>
    <m/>
    <m/>
  </r>
  <r>
    <x v="27"/>
    <x v="27"/>
    <x v="0"/>
    <n v="2"/>
    <m/>
    <m/>
    <m/>
  </r>
  <r>
    <x v="80"/>
    <x v="80"/>
    <x v="0"/>
    <n v="2"/>
    <m/>
    <m/>
    <m/>
  </r>
  <r>
    <x v="55"/>
    <x v="55"/>
    <x v="0"/>
    <n v="1"/>
    <m/>
    <m/>
    <m/>
  </r>
  <r>
    <x v="60"/>
    <x v="60"/>
    <x v="0"/>
    <n v="30"/>
    <m/>
    <m/>
    <n v="10"/>
  </r>
  <r>
    <x v="59"/>
    <x v="59"/>
    <x v="0"/>
    <n v="1"/>
    <m/>
    <n v="9.4970282250920102E+17"/>
    <m/>
  </r>
  <r>
    <x v="58"/>
    <x v="58"/>
    <x v="0"/>
    <n v="1"/>
    <m/>
    <s v="DYM6F7304W"/>
    <m/>
  </r>
  <r>
    <x v="68"/>
    <x v="68"/>
    <x v="0"/>
    <n v="10"/>
    <m/>
    <m/>
    <n v="3"/>
  </r>
  <r>
    <x v="69"/>
    <x v="69"/>
    <x v="0"/>
    <n v="10"/>
    <m/>
    <m/>
    <n v="3"/>
  </r>
  <r>
    <x v="17"/>
    <x v="17"/>
    <x v="0"/>
    <n v="1"/>
    <m/>
    <m/>
    <m/>
  </r>
  <r>
    <x v="2"/>
    <x v="2"/>
    <x v="0"/>
    <n v="6"/>
    <m/>
    <m/>
    <n v="2"/>
  </r>
  <r>
    <x v="12"/>
    <x v="12"/>
    <x v="0"/>
    <n v="6"/>
    <m/>
    <m/>
    <m/>
  </r>
  <r>
    <x v="1"/>
    <x v="1"/>
    <x v="0"/>
    <n v="1"/>
    <m/>
    <m/>
    <m/>
  </r>
  <r>
    <x v="0"/>
    <x v="0"/>
    <x v="0"/>
    <n v="200"/>
    <m/>
    <m/>
    <n v="100"/>
  </r>
  <r>
    <x v="32"/>
    <x v="32"/>
    <x v="0"/>
    <n v="100"/>
    <m/>
    <m/>
    <n v="50"/>
  </r>
  <r>
    <x v="81"/>
    <x v="81"/>
    <x v="0"/>
    <n v="1"/>
    <m/>
    <m/>
    <m/>
  </r>
  <r>
    <x v="67"/>
    <x v="67"/>
    <x v="0"/>
    <n v="40"/>
    <m/>
    <m/>
    <n v="15"/>
  </r>
  <r>
    <x v="34"/>
    <x v="34"/>
    <x v="0"/>
    <n v="40"/>
    <m/>
    <m/>
    <n v="20"/>
  </r>
  <r>
    <x v="35"/>
    <x v="35"/>
    <x v="0"/>
    <n v="40"/>
    <m/>
    <m/>
    <n v="15"/>
  </r>
  <r>
    <x v="9"/>
    <x v="9"/>
    <x v="0"/>
    <n v="6"/>
    <m/>
    <m/>
    <m/>
  </r>
  <r>
    <x v="10"/>
    <x v="10"/>
    <x v="0"/>
    <n v="8"/>
    <m/>
    <m/>
    <n v="2"/>
  </r>
  <r>
    <x v="13"/>
    <x v="13"/>
    <x v="0"/>
    <n v="1"/>
    <m/>
    <m/>
    <m/>
  </r>
  <r>
    <x v="14"/>
    <x v="14"/>
    <x v="0"/>
    <n v="2"/>
    <m/>
    <m/>
    <m/>
  </r>
  <r>
    <x v="45"/>
    <x v="45"/>
    <x v="0"/>
    <n v="10"/>
    <m/>
    <m/>
    <m/>
  </r>
  <r>
    <x v="82"/>
    <x v="82"/>
    <x v="0"/>
    <n v="1"/>
    <m/>
    <m/>
    <m/>
  </r>
  <r>
    <x v="58"/>
    <x v="58"/>
    <x v="0"/>
    <n v="1"/>
    <m/>
    <s v="DYM6F73056"/>
    <m/>
  </r>
  <r>
    <x v="46"/>
    <x v="46"/>
    <x v="0"/>
    <n v="1"/>
    <m/>
    <s v="#14031612302250600"/>
    <m/>
  </r>
  <r>
    <x v="0"/>
    <x v="0"/>
    <x v="0"/>
    <n v="100"/>
    <m/>
    <m/>
    <n v="100"/>
  </r>
  <r>
    <x v="13"/>
    <x v="13"/>
    <x v="0"/>
    <n v="1"/>
    <m/>
    <m/>
    <n v="1"/>
  </r>
  <r>
    <x v="14"/>
    <x v="14"/>
    <x v="0"/>
    <n v="1"/>
    <m/>
    <m/>
    <n v="1"/>
  </r>
  <r>
    <x v="7"/>
    <x v="7"/>
    <x v="0"/>
    <n v="20"/>
    <m/>
    <m/>
    <m/>
  </r>
  <r>
    <x v="10"/>
    <x v="10"/>
    <x v="0"/>
    <n v="4"/>
    <m/>
    <m/>
    <m/>
  </r>
  <r>
    <x v="9"/>
    <x v="9"/>
    <x v="0"/>
    <n v="4"/>
    <m/>
    <m/>
    <m/>
  </r>
  <r>
    <x v="83"/>
    <x v="83"/>
    <x v="0"/>
    <n v="1"/>
    <m/>
    <m/>
    <m/>
  </r>
  <r>
    <x v="84"/>
    <x v="84"/>
    <x v="0"/>
    <n v="1"/>
    <m/>
    <m/>
    <m/>
  </r>
  <r>
    <x v="52"/>
    <x v="52"/>
    <x v="0"/>
    <n v="1"/>
    <m/>
    <m/>
    <m/>
  </r>
  <r>
    <x v="61"/>
    <x v="61"/>
    <x v="0"/>
    <n v="1"/>
    <m/>
    <m/>
    <m/>
  </r>
  <r>
    <x v="53"/>
    <x v="53"/>
    <x v="0"/>
    <n v="1"/>
    <m/>
    <m/>
    <m/>
  </r>
  <r>
    <x v="27"/>
    <x v="27"/>
    <x v="0"/>
    <n v="2"/>
    <m/>
    <m/>
    <m/>
  </r>
  <r>
    <x v="80"/>
    <x v="80"/>
    <x v="0"/>
    <n v="2"/>
    <m/>
    <m/>
    <m/>
  </r>
  <r>
    <x v="54"/>
    <x v="54"/>
    <x v="0"/>
    <n v="1"/>
    <m/>
    <m/>
    <m/>
  </r>
  <r>
    <x v="38"/>
    <x v="38"/>
    <x v="0"/>
    <n v="1"/>
    <m/>
    <m/>
    <m/>
  </r>
  <r>
    <x v="16"/>
    <x v="16"/>
    <x v="0"/>
    <n v="1"/>
    <m/>
    <m/>
    <n v="1"/>
  </r>
  <r>
    <x v="45"/>
    <x v="45"/>
    <x v="0"/>
    <n v="4"/>
    <m/>
    <m/>
    <m/>
  </r>
  <r>
    <x v="34"/>
    <x v="34"/>
    <x v="0"/>
    <n v="8"/>
    <m/>
    <m/>
    <m/>
  </r>
  <r>
    <x v="35"/>
    <x v="35"/>
    <x v="0"/>
    <n v="8"/>
    <m/>
    <m/>
    <m/>
  </r>
  <r>
    <x v="19"/>
    <x v="19"/>
    <x v="1"/>
    <n v="15"/>
    <m/>
    <m/>
    <m/>
  </r>
  <r>
    <x v="67"/>
    <x v="67"/>
    <x v="0"/>
    <n v="18"/>
    <m/>
    <m/>
    <n v="6"/>
  </r>
  <r>
    <x v="10"/>
    <x v="10"/>
    <x v="0"/>
    <n v="4"/>
    <m/>
    <m/>
    <m/>
  </r>
  <r>
    <x v="68"/>
    <x v="68"/>
    <x v="0"/>
    <n v="10"/>
    <m/>
    <m/>
    <n v="7"/>
  </r>
  <r>
    <x v="69"/>
    <x v="69"/>
    <x v="0"/>
    <n v="10"/>
    <m/>
    <m/>
    <n v="7"/>
  </r>
  <r>
    <x v="59"/>
    <x v="59"/>
    <x v="0"/>
    <n v="1"/>
    <m/>
    <s v="0949702822509201375"/>
    <m/>
  </r>
  <r>
    <x v="82"/>
    <x v="82"/>
    <x v="0"/>
    <n v="1"/>
    <m/>
    <m/>
    <m/>
  </r>
  <r>
    <x v="45"/>
    <x v="45"/>
    <x v="0"/>
    <n v="12"/>
    <m/>
    <m/>
    <m/>
  </r>
  <r>
    <x v="2"/>
    <x v="2"/>
    <x v="0"/>
    <n v="6"/>
    <m/>
    <m/>
    <m/>
  </r>
  <r>
    <x v="58"/>
    <x v="58"/>
    <x v="0"/>
    <n v="1"/>
    <m/>
    <s v="DYM6F7304W"/>
    <m/>
  </r>
  <r>
    <x v="10"/>
    <x v="10"/>
    <x v="0"/>
    <n v="8"/>
    <m/>
    <m/>
    <n v="2"/>
  </r>
  <r>
    <x v="68"/>
    <x v="68"/>
    <x v="0"/>
    <n v="10"/>
    <m/>
    <m/>
    <m/>
  </r>
  <r>
    <x v="69"/>
    <x v="69"/>
    <x v="0"/>
    <n v="10"/>
    <m/>
    <m/>
    <m/>
  </r>
  <r>
    <x v="36"/>
    <x v="36"/>
    <x v="0"/>
    <n v="1"/>
    <m/>
    <m/>
    <n v="1"/>
  </r>
  <r>
    <x v="12"/>
    <x v="12"/>
    <x v="0"/>
    <n v="6"/>
    <m/>
    <m/>
    <n v="4"/>
  </r>
  <r>
    <x v="1"/>
    <x v="1"/>
    <x v="0"/>
    <n v="1"/>
    <m/>
    <m/>
    <n v="1"/>
  </r>
  <r>
    <x v="0"/>
    <x v="0"/>
    <x v="0"/>
    <n v="200"/>
    <m/>
    <m/>
    <n v="100"/>
  </r>
  <r>
    <x v="32"/>
    <x v="32"/>
    <x v="0"/>
    <n v="100"/>
    <m/>
    <m/>
    <n v="100"/>
  </r>
  <r>
    <x v="81"/>
    <x v="81"/>
    <x v="0"/>
    <n v="1"/>
    <m/>
    <m/>
    <m/>
  </r>
  <r>
    <x v="67"/>
    <x v="67"/>
    <x v="0"/>
    <n v="40"/>
    <m/>
    <m/>
    <n v="18"/>
  </r>
  <r>
    <x v="34"/>
    <x v="34"/>
    <x v="0"/>
    <n v="40"/>
    <m/>
    <m/>
    <n v="26"/>
  </r>
  <r>
    <x v="35"/>
    <x v="35"/>
    <x v="0"/>
    <n v="30"/>
    <m/>
    <m/>
    <n v="15"/>
  </r>
  <r>
    <x v="9"/>
    <x v="9"/>
    <x v="0"/>
    <n v="6"/>
    <m/>
    <m/>
    <n v="6"/>
  </r>
  <r>
    <x v="13"/>
    <x v="13"/>
    <x v="0"/>
    <n v="1"/>
    <m/>
    <m/>
    <m/>
  </r>
  <r>
    <x v="14"/>
    <x v="14"/>
    <x v="0"/>
    <n v="2"/>
    <m/>
    <m/>
    <n v="2"/>
  </r>
  <r>
    <x v="17"/>
    <x v="17"/>
    <x v="0"/>
    <n v="1"/>
    <m/>
    <m/>
    <m/>
  </r>
  <r>
    <x v="54"/>
    <x v="54"/>
    <x v="0"/>
    <n v="1"/>
    <m/>
    <m/>
    <m/>
  </r>
  <r>
    <x v="38"/>
    <x v="38"/>
    <x v="0"/>
    <n v="1"/>
    <m/>
    <m/>
    <n v="1"/>
  </r>
  <r>
    <x v="61"/>
    <x v="61"/>
    <x v="0"/>
    <n v="1"/>
    <m/>
    <m/>
    <n v="1"/>
  </r>
  <r>
    <x v="53"/>
    <x v="53"/>
    <x v="0"/>
    <n v="1"/>
    <m/>
    <m/>
    <m/>
  </r>
  <r>
    <x v="27"/>
    <x v="27"/>
    <x v="0"/>
    <n v="2"/>
    <m/>
    <m/>
    <n v="2"/>
  </r>
  <r>
    <x v="80"/>
    <x v="80"/>
    <x v="0"/>
    <n v="2"/>
    <m/>
    <m/>
    <n v="2"/>
  </r>
  <r>
    <x v="55"/>
    <x v="55"/>
    <x v="0"/>
    <n v="1"/>
    <m/>
    <m/>
    <m/>
  </r>
  <r>
    <x v="60"/>
    <x v="60"/>
    <x v="0"/>
    <n v="30"/>
    <m/>
    <m/>
    <n v="1"/>
  </r>
  <r>
    <x v="18"/>
    <x v="18"/>
    <x v="1"/>
    <n v="40"/>
    <m/>
    <m/>
    <m/>
  </r>
  <r>
    <x v="44"/>
    <x v="44"/>
    <x v="0"/>
    <n v="20"/>
    <m/>
    <m/>
    <n v="13"/>
  </r>
  <r>
    <x v="19"/>
    <x v="19"/>
    <x v="1"/>
    <n v="40"/>
    <m/>
    <m/>
    <m/>
  </r>
  <r>
    <x v="12"/>
    <x v="12"/>
    <x v="0"/>
    <n v="4"/>
    <m/>
    <m/>
    <m/>
  </r>
  <r>
    <x v="13"/>
    <x v="13"/>
    <x v="0"/>
    <n v="1"/>
    <m/>
    <m/>
    <m/>
  </r>
  <r>
    <x v="14"/>
    <x v="14"/>
    <x v="0"/>
    <n v="1"/>
    <m/>
    <m/>
    <m/>
  </r>
  <r>
    <x v="36"/>
    <x v="36"/>
    <x v="0"/>
    <n v="1"/>
    <m/>
    <m/>
    <m/>
  </r>
  <r>
    <x v="34"/>
    <x v="34"/>
    <x v="0"/>
    <n v="20"/>
    <m/>
    <m/>
    <n v="5"/>
  </r>
  <r>
    <x v="35"/>
    <x v="35"/>
    <x v="0"/>
    <n v="15"/>
    <m/>
    <m/>
    <n v="5"/>
  </r>
  <r>
    <x v="1"/>
    <x v="1"/>
    <x v="0"/>
    <n v="1"/>
    <m/>
    <m/>
    <m/>
  </r>
  <r>
    <x v="49"/>
    <x v="49"/>
    <x v="0"/>
    <n v="4"/>
    <m/>
    <m/>
    <n v="1"/>
  </r>
  <r>
    <x v="45"/>
    <x v="45"/>
    <x v="0"/>
    <n v="4"/>
    <m/>
    <m/>
    <m/>
  </r>
  <r>
    <x v="0"/>
    <x v="0"/>
    <x v="0"/>
    <n v="100"/>
    <m/>
    <m/>
    <m/>
  </r>
  <r>
    <x v="32"/>
    <x v="32"/>
    <x v="0"/>
    <n v="100"/>
    <m/>
    <m/>
    <m/>
  </r>
  <r>
    <x v="18"/>
    <x v="18"/>
    <x v="1"/>
    <n v="15"/>
    <m/>
    <m/>
    <m/>
  </r>
  <r>
    <x v="19"/>
    <x v="19"/>
    <x v="1"/>
    <n v="15"/>
    <m/>
    <m/>
    <m/>
  </r>
  <r>
    <x v="52"/>
    <x v="52"/>
    <x v="0"/>
    <n v="1"/>
    <m/>
    <s v="ZGQ0F6B1JA"/>
    <m/>
  </r>
  <r>
    <x v="36"/>
    <x v="36"/>
    <x v="0"/>
    <n v="2"/>
    <m/>
    <m/>
    <m/>
  </r>
  <r>
    <x v="27"/>
    <x v="27"/>
    <x v="0"/>
    <n v="4"/>
    <m/>
    <m/>
    <n v="1"/>
  </r>
  <r>
    <x v="80"/>
    <x v="80"/>
    <x v="0"/>
    <n v="4"/>
    <m/>
    <m/>
    <n v="1"/>
  </r>
  <r>
    <x v="68"/>
    <x v="68"/>
    <x v="0"/>
    <n v="6"/>
    <m/>
    <m/>
    <n v="2"/>
  </r>
  <r>
    <x v="69"/>
    <x v="69"/>
    <x v="0"/>
    <n v="6"/>
    <m/>
    <m/>
    <n v="2"/>
  </r>
  <r>
    <x v="38"/>
    <x v="38"/>
    <x v="0"/>
    <n v="1"/>
    <m/>
    <m/>
    <m/>
  </r>
  <r>
    <x v="67"/>
    <x v="67"/>
    <x v="0"/>
    <n v="20"/>
    <m/>
    <m/>
    <n v="6"/>
  </r>
  <r>
    <x v="85"/>
    <x v="85"/>
    <x v="0"/>
    <n v="20"/>
    <m/>
    <m/>
    <n v="6"/>
  </r>
  <r>
    <x v="86"/>
    <x v="86"/>
    <x v="0"/>
    <n v="4"/>
    <m/>
    <m/>
    <m/>
  </r>
  <r>
    <x v="16"/>
    <x v="16"/>
    <x v="0"/>
    <n v="1"/>
    <m/>
    <m/>
    <m/>
  </r>
  <r>
    <x v="9"/>
    <x v="9"/>
    <x v="0"/>
    <n v="6"/>
    <m/>
    <m/>
    <n v="1"/>
  </r>
  <r>
    <x v="10"/>
    <x v="10"/>
    <x v="0"/>
    <n v="4"/>
    <m/>
    <m/>
    <n v="1"/>
  </r>
  <r>
    <x v="0"/>
    <x v="0"/>
    <x v="0"/>
    <n v="100"/>
    <m/>
    <m/>
    <m/>
  </r>
  <r>
    <x v="32"/>
    <x v="32"/>
    <x v="0"/>
    <n v="100"/>
    <m/>
    <m/>
    <m/>
  </r>
  <r>
    <x v="34"/>
    <x v="34"/>
    <x v="0"/>
    <n v="35"/>
    <m/>
    <m/>
    <n v="15"/>
  </r>
  <r>
    <x v="35"/>
    <x v="35"/>
    <x v="0"/>
    <n v="20"/>
    <m/>
    <m/>
    <n v="5"/>
  </r>
  <r>
    <x v="13"/>
    <x v="13"/>
    <x v="0"/>
    <n v="1"/>
    <m/>
    <m/>
    <m/>
  </r>
  <r>
    <x v="14"/>
    <x v="14"/>
    <x v="0"/>
    <n v="1"/>
    <m/>
    <m/>
    <m/>
  </r>
  <r>
    <x v="45"/>
    <x v="45"/>
    <x v="0"/>
    <n v="6"/>
    <m/>
    <m/>
    <m/>
  </r>
  <r>
    <x v="87"/>
    <x v="87"/>
    <x v="0"/>
    <n v="100"/>
    <m/>
    <m/>
    <n v="100"/>
  </r>
  <r>
    <x v="50"/>
    <x v="50"/>
    <x v="0"/>
    <n v="1"/>
    <m/>
    <s v="HQ2526QXF42"/>
    <m/>
  </r>
  <r>
    <x v="51"/>
    <x v="51"/>
    <x v="0"/>
    <n v="2"/>
    <m/>
    <s v="HQ2441TN9XZ_x000a_HQ232676FXU"/>
    <n v="2"/>
  </r>
  <r>
    <x v="18"/>
    <x v="18"/>
    <x v="1"/>
    <n v="30"/>
    <m/>
    <m/>
    <m/>
  </r>
  <r>
    <x v="19"/>
    <x v="19"/>
    <x v="1"/>
    <n v="25"/>
    <m/>
    <m/>
    <m/>
  </r>
  <r>
    <x v="59"/>
    <x v="59"/>
    <x v="0"/>
    <n v="2"/>
    <m/>
    <s v="34903622508250292_x000a_34903622508270250"/>
    <m/>
  </r>
  <r>
    <x v="88"/>
    <x v="88"/>
    <x v="0"/>
    <n v="1"/>
    <m/>
    <m/>
    <m/>
  </r>
  <r>
    <x v="47"/>
    <x v="47"/>
    <x v="0"/>
    <n v="1"/>
    <m/>
    <m/>
    <m/>
  </r>
  <r>
    <x v="8"/>
    <x v="8"/>
    <x v="0"/>
    <n v="12"/>
    <m/>
    <m/>
    <n v="6"/>
  </r>
  <r>
    <x v="49"/>
    <x v="49"/>
    <x v="0"/>
    <n v="1"/>
    <m/>
    <m/>
    <m/>
  </r>
  <r>
    <x v="38"/>
    <x v="38"/>
    <x v="0"/>
    <n v="1"/>
    <m/>
    <m/>
    <n v="0"/>
  </r>
  <r>
    <x v="50"/>
    <x v="50"/>
    <x v="0"/>
    <n v="1"/>
    <m/>
    <s v="HQ2526X66UK"/>
    <m/>
  </r>
  <r>
    <x v="67"/>
    <x v="67"/>
    <x v="0"/>
    <n v="20"/>
    <m/>
    <m/>
    <m/>
  </r>
  <r>
    <x v="34"/>
    <x v="34"/>
    <x v="0"/>
    <n v="20"/>
    <m/>
    <m/>
    <m/>
  </r>
  <r>
    <x v="35"/>
    <x v="35"/>
    <x v="0"/>
    <n v="16"/>
    <m/>
    <m/>
    <m/>
  </r>
  <r>
    <x v="12"/>
    <x v="12"/>
    <x v="0"/>
    <n v="8"/>
    <m/>
    <m/>
    <m/>
  </r>
  <r>
    <x v="1"/>
    <x v="1"/>
    <x v="0"/>
    <n v="1"/>
    <m/>
    <m/>
    <m/>
  </r>
  <r>
    <x v="10"/>
    <x v="10"/>
    <x v="0"/>
    <n v="5"/>
    <m/>
    <m/>
    <n v="2"/>
  </r>
  <r>
    <x v="9"/>
    <x v="9"/>
    <x v="0"/>
    <n v="7"/>
    <m/>
    <m/>
    <m/>
  </r>
  <r>
    <x v="45"/>
    <x v="45"/>
    <x v="0"/>
    <n v="8"/>
    <m/>
    <m/>
    <m/>
  </r>
  <r>
    <x v="67"/>
    <x v="67"/>
    <x v="0"/>
    <n v="50"/>
    <m/>
    <m/>
    <n v="20"/>
  </r>
  <r>
    <x v="34"/>
    <x v="34"/>
    <x v="0"/>
    <n v="45"/>
    <m/>
    <m/>
    <n v="15"/>
  </r>
  <r>
    <x v="35"/>
    <x v="35"/>
    <x v="0"/>
    <n v="40"/>
    <m/>
    <m/>
    <n v="15"/>
  </r>
  <r>
    <x v="12"/>
    <x v="12"/>
    <x v="0"/>
    <n v="12"/>
    <m/>
    <m/>
    <n v="6"/>
  </r>
  <r>
    <x v="1"/>
    <x v="1"/>
    <x v="0"/>
    <n v="1"/>
    <m/>
    <m/>
    <m/>
  </r>
  <r>
    <x v="10"/>
    <x v="10"/>
    <x v="0"/>
    <n v="12"/>
    <m/>
    <m/>
    <n v="6"/>
  </r>
  <r>
    <x v="36"/>
    <x v="36"/>
    <x v="0"/>
    <n v="1"/>
    <m/>
    <m/>
    <m/>
  </r>
  <r>
    <x v="32"/>
    <x v="32"/>
    <x v="0"/>
    <n v="100"/>
    <m/>
    <m/>
    <m/>
  </r>
  <r>
    <x v="0"/>
    <x v="0"/>
    <x v="0"/>
    <n v="200"/>
    <m/>
    <m/>
    <n v="100"/>
  </r>
  <r>
    <x v="2"/>
    <x v="2"/>
    <x v="0"/>
    <n v="4"/>
    <m/>
    <m/>
    <n v="2"/>
  </r>
  <r>
    <x v="18"/>
    <x v="18"/>
    <x v="1"/>
    <n v="30"/>
    <m/>
    <m/>
    <m/>
  </r>
  <r>
    <x v="89"/>
    <x v="89"/>
    <x v="0"/>
    <n v="6"/>
    <m/>
    <m/>
    <n v="3"/>
  </r>
  <r>
    <x v="90"/>
    <x v="90"/>
    <x v="0"/>
    <n v="20"/>
    <m/>
    <m/>
    <n v="9"/>
  </r>
  <r>
    <x v="13"/>
    <x v="13"/>
    <x v="0"/>
    <n v="2"/>
    <m/>
    <m/>
    <n v="1"/>
  </r>
  <r>
    <x v="14"/>
    <x v="14"/>
    <x v="0"/>
    <n v="2"/>
    <m/>
    <m/>
    <n v="1"/>
  </r>
  <r>
    <x v="66"/>
    <x v="66"/>
    <x v="0"/>
    <n v="4"/>
    <m/>
    <m/>
    <m/>
  </r>
  <r>
    <x v="68"/>
    <x v="68"/>
    <x v="0"/>
    <n v="10"/>
    <m/>
    <m/>
    <n v="3"/>
  </r>
  <r>
    <x v="69"/>
    <x v="69"/>
    <x v="0"/>
    <n v="10"/>
    <m/>
    <m/>
    <n v="3"/>
  </r>
  <r>
    <x v="7"/>
    <x v="7"/>
    <x v="0"/>
    <n v="20"/>
    <m/>
    <m/>
    <n v="8"/>
  </r>
  <r>
    <x v="57"/>
    <x v="57"/>
    <x v="1"/>
    <n v="100"/>
    <m/>
    <m/>
    <m/>
  </r>
  <r>
    <x v="6"/>
    <x v="6"/>
    <x v="1"/>
    <n v="100"/>
    <m/>
    <m/>
    <m/>
  </r>
  <r>
    <x v="3"/>
    <x v="3"/>
    <x v="1"/>
    <n v="100"/>
    <m/>
    <m/>
    <m/>
  </r>
  <r>
    <x v="5"/>
    <x v="5"/>
    <x v="1"/>
    <n v="100"/>
    <m/>
    <m/>
    <m/>
  </r>
  <r>
    <x v="4"/>
    <x v="4"/>
    <x v="1"/>
    <n v="100"/>
    <m/>
    <m/>
    <m/>
  </r>
  <r>
    <x v="67"/>
    <x v="67"/>
    <x v="0"/>
    <n v="50"/>
    <m/>
    <m/>
    <n v="30"/>
  </r>
  <r>
    <x v="34"/>
    <x v="34"/>
    <x v="0"/>
    <n v="60"/>
    <m/>
    <m/>
    <n v="39"/>
  </r>
  <r>
    <x v="35"/>
    <x v="35"/>
    <x v="0"/>
    <n v="50"/>
    <m/>
    <m/>
    <n v="32"/>
  </r>
  <r>
    <x v="13"/>
    <x v="13"/>
    <x v="0"/>
    <n v="2"/>
    <m/>
    <m/>
    <m/>
  </r>
  <r>
    <x v="14"/>
    <x v="14"/>
    <x v="0"/>
    <n v="2"/>
    <m/>
    <m/>
    <n v="1"/>
  </r>
  <r>
    <x v="36"/>
    <x v="36"/>
    <x v="0"/>
    <n v="1"/>
    <m/>
    <m/>
    <m/>
  </r>
  <r>
    <x v="0"/>
    <x v="0"/>
    <x v="0"/>
    <n v="200"/>
    <m/>
    <m/>
    <m/>
  </r>
  <r>
    <x v="68"/>
    <x v="68"/>
    <x v="0"/>
    <n v="5"/>
    <m/>
    <m/>
    <m/>
  </r>
  <r>
    <x v="69"/>
    <x v="69"/>
    <x v="0"/>
    <n v="5"/>
    <m/>
    <m/>
    <m/>
  </r>
  <r>
    <x v="12"/>
    <x v="12"/>
    <x v="0"/>
    <n v="8"/>
    <m/>
    <m/>
    <n v="3"/>
  </r>
  <r>
    <x v="2"/>
    <x v="2"/>
    <x v="0"/>
    <n v="5"/>
    <m/>
    <m/>
    <n v="5"/>
  </r>
  <r>
    <x v="10"/>
    <x v="10"/>
    <x v="0"/>
    <n v="14"/>
    <m/>
    <m/>
    <m/>
  </r>
  <r>
    <x v="32"/>
    <x v="32"/>
    <x v="0"/>
    <n v="100"/>
    <m/>
    <m/>
    <m/>
  </r>
  <r>
    <x v="45"/>
    <x v="45"/>
    <x v="0"/>
    <n v="14"/>
    <m/>
    <m/>
    <m/>
  </r>
  <r>
    <x v="60"/>
    <x v="60"/>
    <x v="0"/>
    <n v="10"/>
    <m/>
    <m/>
    <n v="1"/>
  </r>
  <r>
    <x v="10"/>
    <x v="10"/>
    <x v="0"/>
    <n v="7"/>
    <m/>
    <m/>
    <n v="1"/>
  </r>
  <r>
    <x v="45"/>
    <x v="45"/>
    <x v="0"/>
    <n v="8"/>
    <m/>
    <m/>
    <m/>
  </r>
  <r>
    <x v="27"/>
    <x v="27"/>
    <x v="0"/>
    <n v="4"/>
    <m/>
    <m/>
    <n v="1"/>
  </r>
  <r>
    <x v="80"/>
    <x v="80"/>
    <x v="0"/>
    <n v="4"/>
    <m/>
    <m/>
    <n v="1"/>
  </r>
  <r>
    <x v="54"/>
    <x v="54"/>
    <x v="0"/>
    <n v="1"/>
    <m/>
    <m/>
    <m/>
  </r>
  <r>
    <x v="38"/>
    <x v="38"/>
    <x v="0"/>
    <n v="1"/>
    <m/>
    <m/>
    <m/>
  </r>
  <r>
    <x v="61"/>
    <x v="61"/>
    <x v="0"/>
    <n v="1"/>
    <m/>
    <m/>
    <m/>
  </r>
  <r>
    <x v="53"/>
    <x v="53"/>
    <x v="0"/>
    <n v="1"/>
    <m/>
    <m/>
    <m/>
  </r>
  <r>
    <x v="55"/>
    <x v="55"/>
    <x v="0"/>
    <n v="1"/>
    <m/>
    <m/>
    <m/>
  </r>
  <r>
    <x v="52"/>
    <x v="52"/>
    <x v="0"/>
    <n v="2"/>
    <m/>
    <m/>
    <m/>
  </r>
  <r>
    <x v="67"/>
    <x v="67"/>
    <x v="0"/>
    <n v="35"/>
    <m/>
    <m/>
    <n v="15"/>
  </r>
  <r>
    <x v="34"/>
    <x v="34"/>
    <x v="0"/>
    <n v="35"/>
    <m/>
    <m/>
    <n v="23"/>
  </r>
  <r>
    <x v="35"/>
    <x v="35"/>
    <x v="0"/>
    <n v="20"/>
    <m/>
    <m/>
    <n v="12"/>
  </r>
  <r>
    <x v="12"/>
    <x v="12"/>
    <x v="0"/>
    <n v="8"/>
    <m/>
    <m/>
    <n v="4"/>
  </r>
  <r>
    <x v="36"/>
    <x v="36"/>
    <x v="0"/>
    <n v="1"/>
    <m/>
    <m/>
    <m/>
  </r>
  <r>
    <x v="13"/>
    <x v="13"/>
    <x v="0"/>
    <n v="2"/>
    <m/>
    <m/>
    <m/>
  </r>
  <r>
    <x v="14"/>
    <x v="14"/>
    <x v="0"/>
    <n v="1"/>
    <m/>
    <m/>
    <m/>
  </r>
  <r>
    <x v="2"/>
    <x v="2"/>
    <x v="0"/>
    <n v="3"/>
    <m/>
    <m/>
    <m/>
  </r>
  <r>
    <x v="32"/>
    <x v="32"/>
    <x v="0"/>
    <n v="100"/>
    <m/>
    <m/>
    <m/>
  </r>
  <r>
    <x v="0"/>
    <x v="0"/>
    <x v="0"/>
    <n v="100"/>
    <m/>
    <m/>
    <m/>
  </r>
  <r>
    <x v="68"/>
    <x v="68"/>
    <x v="0"/>
    <n v="10"/>
    <m/>
    <m/>
    <m/>
  </r>
  <r>
    <x v="69"/>
    <x v="69"/>
    <x v="0"/>
    <n v="10"/>
    <m/>
    <m/>
    <m/>
  </r>
  <r>
    <x v="90"/>
    <x v="90"/>
    <x v="0"/>
    <n v="20"/>
    <m/>
    <m/>
    <m/>
  </r>
  <r>
    <x v="89"/>
    <x v="89"/>
    <x v="0"/>
    <n v="5"/>
    <m/>
    <m/>
    <n v="5"/>
  </r>
  <r>
    <x v="7"/>
    <x v="7"/>
    <x v="0"/>
    <n v="14"/>
    <m/>
    <m/>
    <m/>
  </r>
  <r>
    <x v="60"/>
    <x v="60"/>
    <x v="0"/>
    <n v="10"/>
    <m/>
    <m/>
    <m/>
  </r>
  <r>
    <x v="82"/>
    <x v="82"/>
    <x v="0"/>
    <n v="2"/>
    <m/>
    <m/>
    <m/>
  </r>
  <r>
    <x v="59"/>
    <x v="59"/>
    <x v="0"/>
    <n v="1"/>
    <m/>
    <m/>
    <m/>
  </r>
  <r>
    <x v="58"/>
    <x v="58"/>
    <x v="0"/>
    <n v="1"/>
    <m/>
    <m/>
    <m/>
  </r>
  <r>
    <x v="37"/>
    <x v="37"/>
    <x v="0"/>
    <n v="1"/>
    <m/>
    <m/>
    <m/>
  </r>
  <r>
    <x v="84"/>
    <x v="84"/>
    <x v="0"/>
    <n v="1"/>
    <m/>
    <m/>
    <m/>
  </r>
  <r>
    <x v="13"/>
    <x v="13"/>
    <x v="0"/>
    <n v="2"/>
    <m/>
    <m/>
    <n v="1"/>
  </r>
  <r>
    <x v="14"/>
    <x v="14"/>
    <x v="0"/>
    <n v="2"/>
    <m/>
    <m/>
    <n v="1"/>
  </r>
  <r>
    <x v="60"/>
    <x v="60"/>
    <x v="0"/>
    <n v="22"/>
    <m/>
    <m/>
    <n v="0"/>
  </r>
  <r>
    <x v="38"/>
    <x v="38"/>
    <x v="0"/>
    <n v="1"/>
    <m/>
    <m/>
    <m/>
  </r>
  <r>
    <x v="27"/>
    <x v="27"/>
    <x v="0"/>
    <n v="4"/>
    <m/>
    <m/>
    <n v="1"/>
  </r>
  <r>
    <x v="80"/>
    <x v="80"/>
    <x v="0"/>
    <n v="4"/>
    <m/>
    <m/>
    <n v="1"/>
  </r>
  <r>
    <x v="61"/>
    <x v="61"/>
    <x v="0"/>
    <n v="1"/>
    <m/>
    <m/>
    <m/>
  </r>
  <r>
    <x v="53"/>
    <x v="53"/>
    <x v="0"/>
    <n v="1"/>
    <m/>
    <m/>
    <m/>
  </r>
  <r>
    <x v="54"/>
    <x v="54"/>
    <x v="0"/>
    <n v="1"/>
    <m/>
    <m/>
    <m/>
  </r>
  <r>
    <x v="52"/>
    <x v="52"/>
    <x v="0"/>
    <n v="2"/>
    <m/>
    <m/>
    <m/>
  </r>
  <r>
    <x v="59"/>
    <x v="59"/>
    <x v="0"/>
    <n v="1"/>
    <m/>
    <s v="0949702822509201373"/>
    <m/>
  </r>
  <r>
    <x v="58"/>
    <x v="58"/>
    <x v="0"/>
    <n v="1"/>
    <m/>
    <s v="DYM6F7300R"/>
    <m/>
  </r>
  <r>
    <x v="1"/>
    <x v="1"/>
    <x v="0"/>
    <n v="2"/>
    <m/>
    <m/>
    <m/>
  </r>
  <r>
    <x v="32"/>
    <x v="32"/>
    <x v="0"/>
    <n v="100"/>
    <m/>
    <m/>
    <m/>
  </r>
  <r>
    <x v="0"/>
    <x v="0"/>
    <x v="0"/>
    <n v="300"/>
    <m/>
    <m/>
    <n v="200"/>
  </r>
  <r>
    <x v="68"/>
    <x v="68"/>
    <x v="0"/>
    <n v="10"/>
    <m/>
    <m/>
    <n v="9"/>
  </r>
  <r>
    <x v="69"/>
    <x v="69"/>
    <x v="0"/>
    <n v="10"/>
    <m/>
    <m/>
    <n v="4"/>
  </r>
  <r>
    <x v="12"/>
    <x v="12"/>
    <x v="0"/>
    <n v="8"/>
    <m/>
    <m/>
    <n v="2"/>
  </r>
  <r>
    <x v="45"/>
    <x v="45"/>
    <x v="0"/>
    <n v="14"/>
    <m/>
    <m/>
    <m/>
  </r>
  <r>
    <x v="10"/>
    <x v="10"/>
    <x v="0"/>
    <n v="12"/>
    <m/>
    <m/>
    <n v="3"/>
  </r>
  <r>
    <x v="67"/>
    <x v="67"/>
    <x v="0"/>
    <n v="30"/>
    <m/>
    <m/>
    <n v="5"/>
  </r>
  <r>
    <x v="34"/>
    <x v="34"/>
    <x v="0"/>
    <n v="33"/>
    <m/>
    <m/>
    <n v="6"/>
  </r>
  <r>
    <x v="35"/>
    <x v="35"/>
    <x v="0"/>
    <n v="20"/>
    <m/>
    <m/>
    <n v="5"/>
  </r>
  <r>
    <x v="8"/>
    <x v="8"/>
    <x v="0"/>
    <n v="12"/>
    <m/>
    <m/>
    <n v="3"/>
  </r>
  <r>
    <x v="44"/>
    <x v="44"/>
    <x v="0"/>
    <n v="18"/>
    <m/>
    <m/>
    <n v="3"/>
  </r>
  <r>
    <x v="12"/>
    <x v="12"/>
    <x v="0"/>
    <n v="4"/>
    <m/>
    <m/>
    <n v="1"/>
  </r>
  <r>
    <x v="9"/>
    <x v="9"/>
    <x v="0"/>
    <n v="12"/>
    <m/>
    <m/>
    <n v="2"/>
  </r>
  <r>
    <x v="2"/>
    <x v="2"/>
    <x v="0"/>
    <n v="3"/>
    <m/>
    <m/>
    <n v="1"/>
  </r>
  <r>
    <x v="18"/>
    <x v="18"/>
    <x v="1"/>
    <n v="30"/>
    <m/>
    <m/>
    <m/>
  </r>
  <r>
    <x v="19"/>
    <x v="19"/>
    <x v="1"/>
    <n v="30"/>
    <m/>
    <m/>
    <m/>
  </r>
  <r>
    <x v="36"/>
    <x v="36"/>
    <x v="0"/>
    <n v="2"/>
    <m/>
    <m/>
    <m/>
  </r>
  <r>
    <x v="17"/>
    <x v="17"/>
    <x v="0"/>
    <n v="1"/>
    <m/>
    <m/>
    <m/>
  </r>
  <r>
    <x v="40"/>
    <x v="40"/>
    <x v="0"/>
    <n v="1"/>
    <m/>
    <m/>
    <m/>
  </r>
  <r>
    <x v="16"/>
    <x v="16"/>
    <x v="0"/>
    <n v="1"/>
    <m/>
    <m/>
    <m/>
  </r>
  <r>
    <x v="37"/>
    <x v="37"/>
    <x v="0"/>
    <n v="1"/>
    <m/>
    <m/>
    <m/>
  </r>
  <r>
    <x v="91"/>
    <x v="91"/>
    <x v="0"/>
    <n v="1"/>
    <m/>
    <s v="5620010149"/>
    <n v="0"/>
  </r>
  <r>
    <x v="58"/>
    <x v="58"/>
    <x v="0"/>
    <n v="1"/>
    <m/>
    <s v="DYM6F73037"/>
    <m/>
  </r>
  <r>
    <x v="59"/>
    <x v="59"/>
    <x v="0"/>
    <n v="1"/>
    <m/>
    <s v="0949702822509202287"/>
    <m/>
  </r>
  <r>
    <x v="10"/>
    <x v="10"/>
    <x v="0"/>
    <n v="12"/>
    <m/>
    <m/>
    <n v="3"/>
  </r>
  <r>
    <x v="67"/>
    <x v="67"/>
    <x v="0"/>
    <n v="36"/>
    <m/>
    <m/>
    <n v="15"/>
  </r>
  <r>
    <x v="34"/>
    <x v="34"/>
    <x v="0"/>
    <n v="50"/>
    <m/>
    <m/>
    <n v="25"/>
  </r>
  <r>
    <x v="35"/>
    <x v="35"/>
    <x v="0"/>
    <n v="40"/>
    <m/>
    <m/>
    <n v="15"/>
  </r>
  <r>
    <x v="12"/>
    <x v="12"/>
    <x v="0"/>
    <n v="8"/>
    <m/>
    <m/>
    <n v="2"/>
  </r>
  <r>
    <x v="36"/>
    <x v="36"/>
    <x v="0"/>
    <n v="1"/>
    <m/>
    <m/>
    <m/>
  </r>
  <r>
    <x v="13"/>
    <x v="13"/>
    <x v="0"/>
    <n v="1"/>
    <m/>
    <m/>
    <m/>
  </r>
  <r>
    <x v="14"/>
    <x v="14"/>
    <x v="0"/>
    <n v="2"/>
    <m/>
    <m/>
    <n v="1"/>
  </r>
  <r>
    <x v="32"/>
    <x v="32"/>
    <x v="0"/>
    <n v="100"/>
    <m/>
    <m/>
    <m/>
  </r>
  <r>
    <x v="0"/>
    <x v="0"/>
    <x v="0"/>
    <n v="100"/>
    <m/>
    <m/>
    <m/>
  </r>
  <r>
    <x v="1"/>
    <x v="1"/>
    <x v="0"/>
    <n v="1"/>
    <m/>
    <m/>
    <m/>
  </r>
  <r>
    <x v="68"/>
    <x v="68"/>
    <x v="0"/>
    <n v="10"/>
    <m/>
    <m/>
    <n v="3"/>
  </r>
  <r>
    <x v="69"/>
    <x v="69"/>
    <x v="0"/>
    <n v="10"/>
    <m/>
    <m/>
    <n v="3"/>
  </r>
  <r>
    <x v="2"/>
    <x v="2"/>
    <x v="0"/>
    <n v="3"/>
    <m/>
    <m/>
    <m/>
  </r>
  <r>
    <x v="9"/>
    <x v="9"/>
    <x v="0"/>
    <n v="12"/>
    <m/>
    <m/>
    <n v="2"/>
  </r>
  <r>
    <x v="18"/>
    <x v="18"/>
    <x v="1"/>
    <n v="25"/>
    <m/>
    <m/>
    <m/>
  </r>
  <r>
    <x v="19"/>
    <x v="19"/>
    <x v="1"/>
    <n v="25"/>
    <m/>
    <m/>
    <m/>
  </r>
  <r>
    <x v="44"/>
    <x v="44"/>
    <x v="0"/>
    <n v="15"/>
    <m/>
    <m/>
    <n v="4"/>
  </r>
  <r>
    <x v="8"/>
    <x v="8"/>
    <x v="0"/>
    <n v="9"/>
    <m/>
    <m/>
    <n v="3"/>
  </r>
  <r>
    <x v="67"/>
    <x v="67"/>
    <x v="0"/>
    <n v="20"/>
    <m/>
    <m/>
    <n v="15"/>
  </r>
  <r>
    <x v="89"/>
    <x v="89"/>
    <x v="0"/>
    <n v="6"/>
    <m/>
    <m/>
    <n v="4"/>
  </r>
  <r>
    <x v="90"/>
    <x v="90"/>
    <x v="0"/>
    <n v="40"/>
    <m/>
    <m/>
    <n v="25"/>
  </r>
  <r>
    <x v="49"/>
    <x v="49"/>
    <x v="0"/>
    <n v="18"/>
    <m/>
    <m/>
    <n v="12"/>
  </r>
  <r>
    <x v="70"/>
    <x v="70"/>
    <x v="0"/>
    <n v="8"/>
    <m/>
    <m/>
    <n v="3"/>
  </r>
  <r>
    <x v="10"/>
    <x v="10"/>
    <x v="0"/>
    <n v="3"/>
    <m/>
    <m/>
    <m/>
  </r>
  <r>
    <x v="67"/>
    <x v="67"/>
    <x v="0"/>
    <n v="24"/>
    <m/>
    <m/>
    <n v="2"/>
  </r>
  <r>
    <x v="34"/>
    <x v="34"/>
    <x v="0"/>
    <n v="38"/>
    <m/>
    <m/>
    <n v="18"/>
  </r>
  <r>
    <x v="35"/>
    <x v="35"/>
    <x v="0"/>
    <n v="20"/>
    <m/>
    <m/>
    <n v="2"/>
  </r>
  <r>
    <x v="12"/>
    <x v="12"/>
    <x v="0"/>
    <n v="8"/>
    <m/>
    <m/>
    <n v="2"/>
  </r>
  <r>
    <x v="36"/>
    <x v="36"/>
    <x v="0"/>
    <n v="2"/>
    <m/>
    <m/>
    <m/>
  </r>
  <r>
    <x v="13"/>
    <x v="13"/>
    <x v="0"/>
    <n v="2"/>
    <m/>
    <m/>
    <m/>
  </r>
  <r>
    <x v="14"/>
    <x v="14"/>
    <x v="0"/>
    <n v="2"/>
    <m/>
    <m/>
    <m/>
  </r>
  <r>
    <x v="32"/>
    <x v="32"/>
    <x v="0"/>
    <n v="100"/>
    <m/>
    <m/>
    <n v="50"/>
  </r>
  <r>
    <x v="0"/>
    <x v="0"/>
    <x v="0"/>
    <n v="100"/>
    <m/>
    <m/>
    <n v="50"/>
  </r>
  <r>
    <x v="1"/>
    <x v="1"/>
    <x v="0"/>
    <n v="1"/>
    <m/>
    <m/>
    <m/>
  </r>
  <r>
    <x v="68"/>
    <x v="68"/>
    <x v="0"/>
    <n v="7"/>
    <m/>
    <m/>
    <n v="2"/>
  </r>
  <r>
    <x v="69"/>
    <x v="69"/>
    <x v="0"/>
    <n v="7"/>
    <m/>
    <m/>
    <n v="2"/>
  </r>
  <r>
    <x v="2"/>
    <x v="2"/>
    <x v="0"/>
    <n v="2"/>
    <m/>
    <m/>
    <m/>
  </r>
  <r>
    <x v="9"/>
    <x v="9"/>
    <x v="0"/>
    <n v="3"/>
    <m/>
    <m/>
    <m/>
  </r>
  <r>
    <x v="18"/>
    <x v="18"/>
    <x v="1"/>
    <n v="20"/>
    <m/>
    <m/>
    <m/>
  </r>
  <r>
    <x v="19"/>
    <x v="19"/>
    <x v="1"/>
    <n v="20"/>
    <m/>
    <m/>
    <m/>
  </r>
  <r>
    <x v="44"/>
    <x v="44"/>
    <x v="0"/>
    <n v="5"/>
    <m/>
    <m/>
    <m/>
  </r>
  <r>
    <x v="49"/>
    <x v="49"/>
    <x v="0"/>
    <n v="24"/>
    <m/>
    <m/>
    <n v="6"/>
  </r>
  <r>
    <x v="70"/>
    <x v="70"/>
    <x v="0"/>
    <n v="6"/>
    <m/>
    <m/>
    <n v="2"/>
  </r>
  <r>
    <x v="60"/>
    <x v="60"/>
    <x v="0"/>
    <n v="20"/>
    <m/>
    <m/>
    <n v="10"/>
  </r>
  <r>
    <x v="27"/>
    <x v="27"/>
    <x v="0"/>
    <n v="2"/>
    <m/>
    <m/>
    <m/>
  </r>
  <r>
    <x v="38"/>
    <x v="38"/>
    <x v="0"/>
    <n v="1"/>
    <m/>
    <m/>
    <m/>
  </r>
  <r>
    <x v="39"/>
    <x v="39"/>
    <x v="0"/>
    <n v="1"/>
    <m/>
    <m/>
    <m/>
  </r>
  <r>
    <x v="55"/>
    <x v="55"/>
    <x v="0"/>
    <n v="1"/>
    <m/>
    <m/>
    <m/>
  </r>
  <r>
    <x v="16"/>
    <x v="16"/>
    <x v="0"/>
    <n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">
  <r>
    <n v="1"/>
    <n v="1"/>
    <n v="2"/>
    <m/>
    <m/>
    <s v="JESUS MORALES BUSTOS"/>
    <s v="JAEN"/>
    <s v="HECTOR Y MANUEL"/>
    <d v="2026-02-02T00:00:00"/>
    <n v="13"/>
    <n v="22"/>
    <n v="184"/>
    <x v="0"/>
    <x v="0"/>
    <x v="0"/>
    <n v="100"/>
    <s v="INSTALACION DE INTERCAMBIADOR SPE 10KW"/>
    <m/>
    <n v="50"/>
  </r>
  <r>
    <n v="2"/>
    <n v="1"/>
    <n v="2"/>
    <m/>
    <m/>
    <s v="JESUS MORALES BUSTOS"/>
    <s v="JAEN"/>
    <s v="HECTOR Y MANUEL"/>
    <d v="2026-02-02T00:00:00"/>
    <n v="6"/>
    <n v="23"/>
    <n v="192"/>
    <x v="1"/>
    <x v="1"/>
    <x v="0"/>
    <n v="2"/>
    <s v="INSTALACION DE INTERCAMBIADOR SPE 10KW"/>
    <m/>
    <n v="2"/>
  </r>
  <r>
    <n v="3"/>
    <n v="1"/>
    <n v="2"/>
    <m/>
    <m/>
    <s v="JESUS MORALES BUSTOS"/>
    <s v="JAEN"/>
    <s v="HECTOR Y MANUEL"/>
    <d v="2026-02-02T00:00:00"/>
    <n v="14"/>
    <n v="24"/>
    <n v="193"/>
    <x v="2"/>
    <x v="2"/>
    <x v="0"/>
    <n v="1"/>
    <s v="INSTALACION DE INTERCAMBIADOR SPE 10KW"/>
    <m/>
    <n v="1"/>
  </r>
  <r>
    <n v="4"/>
    <n v="1"/>
    <n v="2"/>
    <m/>
    <m/>
    <s v="JESUS MORALES BUSTOS"/>
    <s v="JAEN"/>
    <s v="HECTOR Y MANUEL"/>
    <d v="2026-02-02T00:00:00"/>
    <n v="3"/>
    <n v="31"/>
    <n v="209"/>
    <x v="3"/>
    <x v="3"/>
    <x v="1"/>
    <n v="100"/>
    <s v="INSTALACION DE INTERCAMBIADOR SPE 10KW"/>
    <m/>
    <n v="100"/>
  </r>
  <r>
    <n v="5"/>
    <n v="1"/>
    <n v="2"/>
    <m/>
    <m/>
    <s v="JESUS MORALES BUSTOS"/>
    <s v="JAEN"/>
    <s v="HECTOR Y MANUEL"/>
    <d v="2026-02-02T00:00:00"/>
    <n v="3"/>
    <n v="31"/>
    <n v="210"/>
    <x v="4"/>
    <x v="4"/>
    <x v="1"/>
    <n v="100"/>
    <s v="INSTALACION DE INTERCAMBIADOR SPE 10KW"/>
    <m/>
    <n v="100"/>
  </r>
  <r>
    <n v="6"/>
    <n v="1"/>
    <n v="2"/>
    <m/>
    <m/>
    <s v="JESUS MORALES BUSTOS"/>
    <s v="JAEN"/>
    <s v="HECTOR Y MANUEL"/>
    <d v="2026-02-02T00:00:00"/>
    <n v="3"/>
    <n v="31"/>
    <n v="212"/>
    <x v="5"/>
    <x v="5"/>
    <x v="1"/>
    <n v="100"/>
    <s v="INSTALACION DE INTERCAMBIADOR SPE 10KW"/>
    <m/>
    <n v="100"/>
  </r>
  <r>
    <n v="7"/>
    <n v="1"/>
    <n v="2"/>
    <m/>
    <m/>
    <s v="JESUS MORALES BUSTOS"/>
    <s v="JAEN"/>
    <s v="HECTOR Y MANUEL"/>
    <d v="2026-02-02T00:00:00"/>
    <n v="3"/>
    <n v="31"/>
    <n v="213"/>
    <x v="6"/>
    <x v="6"/>
    <x v="1"/>
    <n v="100"/>
    <s v="INSTALACION DE INTERCAMBIADOR SPE 10KW"/>
    <m/>
    <n v="100"/>
  </r>
  <r>
    <n v="8"/>
    <n v="1"/>
    <n v="2"/>
    <m/>
    <m/>
    <s v="JESUS MORALES BUSTOS"/>
    <s v="JAEN"/>
    <s v="HECTOR Y MANUEL"/>
    <d v="2026-02-02T00:00:00"/>
    <n v="9"/>
    <n v="32"/>
    <n v="223"/>
    <x v="7"/>
    <x v="7"/>
    <x v="0"/>
    <n v="60"/>
    <s v="INSTALACION DE INTERCAMBIADOR SPE 10KW"/>
    <m/>
    <n v="22"/>
  </r>
  <r>
    <n v="9"/>
    <n v="1"/>
    <n v="2"/>
    <m/>
    <m/>
    <s v="JESUS MORALES BUSTOS"/>
    <s v="JAEN"/>
    <s v="HECTOR Y MANUEL"/>
    <d v="2026-02-02T00:00:00"/>
    <n v="4"/>
    <n v="15"/>
    <n v="267"/>
    <x v="8"/>
    <x v="8"/>
    <x v="0"/>
    <n v="30"/>
    <s v="INSTALACION DE INTERCAMBIADOR SPE 10KW"/>
    <m/>
    <m/>
  </r>
  <r>
    <n v="10"/>
    <n v="1"/>
    <n v="2"/>
    <m/>
    <m/>
    <s v="JESUS MORALES BUSTOS"/>
    <s v="JAEN"/>
    <s v="HECTOR Y MANUEL"/>
    <d v="2026-02-02T00:00:00"/>
    <n v="10"/>
    <n v="42"/>
    <n v="268"/>
    <x v="9"/>
    <x v="9"/>
    <x v="0"/>
    <n v="20"/>
    <s v="INSTALACION DE INTERCAMBIADOR SPE 10KW"/>
    <m/>
    <n v="10"/>
  </r>
  <r>
    <n v="11"/>
    <n v="1"/>
    <n v="2"/>
    <m/>
    <m/>
    <s v="JESUS MORALES BUSTOS"/>
    <s v="JAEN"/>
    <s v="HECTOR Y MANUEL"/>
    <d v="2026-02-02T00:00:00"/>
    <n v="10"/>
    <n v="15"/>
    <n v="269"/>
    <x v="10"/>
    <x v="10"/>
    <x v="0"/>
    <n v="20"/>
    <s v="INSTALACION DE INTERCAMBIADOR SPE 10KW"/>
    <m/>
    <m/>
  </r>
  <r>
    <n v="12"/>
    <n v="1"/>
    <n v="2"/>
    <m/>
    <m/>
    <s v="JESUS MORALES BUSTOS"/>
    <s v="JAEN"/>
    <s v="HECTOR Y MANUEL"/>
    <d v="2026-02-02T00:00:00"/>
    <n v="13"/>
    <n v="25"/>
    <n v="255"/>
    <x v="11"/>
    <x v="11"/>
    <x v="0"/>
    <n v="50"/>
    <s v="INSTALACION DE INTERCAMBIADOR SPE 10KW"/>
    <m/>
    <n v="50"/>
  </r>
  <r>
    <n v="13"/>
    <n v="1"/>
    <n v="2"/>
    <m/>
    <m/>
    <s v="JESUS MORALES BUSTOS"/>
    <s v="JAEN"/>
    <s v="HECTOR Y MANUEL"/>
    <d v="2026-02-02T00:00:00"/>
    <n v="10"/>
    <n v="43"/>
    <n v="270"/>
    <x v="12"/>
    <x v="12"/>
    <x v="0"/>
    <n v="15"/>
    <s v="INSTALACION DE INTERCAMBIADOR SPE 10KW"/>
    <m/>
    <n v="15"/>
  </r>
  <r>
    <n v="14"/>
    <n v="1"/>
    <n v="2"/>
    <m/>
    <m/>
    <s v="JESUS MORALES BUSTOS"/>
    <s v="JAEN"/>
    <s v="HECTOR Y MANUEL"/>
    <d v="2026-02-02T00:00:00"/>
    <n v="17"/>
    <n v="44"/>
    <n v="271"/>
    <x v="13"/>
    <x v="13"/>
    <x v="0"/>
    <n v="1"/>
    <s v="INSTALACION DE INTERCAMBIADOR SPE 10KW"/>
    <m/>
    <n v="2"/>
  </r>
  <r>
    <n v="15"/>
    <n v="1"/>
    <n v="2"/>
    <m/>
    <m/>
    <s v="JESUS MORALES BUSTOS"/>
    <s v="JAEN"/>
    <s v="HECTOR Y MANUEL"/>
    <d v="2026-02-02T00:00:00"/>
    <n v="17"/>
    <n v="44"/>
    <n v="272"/>
    <x v="14"/>
    <x v="14"/>
    <x v="0"/>
    <n v="1"/>
    <s v="INSTALACION DE INTERCAMBIADOR SPE 10KW"/>
    <m/>
    <n v="0.5"/>
  </r>
  <r>
    <n v="16"/>
    <n v="1"/>
    <n v="2"/>
    <m/>
    <m/>
    <s v="JESUS MORALES BUSTOS"/>
    <s v="JAEN"/>
    <s v="HECTOR Y MANUEL"/>
    <d v="2026-02-02T00:00:00"/>
    <n v="7"/>
    <n v="35"/>
    <n v="274"/>
    <x v="15"/>
    <x v="15"/>
    <x v="0"/>
    <n v="1"/>
    <s v="INSTALACION DE INTERCAMBIADOR SPE 10KW_x000a_S/N HAQ1F4P4JV"/>
    <m/>
    <m/>
  </r>
  <r>
    <n v="17"/>
    <n v="1"/>
    <n v="2"/>
    <m/>
    <m/>
    <s v="JESUS MORALES BUSTOS"/>
    <s v="JAEN"/>
    <s v="HECTOR Y MANUEL"/>
    <d v="2026-02-02T00:00:00"/>
    <n v="16"/>
    <n v="45"/>
    <n v="275"/>
    <x v="16"/>
    <x v="16"/>
    <x v="0"/>
    <n v="1"/>
    <s v="INSTALACION DE INTERCAMBIADOR SPE 10KW_x000a_S/N HAQ1F4P4JV"/>
    <m/>
    <m/>
  </r>
  <r>
    <n v="18"/>
    <n v="1"/>
    <n v="2"/>
    <m/>
    <m/>
    <s v="JESUS MORALES BUSTOS"/>
    <s v="JAEN"/>
    <s v="HECTOR Y MANUEL"/>
    <d v="2026-02-02T00:00:00"/>
    <n v="16"/>
    <n v="45"/>
    <n v="276"/>
    <x v="17"/>
    <x v="17"/>
    <x v="0"/>
    <n v="1"/>
    <s v="INSTALACION DE INTERCAMBIADOR SPE 10KW_x000a_S/N HAQ1F4P4JV"/>
    <m/>
    <m/>
  </r>
  <r>
    <n v="19"/>
    <n v="1"/>
    <n v="2"/>
    <m/>
    <m/>
    <s v="JESUS MORALES BUSTOS"/>
    <s v="JAEN"/>
    <s v="HECTOR Y MANUEL"/>
    <d v="2026-02-02T00:00:00"/>
    <n v="3"/>
    <n v="31"/>
    <n v="277"/>
    <x v="18"/>
    <x v="18"/>
    <x v="1"/>
    <n v="30"/>
    <s v="INSTALACION DE INTERCAMBIADOR SPE 10KW_x000a_S/N HAQ1F4P4JV"/>
    <m/>
    <m/>
  </r>
  <r>
    <n v="20"/>
    <n v="1"/>
    <n v="2"/>
    <m/>
    <m/>
    <s v="JESUS MORALES BUSTOS"/>
    <s v="JAEN"/>
    <s v="HECTOR Y MANUEL"/>
    <d v="2026-02-02T00:00:00"/>
    <n v="3"/>
    <n v="31"/>
    <n v="278"/>
    <x v="19"/>
    <x v="19"/>
    <x v="1"/>
    <n v="30"/>
    <s v="INSTALACION DE INTERCAMBIADOR SPE 10KW_x000a_S/N HAQ1F4P4JV"/>
    <m/>
    <m/>
  </r>
  <r>
    <n v="21"/>
    <n v="1"/>
    <n v="2"/>
    <m/>
    <m/>
    <s v="JESUS MORALES BUSTOS"/>
    <s v="JAEN"/>
    <s v="HECTOR Y MANUEL"/>
    <d v="2026-02-02T00:00:00"/>
    <n v="16"/>
    <n v="46"/>
    <n v="279"/>
    <x v="20"/>
    <x v="20"/>
    <x v="1"/>
    <n v="1"/>
    <s v="INSTALACION DE INTERCAMBIADOR SPE 10KW_x000a_S/N HAQ1F4P4JV"/>
    <m/>
    <n v="1"/>
  </r>
  <r>
    <n v="22"/>
    <n v="1"/>
    <n v="2"/>
    <m/>
    <m/>
    <s v="JESUS MORALES BUSTOS"/>
    <s v="JAEN"/>
    <s v="HECTOR Y MANUEL"/>
    <d v="2026-02-02T00:00:00"/>
    <n v="3"/>
    <n v="31"/>
    <n v="222"/>
    <x v="21"/>
    <x v="21"/>
    <x v="1"/>
    <n v="100"/>
    <s v="INSTALACION DE INTERCAMBIADOR SPE 10KW_x000a_S/N HAQ1F4P4JV"/>
    <m/>
    <n v="88"/>
  </r>
  <r>
    <n v="23"/>
    <n v="1"/>
    <n v="2"/>
    <m/>
    <m/>
    <s v="JESUS MORALES BUSTOS"/>
    <s v="JAEN"/>
    <s v="HECTOR Y MANUEL"/>
    <d v="2026-02-02T00:00:00"/>
    <n v="3"/>
    <n v="31"/>
    <n v="221"/>
    <x v="22"/>
    <x v="22"/>
    <x v="1"/>
    <n v="100"/>
    <s v="INSTALACION DE INTERCAMBIADOR SPE 10KW_x000a_S/N HAQ1F4P4JV"/>
    <m/>
    <n v="88"/>
  </r>
  <r>
    <n v="24"/>
    <n v="1"/>
    <n v="2"/>
    <m/>
    <m/>
    <s v="JESUS MORALES BUSTOS"/>
    <s v="JAEN"/>
    <s v="HECTOR Y MANUEL"/>
    <d v="2026-02-02T00:00:00"/>
    <n v="3"/>
    <n v="31"/>
    <n v="220"/>
    <x v="23"/>
    <x v="23"/>
    <x v="1"/>
    <n v="100"/>
    <s v="INSTALACION DE INTERCAMBIADOR SPE 10KW_x000a_S/N HAQ1F4P4JV"/>
    <m/>
    <n v="88"/>
  </r>
  <r>
    <n v="25"/>
    <n v="1"/>
    <n v="2"/>
    <m/>
    <m/>
    <s v="JESUS MORALES BUSTOS"/>
    <s v="JAEN"/>
    <s v="HECTOR Y MANUEL"/>
    <d v="2026-02-02T00:00:00"/>
    <n v="3"/>
    <n v="31"/>
    <n v="219"/>
    <x v="24"/>
    <x v="24"/>
    <x v="1"/>
    <n v="100"/>
    <s v="INSTALACION DE INTERCAMBIADOR SPE 10KW_x000a_S/N HAQ1F4P4JV"/>
    <m/>
    <n v="88"/>
  </r>
  <r>
    <n v="26"/>
    <n v="1"/>
    <n v="2"/>
    <m/>
    <m/>
    <s v="JESUS MORALES BUSTOS"/>
    <s v="JAEN"/>
    <s v="HECTOR Y MANUEL"/>
    <d v="2026-02-02T00:00:00"/>
    <n v="3"/>
    <n v="31"/>
    <n v="218"/>
    <x v="25"/>
    <x v="25"/>
    <x v="1"/>
    <n v="60"/>
    <s v="INSTALACION DE INTERCAMBIADOR SPE 10KW_x000a_S/N HAQ1F4P4JV"/>
    <m/>
    <n v="88"/>
  </r>
  <r>
    <n v="27"/>
    <n v="1"/>
    <n v="2"/>
    <m/>
    <m/>
    <s v="JESUS MORALES BUSTOS"/>
    <s v="JAEN"/>
    <s v="HECTOR Y MANUEL"/>
    <d v="2026-02-02T00:00:00"/>
    <n v="16"/>
    <n v="47"/>
    <n v="280"/>
    <x v="26"/>
    <x v="26"/>
    <x v="0"/>
    <n v="2"/>
    <s v="INSTALACION DE INTERCAMBIADOR SPE 10KW_x000a_S/N HAQ1F4P4JV"/>
    <m/>
    <n v="1"/>
  </r>
  <r>
    <n v="28"/>
    <n v="1"/>
    <n v="2"/>
    <m/>
    <m/>
    <s v="JESUS MORALES BUSTOS"/>
    <s v="JAEN"/>
    <s v="HECTOR Y MANUEL"/>
    <d v="2026-02-02T00:00:00"/>
    <n v="16"/>
    <n v="48"/>
    <n v="281"/>
    <x v="27"/>
    <x v="27"/>
    <x v="0"/>
    <n v="4"/>
    <s v="INSTALACION DE INTERCAMBIADOR SPE 10KW_x000a_S/N HAQ1F4P4JV"/>
    <m/>
    <m/>
  </r>
  <r>
    <n v="29"/>
    <n v="1"/>
    <n v="2"/>
    <m/>
    <m/>
    <s v="JESUS MORALES BUSTOS"/>
    <s v="JAEN"/>
    <s v="HECTOR Y MANUEL"/>
    <d v="2026-02-02T00:00:00"/>
    <n v="16"/>
    <n v="49"/>
    <n v="282"/>
    <x v="28"/>
    <x v="28"/>
    <x v="0"/>
    <n v="1"/>
    <s v="INSTALACION DE INTERCAMBIADOR SPE 10KW_x000a_S/N HAQ1F4P4JV"/>
    <m/>
    <m/>
  </r>
  <r>
    <n v="30"/>
    <n v="1"/>
    <n v="2"/>
    <m/>
    <m/>
    <s v="JESUS MORALES BUSTOS"/>
    <s v="JAEN"/>
    <s v="HECTOR Y MANUEL"/>
    <d v="2026-02-02T00:00:00"/>
    <n v="16"/>
    <n v="50"/>
    <n v="283"/>
    <x v="29"/>
    <x v="29"/>
    <x v="0"/>
    <n v="10"/>
    <s v="INSTALACION DE INTERCAMBIADOR SPE 10KW_x000a_S/N HAQ1F4P4JV"/>
    <m/>
    <n v="6"/>
  </r>
  <r>
    <n v="31"/>
    <n v="1"/>
    <n v="2"/>
    <m/>
    <m/>
    <s v="JESUS MORALES BUSTOS"/>
    <s v="JAEN"/>
    <s v="HECTOR Y MANUEL"/>
    <d v="2026-02-02T00:00:00"/>
    <n v="16"/>
    <n v="51"/>
    <n v="284"/>
    <x v="30"/>
    <x v="30"/>
    <x v="0"/>
    <n v="1"/>
    <s v="INSTALACION DE INTERCAMBIADOR SPE 10KW_x000a_S/N HAQ1F4P4JV"/>
    <m/>
    <m/>
  </r>
  <r>
    <n v="32"/>
    <n v="1"/>
    <n v="2"/>
    <m/>
    <m/>
    <s v="JESUS MORALES BUSTOS"/>
    <s v="JAEN"/>
    <s v="HECTOR Y MANUEL"/>
    <d v="2026-02-02T00:00:00"/>
    <n v="16"/>
    <n v="52"/>
    <n v="285"/>
    <x v="31"/>
    <x v="31"/>
    <x v="0"/>
    <n v="2"/>
    <s v="INSTALACION DE INTERCAMBIADOR SPE 10KW_x000a_S/N HAQ1F4P4JV"/>
    <m/>
    <n v="1"/>
  </r>
  <r>
    <n v="33"/>
    <n v="2"/>
    <n v="4"/>
    <m/>
    <m/>
    <s v="ILDEFONSO MONILLAS CAMPAN"/>
    <s v="MANCHA REAL"/>
    <s v="HECTOR Y JAVI"/>
    <d v="2026-06-06T00:00:00"/>
    <n v="13"/>
    <n v="21"/>
    <n v="181"/>
    <x v="32"/>
    <x v="32"/>
    <x v="0"/>
    <n v="100"/>
    <s v="INSTALACION DE 8 PLACAS"/>
    <m/>
    <n v="100"/>
  </r>
  <r>
    <n v="34"/>
    <n v="2"/>
    <n v="4"/>
    <m/>
    <m/>
    <s v="ILDEFONSO MONILLAS CAMPAN"/>
    <s v="MANCHA REAL"/>
    <s v="HECTOR Y JAVI"/>
    <d v="2026-06-06T00:00:00"/>
    <n v="13"/>
    <n v="22"/>
    <n v="183"/>
    <x v="33"/>
    <x v="33"/>
    <x v="0"/>
    <n v="100"/>
    <s v="INSTALACION DE 8 PLACAS"/>
    <m/>
    <n v="100"/>
  </r>
  <r>
    <n v="35"/>
    <n v="2"/>
    <n v="4"/>
    <m/>
    <m/>
    <s v="ILDEFONSO MONILLAS CAMPAN"/>
    <s v="MANCHA REAL"/>
    <s v="HECTOR Y JAVI"/>
    <d v="2026-06-06T00:00:00"/>
    <n v="13"/>
    <n v="22"/>
    <n v="184"/>
    <x v="0"/>
    <x v="0"/>
    <x v="0"/>
    <n v="50"/>
    <s v="INSTALACION DE 8 PLACAS"/>
    <m/>
    <n v="50"/>
  </r>
  <r>
    <n v="36"/>
    <n v="2"/>
    <n v="4"/>
    <m/>
    <m/>
    <s v="ILDEFONSO MONILLAS CAMPAN"/>
    <s v="MANCHA REAL"/>
    <s v="HECTOR Y JAVI"/>
    <d v="2026-06-06T00:00:00"/>
    <n v="10"/>
    <n v="37"/>
    <n v="232"/>
    <x v="34"/>
    <x v="34"/>
    <x v="0"/>
    <n v="25"/>
    <s v="INSTALACION DE 8 PLACAS"/>
    <m/>
    <n v="25"/>
  </r>
  <r>
    <n v="37"/>
    <n v="2"/>
    <n v="4"/>
    <m/>
    <m/>
    <s v="ILDEFONSO MONILLAS CAMPAN"/>
    <s v="MANCHA REAL"/>
    <s v="HECTOR Y JAVI"/>
    <d v="2026-06-06T00:00:00"/>
    <n v="10"/>
    <n v="37"/>
    <n v="315"/>
    <x v="35"/>
    <x v="35"/>
    <x v="0"/>
    <n v="25"/>
    <s v="INSTALACION DE 8 PLACAS"/>
    <m/>
    <n v="25"/>
  </r>
  <r>
    <n v="38"/>
    <n v="2"/>
    <n v="4"/>
    <m/>
    <m/>
    <s v="ILDEFONSO MONILLAS CAMPAN"/>
    <s v="MANCHA REAL"/>
    <s v="HECTOR Y JAVI"/>
    <d v="2026-06-06T00:00:00"/>
    <n v="6"/>
    <n v="23"/>
    <n v="192"/>
    <x v="1"/>
    <x v="1"/>
    <x v="0"/>
    <n v="3"/>
    <s v="INSTALACION DE 8 PLACAS"/>
    <m/>
    <n v="1.5"/>
  </r>
  <r>
    <n v="39"/>
    <n v="2"/>
    <n v="4"/>
    <m/>
    <m/>
    <s v="ILDEFONSO MONILLAS CAMPAN"/>
    <s v="MANCHA REAL"/>
    <s v="HECTOR Y JAVI"/>
    <d v="2026-06-06T00:00:00"/>
    <n v="16"/>
    <n v="45"/>
    <n v="294"/>
    <x v="36"/>
    <x v="36"/>
    <x v="0"/>
    <n v="1"/>
    <s v="INSTALACION DE 8 PLACAS"/>
    <m/>
    <m/>
  </r>
  <r>
    <n v="40"/>
    <n v="2"/>
    <n v="4"/>
    <m/>
    <m/>
    <s v="ILDEFONSO MONILLAS CAMPAN"/>
    <s v="MANCHA REAL"/>
    <s v="HECTOR Y JAVI"/>
    <d v="2026-06-06T00:00:00"/>
    <n v="10"/>
    <n v="43"/>
    <n v="270"/>
    <x v="12"/>
    <x v="12"/>
    <x v="0"/>
    <n v="8"/>
    <s v="INSTALACION DE 8 PLACAS"/>
    <m/>
    <n v="8"/>
  </r>
  <r>
    <n v="41"/>
    <n v="2"/>
    <n v="4"/>
    <m/>
    <m/>
    <s v="ILDEFONSO MONILLAS CAMPAN"/>
    <s v="MANCHA REAL"/>
    <s v="HECTOR Y JAVI"/>
    <d v="2026-06-06T00:00:00"/>
    <n v="16"/>
    <n v="45"/>
    <n v="276"/>
    <x v="17"/>
    <x v="17"/>
    <x v="0"/>
    <n v="1"/>
    <s v="INSTALACION DE 8 PLACAS"/>
    <m/>
    <n v="1"/>
  </r>
  <r>
    <n v="42"/>
    <n v="2"/>
    <n v="4"/>
    <m/>
    <m/>
    <s v="ILDEFONSO MONILLAS CAMPAN"/>
    <s v="MANCHA REAL"/>
    <s v="HECTOR Y JAVI"/>
    <d v="2026-06-06T00:00:00"/>
    <n v="16"/>
    <n v="45"/>
    <n v="317"/>
    <x v="37"/>
    <x v="37"/>
    <x v="0"/>
    <n v="1"/>
    <s v="INSTALACION DE 8 PLACAS"/>
    <m/>
    <n v="1"/>
  </r>
  <r>
    <n v="43"/>
    <n v="2"/>
    <n v="4"/>
    <m/>
    <m/>
    <s v="ILDEFONSO MONILLAS CAMPAN"/>
    <s v="MANCHA REAL"/>
    <s v="HECTOR Y JAVI"/>
    <d v="2026-06-06T00:00:00"/>
    <n v="16"/>
    <n v="47"/>
    <n v="318"/>
    <x v="38"/>
    <x v="38"/>
    <x v="0"/>
    <n v="1"/>
    <s v="INSTALACION DE 8 PLACAS"/>
    <m/>
    <m/>
  </r>
  <r>
    <n v="44"/>
    <n v="2"/>
    <n v="4"/>
    <m/>
    <m/>
    <s v="ILDEFONSO MONILLAS CAMPAN"/>
    <s v="MANCHA REAL"/>
    <s v="HECTOR Y JAVI"/>
    <d v="2026-06-06T00:00:00"/>
    <n v="16"/>
    <n v="52"/>
    <n v="319"/>
    <x v="39"/>
    <x v="39"/>
    <x v="0"/>
    <n v="1"/>
    <s v="INSTALACION DE 8 PLACAS"/>
    <m/>
    <m/>
  </r>
  <r>
    <n v="45"/>
    <n v="2"/>
    <n v="4"/>
    <m/>
    <m/>
    <s v="ILDEFONSO MONILLAS CAMPAN"/>
    <s v="MANCHA REAL"/>
    <s v="HECTOR Y JAVI"/>
    <d v="2026-06-06T00:00:00"/>
    <n v="16"/>
    <n v="45"/>
    <n v="275"/>
    <x v="16"/>
    <x v="16"/>
    <x v="0"/>
    <n v="1"/>
    <s v="INSTALACION DE 8 PLACAS"/>
    <m/>
    <n v="1"/>
  </r>
  <r>
    <n v="46"/>
    <n v="2"/>
    <n v="4"/>
    <m/>
    <m/>
    <s v="ILDEFONSO MONILLAS CAMPAN"/>
    <s v="MANCHA REAL"/>
    <s v="HECTOR Y JAVI"/>
    <d v="2026-06-06T00:00:00"/>
    <n v="16"/>
    <n v="45"/>
    <n v="299"/>
    <x v="40"/>
    <x v="40"/>
    <x v="0"/>
    <n v="1"/>
    <s v="INSTALACION DE 8 PLACAS"/>
    <m/>
    <m/>
  </r>
  <r>
    <n v="47"/>
    <n v="2"/>
    <n v="4"/>
    <m/>
    <m/>
    <s v="ILDEFONSO MONILLAS CAMPAN"/>
    <s v="MANCHA REAL"/>
    <s v="HECTOR Y JAVI"/>
    <d v="2026-06-06T00:00:00"/>
    <n v="10"/>
    <n v="42"/>
    <n v="268"/>
    <x v="9"/>
    <x v="9"/>
    <x v="0"/>
    <n v="8"/>
    <s v="INSTALACION DE 8 PLACAS"/>
    <m/>
    <n v="8"/>
  </r>
  <r>
    <n v="48"/>
    <n v="2"/>
    <n v="4"/>
    <m/>
    <m/>
    <s v="ILDEFONSO MONILLAS CAMPAN"/>
    <s v="MANCHA REAL"/>
    <s v="HECTOR Y JAVI"/>
    <d v="2026-06-06T00:00:00"/>
    <n v="16"/>
    <n v="31"/>
    <n v="320"/>
    <x v="41"/>
    <x v="41"/>
    <x v="0"/>
    <n v="1"/>
    <s v="INSTALACION DE 8 PLACAS"/>
    <m/>
    <m/>
  </r>
  <r>
    <n v="49"/>
    <n v="2"/>
    <n v="4"/>
    <m/>
    <m/>
    <s v="ILDEFONSO MONILLAS CAMPAN"/>
    <s v="MANCHA REAL"/>
    <s v="HECTOR Y JAVI"/>
    <d v="2026-06-06T00:00:00"/>
    <n v="17"/>
    <n v="44"/>
    <n v="271"/>
    <x v="13"/>
    <x v="13"/>
    <x v="0"/>
    <n v="1"/>
    <s v="INSTALACION DE 8 PLACAS"/>
    <m/>
    <n v="1"/>
  </r>
  <r>
    <n v="50"/>
    <n v="2"/>
    <n v="4"/>
    <m/>
    <m/>
    <s v="ILDEFONSO MONILLAS CAMPAN"/>
    <s v="MANCHA REAL"/>
    <s v="HECTOR Y JAVI"/>
    <d v="2026-06-06T00:00:00"/>
    <n v="17"/>
    <n v="44"/>
    <n v="272"/>
    <x v="14"/>
    <x v="14"/>
    <x v="0"/>
    <n v="1"/>
    <s v="INSTALACION DE 8 PLACAS"/>
    <m/>
    <n v="1"/>
  </r>
  <r>
    <n v="51"/>
    <n v="2"/>
    <n v="4"/>
    <m/>
    <m/>
    <s v="ILDEFONSO MONILLAS CAMPAN"/>
    <s v="MANCHA REAL"/>
    <s v="HECTOR Y JAVI"/>
    <d v="2026-06-06T00:00:00"/>
    <n v="8"/>
    <n v="27"/>
    <n v="321"/>
    <x v="42"/>
    <x v="42"/>
    <x v="0"/>
    <n v="20"/>
    <s v="INSTALACION DE 8 PLACAS"/>
    <m/>
    <n v="20"/>
  </r>
  <r>
    <n v="52"/>
    <n v="2"/>
    <n v="4"/>
    <m/>
    <m/>
    <s v="ILDEFONSO MONILLAS CAMPAN"/>
    <s v="MANCHA REAL"/>
    <s v="HECTOR Y JAVI"/>
    <d v="2026-06-06T00:00:00"/>
    <n v="16"/>
    <n v="59"/>
    <n v="322"/>
    <x v="43"/>
    <x v="43"/>
    <x v="0"/>
    <n v="1"/>
    <s v="INSTALACION DE 8 PLACAS"/>
    <m/>
    <m/>
  </r>
  <r>
    <n v="53"/>
    <n v="2"/>
    <n v="4"/>
    <m/>
    <m/>
    <s v="ILDEFONSO MONILLAS CAMPAN"/>
    <s v="MANCHA REAL"/>
    <s v="HECTOR Y JAVI"/>
    <d v="2026-06-06T00:00:00"/>
    <n v="9"/>
    <n v="2"/>
    <n v="291"/>
    <x v="44"/>
    <x v="44"/>
    <x v="0"/>
    <n v="8"/>
    <s v="INSTALACION DE 8 PLACAS"/>
    <m/>
    <n v="6"/>
  </r>
  <r>
    <n v="54"/>
    <n v="2"/>
    <n v="4"/>
    <m/>
    <m/>
    <s v="ILDEFONSO MONILLAS CAMPAN"/>
    <s v="MANCHA REAL"/>
    <s v="HECTOR Y JAVI"/>
    <d v="2026-06-06T00:00:00"/>
    <n v="10"/>
    <n v="15"/>
    <n v="269"/>
    <x v="10"/>
    <x v="10"/>
    <x v="0"/>
    <n v="10"/>
    <s v="INSTALACION DE 8 PLACAS"/>
    <m/>
    <m/>
  </r>
  <r>
    <n v="55"/>
    <n v="2"/>
    <n v="4"/>
    <m/>
    <m/>
    <s v="ILDEFONSO MONILLAS CAMPAN"/>
    <s v="MANCHA REAL"/>
    <s v="HECTOR Y JAVI"/>
    <d v="2026-06-06T00:00:00"/>
    <n v="7"/>
    <n v="38"/>
    <n v="247"/>
    <x v="45"/>
    <x v="45"/>
    <x v="0"/>
    <n v="8"/>
    <s v="INSTALACION DE 8 PLACAS"/>
    <m/>
    <n v="8"/>
  </r>
  <r>
    <n v="56"/>
    <n v="2"/>
    <n v="4"/>
    <m/>
    <m/>
    <s v="ILDEFONSO MONILLAS CAMPAN"/>
    <s v="MANCHA REAL"/>
    <s v="HECTOR Y JAVI"/>
    <d v="2026-06-06T00:00:00"/>
    <n v="7"/>
    <n v="54"/>
    <n v="323"/>
    <x v="46"/>
    <x v="46"/>
    <x v="0"/>
    <n v="3"/>
    <s v="INSTALACION DE 8 PLACAS"/>
    <m/>
    <m/>
  </r>
  <r>
    <n v="57"/>
    <n v="2"/>
    <n v="4"/>
    <m/>
    <m/>
    <s v="ILDEFONSO MONILLAS CAMPAN"/>
    <s v="MANCHA REAL"/>
    <s v="HECTOR Y JAVI"/>
    <d v="2026-06-06T00:00:00"/>
    <n v="14"/>
    <n v="24"/>
    <n v="193"/>
    <x v="2"/>
    <x v="2"/>
    <x v="0"/>
    <n v="3"/>
    <s v="INSTALACION DE 8 PLACAS"/>
    <m/>
    <n v="1"/>
  </r>
  <r>
    <n v="58"/>
    <n v="2"/>
    <n v="4"/>
    <m/>
    <m/>
    <s v="ILDEFONSO MONILLAS CAMPAN"/>
    <s v="MANCHA REAL"/>
    <s v="HECTOR Y JAVI"/>
    <d v="2026-06-06T00:00:00"/>
    <n v="16"/>
    <n v="60"/>
    <n v="324"/>
    <x v="47"/>
    <x v="47"/>
    <x v="0"/>
    <n v="1"/>
    <s v="INSTALACION DE 8 PLACAS"/>
    <m/>
    <m/>
  </r>
  <r>
    <n v="59"/>
    <n v="2"/>
    <n v="4"/>
    <m/>
    <m/>
    <s v="ILDEFONSO MONILLAS CAMPAN"/>
    <s v="MANCHA REAL"/>
    <s v="HECTOR Y JAVI"/>
    <d v="2026-06-06T00:00:00"/>
    <n v="16"/>
    <n v="60"/>
    <n v="325"/>
    <x v="48"/>
    <x v="48"/>
    <x v="0"/>
    <n v="1"/>
    <s v="INSTALACION DE 8 PLACAS"/>
    <m/>
    <m/>
  </r>
  <r>
    <n v="60"/>
    <n v="2"/>
    <n v="4"/>
    <m/>
    <m/>
    <s v="ILDEFONSO MONILLAS CAMPAN"/>
    <s v="MANCHA REAL"/>
    <s v="HECTOR Y JAVI"/>
    <d v="2026-06-06T00:00:00"/>
    <n v="3"/>
    <n v="31"/>
    <n v="277"/>
    <x v="18"/>
    <x v="18"/>
    <x v="1"/>
    <n v="15"/>
    <s v="INSTALACION DE 8 PLACAS"/>
    <m/>
    <n v="15"/>
  </r>
  <r>
    <n v="61"/>
    <n v="2"/>
    <n v="4"/>
    <m/>
    <m/>
    <s v="ILDEFONSO MONILLAS CAMPAN"/>
    <s v="MANCHA REAL"/>
    <s v="HECTOR Y JAVI"/>
    <d v="2026-06-06T00:00:00"/>
    <n v="3"/>
    <n v="31"/>
    <n v="278"/>
    <x v="19"/>
    <x v="19"/>
    <x v="1"/>
    <n v="15"/>
    <s v="INSTALACION DE 8 PLACAS"/>
    <m/>
    <n v="15"/>
  </r>
  <r>
    <n v="62"/>
    <n v="2"/>
    <n v="4"/>
    <m/>
    <m/>
    <s v="ILDEFONSO MONILLAS CAMPAN"/>
    <s v="MANCHA REAL"/>
    <s v="HECTOR Y JAVI"/>
    <d v="2026-06-06T00:00:00"/>
    <n v="4"/>
    <n v="15"/>
    <n v="326"/>
    <x v="49"/>
    <x v="49"/>
    <x v="0"/>
    <n v="6"/>
    <s v="INSTALACION DE 8 PLACAS"/>
    <m/>
    <n v="6"/>
  </r>
  <r>
    <n v="63"/>
    <n v="2"/>
    <n v="4"/>
    <m/>
    <m/>
    <s v="ILDEFONSO MONILLAS CAMPAN"/>
    <s v="MANCHA REAL"/>
    <s v="HECTOR Y JAVI"/>
    <d v="2026-06-06T00:00:00"/>
    <n v="7"/>
    <n v="35"/>
    <n v="327"/>
    <x v="50"/>
    <x v="50"/>
    <x v="0"/>
    <n v="1"/>
    <s v="INSTALACION DE 8 PLACAS"/>
    <m/>
    <n v="1"/>
  </r>
  <r>
    <n v="64"/>
    <n v="2"/>
    <n v="4"/>
    <m/>
    <m/>
    <s v="ILDEFONSO MONILLAS CAMPAN"/>
    <s v="MANCHA REAL"/>
    <s v="HECTOR Y JAVI"/>
    <d v="2026-06-06T00:00:00"/>
    <n v="7"/>
    <n v="36"/>
    <n v="231"/>
    <x v="51"/>
    <x v="51"/>
    <x v="0"/>
    <n v="1"/>
    <s v="INSTALACION DE 8 PLACAS"/>
    <m/>
    <m/>
  </r>
  <r>
    <n v="65"/>
    <n v="3"/>
    <n v="5"/>
    <m/>
    <m/>
    <s v="MIGUEL ÁNGEL MONTENEGRO"/>
    <s v="BAILEN"/>
    <s v="ANTONIO Y JESUS"/>
    <d v="2026-02-06T00:00:00"/>
    <n v="16"/>
    <n v="53"/>
    <n v="290"/>
    <x v="52"/>
    <x v="52"/>
    <x v="0"/>
    <n v="1"/>
    <s v="ACONDICIONAMIENTO Y REFUERZO DE ESTRUCTURA OCACIONADOS POR CONDICIONES CLIMATICAS."/>
    <m/>
    <m/>
  </r>
  <r>
    <n v="66"/>
    <n v="3"/>
    <n v="5"/>
    <m/>
    <m/>
    <s v="MIGUEL ÁNGEL MONTENEGRO"/>
    <s v="BAILEN"/>
    <s v="ANTONIO Y JESUS"/>
    <d v="2026-02-06T00:00:00"/>
    <n v="16"/>
    <n v="52"/>
    <n v="293"/>
    <x v="53"/>
    <x v="53"/>
    <x v="0"/>
    <n v="2"/>
    <s v="ACONDICIONAMIENTO Y REFUERZO DE ESTRUCTURA OCACIONADOS POR CONDICIONES CLIMATICAS."/>
    <m/>
    <m/>
  </r>
  <r>
    <n v="67"/>
    <n v="3"/>
    <n v="5"/>
    <m/>
    <m/>
    <s v="MIGUEL ÁNGEL MONTENEGRO"/>
    <s v="BAILEN"/>
    <s v="ANTONIO Y JESUS"/>
    <d v="2026-02-06T00:00:00"/>
    <n v="16"/>
    <n v="47"/>
    <n v="318"/>
    <x v="38"/>
    <x v="38"/>
    <x v="0"/>
    <n v="1"/>
    <s v="ACONDICIONAMIENTO Y REFUERZO DE ESTRUCTURA OCACIONADOS POR CONDICIONES CLIMATICAS."/>
    <m/>
    <m/>
  </r>
  <r>
    <n v="68"/>
    <n v="3"/>
    <n v="5"/>
    <m/>
    <m/>
    <s v="MIGUEL ÁNGEL MONTENEGRO"/>
    <s v="BAILEN"/>
    <s v="ANTONIO Y JESUS"/>
    <d v="2026-02-06T00:00:00"/>
    <n v="16"/>
    <n v="49"/>
    <n v="288"/>
    <x v="54"/>
    <x v="54"/>
    <x v="0"/>
    <n v="1"/>
    <s v="ACONDICIONAMIENTO Y REFUERZO DE ESTRUCTURA OCACIONADOS POR CONDICIONES CLIMATICAS."/>
    <m/>
    <m/>
  </r>
  <r>
    <n v="69"/>
    <n v="3"/>
    <n v="5"/>
    <m/>
    <m/>
    <s v="MIGUEL ÁNGEL MONTENEGRO"/>
    <s v="BAILEN"/>
    <s v="ANTONIO Y JESUS"/>
    <d v="2026-02-06T00:00:00"/>
    <n v="16"/>
    <n v="51"/>
    <n v="309"/>
    <x v="55"/>
    <x v="55"/>
    <x v="0"/>
    <n v="1"/>
    <s v="ACONDICIONAMIENTO Y REFUERZO DE ESTRUCTURA OCACIONADOS POR CONDICIONES CLIMATICAS."/>
    <m/>
    <m/>
  </r>
  <r>
    <n v="70"/>
    <n v="3"/>
    <n v="5"/>
    <m/>
    <m/>
    <s v="MIGUEL ÁNGEL MONTENEGRO"/>
    <s v="BAILEN"/>
    <s v="ANTONIO Y JESUS"/>
    <d v="2026-02-06T00:00:00"/>
    <n v="16"/>
    <n v="53"/>
    <n v="289"/>
    <x v="56"/>
    <x v="56"/>
    <x v="0"/>
    <n v="1"/>
    <s v="ACONDICIONAMIENTO Y REFUERZO DE ESTRUCTURA OCACIONADOS POR CONDICIONES CLIMATICAS."/>
    <m/>
    <m/>
  </r>
  <r>
    <n v="71"/>
    <n v="3"/>
    <n v="5"/>
    <m/>
    <m/>
    <s v="MIGUEL ÁNGEL MONTENEGRO"/>
    <s v="BAILEN"/>
    <s v="ANTONIO Y JESUS"/>
    <d v="2026-02-06T00:00:00"/>
    <n v="16"/>
    <n v="45"/>
    <n v="275"/>
    <x v="16"/>
    <x v="16"/>
    <x v="0"/>
    <n v="1"/>
    <s v="ACONDICIONAMIENTO Y REFUERZO DE ESTRUCTURA OCACIONADOS POR CONDICIONES CLIMATICAS."/>
    <m/>
    <m/>
  </r>
  <r>
    <n v="72"/>
    <n v="3"/>
    <n v="5"/>
    <m/>
    <m/>
    <s v="MIGUEL ÁNGEL MONTENEGRO"/>
    <s v="BAILEN"/>
    <s v="ANTONIO Y JESUS"/>
    <d v="2026-02-06T00:00:00"/>
    <n v="16"/>
    <n v="45"/>
    <n v="276"/>
    <x v="17"/>
    <x v="17"/>
    <x v="0"/>
    <n v="1"/>
    <s v="ACONDICIONAMIENTO Y REFUERZO DE ESTRUCTURA OCACIONADOS POR CONDICIONES CLIMATICAS."/>
    <m/>
    <m/>
  </r>
  <r>
    <n v="73"/>
    <n v="3"/>
    <n v="5"/>
    <m/>
    <m/>
    <s v="MIGUEL ÁNGEL MONTENEGRO"/>
    <s v="BAILEN"/>
    <s v="ANTONIO Y JESUS"/>
    <d v="2026-02-06T00:00:00"/>
    <n v="16"/>
    <n v="45"/>
    <n v="317"/>
    <x v="37"/>
    <x v="37"/>
    <x v="0"/>
    <n v="1"/>
    <s v="ACONDICIONAMIENTO Y REFUERZO DE ESTRUCTURA OCACIONADOS POR CONDICIONES CLIMATICAS."/>
    <m/>
    <m/>
  </r>
  <r>
    <n v="74"/>
    <n v="3"/>
    <n v="5"/>
    <m/>
    <m/>
    <s v="MIGUEL ÁNGEL MONTENEGRO"/>
    <s v="BAILEN"/>
    <s v="ANTONIO Y JESUS"/>
    <d v="2026-02-06T00:00:00"/>
    <n v="3"/>
    <n v="31"/>
    <n v="211"/>
    <x v="57"/>
    <x v="57"/>
    <x v="1"/>
    <n v="100"/>
    <s v="ACONDICIONAMIENTO Y REFUERZO DE ESTRUCTURA OCACIONADOS POR CONDICIONES CLIMATICAS."/>
    <m/>
    <m/>
  </r>
  <r>
    <n v="75"/>
    <n v="3"/>
    <n v="5"/>
    <m/>
    <m/>
    <s v="MIGUEL ÁNGEL MONTENEGRO"/>
    <s v="BAILEN"/>
    <s v="ANTONIO Y JESUS"/>
    <d v="2026-02-06T00:00:00"/>
    <n v="3"/>
    <n v="31"/>
    <n v="212"/>
    <x v="5"/>
    <x v="5"/>
    <x v="1"/>
    <n v="100"/>
    <s v="ACONDICIONAMIENTO Y REFUERZO DE ESTRUCTURA OCACIONADOS POR CONDICIONES CLIMATICAS."/>
    <m/>
    <m/>
  </r>
  <r>
    <n v="76"/>
    <n v="3"/>
    <n v="5"/>
    <m/>
    <m/>
    <s v="MIGUEL ÁNGEL MONTENEGRO"/>
    <s v="BAILEN"/>
    <s v="ANTONIO Y JESUS"/>
    <d v="2026-02-06T00:00:00"/>
    <n v="7"/>
    <n v="35"/>
    <n v="286"/>
    <x v="58"/>
    <x v="58"/>
    <x v="0"/>
    <n v="1"/>
    <s v="ACONDICIONAMIENTO Y REFUERZO DE ESTRUCTURA OCACIONADOS POR CONDICIONES CLIMATICAS."/>
    <m/>
    <m/>
  </r>
  <r>
    <n v="77"/>
    <n v="3"/>
    <n v="5"/>
    <m/>
    <m/>
    <s v="MIGUEL ÁNGEL MONTENEGRO"/>
    <s v="BAILEN"/>
    <s v="ANTONIO Y JESUS"/>
    <d v="2026-02-06T00:00:00"/>
    <n v="7"/>
    <n v="54"/>
    <n v="295"/>
    <x v="59"/>
    <x v="59"/>
    <x v="0"/>
    <n v="1"/>
    <s v="ACONDICIONAMIENTO Y REFUERZO DE ESTRUCTURA OCACIONADOS POR CONDICIONES CLIMATICAS."/>
    <m/>
    <m/>
  </r>
  <r>
    <n v="78"/>
    <n v="4"/>
    <m/>
    <m/>
    <m/>
    <s v="FRANCIZCO RICO BLANCA"/>
    <m/>
    <s v="ANTONIO PERETE"/>
    <d v="2026-02-05T00:00:00"/>
    <s v="3"/>
    <s v="31"/>
    <s v="209"/>
    <x v="3"/>
    <x v="3"/>
    <x v="1"/>
    <n v="100"/>
    <m/>
    <m/>
    <n v="30"/>
  </r>
  <r>
    <n v="79"/>
    <n v="4"/>
    <m/>
    <m/>
    <m/>
    <s v="FRANCIZCO RICO BLANCA"/>
    <m/>
    <s v="ANTONIO PERETE"/>
    <d v="2026-02-05T00:00:00"/>
    <s v="3"/>
    <s v="31"/>
    <s v="210"/>
    <x v="4"/>
    <x v="4"/>
    <x v="1"/>
    <n v="100"/>
    <m/>
    <m/>
    <n v="30"/>
  </r>
  <r>
    <n v="80"/>
    <n v="4"/>
    <m/>
    <m/>
    <m/>
    <s v="FRANCIZCO RICO BLANCA"/>
    <m/>
    <s v="ANTONIO PERETE"/>
    <d v="2026-02-05T00:00:00"/>
    <s v="3"/>
    <s v="31"/>
    <s v="212"/>
    <x v="5"/>
    <x v="5"/>
    <x v="1"/>
    <n v="100"/>
    <m/>
    <m/>
    <n v="100"/>
  </r>
  <r>
    <n v="81"/>
    <n v="4"/>
    <m/>
    <m/>
    <m/>
    <s v="FRANCIZCO RICO BLANCA"/>
    <m/>
    <s v="ANTONIO PERETE"/>
    <d v="2026-02-05T00:00:00"/>
    <s v="3"/>
    <s v="31"/>
    <s v="213"/>
    <x v="6"/>
    <x v="6"/>
    <x v="1"/>
    <n v="100"/>
    <m/>
    <m/>
    <n v="100"/>
  </r>
  <r>
    <n v="82"/>
    <n v="4"/>
    <m/>
    <m/>
    <m/>
    <s v="FRANCIZCO RICO BLANCA"/>
    <m/>
    <s v="ANTONIO PERETE"/>
    <d v="2026-02-05T00:00:00"/>
    <s v="9"/>
    <s v="32"/>
    <s v="224"/>
    <x v="60"/>
    <x v="60"/>
    <x v="0"/>
    <n v="20"/>
    <m/>
    <m/>
    <m/>
  </r>
  <r>
    <n v="83"/>
    <n v="4"/>
    <m/>
    <m/>
    <m/>
    <s v="FRANCIZCO RICO BLANCA"/>
    <m/>
    <s v="ANTONIO PERETE"/>
    <d v="2026-02-05T00:00:00"/>
    <s v="3"/>
    <s v="31"/>
    <s v="221"/>
    <x v="22"/>
    <x v="22"/>
    <x v="1"/>
    <n v="100"/>
    <m/>
    <m/>
    <n v="25"/>
  </r>
  <r>
    <n v="84"/>
    <n v="4"/>
    <m/>
    <m/>
    <m/>
    <s v="FRANCIZCO RICO BLANCA"/>
    <m/>
    <s v="ANTONIO PERETE"/>
    <d v="2026-02-05T00:00:00"/>
    <s v="3"/>
    <s v="31"/>
    <s v="220"/>
    <x v="23"/>
    <x v="23"/>
    <x v="1"/>
    <n v="100"/>
    <m/>
    <m/>
    <n v="80"/>
  </r>
  <r>
    <n v="85"/>
    <n v="4"/>
    <m/>
    <m/>
    <m/>
    <s v="FRANCIZCO RICO BLANCA"/>
    <m/>
    <s v="ANTONIO PERETE"/>
    <d v="2026-02-05T00:00:00"/>
    <s v="3"/>
    <s v="31"/>
    <s v="219"/>
    <x v="24"/>
    <x v="24"/>
    <x v="1"/>
    <n v="60"/>
    <m/>
    <m/>
    <n v="25"/>
  </r>
  <r>
    <n v="86"/>
    <n v="4"/>
    <m/>
    <m/>
    <m/>
    <s v="FRANCIZCO RICO BLANCA"/>
    <m/>
    <s v="ANTONIO PERETE"/>
    <d v="2026-02-05T00:00:00"/>
    <s v="3"/>
    <s v="31"/>
    <s v="222"/>
    <x v="21"/>
    <x v="21"/>
    <x v="1"/>
    <n v="80"/>
    <m/>
    <m/>
    <n v="25"/>
  </r>
  <r>
    <n v="87"/>
    <n v="4"/>
    <m/>
    <m/>
    <m/>
    <s v="FRANCIZCO RICO BLANCA"/>
    <m/>
    <s v="ANTONIO PERETE"/>
    <d v="2026-02-05T00:00:00"/>
    <s v="3"/>
    <s v="31"/>
    <s v="218"/>
    <x v="25"/>
    <x v="25"/>
    <x v="1"/>
    <n v="70"/>
    <m/>
    <m/>
    <n v="25"/>
  </r>
  <r>
    <n v="88"/>
    <n v="4"/>
    <m/>
    <m/>
    <m/>
    <s v="FRANCIZCO RICO BLANCA"/>
    <m/>
    <s v="ANTONIO PERETE"/>
    <d v="2026-02-05T00:00:00"/>
    <s v="13"/>
    <s v="22"/>
    <s v="184"/>
    <x v="0"/>
    <x v="0"/>
    <x v="0"/>
    <n v="100"/>
    <m/>
    <m/>
    <m/>
  </r>
  <r>
    <n v="89"/>
    <n v="4"/>
    <m/>
    <m/>
    <m/>
    <s v="FRANCIZCO RICO BLANCA"/>
    <m/>
    <s v="ANTONIO PERETE"/>
    <d v="2026-02-05T00:00:00"/>
    <s v="13"/>
    <s v="21"/>
    <s v="181"/>
    <x v="32"/>
    <x v="32"/>
    <x v="0"/>
    <n v="100"/>
    <m/>
    <m/>
    <m/>
  </r>
  <r>
    <n v="90"/>
    <n v="4"/>
    <m/>
    <m/>
    <m/>
    <s v="FRANCIZCO RICO BLANCA"/>
    <m/>
    <s v="ANTONIO PERETE"/>
    <d v="2026-02-05T00:00:00"/>
    <s v="16"/>
    <s v="47"/>
    <s v="280"/>
    <x v="26"/>
    <x v="26"/>
    <x v="0"/>
    <n v="1"/>
    <m/>
    <m/>
    <m/>
  </r>
  <r>
    <n v="91"/>
    <n v="4"/>
    <m/>
    <m/>
    <m/>
    <s v="FRANCIZCO RICO BLANCA"/>
    <m/>
    <s v="ANTONIO PERETE"/>
    <d v="2026-02-05T00:00:00"/>
    <s v="16"/>
    <s v="49"/>
    <s v="288"/>
    <x v="54"/>
    <x v="54"/>
    <x v="0"/>
    <n v="1"/>
    <m/>
    <m/>
    <m/>
  </r>
  <r>
    <n v="92"/>
    <n v="4"/>
    <m/>
    <m/>
    <m/>
    <s v="FRANCIZCO RICO BLANCA"/>
    <m/>
    <s v="ANTONIO PERETE"/>
    <d v="2026-02-05T00:00:00"/>
    <s v="16"/>
    <s v="53"/>
    <s v="290"/>
    <x v="52"/>
    <x v="52"/>
    <x v="0"/>
    <n v="1"/>
    <m/>
    <m/>
    <m/>
  </r>
  <r>
    <n v="93"/>
    <n v="4"/>
    <m/>
    <m/>
    <m/>
    <s v="FRANCIZCO RICO BLANCA"/>
    <m/>
    <s v="ANTONIO PERETE"/>
    <d v="2026-02-05T00:00:00"/>
    <s v="9"/>
    <s v="2"/>
    <s v="291"/>
    <x v="44"/>
    <x v="44"/>
    <x v="0"/>
    <n v="8"/>
    <m/>
    <m/>
    <m/>
  </r>
  <r>
    <n v="94"/>
    <n v="4"/>
    <m/>
    <m/>
    <m/>
    <s v="FRANCIZCO RICO BLANCA"/>
    <m/>
    <s v="ANTONIO PERETE"/>
    <d v="2026-02-05T00:00:00"/>
    <s v="16"/>
    <s v="52"/>
    <s v="292"/>
    <x v="61"/>
    <x v="61"/>
    <x v="0"/>
    <n v="1"/>
    <m/>
    <m/>
    <m/>
  </r>
  <r>
    <n v="95"/>
    <n v="4"/>
    <m/>
    <m/>
    <m/>
    <s v="FRANCIZCO RICO BLANCA"/>
    <m/>
    <s v="ANTONIO PERETE"/>
    <d v="2026-02-05T00:00:00"/>
    <s v="16"/>
    <s v="52"/>
    <s v="293"/>
    <x v="53"/>
    <x v="53"/>
    <x v="0"/>
    <n v="1"/>
    <m/>
    <m/>
    <m/>
  </r>
  <r>
    <n v="96"/>
    <n v="4"/>
    <m/>
    <m/>
    <m/>
    <s v="FRANCIZCO RICO BLANCA"/>
    <m/>
    <s v="ANTONIO PERETE"/>
    <d v="2026-02-05T00:00:00"/>
    <s v="16"/>
    <s v="45"/>
    <s v="294"/>
    <x v="36"/>
    <x v="36"/>
    <x v="0"/>
    <n v="1"/>
    <m/>
    <m/>
    <m/>
  </r>
  <r>
    <n v="97"/>
    <n v="4"/>
    <m/>
    <m/>
    <m/>
    <s v="FRANCIZCO RICO BLANCA"/>
    <m/>
    <s v="ANTONIO PERETE"/>
    <d v="2026-02-05T00:00:00"/>
    <s v="7"/>
    <s v="54"/>
    <s v="295"/>
    <x v="59"/>
    <x v="59"/>
    <x v="0"/>
    <n v="2"/>
    <m/>
    <s v="949702822509202000_x000a_0949702822509202306"/>
    <m/>
  </r>
  <r>
    <n v="98"/>
    <n v="4"/>
    <m/>
    <m/>
    <m/>
    <s v="FRANCIZCO RICO BLANCA"/>
    <m/>
    <s v="ANTONIO PERETE"/>
    <d v="2026-02-05T00:00:00"/>
    <s v="7"/>
    <s v="35"/>
    <s v="286"/>
    <x v="58"/>
    <x v="58"/>
    <x v="0"/>
    <n v="1"/>
    <m/>
    <s v="DYM6F73053"/>
    <m/>
  </r>
  <r>
    <n v="99"/>
    <n v="4"/>
    <m/>
    <m/>
    <m/>
    <s v="FRANCIZCO RICO BLANCA"/>
    <m/>
    <s v="ANTONIO PERETE"/>
    <d v="2026-02-05T00:00:00"/>
    <s v="16"/>
    <s v="45"/>
    <s v="275"/>
    <x v="16"/>
    <x v="16"/>
    <x v="0"/>
    <n v="1"/>
    <m/>
    <m/>
    <m/>
  </r>
  <r>
    <n v="100"/>
    <n v="5"/>
    <n v="7"/>
    <m/>
    <m/>
    <s v="NOTA"/>
    <s v="N/A"/>
    <s v="JAVI CARDENAS"/>
    <d v="2026-10-11T00:00:00"/>
    <n v="16"/>
    <n v="52"/>
    <n v="293"/>
    <x v="53"/>
    <x v="53"/>
    <x v="0"/>
    <n v="1"/>
    <m/>
    <m/>
    <n v="1"/>
  </r>
  <r>
    <n v="101"/>
    <n v="5"/>
    <n v="7"/>
    <m/>
    <m/>
    <s v="NOTA"/>
    <s v="N/A"/>
    <s v="JAVI CARDENAS"/>
    <d v="2026-10-11T00:00:00"/>
    <n v="16"/>
    <n v="52"/>
    <n v="292"/>
    <x v="61"/>
    <x v="61"/>
    <x v="0"/>
    <n v="1"/>
    <m/>
    <m/>
    <n v="1"/>
  </r>
  <r>
    <n v="102"/>
    <n v="5"/>
    <n v="7"/>
    <m/>
    <m/>
    <s v="NOTA"/>
    <s v="N/A"/>
    <s v="JAVI CARDENAS"/>
    <d v="2026-10-11T00:00:00"/>
    <n v="16"/>
    <n v="52"/>
    <n v="285"/>
    <x v="31"/>
    <x v="31"/>
    <x v="0"/>
    <n v="1"/>
    <m/>
    <m/>
    <n v="1"/>
  </r>
  <r>
    <n v="103"/>
    <n v="5"/>
    <n v="7"/>
    <m/>
    <m/>
    <s v="NOTA"/>
    <s v="N/A"/>
    <s v="JAVI CARDENAS"/>
    <d v="2026-10-11T00:00:00"/>
    <n v="16"/>
    <n v="47"/>
    <n v="318"/>
    <x v="38"/>
    <x v="38"/>
    <x v="0"/>
    <n v="1"/>
    <m/>
    <m/>
    <n v="1"/>
  </r>
  <r>
    <n v="104"/>
    <n v="5"/>
    <n v="7"/>
    <m/>
    <m/>
    <s v="NOTA"/>
    <s v="N/A"/>
    <s v="JAVI CARDENAS"/>
    <d v="2026-10-11T00:00:00"/>
    <n v="16"/>
    <n v="56"/>
    <n v="303"/>
    <x v="62"/>
    <x v="62"/>
    <x v="0"/>
    <n v="1"/>
    <m/>
    <m/>
    <n v="1"/>
  </r>
  <r>
    <n v="105"/>
    <n v="5"/>
    <n v="7"/>
    <m/>
    <m/>
    <s v="NOTA"/>
    <s v="N/A"/>
    <s v="JAVI CARDENAS"/>
    <d v="2026-10-11T00:00:00"/>
    <n v="16"/>
    <n v="56"/>
    <n v="302"/>
    <x v="63"/>
    <x v="63"/>
    <x v="0"/>
    <n v="1"/>
    <m/>
    <m/>
    <n v="1"/>
  </r>
  <r>
    <n v="106"/>
    <n v="5"/>
    <n v="7"/>
    <m/>
    <m/>
    <s v="NOTA"/>
    <s v="N/A"/>
    <s v="JAVI CARDENAS"/>
    <d v="2026-10-11T00:00:00"/>
    <n v="16"/>
    <n v="53"/>
    <n v="328"/>
    <x v="64"/>
    <x v="64"/>
    <x v="0"/>
    <n v="1"/>
    <m/>
    <m/>
    <n v="1"/>
  </r>
  <r>
    <n v="107"/>
    <n v="5"/>
    <n v="7"/>
    <m/>
    <m/>
    <s v="NOTA"/>
    <s v="N/A"/>
    <s v="JAVI CARDENAS"/>
    <d v="2026-10-11T00:00:00"/>
    <n v="17"/>
    <n v="44"/>
    <n v="271"/>
    <x v="13"/>
    <x v="13"/>
    <x v="0"/>
    <n v="1"/>
    <m/>
    <m/>
    <n v="1"/>
  </r>
  <r>
    <n v="108"/>
    <n v="5"/>
    <n v="7"/>
    <m/>
    <m/>
    <s v="NOTA"/>
    <s v="N/A"/>
    <s v="JAVI CARDENAS"/>
    <d v="2026-10-11T00:00:00"/>
    <n v="17"/>
    <n v="44"/>
    <n v="272"/>
    <x v="14"/>
    <x v="14"/>
    <x v="0"/>
    <n v="1"/>
    <m/>
    <m/>
    <n v="1"/>
  </r>
  <r>
    <n v="109"/>
    <n v="5"/>
    <n v="7"/>
    <m/>
    <m/>
    <s v="NOTA"/>
    <s v="N/A"/>
    <s v="JAVI CARDENAS"/>
    <d v="2026-10-11T00:00:00"/>
    <n v="4"/>
    <n v="15"/>
    <n v="326"/>
    <x v="49"/>
    <x v="49"/>
    <x v="0"/>
    <n v="7"/>
    <m/>
    <m/>
    <n v="7"/>
  </r>
  <r>
    <n v="110"/>
    <n v="5"/>
    <n v="7"/>
    <m/>
    <m/>
    <s v="NOTA"/>
    <s v="N/A"/>
    <s v="JAVI CARDENAS"/>
    <d v="2026-10-11T00:00:00"/>
    <n v="6"/>
    <n v="23"/>
    <n v="192"/>
    <x v="1"/>
    <x v="1"/>
    <x v="0"/>
    <n v="2"/>
    <m/>
    <m/>
    <n v="2"/>
  </r>
  <r>
    <n v="111"/>
    <n v="6"/>
    <s v="ANULADO"/>
    <m/>
    <m/>
    <s v="ANULADO"/>
    <s v="ANULADO"/>
    <s v="ANULADO"/>
    <s v="ANULADO"/>
    <s v="ANULADO"/>
    <s v="ANULADO"/>
    <s v="ANULADO"/>
    <x v="65"/>
    <x v="65"/>
    <x v="2"/>
    <m/>
    <s v="ANULADO"/>
    <m/>
    <m/>
  </r>
  <r>
    <n v="112"/>
    <n v="7"/>
    <n v="9"/>
    <m/>
    <m/>
    <s v="JESUS MORALES BUSTOS"/>
    <s v="JAEN_x000a_LA YEDRA"/>
    <s v="HECTOR Y MANUEL"/>
    <d v="2026-02-09T00:00:00"/>
    <n v="10"/>
    <n v="42"/>
    <n v="329"/>
    <x v="66"/>
    <x v="66"/>
    <x v="0"/>
    <n v="7"/>
    <m/>
    <m/>
    <n v="3"/>
  </r>
  <r>
    <n v="113"/>
    <n v="7"/>
    <n v="9"/>
    <m/>
    <m/>
    <s v="JESUS MORALES BUSTOS"/>
    <s v="JAEN_x000a_LA YEDRA"/>
    <s v="HECTOR Y MANUEL"/>
    <d v="2026-02-09T00:00:00"/>
    <n v="7"/>
    <n v="38"/>
    <n v="247"/>
    <x v="45"/>
    <x v="45"/>
    <x v="0"/>
    <n v="12"/>
    <m/>
    <m/>
    <n v="0"/>
  </r>
  <r>
    <n v="114"/>
    <n v="7"/>
    <n v="9"/>
    <m/>
    <m/>
    <s v="JESUS MORALES BUSTOS"/>
    <s v="JAEN_x000a_LA YEDRA"/>
    <s v="HECTOR Y MANUEL"/>
    <d v="2026-02-09T00:00:00"/>
    <n v="10"/>
    <n v="37"/>
    <n v="330"/>
    <x v="67"/>
    <x v="67"/>
    <x v="0"/>
    <n v="20"/>
    <m/>
    <m/>
    <n v="12"/>
  </r>
  <r>
    <n v="115"/>
    <n v="7"/>
    <n v="9"/>
    <m/>
    <m/>
    <s v="JESUS MORALES BUSTOS"/>
    <s v="JAEN_x000a_LA YEDRA"/>
    <s v="HECTOR Y MANUEL"/>
    <d v="2026-02-09T00:00:00"/>
    <n v="9"/>
    <n v="32"/>
    <n v="223"/>
    <x v="7"/>
    <x v="7"/>
    <x v="0"/>
    <n v="20"/>
    <m/>
    <m/>
    <n v="20"/>
  </r>
  <r>
    <n v="116"/>
    <n v="7"/>
    <n v="9"/>
    <m/>
    <m/>
    <s v="JESUS MORALES BUSTOS"/>
    <s v="JAEN_x000a_LA YEDRA"/>
    <s v="HECTOR Y MANUEL"/>
    <d v="2026-02-09T00:00:00"/>
    <n v="3"/>
    <n v="31"/>
    <n v="277"/>
    <x v="18"/>
    <x v="18"/>
    <x v="1"/>
    <n v="15"/>
    <m/>
    <m/>
    <n v="10"/>
  </r>
  <r>
    <n v="117"/>
    <n v="7"/>
    <n v="9"/>
    <m/>
    <m/>
    <s v="JESUS MORALES BUSTOS"/>
    <s v="JAEN_x000a_LA YEDRA"/>
    <s v="HECTOR Y MANUEL"/>
    <d v="2026-02-09T00:00:00"/>
    <n v="3"/>
    <n v="31"/>
    <n v="278"/>
    <x v="19"/>
    <x v="19"/>
    <x v="1"/>
    <n v="15"/>
    <m/>
    <m/>
    <n v="15"/>
  </r>
  <r>
    <n v="118"/>
    <n v="7"/>
    <n v="9"/>
    <m/>
    <m/>
    <s v="JESUS MORALES BUSTOS"/>
    <s v="JAEN_x000a_LA YEDRA"/>
    <s v="HECTOR Y MANUEL"/>
    <d v="2026-02-09T00:00:00"/>
    <n v="10"/>
    <n v="43"/>
    <n v="270"/>
    <x v="12"/>
    <x v="12"/>
    <x v="0"/>
    <n v="8"/>
    <m/>
    <m/>
    <n v="8"/>
  </r>
  <r>
    <n v="119"/>
    <n v="7"/>
    <n v="9"/>
    <m/>
    <m/>
    <s v="JESUS MORALES BUSTOS"/>
    <s v="JAEN_x000a_LA YEDRA"/>
    <s v="HECTOR Y MANUEL"/>
    <d v="2026-02-09T00:00:00"/>
    <n v="16"/>
    <n v="61"/>
    <n v="331"/>
    <x v="68"/>
    <x v="68"/>
    <x v="0"/>
    <n v="10"/>
    <m/>
    <m/>
    <n v="3"/>
  </r>
  <r>
    <n v="120"/>
    <n v="7"/>
    <n v="9"/>
    <m/>
    <m/>
    <s v="JESUS MORALES BUSTOS"/>
    <s v="JAEN_x000a_LA YEDRA"/>
    <s v="HECTOR Y MANUEL"/>
    <d v="2026-02-09T00:00:00"/>
    <n v="16"/>
    <n v="61"/>
    <n v="332"/>
    <x v="69"/>
    <x v="69"/>
    <x v="0"/>
    <n v="10"/>
    <m/>
    <m/>
    <n v="1"/>
  </r>
  <r>
    <n v="121"/>
    <n v="7"/>
    <n v="9"/>
    <m/>
    <m/>
    <s v="JESUS MORALES BUSTOS"/>
    <s v="JAEN_x000a_LA YEDRA"/>
    <s v="HECTOR Y MANUEL"/>
    <d v="2026-02-09T00:00:00"/>
    <n v="6"/>
    <n v="23"/>
    <n v="192"/>
    <x v="1"/>
    <x v="1"/>
    <x v="0"/>
    <n v="1.5"/>
    <m/>
    <m/>
    <n v="2"/>
  </r>
  <r>
    <n v="122"/>
    <n v="7"/>
    <n v="9"/>
    <m/>
    <m/>
    <s v="JESUS MORALES BUSTOS"/>
    <s v="JAEN_x000a_LA YEDRA"/>
    <s v="HECTOR Y MANUEL"/>
    <d v="2026-02-09T00:00:00"/>
    <n v="17"/>
    <n v="44"/>
    <n v="271"/>
    <x v="13"/>
    <x v="13"/>
    <x v="0"/>
    <n v="1"/>
    <m/>
    <m/>
    <n v="1"/>
  </r>
  <r>
    <n v="123"/>
    <n v="7"/>
    <n v="9"/>
    <m/>
    <m/>
    <s v="JESUS MORALES BUSTOS"/>
    <s v="JAEN_x000a_LA YEDRA"/>
    <s v="HECTOR Y MANUEL"/>
    <d v="2026-02-09T00:00:00"/>
    <n v="17"/>
    <n v="44"/>
    <n v="272"/>
    <x v="14"/>
    <x v="14"/>
    <x v="0"/>
    <n v="1"/>
    <m/>
    <m/>
    <n v="1"/>
  </r>
  <r>
    <n v="124"/>
    <n v="7"/>
    <n v="9"/>
    <m/>
    <m/>
    <s v="JESUS MORALES BUSTOS"/>
    <s v="JAEN_x000a_LA YEDRA"/>
    <s v="HECTOR Y MANUEL"/>
    <d v="2026-02-09T00:00:00"/>
    <n v="13"/>
    <n v="22"/>
    <n v="183"/>
    <x v="33"/>
    <x v="33"/>
    <x v="0"/>
    <n v="100"/>
    <m/>
    <m/>
    <n v="100"/>
  </r>
  <r>
    <n v="125"/>
    <n v="7"/>
    <n v="9"/>
    <m/>
    <m/>
    <s v="JESUS MORALES BUSTOS"/>
    <s v="JAEN_x000a_LA YEDRA"/>
    <s v="HECTOR Y MANUEL"/>
    <d v="2026-02-09T00:00:00"/>
    <n v="13"/>
    <n v="22"/>
    <n v="184"/>
    <x v="0"/>
    <x v="0"/>
    <x v="0"/>
    <n v="50"/>
    <m/>
    <m/>
    <n v="50"/>
  </r>
  <r>
    <n v="126"/>
    <n v="7"/>
    <n v="9"/>
    <m/>
    <m/>
    <s v="JESUS MORALES BUSTOS"/>
    <s v="JAEN_x000a_LA YEDRA"/>
    <s v="HECTOR Y MANUEL"/>
    <d v="2026-02-09T00:00:00"/>
    <n v="13"/>
    <n v="21"/>
    <n v="181"/>
    <x v="32"/>
    <x v="32"/>
    <x v="0"/>
    <n v="100"/>
    <m/>
    <m/>
    <n v="100"/>
  </r>
  <r>
    <n v="127"/>
    <n v="7"/>
    <n v="9"/>
    <m/>
    <m/>
    <s v="JESUS MORALES BUSTOS"/>
    <s v="JAEN_x000a_LA YEDRA"/>
    <s v="HECTOR Y MANUEL"/>
    <d v="2026-02-09T00:00:00"/>
    <n v="14"/>
    <n v="24"/>
    <n v="193"/>
    <x v="2"/>
    <x v="2"/>
    <x v="0"/>
    <n v="3"/>
    <m/>
    <m/>
    <n v="3"/>
  </r>
  <r>
    <n v="128"/>
    <n v="7"/>
    <n v="9"/>
    <m/>
    <m/>
    <s v="JESUS MORALES BUSTOS"/>
    <s v="JAEN_x000a_LA YEDRA"/>
    <s v="HECTOR Y MANUEL"/>
    <d v="2026-02-09T00:00:00"/>
    <n v="10"/>
    <n v="37"/>
    <n v="232"/>
    <x v="34"/>
    <x v="34"/>
    <x v="0"/>
    <n v="25"/>
    <m/>
    <m/>
    <n v="20"/>
  </r>
  <r>
    <n v="129"/>
    <n v="7"/>
    <n v="9"/>
    <m/>
    <m/>
    <s v="JESUS MORALES BUSTOS"/>
    <s v="JAEN_x000a_LA YEDRA"/>
    <s v="HECTOR Y MANUEL"/>
    <d v="2026-02-09T00:00:00"/>
    <n v="10"/>
    <n v="37"/>
    <n v="315"/>
    <x v="35"/>
    <x v="35"/>
    <x v="0"/>
    <n v="25"/>
    <m/>
    <m/>
    <n v="20"/>
  </r>
  <r>
    <n v="130"/>
    <n v="7"/>
    <n v="9"/>
    <m/>
    <m/>
    <s v="JESUS MORALES BUSTOS"/>
    <s v="JAEN_x000a_LA YEDRA"/>
    <s v="HECTOR Y MANUEL"/>
    <d v="2026-02-09T00:00:00"/>
    <n v="9"/>
    <n v="2"/>
    <n v="291"/>
    <x v="44"/>
    <x v="44"/>
    <x v="0"/>
    <n v="6"/>
    <m/>
    <m/>
    <n v="6"/>
  </r>
  <r>
    <n v="131"/>
    <n v="7"/>
    <n v="9"/>
    <m/>
    <m/>
    <s v="JESUS MORALES BUSTOS"/>
    <s v="JAEN_x000a_LA YEDRA"/>
    <s v="HECTOR Y MANUEL"/>
    <d v="2026-02-09T00:00:00"/>
    <n v="8"/>
    <n v="27"/>
    <n v="321"/>
    <x v="42"/>
    <x v="42"/>
    <x v="0"/>
    <n v="20"/>
    <m/>
    <m/>
    <n v="20"/>
  </r>
  <r>
    <n v="132"/>
    <n v="7"/>
    <n v="9"/>
    <m/>
    <m/>
    <s v="JESUS MORALES BUSTOS"/>
    <s v="JAEN_x000a_LA YEDRA"/>
    <s v="HECTOR Y MANUEL"/>
    <d v="2026-02-09T00:00:00"/>
    <n v="4"/>
    <n v="15"/>
    <n v="326"/>
    <x v="49"/>
    <x v="49"/>
    <x v="0"/>
    <n v="6"/>
    <m/>
    <m/>
    <n v="6"/>
  </r>
  <r>
    <n v="133"/>
    <n v="8"/>
    <s v="9-A"/>
    <m/>
    <m/>
    <s v="JESUS MORALES BUSTOS"/>
    <s v="JAEN_x000a_LA YEDRA"/>
    <s v="CRISTOBAL"/>
    <d v="2026-02-06T00:00:00"/>
    <n v="16"/>
    <n v="47"/>
    <n v="318"/>
    <x v="38"/>
    <x v="38"/>
    <x v="0"/>
    <n v="1"/>
    <s v="PARA ESTE CASO, CRISTOBAL REALIZA EL TRANSPORTE DEL MATERIAL HACIA LA OBRA."/>
    <m/>
    <m/>
  </r>
  <r>
    <n v="134"/>
    <n v="8"/>
    <s v="9-A"/>
    <m/>
    <m/>
    <s v="JESUS MORALES BUSTOS"/>
    <s v="JAEN_x000a_LA YEDRA"/>
    <s v="CRISTOBAL"/>
    <d v="2026-02-06T00:00:00"/>
    <n v="16"/>
    <n v="49"/>
    <n v="282"/>
    <x v="28"/>
    <x v="28"/>
    <x v="0"/>
    <n v="1"/>
    <s v="PARA ESTE CASO, CRISTOBAL REALIZA EL TRANSPORTE DEL MATERIAL HACIA LA OBRA."/>
    <m/>
    <m/>
  </r>
  <r>
    <n v="135"/>
    <n v="8"/>
    <s v="9-A"/>
    <m/>
    <m/>
    <s v="JESUS MORALES BUSTOS"/>
    <s v="JAEN_x000a_LA YEDRA"/>
    <s v="CRISTOBAL"/>
    <d v="2026-02-06T00:00:00"/>
    <n v="16"/>
    <n v="52"/>
    <n v="293"/>
    <x v="53"/>
    <x v="53"/>
    <x v="0"/>
    <n v="1"/>
    <s v="PARA ESTE CASO, CRISTOBAL REALIZA EL TRANSPORTE DEL MATERIAL HACIA LA OBRA."/>
    <m/>
    <m/>
  </r>
  <r>
    <n v="136"/>
    <n v="8"/>
    <s v="9-A"/>
    <m/>
    <m/>
    <s v="JESUS MORALES BUSTOS"/>
    <s v="JAEN_x000a_LA YEDRA"/>
    <s v="CRISTOBAL"/>
    <d v="2026-02-06T00:00:00"/>
    <n v="7"/>
    <n v="38"/>
    <n v="247"/>
    <x v="45"/>
    <x v="45"/>
    <x v="0"/>
    <n v="10"/>
    <s v="PARA ESTE CASO, CRISTOBAL REALIZA EL TRANSPORTE DEL MATERIAL HACIA LA OBRA."/>
    <m/>
    <m/>
  </r>
  <r>
    <n v="137"/>
    <n v="9"/>
    <n v="10"/>
    <m/>
    <m/>
    <s v="UNIDAD ESTANCA DIURNA"/>
    <s v="TORRE DE DONJIMENO"/>
    <s v="JUANJO"/>
    <d v="2026-02-10T00:00:00"/>
    <n v="16"/>
    <n v="53"/>
    <n v="290"/>
    <x v="52"/>
    <x v="52"/>
    <x v="0"/>
    <n v="1"/>
    <m/>
    <m/>
    <n v="1"/>
  </r>
  <r>
    <n v="138"/>
    <n v="10"/>
    <s v="9-B"/>
    <m/>
    <m/>
    <s v="JESUS MORALES BUSTOS"/>
    <s v="JAEN_x000a_LA YEDRA"/>
    <s v="ANTONIO-JAVI-MANUEL"/>
    <d v="2026-02-11T00:00:00"/>
    <n v="10"/>
    <n v="43"/>
    <n v="270"/>
    <x v="12"/>
    <x v="12"/>
    <x v="0"/>
    <n v="8"/>
    <m/>
    <m/>
    <n v="4"/>
  </r>
  <r>
    <n v="139"/>
    <n v="10"/>
    <s v="9-B"/>
    <m/>
    <m/>
    <s v="JESUS MORALES BUSTOS"/>
    <s v="JAEN_x000a_LA YEDRA"/>
    <s v="ANTONIO-JAVI-MANUEL"/>
    <d v="2026-02-11T00:00:00"/>
    <n v="9"/>
    <n v="2"/>
    <n v="291"/>
    <x v="44"/>
    <x v="44"/>
    <x v="0"/>
    <n v="3"/>
    <m/>
    <m/>
    <n v="0"/>
  </r>
  <r>
    <n v="140"/>
    <n v="10"/>
    <s v="9-B"/>
    <m/>
    <m/>
    <s v="JESUS MORALES BUSTOS"/>
    <s v="JAEN_x000a_LA YEDRA"/>
    <s v="ANTONIO-JAVI-MANUEL"/>
    <d v="2026-02-11T00:00:00"/>
    <n v="10"/>
    <n v="37"/>
    <n v="315"/>
    <x v="35"/>
    <x v="35"/>
    <x v="0"/>
    <n v="30"/>
    <m/>
    <m/>
    <n v="15"/>
  </r>
  <r>
    <n v="141"/>
    <n v="10"/>
    <s v="9-B"/>
    <m/>
    <m/>
    <s v="JESUS MORALES BUSTOS"/>
    <s v="JAEN_x000a_LA YEDRA"/>
    <s v="ANTONIO-JAVI-MANUEL"/>
    <d v="2026-02-11T00:00:00"/>
    <n v="10"/>
    <n v="37"/>
    <n v="330"/>
    <x v="67"/>
    <x v="67"/>
    <x v="0"/>
    <n v="30"/>
    <m/>
    <m/>
    <n v="1"/>
  </r>
  <r>
    <n v="142"/>
    <n v="10"/>
    <s v="9-B"/>
    <m/>
    <m/>
    <s v="JESUS MORALES BUSTOS"/>
    <s v="JAEN_x000a_LA YEDRA"/>
    <s v="ANTONIO-JAVI-MANUEL"/>
    <d v="2026-02-11T00:00:00"/>
    <n v="10"/>
    <n v="37"/>
    <n v="232"/>
    <x v="34"/>
    <x v="34"/>
    <x v="0"/>
    <n v="30"/>
    <m/>
    <m/>
    <n v="20"/>
  </r>
  <r>
    <n v="143"/>
    <n v="10"/>
    <s v="9-B"/>
    <m/>
    <m/>
    <s v="JESUS MORALES BUSTOS"/>
    <s v="JAEN_x000a_LA YEDRA"/>
    <s v="ANTONIO-JAVI-MANUEL"/>
    <d v="2026-02-11T00:00:00"/>
    <n v="8"/>
    <n v="64"/>
    <n v="358"/>
    <x v="70"/>
    <x v="70"/>
    <x v="0"/>
    <n v="5"/>
    <m/>
    <m/>
    <n v="2"/>
  </r>
  <r>
    <n v="144"/>
    <n v="10"/>
    <s v="9-B"/>
    <m/>
    <m/>
    <s v="JESUS MORALES BUSTOS"/>
    <s v="JAEN_x000a_LA YEDRA"/>
    <s v="ANTONIO-JAVI-MANUEL"/>
    <d v="2026-02-11T00:00:00"/>
    <n v="6"/>
    <n v="23"/>
    <n v="192"/>
    <x v="1"/>
    <x v="1"/>
    <x v="0"/>
    <n v="1"/>
    <m/>
    <m/>
    <n v="1"/>
  </r>
  <r>
    <n v="145"/>
    <n v="10"/>
    <s v="9-B"/>
    <m/>
    <m/>
    <s v="JESUS MORALES BUSTOS"/>
    <s v="JAEN_x000a_LA YEDRA"/>
    <s v="ANTONIO-JAVI-MANUEL"/>
    <d v="2026-02-11T00:00:00"/>
    <n v="13"/>
    <n v="22"/>
    <n v="184"/>
    <x v="0"/>
    <x v="0"/>
    <x v="0"/>
    <n v="200"/>
    <m/>
    <m/>
    <n v="200"/>
  </r>
  <r>
    <n v="146"/>
    <n v="10"/>
    <s v="9-B"/>
    <m/>
    <m/>
    <s v="JESUS MORALES BUSTOS"/>
    <s v="JAEN_x000a_LA YEDRA"/>
    <s v="ANTONIO-JAVI-MANUEL"/>
    <d v="2026-02-11T00:00:00"/>
    <n v="9"/>
    <n v="32"/>
    <n v="223"/>
    <x v="7"/>
    <x v="7"/>
    <x v="0"/>
    <n v="20"/>
    <m/>
    <m/>
    <n v="10"/>
  </r>
  <r>
    <n v="147"/>
    <n v="11"/>
    <n v="11"/>
    <m/>
    <m/>
    <s v="EDUARDO LOPEZ "/>
    <s v="TORRE DE DONJIMENO"/>
    <s v="JAVI-HECTOR-MANUEL"/>
    <d v="2026-02-12T00:00:00"/>
    <n v="16"/>
    <n v="47"/>
    <n v="318"/>
    <x v="38"/>
    <x v="38"/>
    <x v="0"/>
    <n v="1"/>
    <m/>
    <m/>
    <m/>
  </r>
  <r>
    <n v="148"/>
    <n v="11"/>
    <n v="11"/>
    <m/>
    <m/>
    <s v="EDUARDO LOPEZ "/>
    <s v="TORRE DE DONJIMENO"/>
    <s v="JAVI-HECTOR-MANUEL"/>
    <d v="2026-02-12T00:00:00"/>
    <n v="16"/>
    <n v="51"/>
    <n v="284"/>
    <x v="30"/>
    <x v="30"/>
    <x v="0"/>
    <n v="1"/>
    <m/>
    <m/>
    <m/>
  </r>
  <r>
    <n v="149"/>
    <n v="11"/>
    <n v="11"/>
    <m/>
    <m/>
    <s v="EDUARDO LOPEZ "/>
    <s v="TORRE DE DONJIMENO"/>
    <s v="JAVI-HECTOR-MANUEL"/>
    <d v="2026-02-12T00:00:00"/>
    <n v="16"/>
    <n v="49"/>
    <n v="282"/>
    <x v="28"/>
    <x v="28"/>
    <x v="0"/>
    <n v="1"/>
    <m/>
    <m/>
    <m/>
  </r>
  <r>
    <n v="150"/>
    <n v="11"/>
    <n v="11"/>
    <m/>
    <m/>
    <s v="EDUARDO LOPEZ "/>
    <s v="TORRE DE DONJIMENO"/>
    <s v="JAVI-HECTOR-MANUEL"/>
    <d v="2026-02-12T00:00:00"/>
    <n v="16"/>
    <n v="52"/>
    <n v="293"/>
    <x v="53"/>
    <x v="53"/>
    <x v="0"/>
    <n v="1"/>
    <m/>
    <m/>
    <m/>
  </r>
  <r>
    <n v="151"/>
    <n v="11"/>
    <n v="11"/>
    <m/>
    <m/>
    <s v="EDUARDO LOPEZ "/>
    <s v="TORRE DE DONJIMENO"/>
    <s v="JAVI-HECTOR-MANUEL"/>
    <d v="2026-02-12T00:00:00"/>
    <n v="16"/>
    <n v="48"/>
    <n v="281"/>
    <x v="27"/>
    <x v="27"/>
    <x v="0"/>
    <n v="2"/>
    <m/>
    <m/>
    <m/>
  </r>
  <r>
    <n v="152"/>
    <n v="11"/>
    <n v="11"/>
    <m/>
    <m/>
    <s v="EDUARDO LOPEZ "/>
    <s v="TORRE DE DONJIMENO"/>
    <s v="JAVI-HECTOR-MANUEL"/>
    <d v="2026-02-12T00:00:00"/>
    <n v="16"/>
    <n v="52"/>
    <n v="292"/>
    <x v="61"/>
    <x v="61"/>
    <x v="0"/>
    <n v="1"/>
    <m/>
    <m/>
    <m/>
  </r>
  <r>
    <n v="153"/>
    <n v="11"/>
    <n v="11"/>
    <m/>
    <m/>
    <s v="EDUARDO LOPEZ "/>
    <s v="TORRE DE DONJIMENO"/>
    <s v="JAVI-HECTOR-MANUEL"/>
    <d v="2026-02-12T00:00:00"/>
    <n v="16"/>
    <n v="50"/>
    <n v="380"/>
    <x v="71"/>
    <x v="71"/>
    <x v="0"/>
    <n v="2"/>
    <m/>
    <m/>
    <m/>
  </r>
  <r>
    <n v="154"/>
    <n v="11"/>
    <n v="11"/>
    <m/>
    <m/>
    <s v="EDUARDO LOPEZ "/>
    <s v="TORRE DE DONJIMENO"/>
    <s v="JAVI-HECTOR-MANUEL"/>
    <d v="2026-02-12T00:00:00"/>
    <n v="16"/>
    <n v="53"/>
    <n v="290"/>
    <x v="52"/>
    <x v="52"/>
    <x v="0"/>
    <n v="1"/>
    <m/>
    <m/>
    <m/>
  </r>
  <r>
    <n v="155"/>
    <n v="11"/>
    <n v="11"/>
    <m/>
    <m/>
    <s v="EDUARDO LOPEZ "/>
    <s v="TORRE DE DONJIMENO"/>
    <s v="JAVI-HECTOR-MANUEL"/>
    <d v="2026-02-12T00:00:00"/>
    <n v="16"/>
    <n v="53"/>
    <n v="328"/>
    <x v="64"/>
    <x v="64"/>
    <x v="0"/>
    <n v="1"/>
    <m/>
    <m/>
    <m/>
  </r>
  <r>
    <n v="156"/>
    <n v="11"/>
    <n v="11"/>
    <m/>
    <m/>
    <s v="EDUARDO LOPEZ "/>
    <s v="TORRE DE DONJIMENO"/>
    <s v="JAVI-HECTOR-MANUEL"/>
    <d v="2026-02-12T00:00:00"/>
    <n v="16"/>
    <n v="45"/>
    <n v="317"/>
    <x v="37"/>
    <x v="37"/>
    <x v="0"/>
    <n v="1"/>
    <m/>
    <m/>
    <m/>
  </r>
  <r>
    <n v="157"/>
    <n v="11"/>
    <n v="11"/>
    <m/>
    <m/>
    <s v="EDUARDO LOPEZ "/>
    <s v="TORRE DE DONJIMENO"/>
    <s v="JAVI-HECTOR-MANUEL"/>
    <d v="2026-02-12T00:00:00"/>
    <n v="9"/>
    <n v="2"/>
    <n v="291"/>
    <x v="44"/>
    <x v="44"/>
    <x v="0"/>
    <n v="8"/>
    <m/>
    <m/>
    <m/>
  </r>
  <r>
    <n v="158"/>
    <n v="11"/>
    <n v="11"/>
    <m/>
    <m/>
    <s v="EDUARDO LOPEZ "/>
    <s v="TORRE DE DONJIMENO"/>
    <s v="JAVI-HECTOR-MANUEL"/>
    <d v="2026-02-12T00:00:00"/>
    <n v="3"/>
    <n v="31"/>
    <n v="211"/>
    <x v="57"/>
    <x v="57"/>
    <x v="1"/>
    <n v="100"/>
    <m/>
    <m/>
    <m/>
  </r>
  <r>
    <n v="159"/>
    <n v="11"/>
    <n v="11"/>
    <m/>
    <m/>
    <s v="EDUARDO LOPEZ "/>
    <s v="TORRE DE DONJIMENO"/>
    <s v="JAVI-HECTOR-MANUEL"/>
    <d v="2026-02-12T00:00:00"/>
    <n v="3"/>
    <n v="31"/>
    <n v="213"/>
    <x v="6"/>
    <x v="6"/>
    <x v="1"/>
    <n v="100"/>
    <m/>
    <m/>
    <m/>
  </r>
  <r>
    <n v="160"/>
    <n v="11"/>
    <n v="11"/>
    <m/>
    <m/>
    <s v="EDUARDO LOPEZ "/>
    <s v="TORRE DE DONJIMENO"/>
    <s v="JAVI-HECTOR-MANUEL"/>
    <d v="2026-02-12T00:00:00"/>
    <n v="3"/>
    <n v="31"/>
    <n v="220"/>
    <x v="23"/>
    <x v="23"/>
    <x v="1"/>
    <n v="100"/>
    <m/>
    <m/>
    <m/>
  </r>
  <r>
    <n v="161"/>
    <n v="11"/>
    <n v="11"/>
    <m/>
    <m/>
    <s v="EDUARDO LOPEZ "/>
    <s v="TORRE DE DONJIMENO"/>
    <s v="JAVI-HECTOR-MANUEL"/>
    <d v="2026-02-12T00:00:00"/>
    <n v="3"/>
    <n v="31"/>
    <n v="221"/>
    <x v="22"/>
    <x v="22"/>
    <x v="1"/>
    <n v="100"/>
    <m/>
    <m/>
    <m/>
  </r>
  <r>
    <n v="162"/>
    <n v="11"/>
    <n v="11"/>
    <m/>
    <m/>
    <s v="EDUARDO LOPEZ "/>
    <s v="TORRE DE DONJIMENO"/>
    <s v="JAVI-HECTOR-MANUEL"/>
    <d v="2026-02-12T00:00:00"/>
    <n v="9"/>
    <n v="32"/>
    <n v="223"/>
    <x v="7"/>
    <x v="7"/>
    <x v="0"/>
    <n v="30"/>
    <m/>
    <m/>
    <m/>
  </r>
  <r>
    <n v="163"/>
    <n v="11"/>
    <n v="11"/>
    <m/>
    <m/>
    <s v="EDUARDO LOPEZ "/>
    <s v="TORRE DE DONJIMENO"/>
    <s v="JAVI-HECTOR-MANUEL"/>
    <d v="2026-02-12T00:00:00"/>
    <n v="10"/>
    <n v="43"/>
    <n v="270"/>
    <x v="12"/>
    <x v="12"/>
    <x v="0"/>
    <n v="10"/>
    <m/>
    <m/>
    <m/>
  </r>
  <r>
    <n v="164"/>
    <n v="11"/>
    <n v="11"/>
    <m/>
    <m/>
    <s v="EDUARDO LOPEZ "/>
    <s v="TORRE DE DONJIMENO"/>
    <s v="JAVI-HECTOR-MANUEL"/>
    <d v="2026-02-12T00:00:00"/>
    <n v="13"/>
    <n v="67"/>
    <n v="381"/>
    <x v="72"/>
    <x v="72"/>
    <x v="0"/>
    <n v="2"/>
    <m/>
    <m/>
    <m/>
  </r>
  <r>
    <n v="165"/>
    <n v="11"/>
    <n v="11"/>
    <m/>
    <m/>
    <s v="EDUARDO LOPEZ "/>
    <s v="TORRE DE DONJIMENO"/>
    <s v="JAVI-HECTOR-MANUEL"/>
    <d v="2026-02-12T00:00:00"/>
    <n v="13"/>
    <n v="67"/>
    <n v="382"/>
    <x v="73"/>
    <x v="73"/>
    <x v="0"/>
    <n v="2"/>
    <m/>
    <m/>
    <m/>
  </r>
  <r>
    <n v="166"/>
    <n v="11"/>
    <n v="11"/>
    <m/>
    <m/>
    <s v="EDUARDO LOPEZ "/>
    <s v="TORRE DE DONJIMENO"/>
    <s v="JAVI-HECTOR-MANUEL"/>
    <d v="2026-02-12T00:00:00"/>
    <n v="10"/>
    <n v="37"/>
    <n v="330"/>
    <x v="67"/>
    <x v="67"/>
    <x v="0"/>
    <n v="50"/>
    <m/>
    <m/>
    <m/>
  </r>
  <r>
    <n v="167"/>
    <n v="11"/>
    <n v="11"/>
    <m/>
    <m/>
    <s v="EDUARDO LOPEZ "/>
    <s v="TORRE DE DONJIMENO"/>
    <s v="JAVI-HECTOR-MANUEL"/>
    <d v="2026-02-12T00:00:00"/>
    <n v="10"/>
    <n v="37"/>
    <n v="315"/>
    <x v="35"/>
    <x v="35"/>
    <x v="0"/>
    <n v="30"/>
    <m/>
    <m/>
    <m/>
  </r>
  <r>
    <n v="168"/>
    <n v="11"/>
    <n v="11"/>
    <m/>
    <m/>
    <s v="EDUARDO LOPEZ "/>
    <s v="TORRE DE DONJIMENO"/>
    <s v="JAVI-HECTOR-MANUEL"/>
    <d v="2026-02-12T00:00:00"/>
    <n v="10"/>
    <n v="37"/>
    <n v="232"/>
    <x v="34"/>
    <x v="34"/>
    <x v="0"/>
    <n v="50"/>
    <m/>
    <m/>
    <m/>
  </r>
  <r>
    <n v="169"/>
    <n v="11"/>
    <n v="11"/>
    <m/>
    <m/>
    <s v="EDUARDO LOPEZ "/>
    <s v="TORRE DE DONJIMENO"/>
    <s v="JAVI-HECTOR-MANUEL"/>
    <d v="2026-02-12T00:00:00"/>
    <n v="3"/>
    <n v="31"/>
    <n v="277"/>
    <x v="18"/>
    <x v="18"/>
    <x v="1"/>
    <n v="40"/>
    <m/>
    <m/>
    <m/>
  </r>
  <r>
    <n v="170"/>
    <n v="11"/>
    <n v="11"/>
    <m/>
    <m/>
    <s v="EDUARDO LOPEZ "/>
    <s v="TORRE DE DONJIMENO"/>
    <s v="JAVI-HECTOR-MANUEL"/>
    <d v="2026-02-12T00:00:00"/>
    <n v="3"/>
    <n v="31"/>
    <n v="278"/>
    <x v="19"/>
    <x v="19"/>
    <x v="1"/>
    <n v="40"/>
    <m/>
    <m/>
    <m/>
  </r>
  <r>
    <n v="171"/>
    <n v="11"/>
    <n v="11"/>
    <m/>
    <m/>
    <s v="EDUARDO LOPEZ "/>
    <s v="TORRE DE DONJIMENO"/>
    <s v="JAVI-HECTOR-MANUEL"/>
    <d v="2026-02-12T00:00:00"/>
    <n v="10"/>
    <n v="15"/>
    <n v="269"/>
    <x v="10"/>
    <x v="10"/>
    <x v="0"/>
    <n v="4"/>
    <m/>
    <m/>
    <m/>
  </r>
  <r>
    <n v="172"/>
    <n v="11"/>
    <n v="11"/>
    <m/>
    <m/>
    <s v="EDUARDO LOPEZ "/>
    <s v="TORRE DE DONJIMENO"/>
    <s v="JAVI-HECTOR-MANUEL"/>
    <d v="2026-02-12T00:00:00"/>
    <n v="7"/>
    <n v="35"/>
    <n v="286"/>
    <x v="58"/>
    <x v="58"/>
    <x v="0"/>
    <n v="1"/>
    <m/>
    <s v="DYM6F73031"/>
    <m/>
  </r>
  <r>
    <n v="173"/>
    <n v="11"/>
    <n v="11"/>
    <m/>
    <m/>
    <s v="EDUARDO LOPEZ "/>
    <s v="TORRE DE DONJIMENO"/>
    <s v="JAVI-HECTOR-MANUEL"/>
    <d v="2026-02-12T00:00:00"/>
    <n v="7"/>
    <n v="54"/>
    <n v="295"/>
    <x v="59"/>
    <x v="59"/>
    <x v="0"/>
    <n v="2"/>
    <m/>
    <s v="0949702822509202362_x000a_34972822506090288"/>
    <m/>
  </r>
  <r>
    <n v="174"/>
    <n v="11"/>
    <n v="11"/>
    <m/>
    <m/>
    <s v="EDUARDO LOPEZ "/>
    <s v="TORRE DE DONJIMENO"/>
    <s v="JAVI-HECTOR-MANUEL"/>
    <d v="2026-02-12T00:00:00"/>
    <n v="16"/>
    <n v="45"/>
    <n v="294"/>
    <x v="36"/>
    <x v="36"/>
    <x v="0"/>
    <n v="1"/>
    <m/>
    <m/>
    <m/>
  </r>
  <r>
    <n v="175"/>
    <n v="11"/>
    <n v="11"/>
    <m/>
    <m/>
    <s v="EDUARDO LOPEZ "/>
    <s v="TORRE DE DONJIMENO"/>
    <s v="JAVI-HECTOR-MANUEL"/>
    <d v="2026-02-12T00:00:00"/>
    <n v="7"/>
    <n v="38"/>
    <n v="247"/>
    <x v="45"/>
    <x v="45"/>
    <x v="0"/>
    <n v="16"/>
    <m/>
    <m/>
    <m/>
  </r>
  <r>
    <n v="176"/>
    <n v="12"/>
    <n v="12"/>
    <m/>
    <m/>
    <s v="JESUS MORALES BUSTOS"/>
    <s v="JAEN_x000a_LA YEDRA"/>
    <s v="TOMAS"/>
    <d v="2026-02-12T00:00:00"/>
    <n v="3"/>
    <n v="31"/>
    <n v="277"/>
    <x v="18"/>
    <x v="18"/>
    <x v="1"/>
    <n v="30"/>
    <m/>
    <m/>
    <n v="20"/>
  </r>
  <r>
    <n v="177"/>
    <n v="12"/>
    <n v="12"/>
    <m/>
    <m/>
    <s v="JESUS MORALES BUSTOS"/>
    <s v="JAEN_x000a_LA YEDRA"/>
    <s v="TOMAS"/>
    <d v="2026-02-12T00:00:00"/>
    <n v="3"/>
    <n v="31"/>
    <n v="278"/>
    <x v="19"/>
    <x v="19"/>
    <x v="1"/>
    <n v="30"/>
    <m/>
    <m/>
    <n v="20"/>
  </r>
  <r>
    <n v="178"/>
    <n v="12"/>
    <n v="12"/>
    <m/>
    <m/>
    <s v="JESUS MORALES BUSTOS"/>
    <s v="JAEN_x000a_LA YEDRA"/>
    <s v="TOMAS"/>
    <d v="2026-02-12T00:00:00"/>
    <n v="16"/>
    <n v="61"/>
    <n v="331"/>
    <x v="68"/>
    <x v="68"/>
    <x v="0"/>
    <n v="20"/>
    <m/>
    <m/>
    <n v="10"/>
  </r>
  <r>
    <n v="179"/>
    <n v="12"/>
    <n v="12"/>
    <m/>
    <m/>
    <s v="JESUS MORALES BUSTOS"/>
    <s v="JAEN_x000a_LA YEDRA"/>
    <s v="TOMAS"/>
    <d v="2026-02-12T00:00:00"/>
    <n v="16"/>
    <n v="61"/>
    <n v="332"/>
    <x v="69"/>
    <x v="69"/>
    <x v="0"/>
    <n v="20"/>
    <m/>
    <m/>
    <n v="10"/>
  </r>
  <r>
    <n v="180"/>
    <n v="12"/>
    <n v="12"/>
    <m/>
    <m/>
    <s v="JESUS MORALES BUSTOS"/>
    <s v="JAEN_x000a_LA YEDRA"/>
    <s v="TOMAS"/>
    <d v="2026-02-12T00:00:00"/>
    <n v="17"/>
    <n v="44"/>
    <n v="271"/>
    <x v="13"/>
    <x v="13"/>
    <x v="0"/>
    <n v="2"/>
    <m/>
    <m/>
    <n v="1"/>
  </r>
  <r>
    <n v="181"/>
    <n v="12"/>
    <n v="12"/>
    <m/>
    <m/>
    <s v="JESUS MORALES BUSTOS"/>
    <s v="JAEN_x000a_LA YEDRA"/>
    <s v="TOMAS"/>
    <d v="2026-02-12T00:00:00"/>
    <n v="13"/>
    <n v="23"/>
    <n v="191"/>
    <x v="74"/>
    <x v="74"/>
    <x v="0"/>
    <n v="1"/>
    <m/>
    <m/>
    <n v="0"/>
  </r>
  <r>
    <n v="182"/>
    <n v="12"/>
    <n v="12"/>
    <m/>
    <m/>
    <s v="JESUS MORALES BUSTOS"/>
    <s v="JAEN_x000a_LA YEDRA"/>
    <s v="TOMAS"/>
    <d v="2026-02-12T00:00:00"/>
    <n v="13"/>
    <n v="23"/>
    <n v="187"/>
    <x v="75"/>
    <x v="75"/>
    <x v="0"/>
    <n v="1"/>
    <m/>
    <m/>
    <n v="0"/>
  </r>
  <r>
    <n v="183"/>
    <n v="13"/>
    <n v="13"/>
    <m/>
    <m/>
    <s v="JOSE ANGEL COBO"/>
    <s v="TORRE PEROJIL"/>
    <s v="HECTOR-TOMAS"/>
    <d v="2026-02-13T00:00:00"/>
    <n v="10"/>
    <n v="15"/>
    <n v="269"/>
    <x v="10"/>
    <x v="10"/>
    <x v="0"/>
    <n v="4"/>
    <s v="Materiales cargados desde el viernes pero la ejecucion de labor, se realzian el dia sabado 14feb"/>
    <m/>
    <n v="2"/>
  </r>
  <r>
    <n v="184"/>
    <n v="13"/>
    <n v="13"/>
    <m/>
    <m/>
    <s v="JOSE ANGEL COBO"/>
    <s v="TORRE PEROJIL"/>
    <s v="HECTOR-TOMAS"/>
    <d v="2026-02-13T00:00:00"/>
    <n v="10"/>
    <n v="42"/>
    <n v="268"/>
    <x v="9"/>
    <x v="9"/>
    <x v="0"/>
    <n v="5"/>
    <s v="Materiales cargados desde el viernes pero la ejecucion de labor, se realzian el dia sabado 14feb"/>
    <m/>
    <n v="3"/>
  </r>
  <r>
    <n v="185"/>
    <n v="13"/>
    <n v="13"/>
    <m/>
    <m/>
    <s v="JOSE ANGEL COBO"/>
    <s v="TORRE PEROJIL"/>
    <s v="HECTOR-TOMAS"/>
    <d v="2026-02-13T00:00:00"/>
    <n v="10"/>
    <n v="37"/>
    <n v="287"/>
    <x v="76"/>
    <x v="76"/>
    <x v="0"/>
    <n v="15"/>
    <s v="Materiales cargados desde el viernes pero la ejecucion de labor, se realzian el dia sabado 14feb"/>
    <m/>
    <n v="13"/>
  </r>
  <r>
    <n v="186"/>
    <n v="13"/>
    <n v="13"/>
    <m/>
    <m/>
    <s v="JOSE ANGEL COBO"/>
    <s v="TORRE PEROJIL"/>
    <s v="HECTOR-TOMAS"/>
    <d v="2026-02-13T00:00:00"/>
    <n v="10"/>
    <n v="37"/>
    <n v="316"/>
    <x v="77"/>
    <x v="77"/>
    <x v="0"/>
    <n v="15"/>
    <s v="Materiales cargados desde el viernes pero la ejecucion de labor, se realzian el dia sabado 14feb"/>
    <m/>
    <n v="14"/>
  </r>
  <r>
    <n v="187"/>
    <n v="13"/>
    <n v="13"/>
    <m/>
    <m/>
    <s v="JOSE ANGEL COBO"/>
    <s v="TORRE PEROJIL"/>
    <s v="HECTOR-TOMAS"/>
    <d v="2026-02-13T00:00:00"/>
    <n v="7"/>
    <n v="38"/>
    <n v="248"/>
    <x v="78"/>
    <x v="78"/>
    <x v="0"/>
    <n v="2"/>
    <s v="Materiales cargados desde el viernes pero la ejecucion de labor, se realzian el dia sabado 14feb"/>
    <s v="A05250400830252_x000a_A05250400819429"/>
    <n v="0"/>
  </r>
  <r>
    <n v="188"/>
    <n v="14"/>
    <n v="14"/>
    <m/>
    <m/>
    <s v="INMACULADA PORRAS"/>
    <s v="MALAGA"/>
    <s v="HECTOR-JAVI-JESUS"/>
    <d v="2026-02-16T00:00:00"/>
    <n v="10"/>
    <n v="43"/>
    <n v="270"/>
    <x v="12"/>
    <x v="12"/>
    <x v="0"/>
    <n v="16"/>
    <m/>
    <m/>
    <n v="9"/>
  </r>
  <r>
    <n v="189"/>
    <n v="14"/>
    <n v="14"/>
    <m/>
    <m/>
    <s v="INMACULADA PORRAS"/>
    <s v="MALAGA"/>
    <s v="HECTOR-JAVI-JESUS"/>
    <d v="2026-02-16T00:00:00"/>
    <n v="10"/>
    <n v="37"/>
    <n v="330"/>
    <x v="67"/>
    <x v="67"/>
    <x v="0"/>
    <n v="60"/>
    <m/>
    <m/>
    <n v="38"/>
  </r>
  <r>
    <n v="190"/>
    <n v="14"/>
    <n v="14"/>
    <m/>
    <m/>
    <s v="INMACULADA PORRAS"/>
    <s v="MALAGA"/>
    <s v="HECTOR-JAVI-JESUS"/>
    <d v="2026-02-16T00:00:00"/>
    <n v="10"/>
    <n v="37"/>
    <n v="315"/>
    <x v="35"/>
    <x v="35"/>
    <x v="0"/>
    <n v="50"/>
    <m/>
    <m/>
    <n v="0"/>
  </r>
  <r>
    <n v="191"/>
    <n v="14"/>
    <n v="14"/>
    <m/>
    <m/>
    <s v="INMACULADA PORRAS"/>
    <s v="MALAGA"/>
    <s v="HECTOR-JAVI-JESUS"/>
    <d v="2026-02-16T00:00:00"/>
    <n v="8"/>
    <n v="64"/>
    <n v="358"/>
    <x v="70"/>
    <x v="70"/>
    <x v="0"/>
    <n v="15"/>
    <m/>
    <m/>
    <n v="0"/>
  </r>
  <r>
    <n v="192"/>
    <n v="14"/>
    <n v="14"/>
    <m/>
    <m/>
    <s v="INMACULADA PORRAS"/>
    <s v="MALAGA"/>
    <s v="HECTOR-JAVI-JESUS"/>
    <d v="2026-02-16T00:00:00"/>
    <n v="10"/>
    <n v="37"/>
    <n v="232"/>
    <x v="34"/>
    <x v="34"/>
    <x v="0"/>
    <n v="70"/>
    <m/>
    <m/>
    <n v="61"/>
  </r>
  <r>
    <n v="193"/>
    <n v="14"/>
    <n v="14"/>
    <m/>
    <m/>
    <s v="INMACULADA PORRAS"/>
    <s v="MALAGA"/>
    <s v="HECTOR-JAVI-JESUS"/>
    <d v="2026-02-16T00:00:00"/>
    <n v="17"/>
    <n v="44"/>
    <n v="271"/>
    <x v="13"/>
    <x v="13"/>
    <x v="0"/>
    <n v="2"/>
    <m/>
    <m/>
    <n v="2"/>
  </r>
  <r>
    <n v="194"/>
    <n v="14"/>
    <n v="14"/>
    <m/>
    <m/>
    <s v="INMACULADA PORRAS"/>
    <s v="MALAGA"/>
    <s v="HECTOR-JAVI-JESUS"/>
    <d v="2026-02-16T00:00:00"/>
    <n v="17"/>
    <n v="44"/>
    <n v="272"/>
    <x v="14"/>
    <x v="14"/>
    <x v="0"/>
    <n v="2"/>
    <m/>
    <m/>
    <n v="1"/>
  </r>
  <r>
    <n v="195"/>
    <n v="14"/>
    <n v="14"/>
    <m/>
    <m/>
    <s v="INMACULADA PORRAS"/>
    <s v="MALAGA"/>
    <s v="HECTOR-JAVI-JESUS"/>
    <d v="2026-02-16T00:00:00"/>
    <n v="13"/>
    <n v="21"/>
    <n v="181"/>
    <x v="32"/>
    <x v="32"/>
    <x v="0"/>
    <n v="100"/>
    <m/>
    <m/>
    <n v="100"/>
  </r>
  <r>
    <n v="196"/>
    <n v="14"/>
    <n v="14"/>
    <m/>
    <m/>
    <s v="INMACULADA PORRAS"/>
    <s v="MALAGA"/>
    <s v="HECTOR-JAVI-JESUS"/>
    <d v="2026-02-16T00:00:00"/>
    <n v="13"/>
    <n v="22"/>
    <n v="184"/>
    <x v="0"/>
    <x v="0"/>
    <x v="0"/>
    <n v="200"/>
    <m/>
    <m/>
    <n v="200"/>
  </r>
  <r>
    <n v="197"/>
    <n v="14"/>
    <n v="14"/>
    <m/>
    <m/>
    <s v="INMACULADA PORRAS"/>
    <s v="MALAGA"/>
    <s v="HECTOR-JAVI-JESUS"/>
    <d v="2026-02-16T00:00:00"/>
    <n v="10"/>
    <n v="15"/>
    <n v="269"/>
    <x v="10"/>
    <x v="10"/>
    <x v="0"/>
    <n v="13"/>
    <m/>
    <m/>
    <n v="2"/>
  </r>
  <r>
    <n v="198"/>
    <n v="14"/>
    <n v="14"/>
    <m/>
    <m/>
    <s v="INMACULADA PORRAS"/>
    <s v="MALAGA"/>
    <s v="HECTOR-JAVI-JESUS"/>
    <d v="2026-02-16T00:00:00"/>
    <n v="14"/>
    <n v="24"/>
    <n v="193"/>
    <x v="2"/>
    <x v="2"/>
    <x v="0"/>
    <n v="4"/>
    <m/>
    <m/>
    <n v="0"/>
  </r>
  <r>
    <n v="199"/>
    <n v="14"/>
    <n v="14"/>
    <m/>
    <m/>
    <s v="INMACULADA PORRAS"/>
    <s v="MALAGA"/>
    <s v="HECTOR-JAVI-JESUS"/>
    <d v="2026-02-16T00:00:00"/>
    <n v="16"/>
    <n v="45"/>
    <n v="276"/>
    <x v="17"/>
    <x v="17"/>
    <x v="0"/>
    <n v="1"/>
    <m/>
    <m/>
    <n v="0"/>
  </r>
  <r>
    <n v="200"/>
    <n v="14"/>
    <n v="14"/>
    <m/>
    <m/>
    <s v="INMACULADA PORRAS"/>
    <s v="MALAGA"/>
    <s v="HECTOR-JAVI-JESUS"/>
    <d v="2026-02-16T00:00:00"/>
    <n v="16"/>
    <n v="49"/>
    <n v="282"/>
    <x v="28"/>
    <x v="28"/>
    <x v="0"/>
    <n v="1"/>
    <m/>
    <m/>
    <n v="0"/>
  </r>
  <r>
    <n v="201"/>
    <n v="14"/>
    <n v="14"/>
    <m/>
    <m/>
    <s v="INMACULADA PORRAS"/>
    <s v="MALAGA"/>
    <s v="HECTOR-JAVI-JESUS"/>
    <d v="2026-02-16T00:00:00"/>
    <n v="16"/>
    <n v="63"/>
    <n v="357"/>
    <x v="79"/>
    <x v="79"/>
    <x v="0"/>
    <n v="1"/>
    <m/>
    <m/>
    <n v="1"/>
  </r>
  <r>
    <n v="202"/>
    <n v="14"/>
    <n v="14"/>
    <m/>
    <m/>
    <s v="INMACULADA PORRAS"/>
    <s v="MALAGA"/>
    <s v="HECTOR-JAVI-JESUS"/>
    <d v="2026-02-16T00:00:00"/>
    <n v="16"/>
    <n v="52"/>
    <n v="285"/>
    <x v="31"/>
    <x v="31"/>
    <x v="0"/>
    <n v="2"/>
    <m/>
    <m/>
    <n v="0"/>
  </r>
  <r>
    <n v="203"/>
    <n v="14"/>
    <n v="14"/>
    <m/>
    <m/>
    <s v="INMACULADA PORRAS"/>
    <s v="MALAGA"/>
    <s v="HECTOR-JAVI-JESUS"/>
    <d v="2026-02-16T00:00:00"/>
    <n v="16"/>
    <n v="47"/>
    <n v="280"/>
    <x v="26"/>
    <x v="26"/>
    <x v="0"/>
    <n v="2"/>
    <m/>
    <m/>
    <n v="1"/>
  </r>
  <r>
    <n v="204"/>
    <n v="14"/>
    <n v="14"/>
    <m/>
    <m/>
    <s v="INMACULADA PORRAS"/>
    <s v="MALAGA"/>
    <s v="HECTOR-JAVI-JESUS"/>
    <d v="2026-02-16T00:00:00"/>
    <n v="16"/>
    <n v="51"/>
    <n v="309"/>
    <x v="55"/>
    <x v="55"/>
    <x v="0"/>
    <n v="1"/>
    <m/>
    <m/>
    <n v="0"/>
  </r>
  <r>
    <n v="205"/>
    <n v="14"/>
    <n v="14"/>
    <m/>
    <m/>
    <s v="INMACULADA PORRAS"/>
    <s v="MALAGA"/>
    <s v="HECTOR-JAVI-JESUS"/>
    <d v="2026-02-16T00:00:00"/>
    <n v="16"/>
    <n v="48"/>
    <n v="281"/>
    <x v="27"/>
    <x v="27"/>
    <x v="0"/>
    <n v="4"/>
    <m/>
    <m/>
    <n v="0"/>
  </r>
  <r>
    <n v="206"/>
    <n v="14"/>
    <n v="14"/>
    <m/>
    <m/>
    <s v="INMACULADA PORRAS"/>
    <s v="MALAGA"/>
    <s v="HECTOR-JAVI-JESUS"/>
    <d v="2026-02-16T00:00:00"/>
    <n v="16"/>
    <n v="50"/>
    <n v="314"/>
    <x v="80"/>
    <x v="80"/>
    <x v="0"/>
    <n v="4"/>
    <m/>
    <m/>
    <n v="0"/>
  </r>
  <r>
    <n v="207"/>
    <n v="14"/>
    <n v="14"/>
    <m/>
    <m/>
    <s v="INMACULADA PORRAS"/>
    <s v="MALAGA"/>
    <s v="HECTOR-JAVI-JESUS"/>
    <d v="2026-02-16T00:00:00"/>
    <n v="7"/>
    <n v="35"/>
    <n v="274"/>
    <x v="15"/>
    <x v="15"/>
    <x v="0"/>
    <n v="1"/>
    <m/>
    <s v="NER3F7AO13"/>
    <n v="0"/>
  </r>
  <r>
    <n v="208"/>
    <n v="14"/>
    <n v="14"/>
    <m/>
    <m/>
    <s v="INMACULADA PORRAS"/>
    <s v="MALAGA"/>
    <s v="HECTOR-JAVI-JESUS"/>
    <d v="2026-02-16T00:00:00"/>
    <n v="7"/>
    <n v="38"/>
    <n v="247"/>
    <x v="45"/>
    <x v="45"/>
    <x v="0"/>
    <n v="22"/>
    <m/>
    <m/>
    <n v="0"/>
  </r>
  <r>
    <n v="209"/>
    <n v="15"/>
    <n v="15"/>
    <m/>
    <m/>
    <s v="MIGUEL ANGEL LUCENA"/>
    <s v="BAILEN"/>
    <s v="HECTOR-JAVI-TOMAS"/>
    <d v="2026-02-17T00:00:00"/>
    <n v="16"/>
    <n v="45"/>
    <n v="276"/>
    <x v="17"/>
    <x v="17"/>
    <x v="0"/>
    <n v="1"/>
    <m/>
    <m/>
    <m/>
  </r>
  <r>
    <n v="210"/>
    <n v="15"/>
    <n v="15"/>
    <m/>
    <m/>
    <s v="MIGUEL ANGEL LUCENA"/>
    <s v="BAILEN"/>
    <s v="HECTOR-JAVI-TOMAS"/>
    <d v="2026-02-17T00:00:00"/>
    <n v="16"/>
    <n v="49"/>
    <n v="288"/>
    <x v="54"/>
    <x v="54"/>
    <x v="0"/>
    <n v="1"/>
    <m/>
    <m/>
    <m/>
  </r>
  <r>
    <n v="211"/>
    <n v="15"/>
    <n v="15"/>
    <m/>
    <m/>
    <s v="MIGUEL ANGEL LUCENA"/>
    <s v="BAILEN"/>
    <s v="HECTOR-JAVI-TOMAS"/>
    <d v="2026-02-17T00:00:00"/>
    <n v="16"/>
    <n v="47"/>
    <n v="318"/>
    <x v="38"/>
    <x v="38"/>
    <x v="0"/>
    <n v="1"/>
    <m/>
    <m/>
    <m/>
  </r>
  <r>
    <n v="212"/>
    <n v="15"/>
    <n v="15"/>
    <m/>
    <m/>
    <s v="MIGUEL ANGEL LUCENA"/>
    <s v="BAILEN"/>
    <s v="HECTOR-JAVI-TOMAS"/>
    <d v="2026-02-17T00:00:00"/>
    <n v="16"/>
    <n v="52"/>
    <n v="292"/>
    <x v="61"/>
    <x v="61"/>
    <x v="0"/>
    <n v="1"/>
    <m/>
    <m/>
    <m/>
  </r>
  <r>
    <n v="213"/>
    <n v="15"/>
    <n v="15"/>
    <m/>
    <m/>
    <s v="MIGUEL ANGEL LUCENA"/>
    <s v="BAILEN"/>
    <s v="HECTOR-JAVI-TOMAS"/>
    <d v="2026-02-17T00:00:00"/>
    <n v="16"/>
    <n v="52"/>
    <n v="293"/>
    <x v="53"/>
    <x v="53"/>
    <x v="0"/>
    <n v="1"/>
    <m/>
    <m/>
    <m/>
  </r>
  <r>
    <n v="214"/>
    <n v="15"/>
    <n v="15"/>
    <m/>
    <m/>
    <s v="MIGUEL ANGEL LUCENA"/>
    <s v="BAILEN"/>
    <s v="HECTOR-JAVI-TOMAS"/>
    <d v="2026-02-17T00:00:00"/>
    <n v="16"/>
    <n v="48"/>
    <n v="281"/>
    <x v="27"/>
    <x v="27"/>
    <x v="0"/>
    <n v="2"/>
    <m/>
    <m/>
    <m/>
  </r>
  <r>
    <n v="215"/>
    <n v="15"/>
    <n v="15"/>
    <m/>
    <m/>
    <s v="MIGUEL ANGEL LUCENA"/>
    <s v="BAILEN"/>
    <s v="HECTOR-JAVI-TOMAS"/>
    <d v="2026-02-17T00:00:00"/>
    <n v="16"/>
    <n v="50"/>
    <n v="314"/>
    <x v="80"/>
    <x v="80"/>
    <x v="0"/>
    <n v="2"/>
    <m/>
    <m/>
    <m/>
  </r>
  <r>
    <n v="216"/>
    <n v="15"/>
    <n v="15"/>
    <m/>
    <m/>
    <s v="MIGUEL ANGEL LUCENA"/>
    <s v="BAILEN"/>
    <s v="HECTOR-JAVI-TOMAS"/>
    <d v="2026-02-17T00:00:00"/>
    <n v="16"/>
    <n v="51"/>
    <n v="309"/>
    <x v="55"/>
    <x v="55"/>
    <x v="0"/>
    <n v="1"/>
    <m/>
    <m/>
    <m/>
  </r>
  <r>
    <n v="217"/>
    <n v="15"/>
    <n v="15"/>
    <m/>
    <m/>
    <s v="MIGUEL ANGEL LUCENA"/>
    <s v="BAILEN"/>
    <s v="HECTOR-JAVI-TOMAS"/>
    <d v="2026-02-17T00:00:00"/>
    <n v="9"/>
    <n v="32"/>
    <n v="224"/>
    <x v="60"/>
    <x v="60"/>
    <x v="0"/>
    <n v="30"/>
    <m/>
    <m/>
    <n v="10"/>
  </r>
  <r>
    <n v="218"/>
    <n v="15"/>
    <n v="15"/>
    <m/>
    <m/>
    <s v="MIGUEL ANGEL LUCENA"/>
    <s v="BAILEN"/>
    <s v="HECTOR-JAVI-TOMAS"/>
    <d v="2026-02-17T00:00:00"/>
    <n v="7"/>
    <n v="54"/>
    <n v="295"/>
    <x v="59"/>
    <x v="59"/>
    <x v="0"/>
    <n v="1"/>
    <m/>
    <n v="9.4970282250920102E+17"/>
    <m/>
  </r>
  <r>
    <n v="219"/>
    <n v="15"/>
    <n v="15"/>
    <m/>
    <m/>
    <s v="MIGUEL ANGEL LUCENA"/>
    <s v="BAILEN"/>
    <s v="HECTOR-JAVI-TOMAS"/>
    <d v="2026-02-17T00:00:00"/>
    <n v="7"/>
    <n v="35"/>
    <n v="286"/>
    <x v="58"/>
    <x v="58"/>
    <x v="0"/>
    <n v="1"/>
    <m/>
    <s v="DYM6F7304W"/>
    <m/>
  </r>
  <r>
    <n v="220"/>
    <n v="15"/>
    <n v="15"/>
    <m/>
    <m/>
    <s v="MIGUEL ANGEL LUCENA"/>
    <s v="BAILEN"/>
    <s v="HECTOR-JAVI-TOMAS"/>
    <d v="2026-02-17T00:00:00"/>
    <n v="16"/>
    <n v="61"/>
    <n v="331"/>
    <x v="68"/>
    <x v="68"/>
    <x v="0"/>
    <n v="10"/>
    <m/>
    <m/>
    <n v="3"/>
  </r>
  <r>
    <n v="221"/>
    <n v="15"/>
    <n v="15"/>
    <m/>
    <m/>
    <s v="MIGUEL ANGEL LUCENA"/>
    <s v="BAILEN"/>
    <s v="HECTOR-JAVI-TOMAS"/>
    <d v="2026-02-17T00:00:00"/>
    <n v="16"/>
    <n v="61"/>
    <n v="332"/>
    <x v="69"/>
    <x v="69"/>
    <x v="0"/>
    <n v="10"/>
    <m/>
    <m/>
    <n v="3"/>
  </r>
  <r>
    <n v="222"/>
    <n v="15"/>
    <n v="15"/>
    <m/>
    <m/>
    <s v="MIGUEL ANGEL LUCENA"/>
    <s v="BAILEN"/>
    <s v="HECTOR-JAVI-TOMAS"/>
    <d v="2026-02-17T00:00:00"/>
    <n v="16"/>
    <n v="45"/>
    <n v="276"/>
    <x v="17"/>
    <x v="17"/>
    <x v="0"/>
    <n v="1"/>
    <m/>
    <m/>
    <m/>
  </r>
  <r>
    <n v="223"/>
    <n v="15"/>
    <n v="15"/>
    <m/>
    <m/>
    <s v="MIGUEL ANGEL LUCENA"/>
    <s v="BAILEN"/>
    <s v="HECTOR-JAVI-TOMAS"/>
    <d v="2026-02-17T00:00:00"/>
    <n v="14"/>
    <n v="24"/>
    <n v="193"/>
    <x v="2"/>
    <x v="2"/>
    <x v="0"/>
    <n v="6"/>
    <m/>
    <m/>
    <n v="2"/>
  </r>
  <r>
    <n v="224"/>
    <n v="15"/>
    <n v="15"/>
    <m/>
    <m/>
    <s v="MIGUEL ANGEL LUCENA"/>
    <s v="BAILEN"/>
    <s v="HECTOR-JAVI-TOMAS"/>
    <d v="2026-02-17T00:00:00"/>
    <n v="10"/>
    <n v="43"/>
    <n v="270"/>
    <x v="12"/>
    <x v="12"/>
    <x v="0"/>
    <n v="6"/>
    <m/>
    <m/>
    <m/>
  </r>
  <r>
    <n v="225"/>
    <n v="15"/>
    <n v="15"/>
    <m/>
    <m/>
    <s v="MIGUEL ANGEL LUCENA"/>
    <s v="BAILEN"/>
    <s v="HECTOR-JAVI-TOMAS"/>
    <d v="2026-02-17T00:00:00"/>
    <n v="6"/>
    <n v="23"/>
    <n v="192"/>
    <x v="1"/>
    <x v="1"/>
    <x v="0"/>
    <n v="1"/>
    <m/>
    <m/>
    <m/>
  </r>
  <r>
    <n v="226"/>
    <n v="15"/>
    <n v="15"/>
    <m/>
    <m/>
    <s v="MIGUEL ANGEL LUCENA"/>
    <s v="BAILEN"/>
    <s v="HECTOR-JAVI-TOMAS"/>
    <d v="2026-02-17T00:00:00"/>
    <n v="13"/>
    <n v="22"/>
    <n v="184"/>
    <x v="0"/>
    <x v="0"/>
    <x v="0"/>
    <n v="200"/>
    <m/>
    <m/>
    <n v="100"/>
  </r>
  <r>
    <n v="227"/>
    <n v="15"/>
    <n v="15"/>
    <m/>
    <m/>
    <s v="MIGUEL ANGEL LUCENA"/>
    <s v="BAILEN"/>
    <s v="HECTOR-JAVI-TOMAS"/>
    <d v="2026-02-17T00:00:00"/>
    <n v="13"/>
    <n v="21"/>
    <n v="181"/>
    <x v="32"/>
    <x v="32"/>
    <x v="0"/>
    <n v="100"/>
    <m/>
    <m/>
    <n v="50"/>
  </r>
  <r>
    <n v="228"/>
    <n v="15"/>
    <n v="15"/>
    <m/>
    <m/>
    <s v="MIGUEL ANGEL LUCENA"/>
    <s v="BAILEN"/>
    <s v="HECTOR-JAVI-TOMAS"/>
    <d v="2026-02-17T00:00:00"/>
    <n v="13"/>
    <n v="23"/>
    <n v="190"/>
    <x v="81"/>
    <x v="81"/>
    <x v="0"/>
    <n v="1"/>
    <m/>
    <m/>
    <m/>
  </r>
  <r>
    <n v="229"/>
    <n v="15"/>
    <n v="15"/>
    <m/>
    <m/>
    <s v="MIGUEL ANGEL LUCENA"/>
    <s v="BAILEN"/>
    <s v="HECTOR-JAVI-TOMAS"/>
    <d v="2026-02-17T00:00:00"/>
    <n v="10"/>
    <n v="37"/>
    <n v="330"/>
    <x v="67"/>
    <x v="67"/>
    <x v="0"/>
    <n v="40"/>
    <m/>
    <m/>
    <n v="15"/>
  </r>
  <r>
    <n v="230"/>
    <n v="15"/>
    <n v="15"/>
    <m/>
    <m/>
    <s v="MIGUEL ANGEL LUCENA"/>
    <s v="BAILEN"/>
    <s v="HECTOR-JAVI-TOMAS"/>
    <d v="2026-02-17T00:00:00"/>
    <n v="10"/>
    <n v="37"/>
    <n v="232"/>
    <x v="34"/>
    <x v="34"/>
    <x v="0"/>
    <n v="40"/>
    <m/>
    <m/>
    <n v="20"/>
  </r>
  <r>
    <n v="231"/>
    <n v="15"/>
    <n v="15"/>
    <m/>
    <m/>
    <s v="MIGUEL ANGEL LUCENA"/>
    <s v="BAILEN"/>
    <s v="HECTOR-JAVI-TOMAS"/>
    <d v="2026-02-17T00:00:00"/>
    <n v="10"/>
    <n v="37"/>
    <n v="315"/>
    <x v="35"/>
    <x v="35"/>
    <x v="0"/>
    <n v="40"/>
    <m/>
    <m/>
    <n v="15"/>
  </r>
  <r>
    <n v="232"/>
    <n v="15"/>
    <n v="15"/>
    <m/>
    <m/>
    <s v="MIGUEL ANGEL LUCENA"/>
    <s v="BAILEN"/>
    <s v="HECTOR-JAVI-TOMAS"/>
    <d v="2026-02-17T00:00:00"/>
    <n v="10"/>
    <n v="42"/>
    <n v="268"/>
    <x v="9"/>
    <x v="9"/>
    <x v="0"/>
    <n v="6"/>
    <m/>
    <m/>
    <m/>
  </r>
  <r>
    <n v="233"/>
    <n v="15"/>
    <n v="15"/>
    <m/>
    <m/>
    <s v="MIGUEL ANGEL LUCENA"/>
    <s v="BAILEN"/>
    <s v="HECTOR-JAVI-TOMAS"/>
    <d v="2026-02-17T00:00:00"/>
    <n v="10"/>
    <n v="15"/>
    <n v="269"/>
    <x v="10"/>
    <x v="10"/>
    <x v="0"/>
    <n v="8"/>
    <m/>
    <m/>
    <n v="2"/>
  </r>
  <r>
    <n v="234"/>
    <n v="15"/>
    <n v="15"/>
    <m/>
    <m/>
    <s v="MIGUEL ANGEL LUCENA"/>
    <s v="BAILEN"/>
    <s v="HECTOR-JAVI-TOMAS"/>
    <d v="2026-02-17T00:00:00"/>
    <n v="17"/>
    <n v="44"/>
    <n v="271"/>
    <x v="13"/>
    <x v="13"/>
    <x v="0"/>
    <n v="1"/>
    <m/>
    <m/>
    <m/>
  </r>
  <r>
    <n v="235"/>
    <n v="15"/>
    <n v="15"/>
    <m/>
    <m/>
    <s v="MIGUEL ANGEL LUCENA"/>
    <s v="BAILEN"/>
    <s v="HECTOR-JAVI-TOMAS"/>
    <d v="2026-02-17T00:00:00"/>
    <n v="17"/>
    <n v="44"/>
    <n v="272"/>
    <x v="14"/>
    <x v="14"/>
    <x v="0"/>
    <n v="2"/>
    <m/>
    <m/>
    <m/>
  </r>
  <r>
    <n v="236"/>
    <n v="15"/>
    <n v="15"/>
    <m/>
    <m/>
    <s v="MIGUEL ANGEL LUCENA"/>
    <s v="BAILEN"/>
    <s v="HECTOR-JAVI-TOMAS"/>
    <d v="2026-02-17T00:00:00"/>
    <n v="7"/>
    <n v="38"/>
    <n v="247"/>
    <x v="45"/>
    <x v="45"/>
    <x v="0"/>
    <n v="10"/>
    <m/>
    <m/>
    <m/>
  </r>
  <r>
    <n v="237"/>
    <n v="15"/>
    <n v="15"/>
    <m/>
    <m/>
    <s v="MIGUEL ANGEL LUCENA"/>
    <s v="BAILEN"/>
    <s v="HECTOR-JAVI-TOMAS"/>
    <d v="2026-02-17T00:00:00"/>
    <n v="16"/>
    <n v="33"/>
    <n v="369"/>
    <x v="82"/>
    <x v="82"/>
    <x v="0"/>
    <n v="1"/>
    <m/>
    <m/>
    <m/>
  </r>
  <r>
    <n v="238"/>
    <n v="16"/>
    <n v="16"/>
    <m/>
    <m/>
    <s v="MANUEL SERRANO ARIZA"/>
    <s v="SANTA CRUZ"/>
    <s v="PERETE-MANUEL"/>
    <d v="2026-02-17T00:00:00"/>
    <n v="7"/>
    <n v="35"/>
    <n v="286"/>
    <x v="58"/>
    <x v="58"/>
    <x v="0"/>
    <n v="1"/>
    <m/>
    <s v="DYM6F73056"/>
    <m/>
  </r>
  <r>
    <n v="239"/>
    <n v="16"/>
    <n v="16"/>
    <m/>
    <m/>
    <s v="MANUEL SERRANO ARIZA"/>
    <s v="SANTA CRUZ"/>
    <s v="PERETE-MANUEL"/>
    <d v="2026-02-17T00:00:00"/>
    <n v="7"/>
    <n v="54"/>
    <n v="323"/>
    <x v="46"/>
    <x v="46"/>
    <x v="0"/>
    <n v="1"/>
    <m/>
    <s v="#14031612302250600"/>
    <m/>
  </r>
  <r>
    <n v="240"/>
    <n v="16"/>
    <n v="16"/>
    <m/>
    <m/>
    <s v="MANUEL SERRANO ARIZA"/>
    <s v="SANTA CRUZ"/>
    <s v="PERETE-MANUEL"/>
    <d v="2026-02-17T00:00:00"/>
    <n v="13"/>
    <n v="22"/>
    <n v="184"/>
    <x v="0"/>
    <x v="0"/>
    <x v="0"/>
    <n v="100"/>
    <m/>
    <m/>
    <n v="100"/>
  </r>
  <r>
    <n v="241"/>
    <n v="16"/>
    <n v="16"/>
    <m/>
    <m/>
    <s v="MANUEL SERRANO ARIZA"/>
    <s v="SANTA CRUZ"/>
    <s v="PERETE-MANUEL"/>
    <d v="2026-02-17T00:00:00"/>
    <n v="17"/>
    <n v="44"/>
    <n v="271"/>
    <x v="13"/>
    <x v="13"/>
    <x v="0"/>
    <n v="1"/>
    <m/>
    <m/>
    <n v="1"/>
  </r>
  <r>
    <n v="242"/>
    <n v="16"/>
    <n v="16"/>
    <m/>
    <m/>
    <s v="MANUEL SERRANO ARIZA"/>
    <s v="SANTA CRUZ"/>
    <s v="PERETE-MANUEL"/>
    <d v="2026-02-17T00:00:00"/>
    <n v="17"/>
    <n v="44"/>
    <n v="272"/>
    <x v="14"/>
    <x v="14"/>
    <x v="0"/>
    <n v="1"/>
    <m/>
    <m/>
    <n v="1"/>
  </r>
  <r>
    <n v="243"/>
    <n v="16"/>
    <n v="16"/>
    <m/>
    <m/>
    <s v="MANUEL SERRANO ARIZA"/>
    <s v="SANTA CRUZ"/>
    <s v="PERETE-MANUEL"/>
    <d v="2026-02-17T00:00:00"/>
    <n v="9"/>
    <n v="32"/>
    <n v="223"/>
    <x v="7"/>
    <x v="7"/>
    <x v="0"/>
    <n v="20"/>
    <m/>
    <m/>
    <m/>
  </r>
  <r>
    <n v="244"/>
    <n v="16"/>
    <n v="16"/>
    <m/>
    <m/>
    <s v="MANUEL SERRANO ARIZA"/>
    <s v="SANTA CRUZ"/>
    <s v="PERETE-MANUEL"/>
    <d v="2026-02-17T00:00:00"/>
    <n v="10"/>
    <n v="15"/>
    <n v="269"/>
    <x v="10"/>
    <x v="10"/>
    <x v="0"/>
    <n v="4"/>
    <m/>
    <m/>
    <m/>
  </r>
  <r>
    <n v="245"/>
    <n v="16"/>
    <n v="16"/>
    <m/>
    <m/>
    <s v="MANUEL SERRANO ARIZA"/>
    <s v="SANTA CRUZ"/>
    <s v="PERETE-MANUEL"/>
    <d v="2026-02-17T00:00:00"/>
    <n v="10"/>
    <n v="42"/>
    <n v="268"/>
    <x v="9"/>
    <x v="9"/>
    <x v="0"/>
    <n v="4"/>
    <m/>
    <m/>
    <m/>
  </r>
  <r>
    <n v="246"/>
    <n v="16"/>
    <n v="16"/>
    <m/>
    <m/>
    <s v="MANUEL SERRANO ARIZA"/>
    <s v="SANTA CRUZ"/>
    <s v="PERETE-MANUEL"/>
    <d v="2026-02-17T00:00:00"/>
    <n v="16"/>
    <n v="45"/>
    <n v="383"/>
    <x v="83"/>
    <x v="83"/>
    <x v="0"/>
    <n v="1"/>
    <m/>
    <m/>
    <m/>
  </r>
  <r>
    <n v="247"/>
    <n v="16"/>
    <n v="16"/>
    <m/>
    <m/>
    <s v="MANUEL SERRANO ARIZA"/>
    <s v="SANTA CRUZ"/>
    <s v="PERETE-MANUEL"/>
    <d v="2026-02-17T00:00:00"/>
    <n v="16"/>
    <n v="13"/>
    <n v="372"/>
    <x v="84"/>
    <x v="84"/>
    <x v="0"/>
    <n v="1"/>
    <m/>
    <m/>
    <m/>
  </r>
  <r>
    <n v="248"/>
    <n v="16"/>
    <n v="16"/>
    <m/>
    <m/>
    <s v="MANUEL SERRANO ARIZA"/>
    <s v="SANTA CRUZ"/>
    <s v="PERETE-MANUEL"/>
    <d v="2026-02-17T00:00:00"/>
    <n v="16"/>
    <n v="53"/>
    <n v="290"/>
    <x v="52"/>
    <x v="52"/>
    <x v="0"/>
    <n v="1"/>
    <m/>
    <m/>
    <m/>
  </r>
  <r>
    <n v="249"/>
    <n v="16"/>
    <n v="16"/>
    <m/>
    <m/>
    <s v="MANUEL SERRANO ARIZA"/>
    <s v="SANTA CRUZ"/>
    <s v="PERETE-MANUEL"/>
    <d v="2026-02-17T00:00:00"/>
    <n v="16"/>
    <n v="52"/>
    <n v="292"/>
    <x v="61"/>
    <x v="61"/>
    <x v="0"/>
    <n v="1"/>
    <m/>
    <m/>
    <m/>
  </r>
  <r>
    <n v="250"/>
    <n v="16"/>
    <n v="16"/>
    <m/>
    <m/>
    <s v="MANUEL SERRANO ARIZA"/>
    <s v="SANTA CRUZ"/>
    <s v="PERETE-MANUEL"/>
    <d v="2026-02-17T00:00:00"/>
    <n v="16"/>
    <n v="52"/>
    <n v="293"/>
    <x v="53"/>
    <x v="53"/>
    <x v="0"/>
    <n v="1"/>
    <m/>
    <m/>
    <m/>
  </r>
  <r>
    <n v="251"/>
    <n v="16"/>
    <n v="16"/>
    <m/>
    <m/>
    <s v="MANUEL SERRANO ARIZA"/>
    <s v="SANTA CRUZ"/>
    <s v="PERETE-MANUEL"/>
    <d v="2026-02-17T00:00:00"/>
    <n v="16"/>
    <n v="48"/>
    <n v="281"/>
    <x v="27"/>
    <x v="27"/>
    <x v="0"/>
    <n v="2"/>
    <m/>
    <m/>
    <m/>
  </r>
  <r>
    <n v="252"/>
    <n v="16"/>
    <n v="16"/>
    <m/>
    <m/>
    <s v="MANUEL SERRANO ARIZA"/>
    <s v="SANTA CRUZ"/>
    <s v="PERETE-MANUEL"/>
    <d v="2026-02-17T00:00:00"/>
    <n v="16"/>
    <n v="50"/>
    <n v="314"/>
    <x v="80"/>
    <x v="80"/>
    <x v="0"/>
    <n v="2"/>
    <m/>
    <m/>
    <m/>
  </r>
  <r>
    <n v="253"/>
    <n v="16"/>
    <n v="16"/>
    <m/>
    <m/>
    <s v="MANUEL SERRANO ARIZA"/>
    <s v="SANTA CRUZ"/>
    <s v="PERETE-MANUEL"/>
    <d v="2026-02-17T00:00:00"/>
    <n v="16"/>
    <n v="49"/>
    <n v="288"/>
    <x v="54"/>
    <x v="54"/>
    <x v="0"/>
    <n v="1"/>
    <m/>
    <m/>
    <m/>
  </r>
  <r>
    <n v="254"/>
    <n v="16"/>
    <n v="16"/>
    <m/>
    <m/>
    <s v="MANUEL SERRANO ARIZA"/>
    <s v="SANTA CRUZ"/>
    <s v="PERETE-MANUEL"/>
    <d v="2026-02-17T00:00:00"/>
    <n v="16"/>
    <n v="47"/>
    <n v="318"/>
    <x v="38"/>
    <x v="38"/>
    <x v="0"/>
    <n v="1"/>
    <m/>
    <m/>
    <m/>
  </r>
  <r>
    <n v="255"/>
    <n v="16"/>
    <n v="16"/>
    <m/>
    <m/>
    <s v="MANUEL SERRANO ARIZA"/>
    <s v="SANTA CRUZ"/>
    <s v="PERETE-MANUEL"/>
    <d v="2026-02-17T00:00:00"/>
    <n v="16"/>
    <n v="45"/>
    <n v="275"/>
    <x v="16"/>
    <x v="16"/>
    <x v="0"/>
    <n v="1"/>
    <m/>
    <m/>
    <n v="1"/>
  </r>
  <r>
    <n v="256"/>
    <n v="16"/>
    <n v="16"/>
    <m/>
    <m/>
    <s v="MANUEL SERRANO ARIZA"/>
    <s v="SANTA CRUZ"/>
    <s v="PERETE-MANUEL"/>
    <d v="2026-02-17T00:00:00"/>
    <n v="7"/>
    <n v="38"/>
    <n v="247"/>
    <x v="45"/>
    <x v="45"/>
    <x v="0"/>
    <n v="4"/>
    <m/>
    <m/>
    <m/>
  </r>
  <r>
    <n v="257"/>
    <n v="16"/>
    <n v="16"/>
    <m/>
    <m/>
    <s v="MANUEL SERRANO ARIZA"/>
    <s v="SANTA CRUZ"/>
    <s v="PERETE-MANUEL"/>
    <d v="2026-02-17T00:00:00"/>
    <n v="10"/>
    <n v="37"/>
    <n v="232"/>
    <x v="34"/>
    <x v="34"/>
    <x v="0"/>
    <n v="8"/>
    <m/>
    <m/>
    <m/>
  </r>
  <r>
    <n v="258"/>
    <n v="16"/>
    <n v="16"/>
    <m/>
    <m/>
    <s v="MANUEL SERRANO ARIZA"/>
    <s v="SANTA CRUZ"/>
    <s v="PERETE-MANUEL"/>
    <d v="2026-02-17T00:00:00"/>
    <n v="10"/>
    <n v="37"/>
    <n v="315"/>
    <x v="35"/>
    <x v="35"/>
    <x v="0"/>
    <n v="8"/>
    <m/>
    <m/>
    <m/>
  </r>
  <r>
    <n v="259"/>
    <n v="16"/>
    <n v="16"/>
    <m/>
    <m/>
    <s v="MANUEL SERRANO ARIZA"/>
    <s v="SANTA CRUZ"/>
    <s v="PERETE-MANUEL"/>
    <d v="2026-02-17T00:00:00"/>
    <n v="3"/>
    <n v="31"/>
    <n v="278"/>
    <x v="19"/>
    <x v="19"/>
    <x v="1"/>
    <n v="15"/>
    <m/>
    <m/>
    <m/>
  </r>
  <r>
    <n v="260"/>
    <n v="16"/>
    <n v="16"/>
    <m/>
    <m/>
    <s v="MANUEL SERRANO ARIZA"/>
    <s v="SANTA CRUZ"/>
    <s v="PERETE-MANUEL"/>
    <d v="2026-02-17T00:00:00"/>
    <n v="10"/>
    <n v="37"/>
    <n v="330"/>
    <x v="67"/>
    <x v="67"/>
    <x v="0"/>
    <n v="18"/>
    <m/>
    <m/>
    <n v="6"/>
  </r>
  <r>
    <n v="261"/>
    <n v="16"/>
    <n v="16"/>
    <m/>
    <m/>
    <s v="MANUEL SERRANO ARIZA"/>
    <s v="SANTA CRUZ"/>
    <s v="PERETE-MANUEL"/>
    <d v="2026-02-17T00:00:00"/>
    <n v="10"/>
    <n v="15"/>
    <n v="269"/>
    <x v="10"/>
    <x v="10"/>
    <x v="0"/>
    <n v="4"/>
    <m/>
    <m/>
    <m/>
  </r>
  <r>
    <n v="262"/>
    <n v="16"/>
    <n v="16"/>
    <m/>
    <m/>
    <s v="MANUEL SERRANO ARIZA"/>
    <s v="SANTA CRUZ"/>
    <s v="PERETE-MANUEL"/>
    <d v="2026-02-17T00:00:00"/>
    <n v="16"/>
    <n v="61"/>
    <n v="331"/>
    <x v="68"/>
    <x v="68"/>
    <x v="0"/>
    <n v="10"/>
    <m/>
    <m/>
    <n v="7"/>
  </r>
  <r>
    <n v="263"/>
    <n v="16"/>
    <n v="16"/>
    <m/>
    <m/>
    <s v="MANUEL SERRANO ARIZA"/>
    <s v="SANTA CRUZ"/>
    <s v="PERETE-MANUEL"/>
    <d v="2026-02-17T00:00:00"/>
    <n v="16"/>
    <n v="61"/>
    <n v="332"/>
    <x v="69"/>
    <x v="69"/>
    <x v="0"/>
    <n v="10"/>
    <m/>
    <m/>
    <n v="7"/>
  </r>
  <r>
    <n v="264"/>
    <n v="17"/>
    <n v="17"/>
    <m/>
    <m/>
    <s v="MIGUEL ANGEL LUCENA"/>
    <s v="BAILEN"/>
    <s v="HECTOR-JAVI"/>
    <d v="2026-02-17T00:00:00"/>
    <n v="7"/>
    <n v="54"/>
    <n v="295"/>
    <x v="59"/>
    <x v="59"/>
    <x v="0"/>
    <n v="1"/>
    <m/>
    <s v="0949702822509201375"/>
    <m/>
  </r>
  <r>
    <n v="265"/>
    <n v="17"/>
    <n v="17"/>
    <m/>
    <m/>
    <s v="MIGUEL ANGEL LUCENA"/>
    <s v="BAILEN"/>
    <s v="HECTOR-JAVI"/>
    <d v="2026-02-17T00:00:00"/>
    <n v="16"/>
    <n v="33"/>
    <n v="369"/>
    <x v="82"/>
    <x v="82"/>
    <x v="0"/>
    <n v="1"/>
    <m/>
    <m/>
    <m/>
  </r>
  <r>
    <n v="266"/>
    <n v="17"/>
    <n v="17"/>
    <m/>
    <m/>
    <s v="MIGUEL ANGEL LUCENA"/>
    <s v="BAILEN"/>
    <s v="HECTOR-JAVI"/>
    <d v="2026-02-17T00:00:00"/>
    <n v="7"/>
    <n v="38"/>
    <n v="247"/>
    <x v="45"/>
    <x v="45"/>
    <x v="0"/>
    <n v="12"/>
    <m/>
    <m/>
    <m/>
  </r>
  <r>
    <n v="267"/>
    <n v="17"/>
    <n v="17"/>
    <m/>
    <m/>
    <s v="MIGUEL ANGEL LUCENA"/>
    <s v="BAILEN"/>
    <s v="HECTOR-JAVI"/>
    <d v="2026-02-17T00:00:00"/>
    <n v="14"/>
    <n v="24"/>
    <n v="193"/>
    <x v="2"/>
    <x v="2"/>
    <x v="0"/>
    <n v="6"/>
    <m/>
    <m/>
    <m/>
  </r>
  <r>
    <n v="268"/>
    <n v="17"/>
    <n v="17"/>
    <m/>
    <m/>
    <s v="MIGUEL ANGEL LUCENA"/>
    <s v="BAILEN"/>
    <s v="HECTOR-JAVI"/>
    <d v="2026-02-17T00:00:00"/>
    <n v="7"/>
    <n v="35"/>
    <n v="286"/>
    <x v="58"/>
    <x v="58"/>
    <x v="0"/>
    <n v="1"/>
    <m/>
    <s v="DYM6F7304W"/>
    <m/>
  </r>
  <r>
    <n v="269"/>
    <n v="17"/>
    <n v="17"/>
    <m/>
    <m/>
    <s v="MIGUEL ANGEL LUCENA"/>
    <s v="BAILEN"/>
    <s v="HECTOR-JAVI"/>
    <d v="2026-02-17T00:00:00"/>
    <n v="10"/>
    <n v="15"/>
    <n v="269"/>
    <x v="10"/>
    <x v="10"/>
    <x v="0"/>
    <n v="8"/>
    <m/>
    <m/>
    <n v="2"/>
  </r>
  <r>
    <n v="270"/>
    <n v="17"/>
    <n v="17"/>
    <m/>
    <m/>
    <s v="MIGUEL ANGEL LUCENA"/>
    <s v="BAILEN"/>
    <s v="HECTOR-JAVI"/>
    <d v="2026-02-17T00:00:00"/>
    <n v="16"/>
    <n v="61"/>
    <n v="331"/>
    <x v="68"/>
    <x v="68"/>
    <x v="0"/>
    <n v="10"/>
    <m/>
    <m/>
    <m/>
  </r>
  <r>
    <n v="271"/>
    <n v="17"/>
    <n v="17"/>
    <m/>
    <m/>
    <s v="MIGUEL ANGEL LUCENA"/>
    <s v="BAILEN"/>
    <s v="HECTOR-JAVI"/>
    <d v="2026-02-17T00:00:00"/>
    <n v="16"/>
    <n v="61"/>
    <n v="332"/>
    <x v="69"/>
    <x v="69"/>
    <x v="0"/>
    <n v="10"/>
    <m/>
    <m/>
    <m/>
  </r>
  <r>
    <n v="272"/>
    <n v="17"/>
    <n v="17"/>
    <m/>
    <m/>
    <s v="MIGUEL ANGEL LUCENA"/>
    <s v="BAILEN"/>
    <s v="HECTOR-JAVI"/>
    <d v="2026-02-17T00:00:00"/>
    <n v="16"/>
    <n v="45"/>
    <n v="294"/>
    <x v="36"/>
    <x v="36"/>
    <x v="0"/>
    <n v="1"/>
    <m/>
    <m/>
    <n v="1"/>
  </r>
  <r>
    <n v="273"/>
    <n v="17"/>
    <n v="17"/>
    <m/>
    <m/>
    <s v="MIGUEL ANGEL LUCENA"/>
    <s v="BAILEN"/>
    <s v="HECTOR-JAVI"/>
    <d v="2026-02-17T00:00:00"/>
    <n v="10"/>
    <n v="43"/>
    <n v="270"/>
    <x v="12"/>
    <x v="12"/>
    <x v="0"/>
    <n v="6"/>
    <m/>
    <m/>
    <n v="4"/>
  </r>
  <r>
    <n v="274"/>
    <n v="17"/>
    <n v="17"/>
    <m/>
    <m/>
    <s v="MIGUEL ANGEL LUCENA"/>
    <s v="BAILEN"/>
    <s v="HECTOR-JAVI"/>
    <d v="2026-02-17T00:00:00"/>
    <n v="6"/>
    <n v="23"/>
    <n v="192"/>
    <x v="1"/>
    <x v="1"/>
    <x v="0"/>
    <n v="1"/>
    <m/>
    <m/>
    <n v="1"/>
  </r>
  <r>
    <n v="275"/>
    <n v="17"/>
    <n v="17"/>
    <m/>
    <m/>
    <s v="MIGUEL ANGEL LUCENA"/>
    <s v="BAILEN"/>
    <s v="HECTOR-JAVI"/>
    <d v="2026-02-17T00:00:00"/>
    <n v="13"/>
    <n v="22"/>
    <n v="184"/>
    <x v="0"/>
    <x v="0"/>
    <x v="0"/>
    <n v="200"/>
    <m/>
    <m/>
    <n v="100"/>
  </r>
  <r>
    <n v="276"/>
    <n v="17"/>
    <n v="17"/>
    <m/>
    <m/>
    <s v="MIGUEL ANGEL LUCENA"/>
    <s v="BAILEN"/>
    <s v="HECTOR-JAVI"/>
    <d v="2026-02-17T00:00:00"/>
    <n v="13"/>
    <n v="21"/>
    <n v="181"/>
    <x v="32"/>
    <x v="32"/>
    <x v="0"/>
    <n v="100"/>
    <m/>
    <m/>
    <n v="100"/>
  </r>
  <r>
    <n v="277"/>
    <n v="17"/>
    <n v="17"/>
    <m/>
    <m/>
    <s v="MIGUEL ANGEL LUCENA"/>
    <s v="BAILEN"/>
    <s v="HECTOR-JAVI"/>
    <d v="2026-02-17T00:00:00"/>
    <n v="13"/>
    <n v="23"/>
    <n v="190"/>
    <x v="81"/>
    <x v="81"/>
    <x v="0"/>
    <n v="1"/>
    <m/>
    <m/>
    <m/>
  </r>
  <r>
    <n v="278"/>
    <n v="17"/>
    <n v="17"/>
    <m/>
    <m/>
    <s v="MIGUEL ANGEL LUCENA"/>
    <s v="BAILEN"/>
    <s v="HECTOR-JAVI"/>
    <d v="2026-02-17T00:00:00"/>
    <n v="10"/>
    <n v="37"/>
    <n v="330"/>
    <x v="67"/>
    <x v="67"/>
    <x v="0"/>
    <n v="40"/>
    <m/>
    <m/>
    <n v="18"/>
  </r>
  <r>
    <n v="279"/>
    <n v="17"/>
    <n v="17"/>
    <m/>
    <m/>
    <s v="MIGUEL ANGEL LUCENA"/>
    <s v="BAILEN"/>
    <s v="HECTOR-JAVI"/>
    <d v="2026-02-17T00:00:00"/>
    <n v="10"/>
    <n v="37"/>
    <n v="232"/>
    <x v="34"/>
    <x v="34"/>
    <x v="0"/>
    <n v="40"/>
    <m/>
    <m/>
    <n v="26"/>
  </r>
  <r>
    <n v="280"/>
    <n v="17"/>
    <n v="17"/>
    <m/>
    <m/>
    <s v="MIGUEL ANGEL LUCENA"/>
    <s v="BAILEN"/>
    <s v="HECTOR-JAVI"/>
    <d v="2026-02-17T00:00:00"/>
    <n v="10"/>
    <n v="37"/>
    <n v="315"/>
    <x v="35"/>
    <x v="35"/>
    <x v="0"/>
    <n v="30"/>
    <m/>
    <m/>
    <n v="15"/>
  </r>
  <r>
    <n v="281"/>
    <n v="17"/>
    <n v="17"/>
    <m/>
    <m/>
    <s v="MIGUEL ANGEL LUCENA"/>
    <s v="BAILEN"/>
    <s v="HECTOR-JAVI"/>
    <d v="2026-02-17T00:00:00"/>
    <n v="10"/>
    <n v="42"/>
    <n v="268"/>
    <x v="9"/>
    <x v="9"/>
    <x v="0"/>
    <n v="6"/>
    <m/>
    <m/>
    <n v="6"/>
  </r>
  <r>
    <n v="282"/>
    <n v="17"/>
    <n v="17"/>
    <m/>
    <m/>
    <s v="MIGUEL ANGEL LUCENA"/>
    <s v="BAILEN"/>
    <s v="HECTOR-JAVI"/>
    <d v="2026-02-17T00:00:00"/>
    <n v="17"/>
    <n v="44"/>
    <n v="271"/>
    <x v="13"/>
    <x v="13"/>
    <x v="0"/>
    <n v="1"/>
    <m/>
    <m/>
    <m/>
  </r>
  <r>
    <n v="283"/>
    <n v="17"/>
    <n v="17"/>
    <m/>
    <m/>
    <s v="MIGUEL ANGEL LUCENA"/>
    <s v="BAILEN"/>
    <s v="HECTOR-JAVI"/>
    <d v="2026-02-17T00:00:00"/>
    <n v="17"/>
    <n v="44"/>
    <n v="272"/>
    <x v="14"/>
    <x v="14"/>
    <x v="0"/>
    <n v="2"/>
    <m/>
    <m/>
    <n v="2"/>
  </r>
  <r>
    <n v="284"/>
    <n v="17"/>
    <n v="17"/>
    <m/>
    <m/>
    <s v="MIGUEL ANGEL LUCENA"/>
    <s v="BAILEN"/>
    <s v="HECTOR-JAVI"/>
    <d v="2026-02-17T00:00:00"/>
    <n v="16"/>
    <n v="45"/>
    <n v="276"/>
    <x v="17"/>
    <x v="17"/>
    <x v="0"/>
    <n v="1"/>
    <m/>
    <m/>
    <m/>
  </r>
  <r>
    <n v="285"/>
    <n v="17"/>
    <n v="17"/>
    <m/>
    <m/>
    <s v="MIGUEL ANGEL LUCENA"/>
    <s v="BAILEN"/>
    <s v="HECTOR-JAVI"/>
    <d v="2026-02-17T00:00:00"/>
    <n v="16"/>
    <n v="49"/>
    <n v="288"/>
    <x v="54"/>
    <x v="54"/>
    <x v="0"/>
    <n v="1"/>
    <m/>
    <m/>
    <m/>
  </r>
  <r>
    <n v="286"/>
    <n v="17"/>
    <n v="17"/>
    <m/>
    <m/>
    <s v="MIGUEL ANGEL LUCENA"/>
    <s v="BAILEN"/>
    <s v="HECTOR-JAVI"/>
    <d v="2026-02-17T00:00:00"/>
    <n v="16"/>
    <n v="47"/>
    <n v="318"/>
    <x v="38"/>
    <x v="38"/>
    <x v="0"/>
    <n v="1"/>
    <m/>
    <m/>
    <n v="1"/>
  </r>
  <r>
    <n v="287"/>
    <n v="17"/>
    <n v="17"/>
    <m/>
    <m/>
    <s v="MIGUEL ANGEL LUCENA"/>
    <s v="BAILEN"/>
    <s v="HECTOR-JAVI"/>
    <d v="2026-02-17T00:00:00"/>
    <n v="16"/>
    <n v="52"/>
    <n v="292"/>
    <x v="61"/>
    <x v="61"/>
    <x v="0"/>
    <n v="1"/>
    <m/>
    <m/>
    <n v="1"/>
  </r>
  <r>
    <n v="288"/>
    <n v="17"/>
    <n v="17"/>
    <m/>
    <m/>
    <s v="MIGUEL ANGEL LUCENA"/>
    <s v="BAILEN"/>
    <s v="HECTOR-JAVI"/>
    <d v="2026-02-17T00:00:00"/>
    <n v="16"/>
    <n v="52"/>
    <n v="293"/>
    <x v="53"/>
    <x v="53"/>
    <x v="0"/>
    <n v="1"/>
    <m/>
    <m/>
    <m/>
  </r>
  <r>
    <n v="289"/>
    <n v="17"/>
    <n v="17"/>
    <m/>
    <m/>
    <s v="MIGUEL ANGEL LUCENA"/>
    <s v="BAILEN"/>
    <s v="HECTOR-JAVI"/>
    <d v="2026-02-17T00:00:00"/>
    <n v="16"/>
    <n v="48"/>
    <n v="281"/>
    <x v="27"/>
    <x v="27"/>
    <x v="0"/>
    <n v="2"/>
    <m/>
    <m/>
    <n v="2"/>
  </r>
  <r>
    <n v="290"/>
    <n v="17"/>
    <n v="17"/>
    <m/>
    <m/>
    <s v="MIGUEL ANGEL LUCENA"/>
    <s v="BAILEN"/>
    <s v="HECTOR-JAVI"/>
    <d v="2026-02-17T00:00:00"/>
    <n v="16"/>
    <n v="50"/>
    <n v="314"/>
    <x v="80"/>
    <x v="80"/>
    <x v="0"/>
    <n v="2"/>
    <m/>
    <m/>
    <n v="2"/>
  </r>
  <r>
    <n v="291"/>
    <n v="17"/>
    <n v="17"/>
    <m/>
    <m/>
    <s v="MIGUEL ANGEL LUCENA"/>
    <s v="BAILEN"/>
    <s v="HECTOR-JAVI"/>
    <d v="2026-02-17T00:00:00"/>
    <n v="16"/>
    <n v="51"/>
    <n v="309"/>
    <x v="55"/>
    <x v="55"/>
    <x v="0"/>
    <n v="1"/>
    <m/>
    <m/>
    <m/>
  </r>
  <r>
    <n v="292"/>
    <n v="17"/>
    <n v="17"/>
    <m/>
    <m/>
    <s v="MIGUEL ANGEL LUCENA"/>
    <s v="BAILEN"/>
    <s v="HECTOR-JAVI"/>
    <d v="2026-02-17T00:00:00"/>
    <n v="9"/>
    <n v="32"/>
    <n v="224"/>
    <x v="60"/>
    <x v="60"/>
    <x v="0"/>
    <n v="30"/>
    <m/>
    <m/>
    <n v="1"/>
  </r>
  <r>
    <n v="293"/>
    <n v="17"/>
    <n v="17"/>
    <m/>
    <m/>
    <s v="MIGUEL ANGEL LUCENA"/>
    <s v="BAILEN"/>
    <s v="HECTOR-JAVI"/>
    <d v="2026-02-17T00:00:00"/>
    <n v="3"/>
    <n v="31"/>
    <n v="277"/>
    <x v="18"/>
    <x v="18"/>
    <x v="1"/>
    <n v="40"/>
    <m/>
    <m/>
    <m/>
  </r>
  <r>
    <n v="294"/>
    <n v="17"/>
    <n v="17"/>
    <m/>
    <m/>
    <s v="MIGUEL ANGEL LUCENA"/>
    <s v="BAILEN"/>
    <s v="HECTOR-JAVI"/>
    <d v="2026-02-17T00:00:00"/>
    <n v="9"/>
    <n v="2"/>
    <n v="291"/>
    <x v="44"/>
    <x v="44"/>
    <x v="0"/>
    <n v="20"/>
    <m/>
    <m/>
    <n v="13"/>
  </r>
  <r>
    <n v="295"/>
    <n v="17"/>
    <n v="17"/>
    <m/>
    <m/>
    <s v="MIGUEL ANGEL LUCENA"/>
    <s v="BAILEN"/>
    <s v="HECTOR-JAVI"/>
    <d v="2026-02-17T00:00:00"/>
    <n v="3"/>
    <n v="31"/>
    <n v="278"/>
    <x v="19"/>
    <x v="19"/>
    <x v="1"/>
    <n v="40"/>
    <m/>
    <m/>
    <m/>
  </r>
  <r>
    <n v="296"/>
    <n v="18"/>
    <n v="18"/>
    <m/>
    <m/>
    <s v="MARTHA"/>
    <s v="JAEN"/>
    <s v="MANUEL"/>
    <d v="2026-02-17T00:00:00"/>
    <n v="10"/>
    <n v="43"/>
    <n v="270"/>
    <x v="12"/>
    <x v="12"/>
    <x v="0"/>
    <n v="4"/>
    <m/>
    <m/>
    <m/>
  </r>
  <r>
    <n v="297"/>
    <n v="18"/>
    <n v="18"/>
    <m/>
    <m/>
    <s v="MARTHA"/>
    <s v="JAEN"/>
    <s v="MANUEL"/>
    <d v="2026-02-17T00:00:00"/>
    <n v="17"/>
    <n v="44"/>
    <n v="271"/>
    <x v="13"/>
    <x v="13"/>
    <x v="0"/>
    <n v="1"/>
    <m/>
    <m/>
    <m/>
  </r>
  <r>
    <n v="298"/>
    <n v="18"/>
    <n v="18"/>
    <m/>
    <m/>
    <s v="MARTHA"/>
    <s v="JAEN"/>
    <s v="MANUEL"/>
    <d v="2026-02-17T00:00:00"/>
    <n v="17"/>
    <n v="44"/>
    <n v="272"/>
    <x v="14"/>
    <x v="14"/>
    <x v="0"/>
    <n v="1"/>
    <m/>
    <m/>
    <m/>
  </r>
  <r>
    <n v="299"/>
    <n v="18"/>
    <n v="18"/>
    <m/>
    <m/>
    <s v="MARTHA"/>
    <s v="JAEN"/>
    <s v="MANUEL"/>
    <d v="2026-02-17T00:00:00"/>
    <n v="16"/>
    <n v="45"/>
    <n v="294"/>
    <x v="36"/>
    <x v="36"/>
    <x v="0"/>
    <n v="1"/>
    <m/>
    <m/>
    <m/>
  </r>
  <r>
    <n v="300"/>
    <n v="18"/>
    <n v="18"/>
    <m/>
    <m/>
    <s v="MARTHA"/>
    <s v="JAEN"/>
    <s v="MANUEL"/>
    <d v="2026-02-17T00:00:00"/>
    <n v="10"/>
    <n v="37"/>
    <n v="232"/>
    <x v="34"/>
    <x v="34"/>
    <x v="0"/>
    <n v="20"/>
    <m/>
    <m/>
    <n v="5"/>
  </r>
  <r>
    <n v="301"/>
    <n v="18"/>
    <n v="18"/>
    <m/>
    <m/>
    <s v="MARTHA"/>
    <s v="JAEN"/>
    <s v="MANUEL"/>
    <d v="2026-02-17T00:00:00"/>
    <n v="10"/>
    <n v="37"/>
    <n v="315"/>
    <x v="35"/>
    <x v="35"/>
    <x v="0"/>
    <n v="15"/>
    <m/>
    <m/>
    <n v="5"/>
  </r>
  <r>
    <n v="302"/>
    <n v="18"/>
    <n v="18"/>
    <m/>
    <m/>
    <s v="MARTHA"/>
    <s v="JAEN"/>
    <s v="MANUEL"/>
    <d v="2026-02-17T00:00:00"/>
    <n v="6"/>
    <n v="23"/>
    <n v="192"/>
    <x v="1"/>
    <x v="1"/>
    <x v="0"/>
    <n v="1"/>
    <m/>
    <m/>
    <m/>
  </r>
  <r>
    <n v="303"/>
    <n v="18"/>
    <n v="18"/>
    <m/>
    <m/>
    <s v="MARTHA"/>
    <s v="JAEN"/>
    <s v="MANUEL"/>
    <d v="2026-02-17T00:00:00"/>
    <n v="4"/>
    <n v="15"/>
    <n v="326"/>
    <x v="49"/>
    <x v="49"/>
    <x v="0"/>
    <n v="4"/>
    <m/>
    <m/>
    <n v="1"/>
  </r>
  <r>
    <n v="304"/>
    <n v="18"/>
    <n v="18"/>
    <m/>
    <m/>
    <s v="MARTHA"/>
    <s v="JAEN"/>
    <s v="MANUEL"/>
    <d v="2026-02-17T00:00:00"/>
    <n v="7"/>
    <n v="38"/>
    <n v="247"/>
    <x v="45"/>
    <x v="45"/>
    <x v="0"/>
    <n v="4"/>
    <m/>
    <m/>
    <m/>
  </r>
  <r>
    <n v="305"/>
    <n v="18"/>
    <n v="18"/>
    <m/>
    <m/>
    <s v="MARTHA"/>
    <s v="JAEN"/>
    <s v="MANUEL"/>
    <d v="2026-02-17T00:00:00"/>
    <n v="13"/>
    <n v="22"/>
    <n v="184"/>
    <x v="0"/>
    <x v="0"/>
    <x v="0"/>
    <n v="100"/>
    <m/>
    <m/>
    <m/>
  </r>
  <r>
    <n v="306"/>
    <n v="18"/>
    <n v="18"/>
    <m/>
    <m/>
    <s v="MARTHA"/>
    <s v="JAEN"/>
    <s v="MANUEL"/>
    <d v="2026-02-17T00:00:00"/>
    <n v="13"/>
    <n v="21"/>
    <n v="181"/>
    <x v="32"/>
    <x v="32"/>
    <x v="0"/>
    <n v="100"/>
    <m/>
    <m/>
    <m/>
  </r>
  <r>
    <n v="307"/>
    <n v="18"/>
    <n v="18"/>
    <m/>
    <m/>
    <s v="MARTHA"/>
    <s v="JAEN"/>
    <s v="MANUEL"/>
    <d v="2026-02-17T00:00:00"/>
    <n v="3"/>
    <n v="31"/>
    <n v="277"/>
    <x v="18"/>
    <x v="18"/>
    <x v="1"/>
    <n v="15"/>
    <m/>
    <m/>
    <m/>
  </r>
  <r>
    <n v="308"/>
    <n v="18"/>
    <n v="18"/>
    <m/>
    <m/>
    <s v="MARTHA"/>
    <s v="JAEN"/>
    <s v="MANUEL"/>
    <d v="2026-02-17T00:00:00"/>
    <n v="3"/>
    <n v="31"/>
    <n v="278"/>
    <x v="19"/>
    <x v="19"/>
    <x v="1"/>
    <n v="15"/>
    <m/>
    <m/>
    <m/>
  </r>
  <r>
    <n v="309"/>
    <n v="19"/>
    <n v="19"/>
    <m/>
    <m/>
    <s v="FUE SANTA"/>
    <s v="MARTOS"/>
    <s v="HECTOR-JAVI"/>
    <d v="2026-02-18T00:00:00"/>
    <n v="16"/>
    <n v="53"/>
    <n v="290"/>
    <x v="52"/>
    <x v="52"/>
    <x v="0"/>
    <n v="1"/>
    <m/>
    <s v="ZGQ0F6B1JA"/>
    <m/>
  </r>
  <r>
    <n v="310"/>
    <n v="19"/>
    <n v="19"/>
    <m/>
    <m/>
    <s v="FUE SANTA"/>
    <s v="MARTOS"/>
    <s v="HECTOR-JAVI"/>
    <d v="2026-02-18T00:00:00"/>
    <n v="16"/>
    <n v="45"/>
    <n v="294"/>
    <x v="36"/>
    <x v="36"/>
    <x v="0"/>
    <n v="2"/>
    <m/>
    <m/>
    <m/>
  </r>
  <r>
    <n v="311"/>
    <n v="19"/>
    <n v="19"/>
    <m/>
    <m/>
    <s v="FUE SANTA"/>
    <s v="MARTOS"/>
    <s v="HECTOR-JAVI"/>
    <d v="2026-02-18T00:00:00"/>
    <n v="16"/>
    <n v="48"/>
    <n v="281"/>
    <x v="27"/>
    <x v="27"/>
    <x v="0"/>
    <n v="4"/>
    <m/>
    <m/>
    <n v="1"/>
  </r>
  <r>
    <n v="312"/>
    <n v="19"/>
    <n v="19"/>
    <m/>
    <m/>
    <s v="FUE SANTA"/>
    <s v="MARTOS"/>
    <s v="HECTOR-JAVI"/>
    <d v="2026-02-18T00:00:00"/>
    <n v="16"/>
    <n v="50"/>
    <n v="314"/>
    <x v="80"/>
    <x v="80"/>
    <x v="0"/>
    <n v="4"/>
    <m/>
    <m/>
    <n v="1"/>
  </r>
  <r>
    <n v="313"/>
    <n v="19"/>
    <n v="19"/>
    <m/>
    <m/>
    <s v="FUE SANTA"/>
    <s v="MARTOS"/>
    <s v="HECTOR-JAVI"/>
    <d v="2026-02-18T00:00:00"/>
    <n v="16"/>
    <n v="61"/>
    <n v="331"/>
    <x v="68"/>
    <x v="68"/>
    <x v="0"/>
    <n v="6"/>
    <m/>
    <m/>
    <n v="2"/>
  </r>
  <r>
    <n v="314"/>
    <n v="19"/>
    <n v="19"/>
    <m/>
    <m/>
    <s v="FUE SANTA"/>
    <s v="MARTOS"/>
    <s v="HECTOR-JAVI"/>
    <d v="2026-02-18T00:00:00"/>
    <n v="16"/>
    <n v="61"/>
    <n v="332"/>
    <x v="69"/>
    <x v="69"/>
    <x v="0"/>
    <n v="6"/>
    <m/>
    <m/>
    <n v="2"/>
  </r>
  <r>
    <n v="315"/>
    <n v="19"/>
    <n v="19"/>
    <m/>
    <m/>
    <s v="FUE SANTA"/>
    <s v="MARTOS"/>
    <s v="HECTOR-JAVI"/>
    <d v="2026-02-18T00:00:00"/>
    <n v="16"/>
    <n v="47"/>
    <n v="318"/>
    <x v="38"/>
    <x v="38"/>
    <x v="0"/>
    <n v="1"/>
    <m/>
    <m/>
    <m/>
  </r>
  <r>
    <n v="316"/>
    <n v="19"/>
    <n v="19"/>
    <m/>
    <m/>
    <s v="FUE SANTA"/>
    <s v="MARTOS"/>
    <s v="HECTOR-JAVI"/>
    <d v="2026-02-18T00:00:00"/>
    <n v="10"/>
    <n v="37"/>
    <n v="330"/>
    <x v="67"/>
    <x v="67"/>
    <x v="0"/>
    <n v="20"/>
    <m/>
    <m/>
    <n v="6"/>
  </r>
  <r>
    <n v="317"/>
    <n v="19"/>
    <n v="19"/>
    <m/>
    <m/>
    <s v="FUE SANTA"/>
    <s v="MARTOS"/>
    <s v="HECTOR-JAVI"/>
    <d v="2026-02-18T00:00:00"/>
    <n v="10"/>
    <n v="34"/>
    <n v="227"/>
    <x v="85"/>
    <x v="85"/>
    <x v="0"/>
    <n v="20"/>
    <m/>
    <m/>
    <n v="6"/>
  </r>
  <r>
    <n v="318"/>
    <n v="19"/>
    <n v="19"/>
    <m/>
    <m/>
    <s v="FUE SANTA"/>
    <s v="MARTOS"/>
    <s v="HECTOR-JAVI"/>
    <d v="2026-02-18T00:00:00"/>
    <n v="16"/>
    <n v="31"/>
    <n v="412"/>
    <x v="86"/>
    <x v="86"/>
    <x v="0"/>
    <n v="4"/>
    <m/>
    <m/>
    <m/>
  </r>
  <r>
    <n v="319"/>
    <n v="19"/>
    <n v="19"/>
    <m/>
    <m/>
    <s v="FUE SANTA"/>
    <s v="MARTOS"/>
    <s v="HECTOR-JAVI"/>
    <d v="2026-02-18T00:00:00"/>
    <n v="16"/>
    <n v="45"/>
    <n v="275"/>
    <x v="16"/>
    <x v="16"/>
    <x v="0"/>
    <n v="1"/>
    <m/>
    <m/>
    <m/>
  </r>
  <r>
    <n v="320"/>
    <n v="19"/>
    <n v="19"/>
    <m/>
    <m/>
    <s v="FUE SANTA"/>
    <s v="MARTOS"/>
    <s v="HECTOR-JAVI"/>
    <d v="2026-02-18T00:00:00"/>
    <n v="10"/>
    <n v="42"/>
    <n v="268"/>
    <x v="9"/>
    <x v="9"/>
    <x v="0"/>
    <n v="6"/>
    <m/>
    <m/>
    <n v="1"/>
  </r>
  <r>
    <n v="321"/>
    <n v="19"/>
    <n v="19"/>
    <m/>
    <m/>
    <s v="FUE SANTA"/>
    <s v="MARTOS"/>
    <s v="HECTOR-JAVI"/>
    <d v="2026-02-18T00:00:00"/>
    <n v="10"/>
    <n v="15"/>
    <n v="269"/>
    <x v="10"/>
    <x v="10"/>
    <x v="0"/>
    <n v="4"/>
    <m/>
    <m/>
    <n v="1"/>
  </r>
  <r>
    <n v="322"/>
    <n v="19"/>
    <n v="19"/>
    <m/>
    <m/>
    <s v="FUE SANTA"/>
    <s v="MARTOS"/>
    <s v="HECTOR-JAVI"/>
    <d v="2026-02-18T00:00:00"/>
    <n v="13"/>
    <n v="22"/>
    <n v="184"/>
    <x v="0"/>
    <x v="0"/>
    <x v="0"/>
    <n v="100"/>
    <m/>
    <m/>
    <m/>
  </r>
  <r>
    <n v="323"/>
    <n v="19"/>
    <n v="19"/>
    <m/>
    <m/>
    <s v="FUE SANTA"/>
    <s v="MARTOS"/>
    <s v="HECTOR-JAVI"/>
    <d v="2026-02-18T00:00:00"/>
    <n v="13"/>
    <n v="21"/>
    <n v="181"/>
    <x v="32"/>
    <x v="32"/>
    <x v="0"/>
    <n v="100"/>
    <m/>
    <m/>
    <m/>
  </r>
  <r>
    <n v="324"/>
    <n v="19"/>
    <n v="19"/>
    <m/>
    <m/>
    <s v="FUE SANTA"/>
    <s v="MARTOS"/>
    <s v="HECTOR-JAVI"/>
    <d v="2026-02-18T00:00:00"/>
    <n v="10"/>
    <n v="37"/>
    <n v="232"/>
    <x v="34"/>
    <x v="34"/>
    <x v="0"/>
    <n v="35"/>
    <m/>
    <m/>
    <n v="15"/>
  </r>
  <r>
    <n v="325"/>
    <n v="19"/>
    <n v="19"/>
    <m/>
    <m/>
    <s v="FUE SANTA"/>
    <s v="MARTOS"/>
    <s v="HECTOR-JAVI"/>
    <d v="2026-02-18T00:00:00"/>
    <n v="10"/>
    <n v="37"/>
    <n v="315"/>
    <x v="35"/>
    <x v="35"/>
    <x v="0"/>
    <n v="20"/>
    <m/>
    <m/>
    <n v="5"/>
  </r>
  <r>
    <n v="326"/>
    <n v="19"/>
    <n v="19"/>
    <m/>
    <m/>
    <s v="FUE SANTA"/>
    <s v="MARTOS"/>
    <s v="HECTOR-JAVI"/>
    <d v="2026-02-18T00:00:00"/>
    <n v="17"/>
    <n v="44"/>
    <n v="271"/>
    <x v="13"/>
    <x v="13"/>
    <x v="0"/>
    <n v="1"/>
    <m/>
    <m/>
    <m/>
  </r>
  <r>
    <n v="327"/>
    <n v="19"/>
    <n v="19"/>
    <m/>
    <m/>
    <s v="FUE SANTA"/>
    <s v="MARTOS"/>
    <s v="HECTOR-JAVI"/>
    <d v="2026-02-18T00:00:00"/>
    <n v="17"/>
    <n v="44"/>
    <n v="272"/>
    <x v="14"/>
    <x v="14"/>
    <x v="0"/>
    <n v="1"/>
    <m/>
    <m/>
    <m/>
  </r>
  <r>
    <n v="328"/>
    <n v="19"/>
    <n v="19"/>
    <m/>
    <m/>
    <s v="FUE SANTA"/>
    <s v="MARTOS"/>
    <s v="HECTOR-JAVI"/>
    <d v="2026-02-18T00:00:00"/>
    <n v="7"/>
    <n v="38"/>
    <n v="247"/>
    <x v="45"/>
    <x v="45"/>
    <x v="0"/>
    <n v="6"/>
    <m/>
    <m/>
    <m/>
  </r>
  <r>
    <n v="329"/>
    <n v="19"/>
    <n v="19"/>
    <m/>
    <m/>
    <s v="FUE SANTA"/>
    <s v="MARTOS"/>
    <s v="HECTOR-JAVI"/>
    <d v="2026-02-18T00:00:00"/>
    <n v="8"/>
    <n v="27"/>
    <n v="203"/>
    <x v="87"/>
    <x v="87"/>
    <x v="0"/>
    <n v="100"/>
    <m/>
    <m/>
    <n v="100"/>
  </r>
  <r>
    <n v="330"/>
    <n v="19"/>
    <n v="19"/>
    <m/>
    <m/>
    <s v="FUE SANTA"/>
    <s v="MARTOS"/>
    <s v="HECTOR-JAVI"/>
    <d v="2026-02-18T00:00:00"/>
    <n v="7"/>
    <n v="35"/>
    <n v="327"/>
    <x v="50"/>
    <x v="50"/>
    <x v="0"/>
    <n v="1"/>
    <m/>
    <s v="HQ2526QXF42"/>
    <m/>
  </r>
  <r>
    <n v="331"/>
    <n v="19"/>
    <n v="19"/>
    <m/>
    <m/>
    <s v="FUE SANTA"/>
    <s v="MARTOS"/>
    <s v="HECTOR-JAVI"/>
    <d v="2026-02-18T00:00:00"/>
    <n v="7"/>
    <n v="36"/>
    <n v="231"/>
    <x v="51"/>
    <x v="51"/>
    <x v="0"/>
    <n v="2"/>
    <m/>
    <s v="HQ2441TN9XZ_x000a_HQ232676FXU"/>
    <n v="2"/>
  </r>
  <r>
    <n v="332"/>
    <n v="19"/>
    <n v="19"/>
    <m/>
    <m/>
    <s v="FUE SANTA"/>
    <s v="MARTOS"/>
    <s v="HECTOR-JAVI"/>
    <d v="2026-02-18T00:00:00"/>
    <n v="3"/>
    <n v="31"/>
    <n v="277"/>
    <x v="18"/>
    <x v="18"/>
    <x v="1"/>
    <n v="30"/>
    <m/>
    <m/>
    <m/>
  </r>
  <r>
    <n v="333"/>
    <n v="19"/>
    <n v="19"/>
    <m/>
    <m/>
    <s v="FUE SANTA"/>
    <s v="MARTOS"/>
    <s v="HECTOR-JAVI"/>
    <d v="2026-02-18T00:00:00"/>
    <n v="3"/>
    <n v="31"/>
    <n v="278"/>
    <x v="19"/>
    <x v="19"/>
    <x v="1"/>
    <n v="25"/>
    <m/>
    <m/>
    <m/>
  </r>
  <r>
    <n v="334"/>
    <n v="19"/>
    <n v="19"/>
    <m/>
    <m/>
    <s v="FUE SANTA"/>
    <s v="MARTOS"/>
    <s v="HECTOR-JAVI"/>
    <d v="2026-02-18T00:00:00"/>
    <n v="7"/>
    <n v="54"/>
    <n v="295"/>
    <x v="59"/>
    <x v="59"/>
    <x v="0"/>
    <n v="2"/>
    <m/>
    <s v="34903622508250292_x000a_34903622508270250"/>
    <m/>
  </r>
  <r>
    <n v="335"/>
    <n v="19"/>
    <n v="19"/>
    <m/>
    <m/>
    <s v="FUE SANTA"/>
    <s v="MARTOS"/>
    <s v="HECTOR-JAVI"/>
    <d v="2026-02-18T00:00:00"/>
    <n v="16"/>
    <n v="76"/>
    <n v="397"/>
    <x v="88"/>
    <x v="88"/>
    <x v="0"/>
    <n v="1"/>
    <m/>
    <m/>
    <m/>
  </r>
  <r>
    <n v="336"/>
    <n v="19"/>
    <n v="19"/>
    <m/>
    <m/>
    <s v="FUE SANTA"/>
    <s v="MARTOS"/>
    <s v="HECTOR-JAVI"/>
    <d v="2026-02-18T00:00:00"/>
    <n v="16"/>
    <n v="60"/>
    <n v="324"/>
    <x v="47"/>
    <x v="47"/>
    <x v="0"/>
    <n v="1"/>
    <m/>
    <m/>
    <m/>
  </r>
  <r>
    <n v="337"/>
    <n v="19"/>
    <n v="19"/>
    <m/>
    <m/>
    <s v="FUE SANTA"/>
    <s v="MARTOS"/>
    <s v="HECTOR-JAVI"/>
    <d v="2026-02-18T00:00:00"/>
    <n v="4"/>
    <n v="15"/>
    <n v="267"/>
    <x v="8"/>
    <x v="8"/>
    <x v="0"/>
    <n v="12"/>
    <m/>
    <m/>
    <n v="6"/>
  </r>
  <r>
    <n v="338"/>
    <n v="19"/>
    <n v="19"/>
    <m/>
    <m/>
    <s v="FUE SANTA"/>
    <s v="MARTOS"/>
    <s v="HECTOR-JAVI"/>
    <d v="2026-02-18T00:00:00"/>
    <n v="4"/>
    <n v="15"/>
    <n v="326"/>
    <x v="49"/>
    <x v="49"/>
    <x v="0"/>
    <n v="1"/>
    <m/>
    <m/>
    <m/>
  </r>
  <r>
    <n v="339"/>
    <n v="20"/>
    <n v="20"/>
    <m/>
    <m/>
    <s v="INCIDENCIAS"/>
    <s v="ALMERIA"/>
    <s v="MANUEL-JESUS"/>
    <d v="2026-02-18T00:00:00"/>
    <n v="16"/>
    <n v="47"/>
    <n v="318"/>
    <x v="38"/>
    <x v="38"/>
    <x v="0"/>
    <n v="1"/>
    <m/>
    <m/>
    <n v="0"/>
  </r>
  <r>
    <n v="340"/>
    <n v="21"/>
    <n v="21"/>
    <m/>
    <m/>
    <s v="ILDEFONSO MORILLAS CAMORA"/>
    <s v="MANCHA REAL"/>
    <s v="JAVI-PERETE-JESUS"/>
    <d v="2026-02-19T00:00:00"/>
    <n v="7"/>
    <n v="35"/>
    <n v="327"/>
    <x v="50"/>
    <x v="50"/>
    <x v="0"/>
    <n v="1"/>
    <m/>
    <s v="HQ2526X66UK"/>
    <m/>
  </r>
  <r>
    <n v="341"/>
    <n v="21"/>
    <n v="21"/>
    <m/>
    <m/>
    <s v="ILDEFONSO MORILLAS CAMORA"/>
    <s v="MANCHA REAL"/>
    <s v="JAVI-PERETE-JESUS"/>
    <d v="2026-02-19T00:00:00"/>
    <n v="10"/>
    <n v="37"/>
    <n v="330"/>
    <x v="67"/>
    <x v="67"/>
    <x v="0"/>
    <n v="20"/>
    <m/>
    <m/>
    <m/>
  </r>
  <r>
    <n v="342"/>
    <n v="21"/>
    <n v="21"/>
    <m/>
    <m/>
    <s v="ILDEFONSO MORILLAS CAMORA"/>
    <s v="MANCHA REAL"/>
    <s v="JAVI-PERETE-JESUS"/>
    <d v="2026-02-19T00:00:00"/>
    <n v="10"/>
    <n v="37"/>
    <n v="232"/>
    <x v="34"/>
    <x v="34"/>
    <x v="0"/>
    <n v="20"/>
    <m/>
    <m/>
    <m/>
  </r>
  <r>
    <n v="343"/>
    <n v="21"/>
    <n v="21"/>
    <m/>
    <m/>
    <s v="ILDEFONSO MORILLAS CAMORA"/>
    <s v="MANCHA REAL"/>
    <s v="JAVI-PERETE-JESUS"/>
    <d v="2026-02-19T00:00:00"/>
    <n v="10"/>
    <n v="37"/>
    <n v="315"/>
    <x v="35"/>
    <x v="35"/>
    <x v="0"/>
    <n v="16"/>
    <m/>
    <m/>
    <m/>
  </r>
  <r>
    <n v="344"/>
    <n v="21"/>
    <n v="21"/>
    <m/>
    <m/>
    <s v="ILDEFONSO MORILLAS CAMORA"/>
    <s v="MANCHA REAL"/>
    <s v="JAVI-PERETE-JESUS"/>
    <d v="2026-02-19T00:00:00"/>
    <n v="10"/>
    <n v="43"/>
    <n v="270"/>
    <x v="12"/>
    <x v="12"/>
    <x v="0"/>
    <n v="8"/>
    <m/>
    <m/>
    <m/>
  </r>
  <r>
    <n v="345"/>
    <n v="21"/>
    <n v="21"/>
    <m/>
    <m/>
    <s v="ILDEFONSO MORILLAS CAMORA"/>
    <s v="MANCHA REAL"/>
    <s v="JAVI-PERETE-JESUS"/>
    <d v="2026-02-19T00:00:00"/>
    <n v="6"/>
    <n v="23"/>
    <n v="192"/>
    <x v="1"/>
    <x v="1"/>
    <x v="0"/>
    <n v="1"/>
    <m/>
    <m/>
    <m/>
  </r>
  <r>
    <n v="346"/>
    <n v="21"/>
    <n v="21"/>
    <m/>
    <m/>
    <s v="ILDEFONSO MORILLAS CAMORA"/>
    <s v="MANCHA REAL"/>
    <s v="JAVI-PERETE-JESUS"/>
    <d v="2026-02-19T00:00:00"/>
    <n v="10"/>
    <n v="15"/>
    <n v="269"/>
    <x v="10"/>
    <x v="10"/>
    <x v="0"/>
    <n v="5"/>
    <m/>
    <m/>
    <n v="2"/>
  </r>
  <r>
    <n v="347"/>
    <n v="21"/>
    <n v="21"/>
    <m/>
    <m/>
    <s v="ILDEFONSO MORILLAS CAMORA"/>
    <s v="MANCHA REAL"/>
    <s v="JAVI-PERETE-JESUS"/>
    <d v="2026-02-19T00:00:00"/>
    <n v="10"/>
    <n v="42"/>
    <n v="268"/>
    <x v="9"/>
    <x v="9"/>
    <x v="0"/>
    <n v="7"/>
    <m/>
    <m/>
    <m/>
  </r>
  <r>
    <n v="348"/>
    <n v="21"/>
    <n v="21"/>
    <m/>
    <m/>
    <s v="ILDEFONSO MORILLAS CAMORA"/>
    <s v="MANCHA REAL"/>
    <s v="JAVI-PERETE-JESUS"/>
    <d v="2026-02-19T00:00:00"/>
    <n v="7"/>
    <n v="38"/>
    <n v="247"/>
    <x v="45"/>
    <x v="45"/>
    <x v="0"/>
    <n v="8"/>
    <m/>
    <m/>
    <m/>
  </r>
  <r>
    <n v="349"/>
    <n v="22"/>
    <n v="22"/>
    <m/>
    <m/>
    <s v="PEDRO BERMEJO AGUAYO"/>
    <s v="ARJONA"/>
    <s v="HECTOR-MANUEL-TOMAS"/>
    <d v="2026-02-19T00:00:00"/>
    <n v="10"/>
    <n v="37"/>
    <n v="330"/>
    <x v="67"/>
    <x v="67"/>
    <x v="0"/>
    <n v="50"/>
    <m/>
    <m/>
    <n v="20"/>
  </r>
  <r>
    <n v="350"/>
    <n v="22"/>
    <n v="22"/>
    <m/>
    <m/>
    <s v="PEDRO BERMEJO AGUAYO"/>
    <s v="ARJONA"/>
    <s v="HECTOR-MANUEL-TOMAS"/>
    <d v="2026-02-19T00:00:00"/>
    <n v="10"/>
    <n v="37"/>
    <n v="232"/>
    <x v="34"/>
    <x v="34"/>
    <x v="0"/>
    <n v="45"/>
    <m/>
    <m/>
    <n v="15"/>
  </r>
  <r>
    <n v="351"/>
    <n v="22"/>
    <n v="22"/>
    <m/>
    <m/>
    <s v="PEDRO BERMEJO AGUAYO"/>
    <s v="ARJONA"/>
    <s v="HECTOR-MANUEL-TOMAS"/>
    <d v="2026-02-19T00:00:00"/>
    <n v="10"/>
    <n v="37"/>
    <n v="315"/>
    <x v="35"/>
    <x v="35"/>
    <x v="0"/>
    <n v="40"/>
    <m/>
    <m/>
    <n v="15"/>
  </r>
  <r>
    <n v="352"/>
    <n v="22"/>
    <n v="22"/>
    <m/>
    <m/>
    <s v="PEDRO BERMEJO AGUAYO"/>
    <s v="ARJONA"/>
    <s v="HECTOR-MANUEL-TOMAS"/>
    <d v="2026-02-19T00:00:00"/>
    <n v="10"/>
    <n v="43"/>
    <n v="270"/>
    <x v="12"/>
    <x v="12"/>
    <x v="0"/>
    <n v="12"/>
    <m/>
    <m/>
    <n v="6"/>
  </r>
  <r>
    <n v="353"/>
    <n v="22"/>
    <n v="22"/>
    <m/>
    <m/>
    <s v="PEDRO BERMEJO AGUAYO"/>
    <s v="ARJONA"/>
    <s v="HECTOR-MANUEL-TOMAS"/>
    <d v="2026-02-19T00:00:00"/>
    <n v="6"/>
    <n v="23"/>
    <n v="192"/>
    <x v="1"/>
    <x v="1"/>
    <x v="0"/>
    <n v="1"/>
    <m/>
    <m/>
    <m/>
  </r>
  <r>
    <n v="354"/>
    <n v="22"/>
    <n v="22"/>
    <m/>
    <m/>
    <s v="PEDRO BERMEJO AGUAYO"/>
    <s v="ARJONA"/>
    <s v="HECTOR-MANUEL-TOMAS"/>
    <d v="2026-02-19T00:00:00"/>
    <n v="10"/>
    <n v="15"/>
    <n v="269"/>
    <x v="10"/>
    <x v="10"/>
    <x v="0"/>
    <n v="12"/>
    <m/>
    <m/>
    <n v="6"/>
  </r>
  <r>
    <n v="355"/>
    <n v="22"/>
    <n v="22"/>
    <m/>
    <m/>
    <s v="PEDRO BERMEJO AGUAYO"/>
    <s v="ARJONA"/>
    <s v="HECTOR-MANUEL-TOMAS"/>
    <d v="2026-02-19T00:00:00"/>
    <n v="16"/>
    <n v="45"/>
    <n v="294"/>
    <x v="36"/>
    <x v="36"/>
    <x v="0"/>
    <n v="1"/>
    <m/>
    <m/>
    <m/>
  </r>
  <r>
    <n v="356"/>
    <n v="22"/>
    <n v="22"/>
    <m/>
    <m/>
    <s v="PEDRO BERMEJO AGUAYO"/>
    <s v="ARJONA"/>
    <s v="HECTOR-MANUEL-TOMAS"/>
    <d v="2026-02-19T00:00:00"/>
    <n v="13"/>
    <n v="21"/>
    <n v="181"/>
    <x v="32"/>
    <x v="32"/>
    <x v="0"/>
    <n v="100"/>
    <m/>
    <m/>
    <m/>
  </r>
  <r>
    <n v="357"/>
    <n v="22"/>
    <n v="22"/>
    <m/>
    <m/>
    <s v="PEDRO BERMEJO AGUAYO"/>
    <s v="ARJONA"/>
    <s v="HECTOR-MANUEL-TOMAS"/>
    <d v="2026-02-19T00:00:00"/>
    <n v="13"/>
    <n v="22"/>
    <n v="184"/>
    <x v="0"/>
    <x v="0"/>
    <x v="0"/>
    <n v="200"/>
    <m/>
    <m/>
    <n v="100"/>
  </r>
  <r>
    <n v="358"/>
    <n v="22"/>
    <n v="22"/>
    <m/>
    <m/>
    <s v="PEDRO BERMEJO AGUAYO"/>
    <s v="ARJONA"/>
    <s v="HECTOR-MANUEL-TOMAS"/>
    <d v="2026-02-19T00:00:00"/>
    <n v="14"/>
    <n v="24"/>
    <n v="193"/>
    <x v="2"/>
    <x v="2"/>
    <x v="0"/>
    <n v="4"/>
    <m/>
    <m/>
    <n v="2"/>
  </r>
  <r>
    <n v="359"/>
    <n v="22"/>
    <n v="22"/>
    <m/>
    <m/>
    <s v="PEDRO BERMEJO AGUAYO"/>
    <s v="ARJONA"/>
    <s v="HECTOR-MANUEL-TOMAS"/>
    <d v="2026-02-19T00:00:00"/>
    <n v="3"/>
    <n v="31"/>
    <n v="277"/>
    <x v="18"/>
    <x v="18"/>
    <x v="1"/>
    <n v="30"/>
    <m/>
    <m/>
    <m/>
  </r>
  <r>
    <n v="360"/>
    <n v="22"/>
    <n v="22"/>
    <m/>
    <m/>
    <s v="PEDRO BERMEJO AGUAYO"/>
    <s v="ARJONA"/>
    <s v="HECTOR-MANUEL-TOMAS"/>
    <d v="2026-02-19T00:00:00"/>
    <n v="17"/>
    <n v="44"/>
    <n v="273"/>
    <x v="89"/>
    <x v="89"/>
    <x v="0"/>
    <n v="6"/>
    <m/>
    <m/>
    <n v="3"/>
  </r>
  <r>
    <n v="361"/>
    <n v="22"/>
    <n v="22"/>
    <m/>
    <m/>
    <s v="PEDRO BERMEJO AGUAYO"/>
    <s v="ARJONA"/>
    <s v="HECTOR-MANUEL-TOMAS"/>
    <d v="2026-02-19T00:00:00"/>
    <n v="20"/>
    <n v="83"/>
    <n v="409"/>
    <x v="90"/>
    <x v="90"/>
    <x v="0"/>
    <n v="20"/>
    <m/>
    <m/>
    <n v="9"/>
  </r>
  <r>
    <n v="362"/>
    <n v="22"/>
    <n v="22"/>
    <m/>
    <m/>
    <s v="PEDRO BERMEJO AGUAYO"/>
    <s v="ARJONA"/>
    <s v="HECTOR-MANUEL-TOMAS"/>
    <d v="2026-02-19T00:00:00"/>
    <n v="17"/>
    <n v="44"/>
    <n v="271"/>
    <x v="13"/>
    <x v="13"/>
    <x v="0"/>
    <n v="2"/>
    <m/>
    <m/>
    <n v="1"/>
  </r>
  <r>
    <n v="363"/>
    <n v="22"/>
    <n v="22"/>
    <m/>
    <m/>
    <s v="PEDRO BERMEJO AGUAYO"/>
    <s v="ARJONA"/>
    <s v="HECTOR-MANUEL-TOMAS"/>
    <d v="2026-02-19T00:00:00"/>
    <n v="17"/>
    <n v="44"/>
    <n v="272"/>
    <x v="14"/>
    <x v="14"/>
    <x v="0"/>
    <n v="2"/>
    <m/>
    <m/>
    <n v="1"/>
  </r>
  <r>
    <n v="364"/>
    <n v="22"/>
    <n v="22"/>
    <m/>
    <m/>
    <s v="PEDRO BERMEJO AGUAYO"/>
    <s v="ARJONA"/>
    <s v="HECTOR-MANUEL-TOMAS"/>
    <d v="2026-02-19T00:00:00"/>
    <n v="10"/>
    <n v="42"/>
    <n v="329"/>
    <x v="66"/>
    <x v="66"/>
    <x v="0"/>
    <n v="4"/>
    <m/>
    <m/>
    <m/>
  </r>
  <r>
    <n v="365"/>
    <n v="22"/>
    <n v="22"/>
    <m/>
    <m/>
    <s v="PEDRO BERMEJO AGUAYO"/>
    <s v="ARJONA"/>
    <s v="HECTOR-MANUEL-TOMAS"/>
    <d v="2026-02-19T00:00:00"/>
    <n v="16"/>
    <n v="61"/>
    <n v="331"/>
    <x v="68"/>
    <x v="68"/>
    <x v="0"/>
    <n v="10"/>
    <m/>
    <m/>
    <n v="3"/>
  </r>
  <r>
    <n v="366"/>
    <n v="22"/>
    <n v="22"/>
    <m/>
    <m/>
    <s v="PEDRO BERMEJO AGUAYO"/>
    <s v="ARJONA"/>
    <s v="HECTOR-MANUEL-TOMAS"/>
    <d v="2026-02-19T00:00:00"/>
    <n v="16"/>
    <n v="61"/>
    <n v="332"/>
    <x v="69"/>
    <x v="69"/>
    <x v="0"/>
    <n v="10"/>
    <m/>
    <m/>
    <n v="3"/>
  </r>
  <r>
    <n v="367"/>
    <n v="22"/>
    <n v="22"/>
    <m/>
    <m/>
    <s v="PEDRO BERMEJO AGUAYO"/>
    <s v="ARJONA"/>
    <s v="HECTOR-MANUEL-TOMAS"/>
    <d v="2026-02-19T00:00:00"/>
    <n v="9"/>
    <n v="32"/>
    <n v="223"/>
    <x v="7"/>
    <x v="7"/>
    <x v="0"/>
    <n v="20"/>
    <m/>
    <m/>
    <n v="8"/>
  </r>
  <r>
    <n v="368"/>
    <n v="22"/>
    <n v="22"/>
    <m/>
    <m/>
    <s v="PEDRO BERMEJO AGUAYO"/>
    <s v="ARJONA"/>
    <s v="HECTOR-MANUEL-TOMAS"/>
    <d v="2026-02-19T00:00:00"/>
    <n v="3"/>
    <n v="31"/>
    <n v="211"/>
    <x v="57"/>
    <x v="57"/>
    <x v="1"/>
    <n v="100"/>
    <m/>
    <m/>
    <m/>
  </r>
  <r>
    <n v="369"/>
    <n v="22"/>
    <n v="22"/>
    <m/>
    <m/>
    <s v="PEDRO BERMEJO AGUAYO"/>
    <s v="ARJONA"/>
    <s v="HECTOR-MANUEL-TOMAS"/>
    <d v="2026-02-19T00:00:00"/>
    <n v="3"/>
    <n v="31"/>
    <n v="213"/>
    <x v="6"/>
    <x v="6"/>
    <x v="1"/>
    <n v="100"/>
    <m/>
    <m/>
    <m/>
  </r>
  <r>
    <n v="370"/>
    <n v="22"/>
    <n v="22"/>
    <m/>
    <m/>
    <s v="PEDRO BERMEJO AGUAYO"/>
    <s v="ARJONA"/>
    <s v="HECTOR-MANUEL-TOMAS"/>
    <d v="2026-02-19T00:00:00"/>
    <n v="3"/>
    <n v="31"/>
    <n v="209"/>
    <x v="3"/>
    <x v="3"/>
    <x v="1"/>
    <n v="100"/>
    <m/>
    <m/>
    <m/>
  </r>
  <r>
    <n v="371"/>
    <n v="22"/>
    <n v="22"/>
    <m/>
    <m/>
    <s v="PEDRO BERMEJO AGUAYO"/>
    <s v="ARJONA"/>
    <s v="HECTOR-MANUEL-TOMAS"/>
    <d v="2026-02-19T00:00:00"/>
    <n v="3"/>
    <n v="31"/>
    <n v="212"/>
    <x v="5"/>
    <x v="5"/>
    <x v="1"/>
    <n v="100"/>
    <m/>
    <m/>
    <m/>
  </r>
  <r>
    <n v="372"/>
    <n v="22"/>
    <n v="22"/>
    <m/>
    <m/>
    <s v="PEDRO BERMEJO AGUAYO"/>
    <s v="ARJONA"/>
    <s v="HECTOR-MANUEL-TOMAS"/>
    <d v="2026-02-19T00:00:00"/>
    <n v="3"/>
    <n v="31"/>
    <n v="210"/>
    <x v="4"/>
    <x v="4"/>
    <x v="1"/>
    <n v="100"/>
    <m/>
    <m/>
    <m/>
  </r>
  <r>
    <n v="373"/>
    <n v="23"/>
    <n v="23"/>
    <m/>
    <m/>
    <s v="MANUEL SERRANO MORENO"/>
    <s v="SANTA CRUZ"/>
    <s v="HECTOR-ANTONIO-TOMAS"/>
    <d v="2026-02-20T00:00:00"/>
    <n v="10"/>
    <n v="37"/>
    <n v="330"/>
    <x v="67"/>
    <x v="67"/>
    <x v="0"/>
    <n v="50"/>
    <m/>
    <m/>
    <n v="30"/>
  </r>
  <r>
    <n v="374"/>
    <n v="23"/>
    <n v="23"/>
    <m/>
    <m/>
    <s v="MANUEL SERRANO MORENO"/>
    <s v="SANTA CRUZ"/>
    <s v="HECTOR-ANTONIO-TOMAS"/>
    <d v="2026-02-20T00:00:00"/>
    <n v="10"/>
    <n v="37"/>
    <n v="232"/>
    <x v="34"/>
    <x v="34"/>
    <x v="0"/>
    <n v="60"/>
    <m/>
    <m/>
    <n v="39"/>
  </r>
  <r>
    <n v="375"/>
    <n v="23"/>
    <n v="23"/>
    <m/>
    <m/>
    <s v="MANUEL SERRANO MORENO"/>
    <s v="SANTA CRUZ"/>
    <s v="HECTOR-ANTONIO-TOMAS"/>
    <d v="2026-02-20T00:00:00"/>
    <n v="10"/>
    <n v="37"/>
    <n v="315"/>
    <x v="35"/>
    <x v="35"/>
    <x v="0"/>
    <n v="50"/>
    <m/>
    <m/>
    <n v="32"/>
  </r>
  <r>
    <n v="376"/>
    <n v="23"/>
    <n v="23"/>
    <m/>
    <m/>
    <s v="MANUEL SERRANO MORENO"/>
    <s v="SANTA CRUZ"/>
    <s v="HECTOR-ANTONIO-TOMAS"/>
    <d v="2026-02-20T00:00:00"/>
    <n v="17"/>
    <n v="44"/>
    <n v="271"/>
    <x v="13"/>
    <x v="13"/>
    <x v="0"/>
    <n v="2"/>
    <m/>
    <m/>
    <m/>
  </r>
  <r>
    <n v="377"/>
    <n v="23"/>
    <n v="23"/>
    <m/>
    <m/>
    <s v="MANUEL SERRANO MORENO"/>
    <s v="SANTA CRUZ"/>
    <s v="HECTOR-ANTONIO-TOMAS"/>
    <d v="2026-02-20T00:00:00"/>
    <n v="17"/>
    <n v="44"/>
    <n v="272"/>
    <x v="14"/>
    <x v="14"/>
    <x v="0"/>
    <n v="2"/>
    <m/>
    <m/>
    <n v="1"/>
  </r>
  <r>
    <n v="378"/>
    <n v="23"/>
    <n v="23"/>
    <m/>
    <m/>
    <s v="MANUEL SERRANO MORENO"/>
    <s v="SANTA CRUZ"/>
    <s v="HECTOR-ANTONIO-TOMAS"/>
    <d v="2026-02-20T00:00:00"/>
    <n v="16"/>
    <n v="45"/>
    <n v="294"/>
    <x v="36"/>
    <x v="36"/>
    <x v="0"/>
    <n v="1"/>
    <m/>
    <m/>
    <m/>
  </r>
  <r>
    <n v="379"/>
    <n v="23"/>
    <n v="23"/>
    <m/>
    <m/>
    <s v="MANUEL SERRANO MORENO"/>
    <s v="SANTA CRUZ"/>
    <s v="HECTOR-ANTONIO-TOMAS"/>
    <d v="2026-02-20T00:00:00"/>
    <n v="13"/>
    <n v="22"/>
    <n v="184"/>
    <x v="0"/>
    <x v="0"/>
    <x v="0"/>
    <n v="200"/>
    <m/>
    <m/>
    <m/>
  </r>
  <r>
    <n v="380"/>
    <n v="23"/>
    <n v="23"/>
    <m/>
    <m/>
    <s v="MANUEL SERRANO MORENO"/>
    <s v="SANTA CRUZ"/>
    <s v="HECTOR-ANTONIO-TOMAS"/>
    <d v="2026-02-20T00:00:00"/>
    <n v="16"/>
    <n v="61"/>
    <n v="331"/>
    <x v="68"/>
    <x v="68"/>
    <x v="0"/>
    <n v="5"/>
    <m/>
    <m/>
    <m/>
  </r>
  <r>
    <n v="381"/>
    <n v="23"/>
    <n v="23"/>
    <m/>
    <m/>
    <s v="MANUEL SERRANO MORENO"/>
    <s v="SANTA CRUZ"/>
    <s v="HECTOR-ANTONIO-TOMAS"/>
    <d v="2026-02-20T00:00:00"/>
    <n v="16"/>
    <n v="61"/>
    <n v="332"/>
    <x v="69"/>
    <x v="69"/>
    <x v="0"/>
    <n v="5"/>
    <m/>
    <m/>
    <m/>
  </r>
  <r>
    <n v="382"/>
    <n v="23"/>
    <n v="23"/>
    <m/>
    <m/>
    <s v="MANUEL SERRANO MORENO"/>
    <s v="SANTA CRUZ"/>
    <s v="HECTOR-ANTONIO-TOMAS"/>
    <d v="2026-02-20T00:00:00"/>
    <n v="10"/>
    <n v="43"/>
    <n v="270"/>
    <x v="12"/>
    <x v="12"/>
    <x v="0"/>
    <n v="8"/>
    <m/>
    <m/>
    <n v="3"/>
  </r>
  <r>
    <n v="383"/>
    <n v="23"/>
    <n v="23"/>
    <m/>
    <m/>
    <s v="MANUEL SERRANO MORENO"/>
    <s v="SANTA CRUZ"/>
    <s v="HECTOR-ANTONIO-TOMAS"/>
    <d v="2026-02-20T00:00:00"/>
    <n v="14"/>
    <n v="24"/>
    <n v="193"/>
    <x v="2"/>
    <x v="2"/>
    <x v="0"/>
    <n v="5"/>
    <m/>
    <m/>
    <n v="5"/>
  </r>
  <r>
    <n v="384"/>
    <n v="23"/>
    <n v="23"/>
    <m/>
    <m/>
    <s v="MANUEL SERRANO MORENO"/>
    <s v="SANTA CRUZ"/>
    <s v="HECTOR-ANTONIO-TOMAS"/>
    <d v="2026-02-20T00:00:00"/>
    <n v="10"/>
    <n v="15"/>
    <n v="269"/>
    <x v="10"/>
    <x v="10"/>
    <x v="0"/>
    <n v="14"/>
    <m/>
    <m/>
    <m/>
  </r>
  <r>
    <n v="385"/>
    <n v="23"/>
    <n v="23"/>
    <m/>
    <m/>
    <s v="MANUEL SERRANO MORENO"/>
    <s v="SANTA CRUZ"/>
    <s v="HECTOR-ANTONIO-TOMAS"/>
    <d v="2026-02-20T00:00:00"/>
    <n v="13"/>
    <n v="21"/>
    <n v="181"/>
    <x v="32"/>
    <x v="32"/>
    <x v="0"/>
    <n v="100"/>
    <m/>
    <m/>
    <m/>
  </r>
  <r>
    <n v="386"/>
    <n v="23"/>
    <n v="23"/>
    <m/>
    <m/>
    <s v="MANUEL SERRANO MORENO"/>
    <s v="SANTA CRUZ"/>
    <s v="HECTOR-ANTONIO-TOMAS"/>
    <d v="2026-02-20T00:00:00"/>
    <n v="7"/>
    <n v="38"/>
    <n v="247"/>
    <x v="45"/>
    <x v="45"/>
    <x v="0"/>
    <n v="14"/>
    <m/>
    <m/>
    <m/>
  </r>
  <r>
    <n v="387"/>
    <n v="23"/>
    <n v="23"/>
    <m/>
    <m/>
    <s v="MANUEL SERRANO MORENO"/>
    <s v="SANTA CRUZ"/>
    <s v="HECTOR-ANTONIO-TOMAS"/>
    <d v="2026-02-20T00:00:00"/>
    <n v="9"/>
    <n v="32"/>
    <n v="224"/>
    <x v="60"/>
    <x v="60"/>
    <x v="0"/>
    <n v="10"/>
    <m/>
    <m/>
    <n v="1"/>
  </r>
  <r>
    <n v="388"/>
    <n v="24"/>
    <n v="24"/>
    <m/>
    <m/>
    <s v="SALVADOR JIMENEZ GONZALEZ"/>
    <s v="LINARES-BAEZA"/>
    <s v="HECTOR-MANUEL-PERETE"/>
    <d v="2026-02-23T00:00:00"/>
    <n v="10"/>
    <n v="15"/>
    <n v="269"/>
    <x v="10"/>
    <x v="10"/>
    <x v="0"/>
    <n v="7"/>
    <m/>
    <m/>
    <n v="1"/>
  </r>
  <r>
    <n v="389"/>
    <n v="24"/>
    <n v="24"/>
    <m/>
    <m/>
    <s v="SALVADOR JIMENEZ GONZALEZ"/>
    <s v="LINARES-BAEZA"/>
    <s v="HECTOR-MANUEL-PERETE"/>
    <d v="2026-02-23T00:00:00"/>
    <n v="7"/>
    <n v="38"/>
    <n v="247"/>
    <x v="45"/>
    <x v="45"/>
    <x v="0"/>
    <n v="8"/>
    <m/>
    <m/>
    <m/>
  </r>
  <r>
    <n v="390"/>
    <n v="24"/>
    <n v="24"/>
    <m/>
    <m/>
    <s v="SALVADOR JIMENEZ GONZALEZ"/>
    <s v="LINARES-BAEZA"/>
    <s v="HECTOR-MANUEL-PERETE"/>
    <d v="2026-02-23T00:00:00"/>
    <n v="16"/>
    <n v="48"/>
    <n v="281"/>
    <x v="27"/>
    <x v="27"/>
    <x v="0"/>
    <n v="4"/>
    <m/>
    <m/>
    <n v="1"/>
  </r>
  <r>
    <n v="391"/>
    <n v="24"/>
    <n v="24"/>
    <m/>
    <m/>
    <s v="SALVADOR JIMENEZ GONZALEZ"/>
    <s v="LINARES-BAEZA"/>
    <s v="HECTOR-MANUEL-PERETE"/>
    <d v="2026-02-23T00:00:00"/>
    <n v="16"/>
    <n v="50"/>
    <n v="314"/>
    <x v="80"/>
    <x v="80"/>
    <x v="0"/>
    <n v="4"/>
    <m/>
    <m/>
    <n v="1"/>
  </r>
  <r>
    <n v="392"/>
    <n v="24"/>
    <n v="24"/>
    <m/>
    <m/>
    <s v="SALVADOR JIMENEZ GONZALEZ"/>
    <s v="LINARES-BAEZA"/>
    <s v="HECTOR-MANUEL-PERETE"/>
    <d v="2026-02-23T00:00:00"/>
    <n v="16"/>
    <n v="49"/>
    <n v="288"/>
    <x v="54"/>
    <x v="54"/>
    <x v="0"/>
    <n v="1"/>
    <m/>
    <m/>
    <m/>
  </r>
  <r>
    <n v="393"/>
    <n v="24"/>
    <n v="24"/>
    <m/>
    <m/>
    <s v="SALVADOR JIMENEZ GONZALEZ"/>
    <s v="LINARES-BAEZA"/>
    <s v="HECTOR-MANUEL-PERETE"/>
    <d v="2026-02-23T00:00:00"/>
    <n v="16"/>
    <n v="47"/>
    <n v="318"/>
    <x v="38"/>
    <x v="38"/>
    <x v="0"/>
    <n v="1"/>
    <m/>
    <m/>
    <m/>
  </r>
  <r>
    <n v="394"/>
    <n v="24"/>
    <n v="24"/>
    <m/>
    <m/>
    <s v="SALVADOR JIMENEZ GONZALEZ"/>
    <s v="LINARES-BAEZA"/>
    <s v="HECTOR-MANUEL-PERETE"/>
    <d v="2026-02-23T00:00:00"/>
    <n v="16"/>
    <n v="52"/>
    <n v="292"/>
    <x v="61"/>
    <x v="61"/>
    <x v="0"/>
    <n v="1"/>
    <m/>
    <m/>
    <m/>
  </r>
  <r>
    <n v="395"/>
    <n v="24"/>
    <n v="24"/>
    <m/>
    <m/>
    <s v="SALVADOR JIMENEZ GONZALEZ"/>
    <s v="LINARES-BAEZA"/>
    <s v="HECTOR-MANUEL-PERETE"/>
    <d v="2026-02-23T00:00:00"/>
    <n v="16"/>
    <n v="52"/>
    <n v="293"/>
    <x v="53"/>
    <x v="53"/>
    <x v="0"/>
    <n v="1"/>
    <m/>
    <m/>
    <m/>
  </r>
  <r>
    <n v="396"/>
    <n v="24"/>
    <n v="24"/>
    <m/>
    <m/>
    <s v="SALVADOR JIMENEZ GONZALEZ"/>
    <s v="LINARES-BAEZA"/>
    <s v="HECTOR-MANUEL-PERETE"/>
    <d v="2026-02-23T00:00:00"/>
    <n v="16"/>
    <n v="51"/>
    <n v="309"/>
    <x v="55"/>
    <x v="55"/>
    <x v="0"/>
    <n v="1"/>
    <m/>
    <m/>
    <m/>
  </r>
  <r>
    <n v="397"/>
    <n v="24"/>
    <n v="24"/>
    <m/>
    <m/>
    <s v="SALVADOR JIMENEZ GONZALEZ"/>
    <s v="LINARES-BAEZA"/>
    <s v="HECTOR-MANUEL-PERETE"/>
    <d v="2026-02-23T00:00:00"/>
    <n v="16"/>
    <n v="53"/>
    <n v="290"/>
    <x v="52"/>
    <x v="52"/>
    <x v="0"/>
    <n v="2"/>
    <m/>
    <m/>
    <m/>
  </r>
  <r>
    <n v="398"/>
    <n v="24"/>
    <n v="24"/>
    <m/>
    <m/>
    <s v="SALVADOR JIMENEZ GONZALEZ"/>
    <s v="LINARES-BAEZA"/>
    <s v="HECTOR-MANUEL-PERETE"/>
    <d v="2026-02-23T00:00:00"/>
    <n v="10"/>
    <n v="37"/>
    <n v="330"/>
    <x v="67"/>
    <x v="67"/>
    <x v="0"/>
    <n v="35"/>
    <m/>
    <m/>
    <n v="15"/>
  </r>
  <r>
    <n v="399"/>
    <n v="24"/>
    <n v="24"/>
    <m/>
    <m/>
    <s v="SALVADOR JIMENEZ GONZALEZ"/>
    <s v="LINARES-BAEZA"/>
    <s v="HECTOR-MANUEL-PERETE"/>
    <d v="2026-02-23T00:00:00"/>
    <n v="10"/>
    <n v="37"/>
    <n v="232"/>
    <x v="34"/>
    <x v="34"/>
    <x v="0"/>
    <n v="35"/>
    <m/>
    <m/>
    <n v="23"/>
  </r>
  <r>
    <n v="400"/>
    <n v="24"/>
    <n v="24"/>
    <m/>
    <m/>
    <s v="SALVADOR JIMENEZ GONZALEZ"/>
    <s v="LINARES-BAEZA"/>
    <s v="HECTOR-MANUEL-PERETE"/>
    <d v="2026-02-23T00:00:00"/>
    <n v="10"/>
    <n v="37"/>
    <n v="315"/>
    <x v="35"/>
    <x v="35"/>
    <x v="0"/>
    <n v="20"/>
    <m/>
    <m/>
    <n v="12"/>
  </r>
  <r>
    <n v="401"/>
    <n v="24"/>
    <n v="24"/>
    <m/>
    <m/>
    <s v="SALVADOR JIMENEZ GONZALEZ"/>
    <s v="LINARES-BAEZA"/>
    <s v="HECTOR-MANUEL-PERETE"/>
    <d v="2026-02-23T00:00:00"/>
    <n v="10"/>
    <n v="43"/>
    <n v="270"/>
    <x v="12"/>
    <x v="12"/>
    <x v="0"/>
    <n v="8"/>
    <m/>
    <m/>
    <n v="4"/>
  </r>
  <r>
    <n v="402"/>
    <n v="24"/>
    <n v="24"/>
    <m/>
    <m/>
    <s v="SALVADOR JIMENEZ GONZALEZ"/>
    <s v="LINARES-BAEZA"/>
    <s v="HECTOR-MANUEL-PERETE"/>
    <d v="2026-02-23T00:00:00"/>
    <n v="16"/>
    <n v="45"/>
    <n v="294"/>
    <x v="36"/>
    <x v="36"/>
    <x v="0"/>
    <n v="1"/>
    <m/>
    <m/>
    <m/>
  </r>
  <r>
    <n v="403"/>
    <n v="24"/>
    <n v="24"/>
    <m/>
    <m/>
    <s v="SALVADOR JIMENEZ GONZALEZ"/>
    <s v="LINARES-BAEZA"/>
    <s v="HECTOR-MANUEL-PERETE"/>
    <d v="2026-02-23T00:00:00"/>
    <n v="17"/>
    <n v="44"/>
    <n v="271"/>
    <x v="13"/>
    <x v="13"/>
    <x v="0"/>
    <n v="2"/>
    <m/>
    <m/>
    <m/>
  </r>
  <r>
    <n v="404"/>
    <n v="24"/>
    <n v="24"/>
    <m/>
    <m/>
    <s v="SALVADOR JIMENEZ GONZALEZ"/>
    <s v="LINARES-BAEZA"/>
    <s v="HECTOR-MANUEL-PERETE"/>
    <d v="2026-02-23T00:00:00"/>
    <n v="17"/>
    <n v="44"/>
    <n v="272"/>
    <x v="14"/>
    <x v="14"/>
    <x v="0"/>
    <n v="1"/>
    <m/>
    <m/>
    <m/>
  </r>
  <r>
    <n v="405"/>
    <n v="24"/>
    <n v="24"/>
    <m/>
    <m/>
    <s v="SALVADOR JIMENEZ GONZALEZ"/>
    <s v="LINARES-BAEZA"/>
    <s v="HECTOR-MANUEL-PERETE"/>
    <d v="2026-02-23T00:00:00"/>
    <n v="14"/>
    <n v="24"/>
    <n v="193"/>
    <x v="2"/>
    <x v="2"/>
    <x v="0"/>
    <n v="3"/>
    <m/>
    <m/>
    <m/>
  </r>
  <r>
    <n v="406"/>
    <n v="24"/>
    <n v="24"/>
    <m/>
    <m/>
    <s v="SALVADOR JIMENEZ GONZALEZ"/>
    <s v="LINARES-BAEZA"/>
    <s v="HECTOR-MANUEL-PERETE"/>
    <d v="2026-02-23T00:00:00"/>
    <n v="13"/>
    <n v="21"/>
    <n v="181"/>
    <x v="32"/>
    <x v="32"/>
    <x v="0"/>
    <n v="100"/>
    <m/>
    <m/>
    <m/>
  </r>
  <r>
    <n v="407"/>
    <n v="24"/>
    <n v="24"/>
    <m/>
    <m/>
    <s v="SALVADOR JIMENEZ GONZALEZ"/>
    <s v="LINARES-BAEZA"/>
    <s v="HECTOR-MANUEL-PERETE"/>
    <d v="2026-02-23T00:00:00"/>
    <n v="13"/>
    <n v="22"/>
    <n v="184"/>
    <x v="0"/>
    <x v="0"/>
    <x v="0"/>
    <n v="100"/>
    <m/>
    <m/>
    <m/>
  </r>
  <r>
    <n v="408"/>
    <n v="24"/>
    <n v="24"/>
    <m/>
    <m/>
    <s v="SALVADOR JIMENEZ GONZALEZ"/>
    <s v="LINARES-BAEZA"/>
    <s v="HECTOR-MANUEL-PERETE"/>
    <d v="2026-02-23T00:00:00"/>
    <n v="16"/>
    <n v="61"/>
    <n v="331"/>
    <x v="68"/>
    <x v="68"/>
    <x v="0"/>
    <n v="10"/>
    <m/>
    <m/>
    <m/>
  </r>
  <r>
    <n v="409"/>
    <n v="24"/>
    <n v="24"/>
    <m/>
    <m/>
    <s v="SALVADOR JIMENEZ GONZALEZ"/>
    <s v="LINARES-BAEZA"/>
    <s v="HECTOR-MANUEL-PERETE"/>
    <d v="2026-02-23T00:00:00"/>
    <n v="16"/>
    <n v="61"/>
    <n v="332"/>
    <x v="69"/>
    <x v="69"/>
    <x v="0"/>
    <n v="10"/>
    <m/>
    <m/>
    <m/>
  </r>
  <r>
    <n v="410"/>
    <n v="24"/>
    <n v="24"/>
    <m/>
    <m/>
    <s v="SALVADOR JIMENEZ GONZALEZ"/>
    <s v="LINARES-BAEZA"/>
    <s v="HECTOR-MANUEL-PERETE"/>
    <d v="2026-02-23T00:00:00"/>
    <n v="20"/>
    <n v="83"/>
    <n v="409"/>
    <x v="90"/>
    <x v="90"/>
    <x v="0"/>
    <n v="20"/>
    <m/>
    <m/>
    <m/>
  </r>
  <r>
    <n v="411"/>
    <n v="24"/>
    <n v="24"/>
    <m/>
    <m/>
    <s v="SALVADOR JIMENEZ GONZALEZ"/>
    <s v="LINARES-BAEZA"/>
    <s v="HECTOR-MANUEL-PERETE"/>
    <d v="2026-02-23T00:00:00"/>
    <n v="17"/>
    <n v="44"/>
    <n v="273"/>
    <x v="89"/>
    <x v="89"/>
    <x v="0"/>
    <n v="5"/>
    <m/>
    <m/>
    <n v="5"/>
  </r>
  <r>
    <n v="412"/>
    <n v="24"/>
    <n v="24"/>
    <m/>
    <m/>
    <s v="SALVADOR JIMENEZ GONZALEZ"/>
    <s v="LINARES-BAEZA"/>
    <s v="HECTOR-MANUEL-PERETE"/>
    <d v="2026-02-23T00:00:00"/>
    <n v="9"/>
    <n v="32"/>
    <n v="223"/>
    <x v="7"/>
    <x v="7"/>
    <x v="0"/>
    <n v="14"/>
    <m/>
    <m/>
    <m/>
  </r>
  <r>
    <n v="413"/>
    <n v="24"/>
    <n v="24"/>
    <m/>
    <m/>
    <s v="SALVADOR JIMENEZ GONZALEZ"/>
    <s v="LINARES-BAEZA"/>
    <s v="HECTOR-MANUEL-PERETE"/>
    <d v="2026-02-23T00:00:00"/>
    <n v="9"/>
    <n v="32"/>
    <n v="224"/>
    <x v="60"/>
    <x v="60"/>
    <x v="0"/>
    <n v="10"/>
    <m/>
    <m/>
    <m/>
  </r>
  <r>
    <n v="414"/>
    <n v="24"/>
    <n v="24"/>
    <m/>
    <m/>
    <s v="SALVADOR JIMENEZ GONZALEZ"/>
    <s v="LINARES-BAEZA"/>
    <s v="HECTOR-MANUEL-PERETE"/>
    <d v="2026-02-23T00:00:00"/>
    <n v="16"/>
    <n v="33"/>
    <n v="369"/>
    <x v="82"/>
    <x v="82"/>
    <x v="0"/>
    <n v="2"/>
    <m/>
    <m/>
    <m/>
  </r>
  <r>
    <n v="415"/>
    <n v="24"/>
    <n v="24"/>
    <m/>
    <m/>
    <s v="SALVADOR JIMENEZ GONZALEZ"/>
    <s v="LINARES-BAEZA"/>
    <s v="HECTOR-MANUEL-PERETE"/>
    <d v="2026-02-23T00:00:00"/>
    <n v="7"/>
    <n v="54"/>
    <n v="295"/>
    <x v="59"/>
    <x v="59"/>
    <x v="0"/>
    <n v="1"/>
    <m/>
    <m/>
    <m/>
  </r>
  <r>
    <n v="416"/>
    <n v="24"/>
    <n v="24"/>
    <m/>
    <m/>
    <s v="SALVADOR JIMENEZ GONZALEZ"/>
    <s v="LINARES-BAEZA"/>
    <s v="HECTOR-MANUEL-PERETE"/>
    <d v="2026-02-23T00:00:00"/>
    <n v="7"/>
    <n v="35"/>
    <n v="286"/>
    <x v="58"/>
    <x v="58"/>
    <x v="0"/>
    <n v="1"/>
    <m/>
    <m/>
    <m/>
  </r>
  <r>
    <n v="417"/>
    <n v="24"/>
    <n v="24"/>
    <m/>
    <m/>
    <s v="SALVADOR JIMENEZ GONZALEZ"/>
    <s v="LINARES-BAEZA"/>
    <s v="HECTOR-MANUEL-PERETE"/>
    <d v="2026-02-23T00:00:00"/>
    <n v="16"/>
    <n v="45"/>
    <n v="317"/>
    <x v="37"/>
    <x v="37"/>
    <x v="0"/>
    <n v="1"/>
    <m/>
    <m/>
    <m/>
  </r>
  <r>
    <n v="418"/>
    <n v="24"/>
    <n v="24"/>
    <m/>
    <m/>
    <s v="SALVADOR JIMENEZ GONZALEZ"/>
    <s v="LINARES-BAEZA"/>
    <s v="HECTOR-MANUEL-PERETE"/>
    <d v="2026-02-23T00:00:00"/>
    <n v="16"/>
    <n v="13"/>
    <n v="372"/>
    <x v="84"/>
    <x v="84"/>
    <x v="0"/>
    <n v="1"/>
    <m/>
    <m/>
    <m/>
  </r>
  <r>
    <n v="419"/>
    <n v="24"/>
    <n v="24"/>
    <m/>
    <m/>
    <s v="SALVADOR JIMENEZ GONZALEZ"/>
    <s v="LINARES-BAEZA"/>
    <s v="HECTOR-MANUEL-PERETE"/>
    <d v="2026-02-23T00:00:00"/>
    <n v="17"/>
    <n v="44"/>
    <n v="271"/>
    <x v="13"/>
    <x v="13"/>
    <x v="0"/>
    <n v="2"/>
    <m/>
    <m/>
    <n v="1"/>
  </r>
  <r>
    <n v="420"/>
    <n v="24"/>
    <n v="24"/>
    <m/>
    <m/>
    <s v="SALVADOR JIMENEZ GONZALEZ"/>
    <s v="LINARES-BAEZA"/>
    <s v="HECTOR-MANUEL-PERETE"/>
    <d v="2026-02-23T00:00:00"/>
    <n v="17"/>
    <n v="44"/>
    <n v="272"/>
    <x v="14"/>
    <x v="14"/>
    <x v="0"/>
    <n v="2"/>
    <m/>
    <m/>
    <n v="1"/>
  </r>
  <r>
    <n v="421"/>
    <n v="25"/>
    <n v="25"/>
    <m/>
    <s v="INCIDENCIA"/>
    <s v="PEDRO VERMEJO"/>
    <s v="ARJONA"/>
    <s v="HECTOR"/>
    <d v="2026-02-20T00:00:00"/>
    <n v="9"/>
    <n v="32"/>
    <n v="224"/>
    <x v="60"/>
    <x v="60"/>
    <x v="0"/>
    <n v="22"/>
    <m/>
    <m/>
    <n v="0"/>
  </r>
  <r>
    <n v="422"/>
    <n v="26"/>
    <n v="26"/>
    <s v="FOTOVOLTAICA"/>
    <s v="INSTALACION"/>
    <s v="RODRIGO ANTONIO GASIMANS VERA"/>
    <s v="EL CHAPARRAL-GRANADA"/>
    <s v="JAVI-MANUEL-PERETE"/>
    <d v="2026-02-24T00:00:00"/>
    <n v="16"/>
    <n v="47"/>
    <n v="318"/>
    <x v="38"/>
    <x v="38"/>
    <x v="0"/>
    <n v="1"/>
    <m/>
    <m/>
    <m/>
  </r>
  <r>
    <n v="423"/>
    <n v="26"/>
    <n v="26"/>
    <s v="FOTOVOLTAICA"/>
    <s v="INSTALACION"/>
    <s v="RODRIGO ANTONIO GASIMANS VERA"/>
    <s v="EL CHAPARRAL-GRANADA"/>
    <s v="JAVI-MANUEL-PERETE"/>
    <d v="2026-02-24T00:00:00"/>
    <n v="16"/>
    <n v="48"/>
    <n v="281"/>
    <x v="27"/>
    <x v="27"/>
    <x v="0"/>
    <n v="4"/>
    <m/>
    <m/>
    <n v="1"/>
  </r>
  <r>
    <n v="424"/>
    <n v="26"/>
    <n v="26"/>
    <s v="FOTOVOLTAICA"/>
    <s v="INSTALACION"/>
    <s v="RODRIGO ANTONIO GASIMANS VERA"/>
    <s v="EL CHAPARRAL-GRANADA"/>
    <s v="JAVI-MANUEL-PERETE"/>
    <d v="2026-02-24T00:00:00"/>
    <n v="16"/>
    <n v="50"/>
    <n v="314"/>
    <x v="80"/>
    <x v="80"/>
    <x v="0"/>
    <n v="4"/>
    <m/>
    <m/>
    <n v="1"/>
  </r>
  <r>
    <n v="425"/>
    <n v="26"/>
    <n v="26"/>
    <s v="FOTOVOLTAICA"/>
    <s v="INSTALACION"/>
    <s v="RODRIGO ANTONIO GASIMANS VERA"/>
    <s v="EL CHAPARRAL-GRANADA"/>
    <s v="JAVI-MANUEL-PERETE"/>
    <d v="2026-02-24T00:00:00"/>
    <n v="16"/>
    <n v="52"/>
    <n v="292"/>
    <x v="61"/>
    <x v="61"/>
    <x v="0"/>
    <n v="1"/>
    <m/>
    <m/>
    <m/>
  </r>
  <r>
    <n v="426"/>
    <n v="26"/>
    <n v="26"/>
    <s v="FOTOVOLTAICA"/>
    <s v="INSTALACION"/>
    <s v="RODRIGO ANTONIO GASIMANS VERA"/>
    <s v="EL CHAPARRAL-GRANADA"/>
    <s v="JAVI-MANUEL-PERETE"/>
    <d v="2026-02-24T00:00:00"/>
    <n v="16"/>
    <n v="52"/>
    <n v="293"/>
    <x v="53"/>
    <x v="53"/>
    <x v="0"/>
    <n v="1"/>
    <m/>
    <m/>
    <m/>
  </r>
  <r>
    <n v="427"/>
    <n v="26"/>
    <n v="26"/>
    <s v="FOTOVOLTAICA"/>
    <s v="INSTALACION"/>
    <s v="RODRIGO ANTONIO GASIMANS VERA"/>
    <s v="EL CHAPARRAL-GRANADA"/>
    <s v="JAVI-MANUEL-PERETE"/>
    <d v="2026-02-24T00:00:00"/>
    <n v="16"/>
    <n v="49"/>
    <n v="288"/>
    <x v="54"/>
    <x v="54"/>
    <x v="0"/>
    <n v="1"/>
    <m/>
    <m/>
    <m/>
  </r>
  <r>
    <n v="428"/>
    <n v="26"/>
    <n v="26"/>
    <s v="FOTOVOLTAICA"/>
    <s v="INSTALACION"/>
    <s v="RODRIGO ANTONIO GASIMANS VERA"/>
    <s v="EL CHAPARRAL-GRANADA"/>
    <s v="JAVI-MANUEL-PERETE"/>
    <d v="2026-02-24T00:00:00"/>
    <n v="16"/>
    <n v="53"/>
    <n v="290"/>
    <x v="52"/>
    <x v="52"/>
    <x v="0"/>
    <n v="2"/>
    <m/>
    <m/>
    <m/>
  </r>
  <r>
    <n v="429"/>
    <n v="26"/>
    <n v="26"/>
    <s v="FOTOVOLTAICA"/>
    <s v="INSTALACION"/>
    <s v="RODRIGO ANTONIO GASIMANS VERA"/>
    <s v="EL CHAPARRAL-GRANADA"/>
    <s v="JAVI-MANUEL-PERETE"/>
    <d v="2026-02-24T00:00:00"/>
    <n v="7"/>
    <n v="54"/>
    <n v="295"/>
    <x v="59"/>
    <x v="59"/>
    <x v="0"/>
    <n v="1"/>
    <m/>
    <s v="0949702822509201373"/>
    <m/>
  </r>
  <r>
    <n v="430"/>
    <n v="26"/>
    <n v="26"/>
    <s v="FOTOVOLTAICA"/>
    <s v="INSTALACION"/>
    <s v="RODRIGO ANTONIO GASIMANS VERA"/>
    <s v="EL CHAPARRAL-GRANADA"/>
    <s v="JAVI-MANUEL-PERETE"/>
    <d v="2026-02-24T00:00:00"/>
    <n v="7"/>
    <n v="35"/>
    <n v="286"/>
    <x v="58"/>
    <x v="58"/>
    <x v="0"/>
    <n v="1"/>
    <m/>
    <s v="DYM6F7300R"/>
    <m/>
  </r>
  <r>
    <n v="431"/>
    <n v="26"/>
    <n v="26"/>
    <s v="FOTOVOLTAICA"/>
    <s v="INSTALACION"/>
    <s v="RODRIGO ANTONIO GASIMANS VERA"/>
    <s v="EL CHAPARRAL-GRANADA"/>
    <s v="JAVI-MANUEL-PERETE"/>
    <d v="2026-02-24T00:00:00"/>
    <n v="6"/>
    <n v="23"/>
    <n v="192"/>
    <x v="1"/>
    <x v="1"/>
    <x v="0"/>
    <n v="2"/>
    <m/>
    <m/>
    <m/>
  </r>
  <r>
    <n v="432"/>
    <n v="26"/>
    <n v="26"/>
    <s v="FOTOVOLTAICA"/>
    <s v="INSTALACION"/>
    <s v="RODRIGO ANTONIO GASIMANS VERA"/>
    <s v="EL CHAPARRAL-GRANADA"/>
    <s v="JAVI-MANUEL-PERETE"/>
    <d v="2026-02-24T00:00:00"/>
    <n v="13"/>
    <n v="21"/>
    <n v="181"/>
    <x v="32"/>
    <x v="32"/>
    <x v="0"/>
    <n v="100"/>
    <m/>
    <m/>
    <m/>
  </r>
  <r>
    <n v="433"/>
    <n v="26"/>
    <n v="26"/>
    <s v="FOTOVOLTAICA"/>
    <s v="INSTALACION"/>
    <s v="RODRIGO ANTONIO GASIMANS VERA"/>
    <s v="EL CHAPARRAL-GRANADA"/>
    <s v="JAVI-MANUEL-PERETE"/>
    <d v="2026-02-24T00:00:00"/>
    <n v="13"/>
    <n v="22"/>
    <n v="184"/>
    <x v="0"/>
    <x v="0"/>
    <x v="0"/>
    <n v="300"/>
    <m/>
    <m/>
    <n v="200"/>
  </r>
  <r>
    <n v="434"/>
    <n v="26"/>
    <n v="26"/>
    <s v="FOTOVOLTAICA"/>
    <s v="INSTALACION"/>
    <s v="RODRIGO ANTONIO GASIMANS VERA"/>
    <s v="EL CHAPARRAL-GRANADA"/>
    <s v="JAVI-MANUEL-PERETE"/>
    <d v="2026-02-24T00:00:00"/>
    <n v="16"/>
    <n v="61"/>
    <n v="331"/>
    <x v="68"/>
    <x v="68"/>
    <x v="0"/>
    <n v="10"/>
    <m/>
    <m/>
    <n v="9"/>
  </r>
  <r>
    <n v="435"/>
    <n v="26"/>
    <n v="26"/>
    <s v="FOTOVOLTAICA"/>
    <s v="INSTALACION"/>
    <s v="RODRIGO ANTONIO GASIMANS VERA"/>
    <s v="EL CHAPARRAL-GRANADA"/>
    <s v="JAVI-MANUEL-PERETE"/>
    <d v="2026-02-24T00:00:00"/>
    <n v="16"/>
    <n v="61"/>
    <n v="332"/>
    <x v="69"/>
    <x v="69"/>
    <x v="0"/>
    <n v="10"/>
    <m/>
    <m/>
    <n v="4"/>
  </r>
  <r>
    <n v="436"/>
    <n v="26"/>
    <n v="26"/>
    <s v="FOTOVOLTAICA"/>
    <s v="INSTALACION"/>
    <s v="RODRIGO ANTONIO GASIMANS VERA"/>
    <s v="EL CHAPARRAL-GRANADA"/>
    <s v="JAVI-MANUEL-PERETE"/>
    <d v="2026-02-24T00:00:00"/>
    <n v="10"/>
    <n v="43"/>
    <n v="270"/>
    <x v="12"/>
    <x v="12"/>
    <x v="0"/>
    <n v="8"/>
    <m/>
    <m/>
    <n v="2"/>
  </r>
  <r>
    <n v="437"/>
    <n v="26"/>
    <n v="26"/>
    <s v="FOTOVOLTAICA"/>
    <s v="INSTALACION"/>
    <s v="RODRIGO ANTONIO GASIMANS VERA"/>
    <s v="EL CHAPARRAL-GRANADA"/>
    <s v="JAVI-MANUEL-PERETE"/>
    <d v="2026-02-24T00:00:00"/>
    <n v="7"/>
    <n v="38"/>
    <n v="247"/>
    <x v="45"/>
    <x v="45"/>
    <x v="0"/>
    <n v="14"/>
    <m/>
    <m/>
    <m/>
  </r>
  <r>
    <n v="438"/>
    <n v="26"/>
    <n v="26"/>
    <s v="FOTOVOLTAICA"/>
    <s v="INSTALACION"/>
    <s v="RODRIGO ANTONIO GASIMANS VERA"/>
    <s v="EL CHAPARRAL-GRANADA"/>
    <s v="JAVI-MANUEL-PERETE"/>
    <d v="2026-02-24T00:00:00"/>
    <n v="10"/>
    <n v="15"/>
    <n v="269"/>
    <x v="10"/>
    <x v="10"/>
    <x v="0"/>
    <n v="12"/>
    <m/>
    <m/>
    <n v="3"/>
  </r>
  <r>
    <n v="439"/>
    <n v="26"/>
    <n v="26"/>
    <s v="FOTOVOLTAICA"/>
    <s v="INSTALACION"/>
    <s v="RODRIGO ANTONIO GASIMANS VERA"/>
    <s v="EL CHAPARRAL-GRANADA"/>
    <s v="JAVI-MANUEL-PERETE"/>
    <d v="2026-02-24T00:00:00"/>
    <n v="10"/>
    <n v="37"/>
    <n v="330"/>
    <x v="67"/>
    <x v="67"/>
    <x v="0"/>
    <n v="30"/>
    <m/>
    <m/>
    <n v="5"/>
  </r>
  <r>
    <n v="440"/>
    <n v="26"/>
    <n v="26"/>
    <s v="FOTOVOLTAICA"/>
    <s v="INSTALACION"/>
    <s v="RODRIGO ANTONIO GASIMANS VERA"/>
    <s v="EL CHAPARRAL-GRANADA"/>
    <s v="JAVI-MANUEL-PERETE"/>
    <d v="2026-02-24T00:00:00"/>
    <n v="10"/>
    <n v="37"/>
    <n v="232"/>
    <x v="34"/>
    <x v="34"/>
    <x v="0"/>
    <n v="33"/>
    <m/>
    <m/>
    <n v="6"/>
  </r>
  <r>
    <n v="441"/>
    <n v="26"/>
    <n v="26"/>
    <s v="FOTOVOLTAICA"/>
    <s v="INSTALACION"/>
    <s v="RODRIGO ANTONIO GASIMANS VERA"/>
    <s v="EL CHAPARRAL-GRANADA"/>
    <s v="JAVI-MANUEL-PERETE"/>
    <d v="2026-02-24T00:00:00"/>
    <n v="10"/>
    <n v="37"/>
    <n v="315"/>
    <x v="35"/>
    <x v="35"/>
    <x v="0"/>
    <n v="20"/>
    <m/>
    <m/>
    <n v="5"/>
  </r>
  <r>
    <n v="442"/>
    <n v="26"/>
    <n v="26"/>
    <s v="FOTOVOLTAICA"/>
    <s v="INSTALACION"/>
    <s v="RODRIGO ANTONIO GASIMANS VERA"/>
    <s v="EL CHAPARRAL-GRANADA"/>
    <s v="JAVI-MANUEL-PERETE"/>
    <d v="2026-02-24T00:00:00"/>
    <n v="4"/>
    <n v="15"/>
    <n v="267"/>
    <x v="8"/>
    <x v="8"/>
    <x v="0"/>
    <n v="12"/>
    <m/>
    <m/>
    <n v="3"/>
  </r>
  <r>
    <n v="443"/>
    <n v="26"/>
    <n v="26"/>
    <s v="FOTOVOLTAICA"/>
    <s v="INSTALACION"/>
    <s v="RODRIGO ANTONIO GASIMANS VERA"/>
    <s v="EL CHAPARRAL-GRANADA"/>
    <s v="JAVI-MANUEL-PERETE"/>
    <d v="2026-02-24T00:00:00"/>
    <n v="9"/>
    <n v="2"/>
    <n v="291"/>
    <x v="44"/>
    <x v="44"/>
    <x v="0"/>
    <n v="18"/>
    <m/>
    <m/>
    <n v="3"/>
  </r>
  <r>
    <n v="444"/>
    <n v="26"/>
    <n v="26"/>
    <s v="FOTOVOLTAICA"/>
    <s v="INSTALACION"/>
    <s v="RODRIGO ANTONIO GASIMANS VERA"/>
    <s v="EL CHAPARRAL-GRANADA"/>
    <s v="JAVI-MANUEL-PERETE"/>
    <d v="2026-02-24T00:00:00"/>
    <n v="10"/>
    <n v="43"/>
    <n v="270"/>
    <x v="12"/>
    <x v="12"/>
    <x v="0"/>
    <n v="4"/>
    <m/>
    <m/>
    <n v="1"/>
  </r>
  <r>
    <n v="445"/>
    <n v="26"/>
    <n v="26"/>
    <s v="FOTOVOLTAICA"/>
    <s v="INSTALACION"/>
    <s v="RODRIGO ANTONIO GASIMANS VERA"/>
    <s v="EL CHAPARRAL-GRANADA"/>
    <s v="JAVI-MANUEL-PERETE"/>
    <d v="2026-02-24T00:00:00"/>
    <n v="10"/>
    <n v="42"/>
    <n v="268"/>
    <x v="9"/>
    <x v="9"/>
    <x v="0"/>
    <n v="12"/>
    <m/>
    <m/>
    <n v="2"/>
  </r>
  <r>
    <n v="446"/>
    <n v="26"/>
    <n v="26"/>
    <s v="FOTOVOLTAICA"/>
    <s v="INSTALACION"/>
    <s v="RODRIGO ANTONIO GASIMANS VERA"/>
    <s v="EL CHAPARRAL-GRANADA"/>
    <s v="JAVI-MANUEL-PERETE"/>
    <d v="2026-02-24T00:00:00"/>
    <n v="14"/>
    <n v="24"/>
    <n v="193"/>
    <x v="2"/>
    <x v="2"/>
    <x v="0"/>
    <n v="3"/>
    <m/>
    <m/>
    <n v="1"/>
  </r>
  <r>
    <n v="447"/>
    <n v="26"/>
    <n v="26"/>
    <s v="FOTOVOLTAICA"/>
    <s v="INSTALACION"/>
    <s v="RODRIGO ANTONIO GASIMANS VERA"/>
    <s v="EL CHAPARRAL-GRANADA"/>
    <s v="JAVI-MANUEL-PERETE"/>
    <d v="2026-02-24T00:00:00"/>
    <n v="3"/>
    <n v="31"/>
    <n v="277"/>
    <x v="18"/>
    <x v="18"/>
    <x v="1"/>
    <n v="30"/>
    <m/>
    <m/>
    <m/>
  </r>
  <r>
    <n v="448"/>
    <n v="26"/>
    <n v="26"/>
    <s v="FOTOVOLTAICA"/>
    <s v="INSTALACION"/>
    <s v="RODRIGO ANTONIO GASIMANS VERA"/>
    <s v="EL CHAPARRAL-GRANADA"/>
    <s v="JAVI-MANUEL-PERETE"/>
    <d v="2026-02-24T00:00:00"/>
    <n v="3"/>
    <n v="31"/>
    <n v="278"/>
    <x v="19"/>
    <x v="19"/>
    <x v="1"/>
    <n v="30"/>
    <m/>
    <m/>
    <m/>
  </r>
  <r>
    <n v="449"/>
    <n v="26"/>
    <n v="26"/>
    <s v="FOTOVOLTAICA"/>
    <s v="INSTALACION"/>
    <s v="RODRIGO ANTONIO GASIMANS VERA"/>
    <s v="EL CHAPARRAL-GRANADA"/>
    <s v="JAVI-MANUEL-PERETE"/>
    <d v="2026-02-24T00:00:00"/>
    <n v="16"/>
    <n v="45"/>
    <n v="294"/>
    <x v="36"/>
    <x v="36"/>
    <x v="0"/>
    <n v="2"/>
    <m/>
    <m/>
    <m/>
  </r>
  <r>
    <n v="450"/>
    <n v="26"/>
    <n v="26"/>
    <s v="FOTOVOLTAICA"/>
    <s v="INSTALACION"/>
    <s v="RODRIGO ANTONIO GASIMANS VERA"/>
    <s v="EL CHAPARRAL-GRANADA"/>
    <s v="JAVI-MANUEL-PERETE"/>
    <d v="2026-02-24T00:00:00"/>
    <n v="16"/>
    <n v="45"/>
    <n v="276"/>
    <x v="17"/>
    <x v="17"/>
    <x v="0"/>
    <n v="1"/>
    <m/>
    <m/>
    <m/>
  </r>
  <r>
    <n v="451"/>
    <n v="26"/>
    <n v="26"/>
    <s v="FOTOVOLTAICA"/>
    <s v="INSTALACION"/>
    <s v="RODRIGO ANTONIO GASIMANS VERA"/>
    <s v="EL CHAPARRAL-GRANADA"/>
    <s v="JAVI-MANUEL-PERETE"/>
    <d v="2026-02-24T00:00:00"/>
    <n v="16"/>
    <n v="45"/>
    <n v="299"/>
    <x v="40"/>
    <x v="40"/>
    <x v="0"/>
    <n v="1"/>
    <m/>
    <m/>
    <m/>
  </r>
  <r>
    <n v="452"/>
    <n v="26"/>
    <n v="26"/>
    <s v="FOTOVOLTAICA"/>
    <s v="INSTALACION"/>
    <s v="RODRIGO ANTONIO GASIMANS VERA"/>
    <s v="EL CHAPARRAL-GRANADA"/>
    <s v="JAVI-MANUEL-PERETE"/>
    <d v="2026-02-24T00:00:00"/>
    <n v="16"/>
    <n v="45"/>
    <n v="275"/>
    <x v="16"/>
    <x v="16"/>
    <x v="0"/>
    <n v="1"/>
    <m/>
    <m/>
    <m/>
  </r>
  <r>
    <n v="453"/>
    <n v="26"/>
    <n v="26"/>
    <s v="FOTOVOLTAICA"/>
    <s v="INSTALACION"/>
    <s v="RODRIGO ANTONIO GASIMANS VERA"/>
    <s v="EL CHAPARRAL-GRANADA"/>
    <s v="JAVI-MANUEL-PERETE"/>
    <d v="2026-02-24T00:00:00"/>
    <n v="16"/>
    <n v="45"/>
    <n v="317"/>
    <x v="37"/>
    <x v="37"/>
    <x v="0"/>
    <n v="1"/>
    <m/>
    <m/>
    <m/>
  </r>
  <r>
    <n v="454"/>
    <n v="27"/>
    <n v="27"/>
    <s v="CALEFACCION"/>
    <s v="ADECUACION DE AREA PARA INSTALACION."/>
    <s v="ANASTASIO AGUILERA DIAZ"/>
    <s v="FUENTE TOJAS-CORDOBA"/>
    <s v="ANTONIO FONTA-TOMAS"/>
    <d v="2026-02-24T00:00:00"/>
    <n v="7"/>
    <n v="85"/>
    <n v="413"/>
    <x v="91"/>
    <x v="91"/>
    <x v="0"/>
    <n v="1"/>
    <m/>
    <s v="5620010149"/>
    <n v="0"/>
  </r>
  <r>
    <n v="455"/>
    <n v="28"/>
    <n v="28"/>
    <s v="FOTOVOLTAICA"/>
    <s v="ADECUACION DE AREA PARA INSTALACION."/>
    <s v="ANASTASIO AGUILERA DIAZ"/>
    <s v="FUENTE TOJAS-CORDOBA"/>
    <s v="HECTOR-PERETE"/>
    <d v="2026-02-25T00:00:00"/>
    <n v="7"/>
    <n v="35"/>
    <n v="286"/>
    <x v="58"/>
    <x v="58"/>
    <x v="0"/>
    <n v="1"/>
    <m/>
    <s v="DYM6F73037"/>
    <m/>
  </r>
  <r>
    <n v="456"/>
    <n v="28"/>
    <n v="28"/>
    <s v="FOTOVOLTAICA"/>
    <s v="ADECUACION DE AREA PARA INSTALACION."/>
    <s v="ANASTASIO AGUILERA DIAZ"/>
    <s v="FUENTE TOJAS-CORDOBA"/>
    <s v="HECTOR-PERETE"/>
    <d v="2026-02-25T00:00:00"/>
    <n v="7"/>
    <n v="54"/>
    <n v="295"/>
    <x v="59"/>
    <x v="59"/>
    <x v="0"/>
    <n v="1"/>
    <m/>
    <s v="0949702822509202287"/>
    <m/>
  </r>
  <r>
    <n v="457"/>
    <n v="28"/>
    <n v="28"/>
    <s v="FOTOVOLTAICA"/>
    <s v="ADECUACION DE AREA PARA INSTALACION."/>
    <s v="ANASTASIO AGUILERA DIAZ"/>
    <s v="FUENTE TOJAS-CORDOBA"/>
    <s v="HECTOR-PERETE"/>
    <d v="2026-02-25T00:00:00"/>
    <n v="10"/>
    <n v="15"/>
    <n v="269"/>
    <x v="10"/>
    <x v="10"/>
    <x v="0"/>
    <n v="12"/>
    <m/>
    <m/>
    <n v="3"/>
  </r>
  <r>
    <n v="458"/>
    <n v="28"/>
    <n v="28"/>
    <s v="FOTOVOLTAICA"/>
    <s v="ADECUACION DE AREA PARA INSTALACION."/>
    <s v="ANASTASIO AGUILERA DIAZ"/>
    <s v="FUENTE TOJAS-CORDOBA"/>
    <s v="HECTOR-PERETE"/>
    <d v="2026-02-25T00:00:00"/>
    <n v="10"/>
    <n v="37"/>
    <n v="330"/>
    <x v="67"/>
    <x v="67"/>
    <x v="0"/>
    <n v="36"/>
    <m/>
    <m/>
    <n v="15"/>
  </r>
  <r>
    <n v="459"/>
    <n v="28"/>
    <n v="28"/>
    <s v="FOTOVOLTAICA"/>
    <s v="ADECUACION DE AREA PARA INSTALACION."/>
    <s v="ANASTASIO AGUILERA DIAZ"/>
    <s v="FUENTE TOJAS-CORDOBA"/>
    <s v="HECTOR-PERETE"/>
    <d v="2026-02-25T00:00:00"/>
    <n v="10"/>
    <n v="37"/>
    <n v="232"/>
    <x v="34"/>
    <x v="34"/>
    <x v="0"/>
    <n v="50"/>
    <m/>
    <m/>
    <n v="25"/>
  </r>
  <r>
    <n v="460"/>
    <n v="28"/>
    <n v="28"/>
    <s v="FOTOVOLTAICA"/>
    <s v="ADECUACION DE AREA PARA INSTALACION."/>
    <s v="ANASTASIO AGUILERA DIAZ"/>
    <s v="FUENTE TOJAS-CORDOBA"/>
    <s v="HECTOR-PERETE"/>
    <d v="2026-02-25T00:00:00"/>
    <n v="10"/>
    <n v="37"/>
    <n v="315"/>
    <x v="35"/>
    <x v="35"/>
    <x v="0"/>
    <n v="40"/>
    <m/>
    <m/>
    <n v="15"/>
  </r>
  <r>
    <n v="461"/>
    <n v="28"/>
    <n v="28"/>
    <s v="FOTOVOLTAICA"/>
    <s v="ADECUACION DE AREA PARA INSTALACION."/>
    <s v="ANASTASIO AGUILERA DIAZ"/>
    <s v="FUENTE TOJAS-CORDOBA"/>
    <s v="HECTOR-PERETE"/>
    <d v="2026-02-25T00:00:00"/>
    <n v="10"/>
    <n v="43"/>
    <n v="270"/>
    <x v="12"/>
    <x v="12"/>
    <x v="0"/>
    <n v="8"/>
    <m/>
    <m/>
    <n v="2"/>
  </r>
  <r>
    <n v="462"/>
    <n v="28"/>
    <n v="28"/>
    <s v="FOTOVOLTAICA"/>
    <s v="ADECUACION DE AREA PARA INSTALACION."/>
    <s v="ANASTASIO AGUILERA DIAZ"/>
    <s v="FUENTE TOJAS-CORDOBA"/>
    <s v="HECTOR-PERETE"/>
    <d v="2026-02-25T00:00:00"/>
    <n v="16"/>
    <n v="45"/>
    <n v="294"/>
    <x v="36"/>
    <x v="36"/>
    <x v="0"/>
    <n v="1"/>
    <m/>
    <m/>
    <m/>
  </r>
  <r>
    <n v="463"/>
    <n v="28"/>
    <n v="28"/>
    <s v="FOTOVOLTAICA"/>
    <s v="ADECUACION DE AREA PARA INSTALACION."/>
    <s v="ANASTASIO AGUILERA DIAZ"/>
    <s v="FUENTE TOJAS-CORDOBA"/>
    <s v="HECTOR-PERETE"/>
    <d v="2026-02-25T00:00:00"/>
    <n v="17"/>
    <n v="44"/>
    <n v="271"/>
    <x v="13"/>
    <x v="13"/>
    <x v="0"/>
    <n v="1"/>
    <m/>
    <m/>
    <m/>
  </r>
  <r>
    <n v="464"/>
    <n v="28"/>
    <n v="28"/>
    <s v="FOTOVOLTAICA"/>
    <s v="ADECUACION DE AREA PARA INSTALACION."/>
    <s v="ANASTASIO AGUILERA DIAZ"/>
    <s v="FUENTE TOJAS-CORDOBA"/>
    <s v="HECTOR-PERETE"/>
    <d v="2026-02-25T00:00:00"/>
    <n v="17"/>
    <n v="44"/>
    <n v="272"/>
    <x v="14"/>
    <x v="14"/>
    <x v="0"/>
    <n v="2"/>
    <m/>
    <m/>
    <n v="1"/>
  </r>
  <r>
    <n v="465"/>
    <n v="28"/>
    <n v="28"/>
    <s v="FOTOVOLTAICA"/>
    <s v="ADECUACION DE AREA PARA INSTALACION."/>
    <s v="ANASTASIO AGUILERA DIAZ"/>
    <s v="FUENTE TOJAS-CORDOBA"/>
    <s v="HECTOR-PERETE"/>
    <d v="2026-02-25T00:00:00"/>
    <n v="13"/>
    <n v="21"/>
    <n v="181"/>
    <x v="32"/>
    <x v="32"/>
    <x v="0"/>
    <n v="100"/>
    <m/>
    <m/>
    <m/>
  </r>
  <r>
    <n v="466"/>
    <n v="28"/>
    <n v="28"/>
    <s v="FOTOVOLTAICA"/>
    <s v="ADECUACION DE AREA PARA INSTALACION."/>
    <s v="ANASTASIO AGUILERA DIAZ"/>
    <s v="FUENTE TOJAS-CORDOBA"/>
    <s v="HECTOR-PERETE"/>
    <d v="2026-02-25T00:00:00"/>
    <n v="13"/>
    <n v="22"/>
    <n v="184"/>
    <x v="0"/>
    <x v="0"/>
    <x v="0"/>
    <n v="100"/>
    <m/>
    <m/>
    <m/>
  </r>
  <r>
    <n v="467"/>
    <n v="28"/>
    <n v="28"/>
    <s v="FOTOVOLTAICA"/>
    <s v="ADECUACION DE AREA PARA INSTALACION."/>
    <s v="ANASTASIO AGUILERA DIAZ"/>
    <s v="FUENTE TOJAS-CORDOBA"/>
    <s v="HECTOR-PERETE"/>
    <d v="2026-02-25T00:00:00"/>
    <n v="6"/>
    <n v="23"/>
    <n v="192"/>
    <x v="1"/>
    <x v="1"/>
    <x v="0"/>
    <n v="1"/>
    <m/>
    <m/>
    <m/>
  </r>
  <r>
    <n v="468"/>
    <n v="28"/>
    <n v="28"/>
    <s v="FOTOVOLTAICA"/>
    <s v="ADECUACION DE AREA PARA INSTALACION."/>
    <s v="ANASTASIO AGUILERA DIAZ"/>
    <s v="FUENTE TOJAS-CORDOBA"/>
    <s v="HECTOR-PERETE"/>
    <d v="2026-02-25T00:00:00"/>
    <n v="16"/>
    <n v="61"/>
    <n v="331"/>
    <x v="68"/>
    <x v="68"/>
    <x v="0"/>
    <n v="10"/>
    <m/>
    <m/>
    <n v="3"/>
  </r>
  <r>
    <n v="469"/>
    <n v="28"/>
    <n v="28"/>
    <s v="FOTOVOLTAICA"/>
    <s v="ADECUACION DE AREA PARA INSTALACION."/>
    <s v="ANASTASIO AGUILERA DIAZ"/>
    <s v="FUENTE TOJAS-CORDOBA"/>
    <s v="HECTOR-PERETE"/>
    <d v="2026-02-25T00:00:00"/>
    <n v="16"/>
    <n v="61"/>
    <n v="332"/>
    <x v="69"/>
    <x v="69"/>
    <x v="0"/>
    <n v="10"/>
    <m/>
    <m/>
    <n v="3"/>
  </r>
  <r>
    <n v="470"/>
    <n v="28"/>
    <n v="28"/>
    <s v="FOTOVOLTAICA"/>
    <s v="ADECUACION DE AREA PARA INSTALACION."/>
    <s v="ANASTASIO AGUILERA DIAZ"/>
    <s v="FUENTE TOJAS-CORDOBA"/>
    <s v="HECTOR-PERETE"/>
    <d v="2026-02-25T00:00:00"/>
    <n v="14"/>
    <n v="24"/>
    <n v="193"/>
    <x v="2"/>
    <x v="2"/>
    <x v="0"/>
    <n v="3"/>
    <m/>
    <m/>
    <m/>
  </r>
  <r>
    <n v="471"/>
    <n v="28"/>
    <n v="28"/>
    <s v="FOTOVOLTAICA"/>
    <s v="ADECUACION DE AREA PARA INSTALACION."/>
    <s v="ANASTASIO AGUILERA DIAZ"/>
    <s v="FUENTE TOJAS-CORDOBA"/>
    <s v="HECTOR-PERETE"/>
    <d v="2026-02-25T00:00:00"/>
    <n v="10"/>
    <n v="42"/>
    <n v="268"/>
    <x v="9"/>
    <x v="9"/>
    <x v="0"/>
    <n v="12"/>
    <m/>
    <m/>
    <n v="2"/>
  </r>
  <r>
    <n v="472"/>
    <n v="28"/>
    <n v="28"/>
    <s v="FOTOVOLTAICA"/>
    <s v="ADECUACION DE AREA PARA INSTALACION."/>
    <s v="ANASTASIO AGUILERA DIAZ"/>
    <s v="FUENTE TOJAS-CORDOBA"/>
    <s v="HECTOR-PERETE"/>
    <d v="2026-02-25T00:00:00"/>
    <n v="3"/>
    <n v="31"/>
    <n v="277"/>
    <x v="18"/>
    <x v="18"/>
    <x v="1"/>
    <n v="25"/>
    <m/>
    <m/>
    <m/>
  </r>
  <r>
    <n v="473"/>
    <n v="28"/>
    <n v="28"/>
    <s v="FOTOVOLTAICA"/>
    <s v="ADECUACION DE AREA PARA INSTALACION."/>
    <s v="ANASTASIO AGUILERA DIAZ"/>
    <s v="FUENTE TOJAS-CORDOBA"/>
    <s v="HECTOR-PERETE"/>
    <d v="2026-02-25T00:00:00"/>
    <n v="3"/>
    <n v="31"/>
    <n v="278"/>
    <x v="19"/>
    <x v="19"/>
    <x v="1"/>
    <n v="25"/>
    <m/>
    <m/>
    <m/>
  </r>
  <r>
    <n v="474"/>
    <n v="28"/>
    <n v="28"/>
    <s v="FOTOVOLTAICA"/>
    <s v="ADECUACION DE AREA PARA INSTALACION."/>
    <s v="ANASTASIO AGUILERA DIAZ"/>
    <s v="FUENTE TOJAS-CORDOBA"/>
    <s v="HECTOR-PERETE"/>
    <d v="2026-02-25T00:00:00"/>
    <n v="9"/>
    <n v="2"/>
    <n v="291"/>
    <x v="44"/>
    <x v="44"/>
    <x v="0"/>
    <n v="15"/>
    <m/>
    <m/>
    <n v="4"/>
  </r>
  <r>
    <n v="475"/>
    <n v="28"/>
    <n v="28"/>
    <s v="FOTOVOLTAICA"/>
    <s v="ADECUACION DE AREA PARA INSTALACION."/>
    <s v="ANASTASIO AGUILERA DIAZ"/>
    <s v="FUENTE TOJAS-CORDOBA"/>
    <s v="HECTOR-PERETE"/>
    <d v="2026-02-25T00:00:00"/>
    <n v="4"/>
    <n v="15"/>
    <n v="267"/>
    <x v="8"/>
    <x v="8"/>
    <x v="0"/>
    <n v="9"/>
    <m/>
    <m/>
    <n v="3"/>
  </r>
  <r>
    <n v="476"/>
    <n v="29"/>
    <n v="29"/>
    <s v="FOTOVOLTAICA"/>
    <s v="INCIDENCIA"/>
    <s v="ROSA PARADO SERRANO"/>
    <s v="BAÑOS DE LA ENCIMA-JAEN"/>
    <s v="JAVI-MANUEL"/>
    <d v="2026-02-25T00:00:00"/>
    <n v="10"/>
    <n v="37"/>
    <n v="330"/>
    <x v="67"/>
    <x v="67"/>
    <x v="0"/>
    <n v="20"/>
    <m/>
    <m/>
    <n v="15"/>
  </r>
  <r>
    <n v="477"/>
    <n v="29"/>
    <n v="29"/>
    <s v="FOTOVOLTAICA"/>
    <s v="INCIDENCIA"/>
    <s v="ROSA PARADO SERRANO"/>
    <s v="BAÑOS DE LA ENCIMA-JAEN"/>
    <s v="JAVI-MANUEL"/>
    <d v="2026-02-25T00:00:00"/>
    <n v="17"/>
    <n v="44"/>
    <n v="273"/>
    <x v="89"/>
    <x v="89"/>
    <x v="0"/>
    <n v="6"/>
    <m/>
    <m/>
    <n v="4"/>
  </r>
  <r>
    <n v="478"/>
    <n v="29"/>
    <n v="29"/>
    <s v="FOTOVOLTAICA"/>
    <s v="INCIDENCIA"/>
    <s v="ROSA PARADO SERRANO"/>
    <s v="BAÑOS DE LA ENCIMA-JAEN"/>
    <s v="JAVI-MANUEL"/>
    <d v="2026-02-25T00:00:00"/>
    <n v="20"/>
    <n v="83"/>
    <n v="409"/>
    <x v="90"/>
    <x v="90"/>
    <x v="0"/>
    <n v="40"/>
    <m/>
    <m/>
    <n v="25"/>
  </r>
  <r>
    <n v="479"/>
    <n v="29"/>
    <n v="29"/>
    <s v="FOTOVOLTAICA"/>
    <s v="INCIDENCIA"/>
    <s v="ROSA PARADO SERRANO"/>
    <s v="BAÑOS DE LA ENCIMA-JAEN"/>
    <s v="JAVI-MANUEL"/>
    <d v="2026-02-25T00:00:00"/>
    <n v="4"/>
    <n v="15"/>
    <n v="326"/>
    <x v="49"/>
    <x v="49"/>
    <x v="0"/>
    <n v="18"/>
    <m/>
    <m/>
    <n v="12"/>
  </r>
  <r>
    <n v="480"/>
    <n v="29"/>
    <n v="29"/>
    <s v="FOTOVOLTAICA"/>
    <s v="INCIDENCIA"/>
    <s v="ROSA PARADO SERRANO"/>
    <s v="BAÑOS DE LA ENCIMA-JAEN"/>
    <s v="JAVI-MANUEL"/>
    <d v="2026-02-25T00:00:00"/>
    <n v="8"/>
    <n v="64"/>
    <n v="358"/>
    <x v="70"/>
    <x v="70"/>
    <x v="0"/>
    <n v="8"/>
    <m/>
    <m/>
    <n v="3"/>
  </r>
  <r>
    <n v="481"/>
    <n v="30"/>
    <n v="30"/>
    <s v="FOTOVOLTAICA"/>
    <s v="INSTALACION"/>
    <s v="FRANCISCO ANARADE (PLACA-PLACA)"/>
    <s v="PEÑARROTA PUEBLO NUEVO-CORDOBA"/>
    <s v="JAVI-TOMAS"/>
    <d v="2026-02-26T00:00:00"/>
    <n v="10"/>
    <n v="15"/>
    <n v="269"/>
    <x v="10"/>
    <x v="10"/>
    <x v="0"/>
    <n v="3"/>
    <m/>
    <m/>
    <m/>
  </r>
  <r>
    <n v="482"/>
    <n v="30"/>
    <n v="30"/>
    <s v="FOTOVOLTAICA"/>
    <s v="INSTALACION"/>
    <s v="FRANCISCO ANARADE (PLACA-PLACA)"/>
    <s v="PEÑARROTA PUEBLO NUEVO-CORDOBA"/>
    <s v="JAVI-TOMAS"/>
    <d v="2026-02-26T00:00:00"/>
    <n v="10"/>
    <n v="37"/>
    <n v="330"/>
    <x v="67"/>
    <x v="67"/>
    <x v="0"/>
    <n v="24"/>
    <m/>
    <m/>
    <n v="2"/>
  </r>
  <r>
    <n v="483"/>
    <n v="30"/>
    <n v="30"/>
    <s v="FOTOVOLTAICA"/>
    <s v="INSTALACION"/>
    <s v="FRANCISCO ANARADE (PLACA-PLACA)"/>
    <s v="PEÑARROTA PUEBLO NUEVO-CORDOBA"/>
    <s v="JAVI-TOMAS"/>
    <d v="2026-02-26T00:00:00"/>
    <n v="10"/>
    <n v="37"/>
    <n v="232"/>
    <x v="34"/>
    <x v="34"/>
    <x v="0"/>
    <n v="38"/>
    <m/>
    <m/>
    <n v="18"/>
  </r>
  <r>
    <n v="484"/>
    <n v="30"/>
    <n v="30"/>
    <s v="FOTOVOLTAICA"/>
    <s v="INSTALACION"/>
    <s v="FRANCISCO ANARADE (PLACA-PLACA)"/>
    <s v="PEÑARROTA PUEBLO NUEVO-CORDOBA"/>
    <s v="JAVI-TOMAS"/>
    <d v="2026-02-26T00:00:00"/>
    <n v="10"/>
    <n v="37"/>
    <n v="315"/>
    <x v="35"/>
    <x v="35"/>
    <x v="0"/>
    <n v="20"/>
    <m/>
    <m/>
    <n v="2"/>
  </r>
  <r>
    <n v="485"/>
    <n v="30"/>
    <n v="30"/>
    <s v="FOTOVOLTAICA"/>
    <s v="INSTALACION"/>
    <s v="FRANCISCO ANARADE (PLACA-PLACA)"/>
    <s v="PEÑARROTA PUEBLO NUEVO-CORDOBA"/>
    <s v="JAVI-TOMAS"/>
    <d v="2026-02-26T00:00:00"/>
    <n v="10"/>
    <n v="43"/>
    <n v="270"/>
    <x v="12"/>
    <x v="12"/>
    <x v="0"/>
    <n v="8"/>
    <m/>
    <m/>
    <n v="2"/>
  </r>
  <r>
    <n v="486"/>
    <n v="30"/>
    <n v="30"/>
    <s v="FOTOVOLTAICA"/>
    <s v="INSTALACION"/>
    <s v="FRANCISCO ANARADE (PLACA-PLACA)"/>
    <s v="PEÑARROTA PUEBLO NUEVO-CORDOBA"/>
    <s v="JAVI-TOMAS"/>
    <d v="2026-02-26T00:00:00"/>
    <n v="16"/>
    <n v="45"/>
    <n v="294"/>
    <x v="36"/>
    <x v="36"/>
    <x v="0"/>
    <n v="2"/>
    <m/>
    <m/>
    <m/>
  </r>
  <r>
    <n v="487"/>
    <n v="30"/>
    <n v="30"/>
    <s v="FOTOVOLTAICA"/>
    <s v="INSTALACION"/>
    <s v="FRANCISCO ANARADE (PLACA-PLACA)"/>
    <s v="PEÑARROTA PUEBLO NUEVO-CORDOBA"/>
    <s v="JAVI-TOMAS"/>
    <d v="2026-02-26T00:00:00"/>
    <n v="17"/>
    <n v="44"/>
    <n v="271"/>
    <x v="13"/>
    <x v="13"/>
    <x v="0"/>
    <n v="2"/>
    <m/>
    <m/>
    <m/>
  </r>
  <r>
    <n v="488"/>
    <n v="30"/>
    <n v="30"/>
    <s v="FOTOVOLTAICA"/>
    <s v="INSTALACION"/>
    <s v="FRANCISCO ANARADE (PLACA-PLACA)"/>
    <s v="PEÑARROTA PUEBLO NUEVO-CORDOBA"/>
    <s v="JAVI-TOMAS"/>
    <d v="2026-02-26T00:00:00"/>
    <n v="17"/>
    <n v="44"/>
    <n v="272"/>
    <x v="14"/>
    <x v="14"/>
    <x v="0"/>
    <n v="2"/>
    <m/>
    <m/>
    <m/>
  </r>
  <r>
    <n v="489"/>
    <n v="30"/>
    <n v="30"/>
    <s v="FOTOVOLTAICA"/>
    <s v="INSTALACION"/>
    <s v="FRANCISCO ANARADE (PLACA-PLACA)"/>
    <s v="PEÑARROTA PUEBLO NUEVO-CORDOBA"/>
    <s v="JAVI-TOMAS"/>
    <d v="2026-02-26T00:00:00"/>
    <n v="13"/>
    <n v="21"/>
    <n v="181"/>
    <x v="32"/>
    <x v="32"/>
    <x v="0"/>
    <n v="100"/>
    <m/>
    <m/>
    <n v="50"/>
  </r>
  <r>
    <n v="490"/>
    <n v="30"/>
    <n v="30"/>
    <s v="FOTOVOLTAICA"/>
    <s v="INSTALACION"/>
    <s v="FRANCISCO ANARADE (PLACA-PLACA)"/>
    <s v="PEÑARROTA PUEBLO NUEVO-CORDOBA"/>
    <s v="JAVI-TOMAS"/>
    <d v="2026-02-26T00:00:00"/>
    <n v="13"/>
    <n v="22"/>
    <n v="184"/>
    <x v="0"/>
    <x v="0"/>
    <x v="0"/>
    <n v="100"/>
    <m/>
    <m/>
    <n v="50"/>
  </r>
  <r>
    <n v="491"/>
    <n v="30"/>
    <n v="30"/>
    <s v="FOTOVOLTAICA"/>
    <s v="INSTALACION"/>
    <s v="FRANCISCO ANARADE (PLACA-PLACA)"/>
    <s v="PEÑARROTA PUEBLO NUEVO-CORDOBA"/>
    <s v="JAVI-TOMAS"/>
    <d v="2026-02-26T00:00:00"/>
    <n v="6"/>
    <n v="23"/>
    <n v="192"/>
    <x v="1"/>
    <x v="1"/>
    <x v="0"/>
    <n v="1"/>
    <m/>
    <m/>
    <m/>
  </r>
  <r>
    <n v="492"/>
    <n v="30"/>
    <n v="30"/>
    <s v="FOTOVOLTAICA"/>
    <s v="INSTALACION"/>
    <s v="FRANCISCO ANARADE (PLACA-PLACA)"/>
    <s v="PEÑARROTA PUEBLO NUEVO-CORDOBA"/>
    <s v="JAVI-TOMAS"/>
    <d v="2026-02-26T00:00:00"/>
    <n v="16"/>
    <n v="61"/>
    <n v="331"/>
    <x v="68"/>
    <x v="68"/>
    <x v="0"/>
    <n v="7"/>
    <m/>
    <m/>
    <n v="2"/>
  </r>
  <r>
    <n v="493"/>
    <n v="30"/>
    <n v="30"/>
    <s v="FOTOVOLTAICA"/>
    <s v="INSTALACION"/>
    <s v="FRANCISCO ANARADE (PLACA-PLACA)"/>
    <s v="PEÑARROTA PUEBLO NUEVO-CORDOBA"/>
    <s v="JAVI-TOMAS"/>
    <d v="2026-02-26T00:00:00"/>
    <n v="16"/>
    <n v="61"/>
    <n v="332"/>
    <x v="69"/>
    <x v="69"/>
    <x v="0"/>
    <n v="7"/>
    <m/>
    <m/>
    <n v="2"/>
  </r>
  <r>
    <n v="494"/>
    <n v="30"/>
    <n v="30"/>
    <s v="FOTOVOLTAICA"/>
    <s v="INSTALACION"/>
    <s v="FRANCISCO ANARADE (PLACA-PLACA)"/>
    <s v="PEÑARROTA PUEBLO NUEVO-CORDOBA"/>
    <s v="JAVI-TOMAS"/>
    <d v="2026-02-26T00:00:00"/>
    <n v="14"/>
    <n v="24"/>
    <n v="193"/>
    <x v="2"/>
    <x v="2"/>
    <x v="0"/>
    <n v="2"/>
    <m/>
    <m/>
    <m/>
  </r>
  <r>
    <n v="495"/>
    <n v="30"/>
    <n v="30"/>
    <s v="FOTOVOLTAICA"/>
    <s v="INSTALACION"/>
    <s v="FRANCISCO ANARADE (PLACA-PLACA)"/>
    <s v="PEÑARROTA PUEBLO NUEVO-CORDOBA"/>
    <s v="JAVI-TOMAS"/>
    <d v="2026-02-26T00:00:00"/>
    <n v="10"/>
    <n v="42"/>
    <n v="268"/>
    <x v="9"/>
    <x v="9"/>
    <x v="0"/>
    <n v="3"/>
    <m/>
    <m/>
    <m/>
  </r>
  <r>
    <n v="496"/>
    <n v="30"/>
    <n v="30"/>
    <s v="FOTOVOLTAICA"/>
    <s v="INSTALACION"/>
    <s v="FRANCISCO ANARADE (PLACA-PLACA)"/>
    <s v="PEÑARROTA PUEBLO NUEVO-CORDOBA"/>
    <s v="JAVI-TOMAS"/>
    <d v="2026-02-26T00:00:00"/>
    <n v="3"/>
    <n v="31"/>
    <n v="277"/>
    <x v="18"/>
    <x v="18"/>
    <x v="1"/>
    <n v="20"/>
    <m/>
    <m/>
    <m/>
  </r>
  <r>
    <n v="497"/>
    <n v="30"/>
    <n v="30"/>
    <s v="FOTOVOLTAICA"/>
    <s v="INSTALACION"/>
    <s v="FRANCISCO ANARADE (PLACA-PLACA)"/>
    <s v="PEÑARROTA PUEBLO NUEVO-CORDOBA"/>
    <s v="JAVI-TOMAS"/>
    <d v="2026-02-26T00:00:00"/>
    <n v="3"/>
    <n v="31"/>
    <n v="278"/>
    <x v="19"/>
    <x v="19"/>
    <x v="1"/>
    <n v="20"/>
    <m/>
    <m/>
    <m/>
  </r>
  <r>
    <n v="498"/>
    <n v="30"/>
    <n v="30"/>
    <s v="FOTOVOLTAICA"/>
    <s v="INSTALACION"/>
    <s v="FRANCISCO ANARADE (PLACA-PLACA)"/>
    <s v="PEÑARROTA PUEBLO NUEVO-CORDOBA"/>
    <s v="JAVI-TOMAS"/>
    <d v="2026-02-26T00:00:00"/>
    <n v="9"/>
    <n v="2"/>
    <n v="291"/>
    <x v="44"/>
    <x v="44"/>
    <x v="0"/>
    <n v="5"/>
    <m/>
    <m/>
    <m/>
  </r>
  <r>
    <n v="499"/>
    <n v="30"/>
    <n v="30"/>
    <s v="FOTOVOLTAICA"/>
    <s v="INSTALACION"/>
    <s v="FRANCISCO ANARADE (PLACA-PLACA)"/>
    <s v="PEÑARROTA PUEBLO NUEVO-CORDOBA"/>
    <s v="JAVI-TOMAS"/>
    <d v="2026-02-26T00:00:00"/>
    <n v="4"/>
    <n v="15"/>
    <n v="326"/>
    <x v="49"/>
    <x v="49"/>
    <x v="0"/>
    <n v="24"/>
    <m/>
    <m/>
    <n v="6"/>
  </r>
  <r>
    <n v="500"/>
    <n v="30"/>
    <n v="30"/>
    <s v="FOTOVOLTAICA"/>
    <s v="INSTALACION"/>
    <s v="FRANCISCO ANARADE (PLACA-PLACA)"/>
    <s v="PEÑARROTA PUEBLO NUEVO-CORDOBA"/>
    <s v="JAVI-TOMAS"/>
    <d v="2026-02-26T00:00:00"/>
    <n v="8"/>
    <n v="64"/>
    <n v="358"/>
    <x v="70"/>
    <x v="70"/>
    <x v="0"/>
    <n v="6"/>
    <m/>
    <m/>
    <n v="2"/>
  </r>
  <r>
    <n v="501"/>
    <n v="30"/>
    <n v="30"/>
    <s v="FOTOVOLTAICA"/>
    <s v="INSTALACION"/>
    <s v="FRANCISCO ANARADE (PLACA-PLACA)"/>
    <s v="PEÑARROTA PUEBLO NUEVO-CORDOBA"/>
    <s v="JAVI-TOMAS"/>
    <d v="2026-02-26T00:00:00"/>
    <n v="9"/>
    <n v="32"/>
    <n v="224"/>
    <x v="60"/>
    <x v="60"/>
    <x v="0"/>
    <n v="20"/>
    <m/>
    <m/>
    <n v="10"/>
  </r>
  <r>
    <n v="502"/>
    <n v="30"/>
    <n v="30"/>
    <s v="FOTOVOLTAICA"/>
    <s v="INSTALACION"/>
    <s v="FRANCISCO ANARADE (PLACA-PLACA)"/>
    <s v="PEÑARROTA PUEBLO NUEVO-CORDOBA"/>
    <s v="JAVI-TOMAS"/>
    <d v="2026-02-26T00:00:00"/>
    <n v="16"/>
    <n v="48"/>
    <n v="281"/>
    <x v="27"/>
    <x v="27"/>
    <x v="0"/>
    <n v="2"/>
    <m/>
    <m/>
    <m/>
  </r>
  <r>
    <n v="503"/>
    <n v="30"/>
    <n v="30"/>
    <s v="FOTOVOLTAICA"/>
    <s v="INSTALACION"/>
    <s v="FRANCISCO ANARADE (PLACA-PLACA)"/>
    <s v="PEÑARROTA PUEBLO NUEVO-CORDOBA"/>
    <s v="JAVI-TOMAS"/>
    <d v="2026-02-26T00:00:00"/>
    <n v="16"/>
    <n v="47"/>
    <n v="318"/>
    <x v="38"/>
    <x v="38"/>
    <x v="0"/>
    <n v="1"/>
    <m/>
    <m/>
    <m/>
  </r>
  <r>
    <n v="504"/>
    <n v="30"/>
    <n v="30"/>
    <s v="FOTOVOLTAICA"/>
    <s v="INSTALACION"/>
    <s v="FRANCISCO ANARADE (PLACA-PLACA)"/>
    <s v="PEÑARROTA PUEBLO NUEVO-CORDOBA"/>
    <s v="JAVI-TOMAS"/>
    <d v="2026-02-26T00:00:00"/>
    <n v="16"/>
    <n v="52"/>
    <n v="319"/>
    <x v="39"/>
    <x v="39"/>
    <x v="0"/>
    <n v="1"/>
    <m/>
    <m/>
    <m/>
  </r>
  <r>
    <n v="505"/>
    <n v="30"/>
    <n v="30"/>
    <s v="FOTOVOLTAICA"/>
    <s v="INSTALACION"/>
    <s v="FRANCISCO ANARADE (PLACA-PLACA)"/>
    <s v="PEÑARROTA PUEBLO NUEVO-CORDOBA"/>
    <s v="JAVI-TOMAS"/>
    <d v="2026-02-26T00:00:00"/>
    <n v="16"/>
    <n v="51"/>
    <n v="309"/>
    <x v="55"/>
    <x v="55"/>
    <x v="0"/>
    <n v="1"/>
    <m/>
    <m/>
    <m/>
  </r>
  <r>
    <n v="506"/>
    <n v="30"/>
    <n v="30"/>
    <s v="FOTOVOLTAICA"/>
    <s v="INSTALACION"/>
    <s v="FRANCISCO ANARADE (PLACA-PLACA)"/>
    <s v="PEÑARROTA PUEBLO NUEVO-CORDOBA"/>
    <s v="JAVI-TOMAS"/>
    <d v="2026-02-26T00:00:00"/>
    <n v="16"/>
    <n v="45"/>
    <n v="275"/>
    <x v="16"/>
    <x v="16"/>
    <x v="0"/>
    <n v="1"/>
    <m/>
    <m/>
    <m/>
  </r>
  <r>
    <n v="507"/>
    <n v="30"/>
    <n v="30"/>
    <s v="FOTOVOLTAICA"/>
    <s v="INSTALACION"/>
    <s v="FRANCISCO ANARADE (PLACA-PLACA)"/>
    <s v="PEÑARROTA PUEBLO NUEVO-CORDOBA"/>
    <s v="JAVI-TOMAS"/>
    <d v="2026-02-26T00:00:00"/>
    <n v="16"/>
    <n v="51"/>
    <n v="284"/>
    <x v="30"/>
    <x v="30"/>
    <x v="0"/>
    <n v="1"/>
    <m/>
    <m/>
    <m/>
  </r>
  <r>
    <n v="508"/>
    <n v="31"/>
    <n v="31"/>
    <s v="FOTOVOLTAICA"/>
    <s v="INSTALACION"/>
    <s v="ANTONIO HERNANDEZ BALLESTEROS (PLACA - PLACA)"/>
    <s v="GUADAHORTUNA-CORDOBA"/>
    <s v="MANUEL-PERETE-JESUS"/>
    <d v="2026-02-27T00:00:00"/>
    <n v="16"/>
    <n v="48"/>
    <n v="281"/>
    <x v="27"/>
    <x v="27"/>
    <x v="0"/>
    <n v="2"/>
    <m/>
    <m/>
    <m/>
  </r>
  <r>
    <n v="509"/>
    <n v="31"/>
    <n v="31"/>
    <s v="FOTOVOLTAICA"/>
    <s v="INSTALACION"/>
    <s v="ANTONIO HERNANDEZ BALLESTEROS (PLACA - PLACA)"/>
    <s v="GUADAHORTUNA-CORDOBA"/>
    <s v="MANUEL-PERETE-JESUS"/>
    <d v="2026-02-27T00:00:00"/>
    <n v="16"/>
    <n v="50"/>
    <n v="283"/>
    <x v="29"/>
    <x v="29"/>
    <x v="0"/>
    <n v="2"/>
    <m/>
    <m/>
    <m/>
  </r>
  <r>
    <n v="510"/>
    <n v="31"/>
    <n v="31"/>
    <s v="FOTOVOLTAICA"/>
    <s v="INSTALACION"/>
    <s v="ANTONIO HERNANDEZ BALLESTEROS (PLACA - PLACA)"/>
    <s v="GUADAHORTUNA-CORDOBA"/>
    <s v="MANUEL-PERETE-JESUS"/>
    <d v="2026-02-27T00:00:00"/>
    <n v="10"/>
    <n v="37"/>
    <n v="232"/>
    <x v="34"/>
    <x v="34"/>
    <x v="0"/>
    <n v="50"/>
    <m/>
    <m/>
    <n v="25"/>
  </r>
  <r>
    <n v="511"/>
    <n v="31"/>
    <n v="31"/>
    <s v="FOTOVOLTAICA"/>
    <s v="INSTALACION"/>
    <s v="ANTONIO HERNANDEZ BALLESTEROS (PLACA - PLACA)"/>
    <s v="GUADAHORTUNA-CORDOBA"/>
    <s v="MANUEL-PERETE-JESUS"/>
    <d v="2026-02-27T00:00:00"/>
    <n v="10"/>
    <n v="37"/>
    <n v="315"/>
    <x v="35"/>
    <x v="35"/>
    <x v="0"/>
    <n v="40"/>
    <m/>
    <m/>
    <n v="20"/>
  </r>
  <r>
    <n v="512"/>
    <n v="31"/>
    <n v="31"/>
    <s v="FOTOVOLTAICA"/>
    <s v="INSTALACION"/>
    <s v="ANTONIO HERNANDEZ BALLESTEROS (PLACA - PLACA)"/>
    <s v="GUADAHORTUNA-CORDOBA"/>
    <s v="MANUEL-PERETE-JESUS"/>
    <d v="2026-02-27T00:00:00"/>
    <n v="10"/>
    <n v="43"/>
    <n v="270"/>
    <x v="12"/>
    <x v="12"/>
    <x v="0"/>
    <n v="10"/>
    <m/>
    <m/>
    <n v="6"/>
  </r>
  <r>
    <n v="513"/>
    <n v="31"/>
    <n v="31"/>
    <s v="FOTOVOLTAICA"/>
    <s v="INSTALACION"/>
    <s v="ANTONIO HERNANDEZ BALLESTEROS (PLACA - PLACA)"/>
    <s v="GUADAHORTUNA-CORDOBA"/>
    <s v="MANUEL-PERETE-JESUS"/>
    <d v="2026-02-27T00:00:00"/>
    <n v="16"/>
    <n v="45"/>
    <n v="294"/>
    <x v="36"/>
    <x v="36"/>
    <x v="0"/>
    <n v="1"/>
    <m/>
    <m/>
    <m/>
  </r>
  <r>
    <n v="514"/>
    <n v="31"/>
    <n v="31"/>
    <s v="FOTOVOLTAICA"/>
    <s v="INSTALACION"/>
    <s v="ANTONIO HERNANDEZ BALLESTEROS (PLACA - PLACA)"/>
    <s v="GUADAHORTUNA-CORDOBA"/>
    <s v="MANUEL-PERETE-JESUS"/>
    <d v="2026-02-27T00:00:00"/>
    <n v="17"/>
    <n v="44"/>
    <n v="271"/>
    <x v="13"/>
    <x v="13"/>
    <x v="0"/>
    <n v="1"/>
    <m/>
    <m/>
    <m/>
  </r>
  <r>
    <n v="515"/>
    <n v="31"/>
    <n v="31"/>
    <s v="FOTOVOLTAICA"/>
    <s v="INSTALACION"/>
    <s v="ANTONIO HERNANDEZ BALLESTEROS (PLACA - PLACA)"/>
    <s v="GUADAHORTUNA-CORDOBA"/>
    <s v="MANUEL-PERETE-JESUS"/>
    <d v="2026-02-27T00:00:00"/>
    <n v="17"/>
    <n v="44"/>
    <n v="272"/>
    <x v="14"/>
    <x v="14"/>
    <x v="0"/>
    <n v="1"/>
    <m/>
    <m/>
    <m/>
  </r>
  <r>
    <n v="516"/>
    <n v="31"/>
    <n v="31"/>
    <s v="FOTOVOLTAICA"/>
    <s v="INSTALACION"/>
    <s v="ANTONIO HERNANDEZ BALLESTEROS (PLACA - PLACA)"/>
    <s v="GUADAHORTUNA-CORDOBA"/>
    <s v="MANUEL-PERETE-JESUS"/>
    <d v="2026-02-27T00:00:00"/>
    <n v="13"/>
    <n v="22"/>
    <n v="184"/>
    <x v="0"/>
    <x v="0"/>
    <x v="0"/>
    <n v="200"/>
    <m/>
    <m/>
    <n v="100"/>
  </r>
  <r>
    <n v="517"/>
    <n v="31"/>
    <n v="31"/>
    <s v="FOTOVOLTAICA"/>
    <s v="INSTALACION"/>
    <s v="ANTONIO HERNANDEZ BALLESTEROS (PLACA - PLACA)"/>
    <s v="GUADAHORTUNA-CORDOBA"/>
    <s v="MANUEL-PERETE-JESUS"/>
    <d v="2026-02-27T00:00:00"/>
    <n v="3"/>
    <n v="31"/>
    <n v="277"/>
    <x v="18"/>
    <x v="18"/>
    <x v="1"/>
    <n v="25"/>
    <m/>
    <m/>
    <m/>
  </r>
  <r>
    <n v="518"/>
    <n v="31"/>
    <n v="31"/>
    <s v="FOTOVOLTAICA"/>
    <s v="INSTALACION"/>
    <s v="ANTONIO HERNANDEZ BALLESTEROS (PLACA - PLACA)"/>
    <s v="GUADAHORTUNA-CORDOBA"/>
    <s v="MANUEL-PERETE-JESUS"/>
    <d v="2026-02-27T00:00:00"/>
    <n v="3"/>
    <n v="31"/>
    <n v="278"/>
    <x v="19"/>
    <x v="19"/>
    <x v="1"/>
    <n v="25"/>
    <m/>
    <m/>
    <m/>
  </r>
  <r>
    <n v="519"/>
    <n v="31"/>
    <n v="31"/>
    <s v="FOTOVOLTAICA"/>
    <s v="INSTALACION"/>
    <s v="ANTONIO HERNANDEZ BALLESTEROS (PLACA - PLACA)"/>
    <s v="GUADAHORTUNA-CORDOBA"/>
    <s v="MANUEL-PERETE-JESUS"/>
    <d v="2026-02-27T00:00:00"/>
    <n v="14"/>
    <n v="24"/>
    <n v="193"/>
    <x v="2"/>
    <x v="2"/>
    <x v="0"/>
    <n v="4"/>
    <m/>
    <m/>
    <n v="2"/>
  </r>
  <r>
    <n v="520"/>
    <n v="31"/>
    <n v="31"/>
    <s v="FOTOVOLTAICA"/>
    <s v="INSTALACION"/>
    <s v="ANTONIO HERNANDEZ BALLESTEROS (PLACA - PLACA)"/>
    <s v="GUADAHORTUNA-CORDOBA"/>
    <s v="MANUEL-PERETE-JESUS"/>
    <d v="2026-02-27T00:00:00"/>
    <n v="13"/>
    <n v="23"/>
    <n v="186"/>
    <x v="92"/>
    <x v="92"/>
    <x v="0"/>
    <n v="1"/>
    <m/>
    <m/>
    <m/>
  </r>
  <r>
    <n v="521"/>
    <n v="31"/>
    <n v="31"/>
    <s v="FOTOVOLTAICA"/>
    <s v="INSTALACION"/>
    <s v="ANTONIO HERNANDEZ BALLESTEROS (PLACA - PLACA)"/>
    <s v="GUADAHORTUNA-CORDOBA"/>
    <s v="MANUEL-PERETE-JESUS"/>
    <d v="2026-02-27T00:00:00"/>
    <n v="10"/>
    <n v="15"/>
    <n v="269"/>
    <x v="10"/>
    <x v="10"/>
    <x v="0"/>
    <n v="19"/>
    <m/>
    <m/>
    <n v="12"/>
  </r>
  <r>
    <n v="522"/>
    <n v="31"/>
    <n v="31"/>
    <s v="FOTOVOLTAICA"/>
    <s v="INSTALACION"/>
    <s v="ANTONIO HERNANDEZ BALLESTEROS (PLACA - PLACA)"/>
    <s v="GUADAHORTUNA-CORDOBA"/>
    <s v="MANUEL-PERETE-JESUS"/>
    <d v="2026-02-27T00:00:00"/>
    <n v="3"/>
    <n v="31"/>
    <n v="277"/>
    <x v="18"/>
    <x v="18"/>
    <x v="1"/>
    <n v="12"/>
    <m/>
    <m/>
    <m/>
  </r>
  <r>
    <n v="523"/>
    <n v="31"/>
    <n v="31"/>
    <s v="FOTOVOLTAICA"/>
    <s v="INSTALACION"/>
    <s v="ANTONIO HERNANDEZ BALLESTEROS (PLACA - PLACA)"/>
    <s v="GUADAHORTUNA-CORDOBA"/>
    <s v="MANUEL-PERETE-JESUS"/>
    <d v="2026-02-27T00:00:00"/>
    <n v="3"/>
    <n v="31"/>
    <n v="278"/>
    <x v="19"/>
    <x v="19"/>
    <x v="1"/>
    <n v="20"/>
    <m/>
    <m/>
    <m/>
  </r>
  <r>
    <n v="524"/>
    <n v="31"/>
    <n v="31"/>
    <s v="FOTOVOLTAICA"/>
    <s v="INSTALACION"/>
    <s v="ANTONIO HERNANDEZ BALLESTEROS (PLACA - PLACA)"/>
    <s v="GUADAHORTUNA-CORDOBA"/>
    <s v="MANUEL-PERETE-JESUS"/>
    <d v="2026-02-27T00:00:00"/>
    <n v="3"/>
    <n v="31"/>
    <n v="220"/>
    <x v="23"/>
    <x v="23"/>
    <x v="1"/>
    <n v="20"/>
    <m/>
    <m/>
    <m/>
  </r>
  <r>
    <n v="525"/>
    <n v="32"/>
    <n v="32"/>
    <s v="FOTOVOLTAICA"/>
    <s v="INSTALACION"/>
    <s v="AYUNTAMIENTO ESCAÑUELA"/>
    <m/>
    <s v="HECTOR-JAVI-TOMAS"/>
    <d v="2026-02-27T00:00:00"/>
    <n v="9"/>
    <n v="32"/>
    <n v="224"/>
    <x v="60"/>
    <x v="60"/>
    <x v="0"/>
    <n v="10"/>
    <m/>
    <m/>
    <n v="3"/>
  </r>
  <r>
    <n v="526"/>
    <n v="32"/>
    <n v="32"/>
    <s v="FOTOVOLTAICA"/>
    <s v="INSTALACION"/>
    <s v="AYUNTAMIENTO ESCAÑUELA"/>
    <m/>
    <s v="HECTOR-JAVI-TOMAS"/>
    <d v="2026-02-27T00:00:00"/>
    <n v="13"/>
    <n v="21"/>
    <n v="181"/>
    <x v="32"/>
    <x v="32"/>
    <x v="0"/>
    <n v="100"/>
    <m/>
    <m/>
    <m/>
  </r>
  <r>
    <n v="527"/>
    <n v="32"/>
    <n v="32"/>
    <s v="FOTOVOLTAICA"/>
    <s v="INSTALACION"/>
    <s v="AYUNTAMIENTO ESCAÑUELA"/>
    <m/>
    <s v="HECTOR-JAVI-TOMAS"/>
    <d v="2026-02-27T00:00:00"/>
    <n v="13"/>
    <n v="22"/>
    <n v="184"/>
    <x v="0"/>
    <x v="0"/>
    <x v="0"/>
    <n v="100"/>
    <m/>
    <m/>
    <m/>
  </r>
  <r>
    <n v="528"/>
    <n v="32"/>
    <n v="32"/>
    <s v="FOTOVOLTAICA"/>
    <s v="INSTALACION"/>
    <s v="AYUNTAMIENTO ESCAÑUELA"/>
    <m/>
    <s v="HECTOR-JAVI-TOMAS"/>
    <d v="2026-02-27T00:00:00"/>
    <n v="17"/>
    <n v="44"/>
    <n v="271"/>
    <x v="13"/>
    <x v="13"/>
    <x v="0"/>
    <n v="1"/>
    <m/>
    <m/>
    <m/>
  </r>
  <r>
    <n v="529"/>
    <n v="32"/>
    <n v="32"/>
    <s v="FOTOVOLTAICA"/>
    <s v="INSTALACION"/>
    <s v="AYUNTAMIENTO ESCAÑUELA"/>
    <m/>
    <s v="HECTOR-JAVI-TOMAS"/>
    <d v="2026-02-27T00:00:00"/>
    <n v="17"/>
    <n v="44"/>
    <n v="272"/>
    <x v="14"/>
    <x v="14"/>
    <x v="0"/>
    <n v="1"/>
    <m/>
    <m/>
    <m/>
  </r>
  <r>
    <n v="530"/>
    <n v="32"/>
    <n v="32"/>
    <s v="FOTOVOLTAICA"/>
    <s v="INSTALACION"/>
    <s v="AYUNTAMIENTO ESCAÑUELA"/>
    <m/>
    <s v="HECTOR-JAVI-TOMAS"/>
    <d v="2026-02-27T00:00:00"/>
    <n v="10"/>
    <n v="37"/>
    <n v="330"/>
    <x v="67"/>
    <x v="67"/>
    <x v="0"/>
    <n v="30"/>
    <m/>
    <m/>
    <n v="12"/>
  </r>
  <r>
    <n v="531"/>
    <n v="32"/>
    <n v="32"/>
    <s v="FOTOVOLTAICA"/>
    <s v="INSTALACION"/>
    <s v="AYUNTAMIENTO ESCAÑUELA"/>
    <m/>
    <s v="HECTOR-JAVI-TOMAS"/>
    <d v="2026-02-27T00:00:00"/>
    <n v="10"/>
    <n v="37"/>
    <n v="232"/>
    <x v="34"/>
    <x v="34"/>
    <x v="0"/>
    <n v="30"/>
    <m/>
    <m/>
    <n v="20"/>
  </r>
  <r>
    <n v="532"/>
    <n v="32"/>
    <n v="32"/>
    <s v="FOTOVOLTAICA"/>
    <s v="INSTALACION"/>
    <s v="AYUNTAMIENTO ESCAÑUELA"/>
    <m/>
    <s v="HECTOR-JAVI-TOMAS"/>
    <d v="2026-02-27T00:00:00"/>
    <n v="10"/>
    <n v="37"/>
    <n v="315"/>
    <x v="35"/>
    <x v="35"/>
    <x v="0"/>
    <n v="20"/>
    <m/>
    <m/>
    <n v="15"/>
  </r>
  <r>
    <n v="533"/>
    <n v="32"/>
    <n v="32"/>
    <s v="FOTOVOLTAICA"/>
    <s v="INSTALACION"/>
    <s v="AYUNTAMIENTO ESCAÑUELA"/>
    <m/>
    <s v="HECTOR-JAVI-TOMAS"/>
    <d v="2026-02-27T00:00:00"/>
    <n v="10"/>
    <n v="42"/>
    <n v="268"/>
    <x v="9"/>
    <x v="9"/>
    <x v="0"/>
    <n v="7"/>
    <m/>
    <m/>
    <n v="2"/>
  </r>
  <r>
    <n v="534"/>
    <n v="32"/>
    <n v="32"/>
    <s v="FOTOVOLTAICA"/>
    <s v="INSTALACION"/>
    <s v="AYUNTAMIENTO ESCAÑUELA"/>
    <m/>
    <s v="HECTOR-JAVI-TOMAS"/>
    <d v="2026-02-27T00:00:00"/>
    <n v="14"/>
    <n v="24"/>
    <n v="193"/>
    <x v="2"/>
    <x v="2"/>
    <x v="0"/>
    <n v="7"/>
    <m/>
    <m/>
    <n v="4"/>
  </r>
  <r>
    <n v="535"/>
    <n v="32"/>
    <n v="32"/>
    <s v="FOTOVOLTAICA"/>
    <s v="INSTALACION"/>
    <s v="AYUNTAMIENTO ESCAÑUELA"/>
    <m/>
    <s v="HECTOR-JAVI-TOMAS"/>
    <d v="2026-02-27T00:00:00"/>
    <n v="16"/>
    <n v="45"/>
    <n v="276"/>
    <x v="17"/>
    <x v="17"/>
    <x v="0"/>
    <n v="1"/>
    <m/>
    <m/>
    <m/>
  </r>
  <r>
    <n v="536"/>
    <n v="32"/>
    <n v="32"/>
    <s v="FOTOVOLTAICA"/>
    <s v="INSTALACION"/>
    <s v="AYUNTAMIENTO ESCAÑUELA"/>
    <m/>
    <s v="HECTOR-JAVI-TOMAS"/>
    <d v="2026-02-27T00:00:00"/>
    <n v="16"/>
    <n v="45"/>
    <n v="275"/>
    <x v="16"/>
    <x v="16"/>
    <x v="0"/>
    <n v="1"/>
    <m/>
    <m/>
    <m/>
  </r>
  <r>
    <n v="537"/>
    <n v="32"/>
    <n v="32"/>
    <s v="FOTOVOLTAICA"/>
    <s v="INSTALACION"/>
    <s v="AYUNTAMIENTO ESCAÑUELA"/>
    <m/>
    <s v="HECTOR-JAVI-TOMAS"/>
    <d v="2026-02-27T00:00:00"/>
    <n v="16"/>
    <n v="53"/>
    <n v="290"/>
    <x v="52"/>
    <x v="52"/>
    <x v="0"/>
    <n v="1"/>
    <m/>
    <m/>
    <m/>
  </r>
  <r>
    <n v="538"/>
    <n v="32"/>
    <n v="32"/>
    <s v="FOTOVOLTAICA"/>
    <s v="INSTALACION"/>
    <s v="AYUNTAMIENTO ESCAÑUELA"/>
    <m/>
    <s v="HECTOR-JAVI-TOMAS"/>
    <d v="2026-02-27T00:00:00"/>
    <n v="16"/>
    <n v="51"/>
    <n v="309"/>
    <x v="55"/>
    <x v="55"/>
    <x v="0"/>
    <n v="1"/>
    <m/>
    <m/>
    <m/>
  </r>
  <r>
    <n v="539"/>
    <n v="32"/>
    <n v="32"/>
    <s v="FOTOVOLTAICA"/>
    <s v="INSTALACION"/>
    <s v="AYUNTAMIENTO ESCAÑUELA"/>
    <m/>
    <s v="HECTOR-JAVI-TOMAS"/>
    <d v="2026-02-27T00:00:00"/>
    <n v="16"/>
    <n v="49"/>
    <n v="288"/>
    <x v="54"/>
    <x v="54"/>
    <x v="0"/>
    <n v="1"/>
    <m/>
    <m/>
    <m/>
  </r>
  <r>
    <n v="540"/>
    <n v="32"/>
    <n v="32"/>
    <s v="FOTOVOLTAICA"/>
    <s v="INSTALACION"/>
    <s v="AYUNTAMIENTO ESCAÑUELA"/>
    <m/>
    <s v="HECTOR-JAVI-TOMAS"/>
    <d v="2026-02-27T00:00:00"/>
    <n v="16"/>
    <n v="48"/>
    <n v="281"/>
    <x v="27"/>
    <x v="27"/>
    <x v="0"/>
    <n v="2"/>
    <m/>
    <m/>
    <m/>
  </r>
  <r>
    <n v="541"/>
    <n v="32"/>
    <n v="32"/>
    <s v="FOTOVOLTAICA"/>
    <s v="INSTALACION"/>
    <s v="AYUNTAMIENTO ESCAÑUELA"/>
    <m/>
    <s v="HECTOR-JAVI-TOMAS"/>
    <d v="2026-02-27T00:00:00"/>
    <n v="16"/>
    <n v="50"/>
    <n v="283"/>
    <x v="29"/>
    <x v="29"/>
    <x v="0"/>
    <n v="2"/>
    <m/>
    <m/>
    <m/>
  </r>
  <r>
    <n v="542"/>
    <n v="32"/>
    <n v="32"/>
    <s v="FOTOVOLTAICA"/>
    <s v="INSTALACION"/>
    <s v="AYUNTAMIENTO ESCAÑUELA"/>
    <m/>
    <s v="HECTOR-JAVI-TOMAS"/>
    <d v="2026-02-27T00:00:00"/>
    <n v="16"/>
    <n v="52"/>
    <n v="292"/>
    <x v="61"/>
    <x v="61"/>
    <x v="0"/>
    <n v="1"/>
    <m/>
    <m/>
    <m/>
  </r>
  <r>
    <n v="543"/>
    <n v="32"/>
    <n v="32"/>
    <s v="FOTOVOLTAICA"/>
    <s v="INSTALACION"/>
    <s v="AYUNTAMIENTO ESCAÑUELA"/>
    <m/>
    <s v="HECTOR-JAVI-TOMAS"/>
    <d v="2026-02-27T00:00:00"/>
    <n v="16"/>
    <n v="47"/>
    <n v="318"/>
    <x v="38"/>
    <x v="38"/>
    <x v="0"/>
    <n v="1"/>
    <m/>
    <m/>
    <m/>
  </r>
  <r>
    <n v="544"/>
    <n v="32"/>
    <n v="32"/>
    <s v="FOTOVOLTAICA"/>
    <s v="INSTALACION"/>
    <s v="AYUNTAMIENTO ESCAÑUELA"/>
    <m/>
    <s v="HECTOR-JAVI-TOMAS"/>
    <d v="2026-02-27T00:00:00"/>
    <n v="9"/>
    <n v="2"/>
    <n v="291"/>
    <x v="44"/>
    <x v="44"/>
    <x v="0"/>
    <n v="13"/>
    <m/>
    <m/>
    <n v="7"/>
  </r>
  <r>
    <n v="545"/>
    <n v="32"/>
    <n v="32"/>
    <s v="FOTOVOLTAICA"/>
    <s v="INSTALACION"/>
    <s v="AYUNTAMIENTO ESCAÑUELA"/>
    <m/>
    <s v="HECTOR-JAVI-TOMAS"/>
    <d v="2026-02-27T00:00:00"/>
    <n v="9"/>
    <n v="32"/>
    <n v="223"/>
    <x v="7"/>
    <x v="7"/>
    <x v="0"/>
    <n v="10"/>
    <m/>
    <m/>
    <n v="3"/>
  </r>
  <r>
    <n v="546"/>
    <n v="32"/>
    <n v="32"/>
    <s v="FOTOVOLTAICA"/>
    <s v="INSTALACION"/>
    <s v="AYUNTAMIENTO ESCAÑUELA"/>
    <m/>
    <s v="HECTOR-JAVI-TOMAS"/>
    <d v="2026-02-27T00:00:00"/>
    <n v="16"/>
    <n v="61"/>
    <n v="331"/>
    <x v="68"/>
    <x v="68"/>
    <x v="0"/>
    <n v="10"/>
    <m/>
    <m/>
    <n v="4"/>
  </r>
  <r>
    <n v="547"/>
    <n v="32"/>
    <n v="32"/>
    <s v="FOTOVOLTAICA"/>
    <s v="INSTALACION"/>
    <s v="AYUNTAMIENTO ESCAÑUELA"/>
    <m/>
    <s v="HECTOR-JAVI-TOMAS"/>
    <d v="2026-02-27T00:00:00"/>
    <n v="16"/>
    <n v="61"/>
    <n v="332"/>
    <x v="69"/>
    <x v="69"/>
    <x v="0"/>
    <n v="10"/>
    <m/>
    <m/>
    <n v="4"/>
  </r>
  <r>
    <n v="548"/>
    <n v="32"/>
    <n v="32"/>
    <s v="FOTOVOLTAICA"/>
    <s v="INSTALACION"/>
    <s v="AYUNTAMIENTO ESCAÑUELA"/>
    <m/>
    <s v="HECTOR-JAVI-TOMAS"/>
    <d v="2026-02-27T00:00:00"/>
    <n v="3"/>
    <n v="31"/>
    <n v="277"/>
    <x v="18"/>
    <x v="18"/>
    <x v="1"/>
    <n v="24"/>
    <m/>
    <m/>
    <m/>
  </r>
  <r>
    <n v="549"/>
    <n v="32"/>
    <n v="32"/>
    <s v="FOTOVOLTAICA"/>
    <s v="INSTALACION"/>
    <s v="AYUNTAMIENTO ESCAÑUELA"/>
    <m/>
    <s v="HECTOR-JAVI-TOMAS"/>
    <d v="2026-02-27T00:00:00"/>
    <n v="3"/>
    <n v="31"/>
    <n v="278"/>
    <x v="19"/>
    <x v="19"/>
    <x v="1"/>
    <n v="20"/>
    <m/>
    <m/>
    <m/>
  </r>
  <r>
    <n v="550"/>
    <n v="32"/>
    <n v="32"/>
    <s v="FOTOVOLTAICA"/>
    <s v="INSTALACION"/>
    <s v="AYUNTAMIENTO ESCAÑUELA"/>
    <m/>
    <s v="HECTOR-JAVI-TOMAS"/>
    <d v="2026-02-27T00:00:00"/>
    <n v="10"/>
    <n v="43"/>
    <n v="270"/>
    <x v="12"/>
    <x v="12"/>
    <x v="0"/>
    <n v="8"/>
    <m/>
    <m/>
    <n v="4"/>
  </r>
  <r>
    <n v="551"/>
    <n v="32"/>
    <n v="32"/>
    <s v="FOTOVOLTAICA"/>
    <s v="INSTALACION"/>
    <s v="AYUNTAMIENTO ESCAÑUELA"/>
    <m/>
    <s v="HECTOR-JAVI-TOMAS"/>
    <d v="2026-02-27T00:00:00"/>
    <n v="13"/>
    <n v="22"/>
    <n v="184"/>
    <x v="0"/>
    <x v="0"/>
    <x v="0"/>
    <n v="100"/>
    <m/>
    <m/>
    <m/>
  </r>
  <r>
    <n v="552"/>
    <n v="32"/>
    <n v="32"/>
    <s v="FOTOVOLTAICA"/>
    <s v="INSTALACION"/>
    <s v="AYUNTAMIENTO ESCAÑUELA"/>
    <m/>
    <s v="HECTOR-JAVI-TOMAS"/>
    <d v="2026-02-27T00:00:00"/>
    <n v="17"/>
    <n v="44"/>
    <n v="271"/>
    <x v="13"/>
    <x v="13"/>
    <x v="0"/>
    <n v="1"/>
    <m/>
    <m/>
    <m/>
  </r>
  <r>
    <n v="553"/>
    <n v="32"/>
    <n v="32"/>
    <s v="FOTOVOLTAICA"/>
    <s v="INSTALACION"/>
    <s v="AYUNTAMIENTO ESCAÑUELA"/>
    <m/>
    <s v="HECTOR-JAVI-TOMAS"/>
    <d v="2026-02-27T00:00:00"/>
    <n v="17"/>
    <n v="44"/>
    <n v="272"/>
    <x v="14"/>
    <x v="14"/>
    <x v="0"/>
    <n v="1"/>
    <m/>
    <m/>
    <m/>
  </r>
  <r>
    <n v="554"/>
    <n v="32"/>
    <n v="32"/>
    <s v="FOTOVOLTAICA"/>
    <s v="INSTALACION"/>
    <s v="AYUNTAMIENTO ESCAÑUELA"/>
    <m/>
    <s v="HECTOR-JAVI-TOMAS"/>
    <d v="2026-02-27T00:00:00"/>
    <n v="10"/>
    <n v="15"/>
    <n v="269"/>
    <x v="10"/>
    <x v="10"/>
    <x v="0"/>
    <n v="7"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F6F8C-B97C-4C66-9D01-BC94DFFF991C}" name="TablaDiná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96" firstHeaderRow="0" firstDataRow="1" firstDataCol="3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94">
        <item m="1" x="93"/>
        <item x="10"/>
        <item x="85"/>
        <item x="34"/>
        <item x="76"/>
        <item x="35"/>
        <item x="77"/>
        <item x="67"/>
        <item x="9"/>
        <item x="66"/>
        <item x="12"/>
        <item x="32"/>
        <item x="33"/>
        <item x="0"/>
        <item x="92"/>
        <item x="75"/>
        <item x="81"/>
        <item x="74"/>
        <item x="11"/>
        <item x="72"/>
        <item x="73"/>
        <item x="2"/>
        <item x="84"/>
        <item x="41"/>
        <item x="86"/>
        <item x="82"/>
        <item x="16"/>
        <item x="17"/>
        <item x="36"/>
        <item x="40"/>
        <item x="37"/>
        <item x="83"/>
        <item x="20"/>
        <item x="26"/>
        <item x="38"/>
        <item x="27"/>
        <item x="28"/>
        <item x="54"/>
        <item x="29"/>
        <item x="80"/>
        <item x="71"/>
        <item x="30"/>
        <item x="55"/>
        <item x="31"/>
        <item x="61"/>
        <item x="53"/>
        <item x="39"/>
        <item x="56"/>
        <item x="52"/>
        <item x="64"/>
        <item x="63"/>
        <item x="62"/>
        <item x="43"/>
        <item x="47"/>
        <item x="48"/>
        <item x="68"/>
        <item x="69"/>
        <item x="79"/>
        <item x="88"/>
        <item x="13"/>
        <item x="14"/>
        <item x="89"/>
        <item x="90"/>
        <item x="3"/>
        <item x="4"/>
        <item x="57"/>
        <item x="5"/>
        <item x="6"/>
        <item x="25"/>
        <item x="24"/>
        <item x="23"/>
        <item x="22"/>
        <item x="21"/>
        <item x="18"/>
        <item x="19"/>
        <item x="8"/>
        <item x="49"/>
        <item x="1"/>
        <item x="15"/>
        <item x="58"/>
        <item x="50"/>
        <item x="51"/>
        <item x="45"/>
        <item x="78"/>
        <item x="59"/>
        <item x="46"/>
        <item x="91"/>
        <item x="87"/>
        <item x="42"/>
        <item x="70"/>
        <item x="44"/>
        <item x="7"/>
        <item x="60"/>
        <item x="65"/>
      </items>
    </pivotField>
    <pivotField axis="axisRow" compact="0" outline="0" showAll="0" defaultSubtotal="0">
      <items count="94">
        <item m="1" x="93"/>
        <item x="11"/>
        <item x="65"/>
        <item x="70"/>
        <item x="10"/>
        <item x="8"/>
        <item x="49"/>
        <item x="59"/>
        <item x="46"/>
        <item x="0"/>
        <item x="33"/>
        <item x="22"/>
        <item x="23"/>
        <item x="24"/>
        <item x="21"/>
        <item x="25"/>
        <item x="5"/>
        <item x="4"/>
        <item x="3"/>
        <item x="6"/>
        <item x="57"/>
        <item x="18"/>
        <item x="19"/>
        <item x="86"/>
        <item x="83"/>
        <item x="36"/>
        <item x="16"/>
        <item x="37"/>
        <item x="17"/>
        <item x="40"/>
        <item x="72"/>
        <item x="73"/>
        <item x="1"/>
        <item x="81"/>
        <item x="74"/>
        <item x="92"/>
        <item x="75"/>
        <item x="43"/>
        <item x="68"/>
        <item x="69"/>
        <item x="54"/>
        <item x="28"/>
        <item x="51"/>
        <item x="7"/>
        <item x="60"/>
        <item x="38"/>
        <item x="26"/>
        <item x="2"/>
        <item x="12"/>
        <item x="71"/>
        <item x="29"/>
        <item x="80"/>
        <item x="50"/>
        <item x="15"/>
        <item x="58"/>
        <item x="41"/>
        <item x="84"/>
        <item x="30"/>
        <item x="55"/>
        <item x="20"/>
        <item x="62"/>
        <item x="63"/>
        <item x="85"/>
        <item x="82"/>
        <item x="9"/>
        <item x="66"/>
        <item x="64"/>
        <item x="56"/>
        <item x="52"/>
        <item x="45"/>
        <item x="78"/>
        <item x="27"/>
        <item x="88"/>
        <item x="48"/>
        <item x="47"/>
        <item x="13"/>
        <item x="14"/>
        <item x="89"/>
        <item x="76"/>
        <item x="34"/>
        <item x="67"/>
        <item x="77"/>
        <item x="35"/>
        <item x="32"/>
        <item x="90"/>
        <item x="39"/>
        <item x="31"/>
        <item x="53"/>
        <item x="61"/>
        <item x="87"/>
        <item x="42"/>
        <item x="79"/>
        <item x="44"/>
        <item x="91"/>
      </items>
    </pivotField>
    <pivotField axis="axisRow" compact="0" outline="0" showAll="0" defaultSubtotal="0">
      <items count="4">
        <item m="1" x="3"/>
        <item x="2"/>
        <item x="1"/>
        <item x="0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3">
    <field x="12"/>
    <field x="13"/>
    <field x="14"/>
  </rowFields>
  <rowItems count="94">
    <i>
      <x v="1"/>
      <x v="4"/>
      <x v="3"/>
    </i>
    <i>
      <x v="2"/>
      <x v="62"/>
      <x v="3"/>
    </i>
    <i>
      <x v="3"/>
      <x v="79"/>
      <x v="3"/>
    </i>
    <i>
      <x v="4"/>
      <x v="78"/>
      <x v="3"/>
    </i>
    <i>
      <x v="5"/>
      <x v="82"/>
      <x v="3"/>
    </i>
    <i>
      <x v="6"/>
      <x v="81"/>
      <x v="3"/>
    </i>
    <i>
      <x v="7"/>
      <x v="80"/>
      <x v="3"/>
    </i>
    <i>
      <x v="8"/>
      <x v="64"/>
      <x v="3"/>
    </i>
    <i>
      <x v="9"/>
      <x v="65"/>
      <x v="3"/>
    </i>
    <i>
      <x v="10"/>
      <x v="48"/>
      <x v="3"/>
    </i>
    <i>
      <x v="11"/>
      <x v="83"/>
      <x v="3"/>
    </i>
    <i>
      <x v="12"/>
      <x v="10"/>
      <x v="3"/>
    </i>
    <i>
      <x v="13"/>
      <x v="9"/>
      <x v="3"/>
    </i>
    <i>
      <x v="14"/>
      <x v="35"/>
      <x v="3"/>
    </i>
    <i>
      <x v="15"/>
      <x v="36"/>
      <x v="3"/>
    </i>
    <i>
      <x v="16"/>
      <x v="33"/>
      <x v="3"/>
    </i>
    <i>
      <x v="17"/>
      <x v="34"/>
      <x v="3"/>
    </i>
    <i>
      <x v="18"/>
      <x v="1"/>
      <x v="3"/>
    </i>
    <i>
      <x v="19"/>
      <x v="30"/>
      <x v="3"/>
    </i>
    <i>
      <x v="20"/>
      <x v="31"/>
      <x v="3"/>
    </i>
    <i>
      <x v="21"/>
      <x v="47"/>
      <x v="3"/>
    </i>
    <i>
      <x v="22"/>
      <x v="56"/>
      <x v="3"/>
    </i>
    <i>
      <x v="23"/>
      <x v="55"/>
      <x v="3"/>
    </i>
    <i>
      <x v="24"/>
      <x v="23"/>
      <x v="3"/>
    </i>
    <i>
      <x v="25"/>
      <x v="63"/>
      <x v="3"/>
    </i>
    <i>
      <x v="26"/>
      <x v="26"/>
      <x v="3"/>
    </i>
    <i>
      <x v="27"/>
      <x v="28"/>
      <x v="3"/>
    </i>
    <i>
      <x v="28"/>
      <x v="25"/>
      <x v="3"/>
    </i>
    <i>
      <x v="29"/>
      <x v="29"/>
      <x v="3"/>
    </i>
    <i>
      <x v="30"/>
      <x v="27"/>
      <x v="3"/>
    </i>
    <i>
      <x v="31"/>
      <x v="24"/>
      <x v="3"/>
    </i>
    <i>
      <x v="32"/>
      <x v="59"/>
      <x v="2"/>
    </i>
    <i>
      <x v="33"/>
      <x v="46"/>
      <x v="3"/>
    </i>
    <i>
      <x v="34"/>
      <x v="45"/>
      <x v="3"/>
    </i>
    <i>
      <x v="35"/>
      <x v="71"/>
      <x v="3"/>
    </i>
    <i>
      <x v="36"/>
      <x v="41"/>
      <x v="3"/>
    </i>
    <i>
      <x v="37"/>
      <x v="40"/>
      <x v="3"/>
    </i>
    <i>
      <x v="38"/>
      <x v="50"/>
      <x v="3"/>
    </i>
    <i>
      <x v="39"/>
      <x v="51"/>
      <x v="3"/>
    </i>
    <i>
      <x v="40"/>
      <x v="49"/>
      <x v="3"/>
    </i>
    <i>
      <x v="41"/>
      <x v="57"/>
      <x v="3"/>
    </i>
    <i>
      <x v="42"/>
      <x v="58"/>
      <x v="3"/>
    </i>
    <i>
      <x v="43"/>
      <x v="86"/>
      <x v="3"/>
    </i>
    <i>
      <x v="44"/>
      <x v="88"/>
      <x v="3"/>
    </i>
    <i>
      <x v="45"/>
      <x v="87"/>
      <x v="3"/>
    </i>
    <i>
      <x v="46"/>
      <x v="85"/>
      <x v="3"/>
    </i>
    <i>
      <x v="47"/>
      <x v="67"/>
      <x v="3"/>
    </i>
    <i>
      <x v="48"/>
      <x v="68"/>
      <x v="3"/>
    </i>
    <i>
      <x v="49"/>
      <x v="66"/>
      <x v="3"/>
    </i>
    <i>
      <x v="50"/>
      <x v="61"/>
      <x v="3"/>
    </i>
    <i>
      <x v="51"/>
      <x v="60"/>
      <x v="3"/>
    </i>
    <i>
      <x v="52"/>
      <x v="37"/>
      <x v="3"/>
    </i>
    <i>
      <x v="53"/>
      <x v="74"/>
      <x v="3"/>
    </i>
    <i>
      <x v="54"/>
      <x v="73"/>
      <x v="3"/>
    </i>
    <i>
      <x v="55"/>
      <x v="38"/>
      <x v="3"/>
    </i>
    <i>
      <x v="56"/>
      <x v="39"/>
      <x v="3"/>
    </i>
    <i>
      <x v="57"/>
      <x v="91"/>
      <x v="3"/>
    </i>
    <i>
      <x v="58"/>
      <x v="72"/>
      <x v="3"/>
    </i>
    <i>
      <x v="59"/>
      <x v="75"/>
      <x v="3"/>
    </i>
    <i>
      <x v="60"/>
      <x v="76"/>
      <x v="3"/>
    </i>
    <i>
      <x v="61"/>
      <x v="77"/>
      <x v="3"/>
    </i>
    <i>
      <x v="62"/>
      <x v="84"/>
      <x v="3"/>
    </i>
    <i>
      <x v="63"/>
      <x v="18"/>
      <x v="2"/>
    </i>
    <i>
      <x v="64"/>
      <x v="17"/>
      <x v="2"/>
    </i>
    <i>
      <x v="65"/>
      <x v="20"/>
      <x v="2"/>
    </i>
    <i>
      <x v="66"/>
      <x v="16"/>
      <x v="2"/>
    </i>
    <i>
      <x v="67"/>
      <x v="19"/>
      <x v="2"/>
    </i>
    <i>
      <x v="68"/>
      <x v="15"/>
      <x v="2"/>
    </i>
    <i>
      <x v="69"/>
      <x v="13"/>
      <x v="2"/>
    </i>
    <i>
      <x v="70"/>
      <x v="12"/>
      <x v="2"/>
    </i>
    <i>
      <x v="71"/>
      <x v="11"/>
      <x v="2"/>
    </i>
    <i>
      <x v="72"/>
      <x v="14"/>
      <x v="2"/>
    </i>
    <i>
      <x v="73"/>
      <x v="21"/>
      <x v="2"/>
    </i>
    <i>
      <x v="74"/>
      <x v="22"/>
      <x v="2"/>
    </i>
    <i>
      <x v="75"/>
      <x v="5"/>
      <x v="3"/>
    </i>
    <i>
      <x v="76"/>
      <x v="6"/>
      <x v="3"/>
    </i>
    <i>
      <x v="77"/>
      <x v="32"/>
      <x v="3"/>
    </i>
    <i>
      <x v="78"/>
      <x v="53"/>
      <x v="3"/>
    </i>
    <i>
      <x v="79"/>
      <x v="54"/>
      <x v="3"/>
    </i>
    <i>
      <x v="80"/>
      <x v="52"/>
      <x v="3"/>
    </i>
    <i>
      <x v="81"/>
      <x v="42"/>
      <x v="3"/>
    </i>
    <i>
      <x v="82"/>
      <x v="69"/>
      <x v="3"/>
    </i>
    <i>
      <x v="83"/>
      <x v="70"/>
      <x v="3"/>
    </i>
    <i>
      <x v="84"/>
      <x v="7"/>
      <x v="3"/>
    </i>
    <i>
      <x v="85"/>
      <x v="8"/>
      <x v="3"/>
    </i>
    <i>
      <x v="86"/>
      <x v="93"/>
      <x v="3"/>
    </i>
    <i>
      <x v="87"/>
      <x v="89"/>
      <x v="3"/>
    </i>
    <i>
      <x v="88"/>
      <x v="90"/>
      <x v="3"/>
    </i>
    <i>
      <x v="89"/>
      <x v="3"/>
      <x v="3"/>
    </i>
    <i>
      <x v="90"/>
      <x v="92"/>
      <x v="3"/>
    </i>
    <i>
      <x v="91"/>
      <x v="43"/>
      <x v="3"/>
    </i>
    <i>
      <x v="92"/>
      <x v="44"/>
      <x v="3"/>
    </i>
    <i>
      <x v="93"/>
      <x v="2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. ENTREGADA" fld="15" baseField="14" baseItem="1"/>
    <dataField name="Suma de CANT. DEVOLUC." fld="18" baseField="0" baseItem="0"/>
  </dataFields>
  <formats count="295">
    <format dxfId="728">
      <pivotArea dataOnly="0" labelOnly="1" grandRow="1" outline="0" fieldPosition="0"/>
    </format>
    <format dxfId="727">
      <pivotArea dataOnly="0" labelOnly="1" outline="0" fieldPosition="0">
        <references count="3">
          <reference field="12" count="1" selected="0">
            <x v="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">
      <pivotArea dataOnly="0" labelOnly="1" outline="0" fieldPosition="0">
        <references count="3">
          <reference field="12" count="1" selected="0">
            <x v="1"/>
          </reference>
          <reference field="13" count="1" selected="0">
            <x v="4"/>
          </reference>
          <reference field="14" count="1">
            <x v="3"/>
          </reference>
        </references>
      </pivotArea>
    </format>
    <format dxfId="725">
      <pivotArea dataOnly="0" labelOnly="1" outline="0" fieldPosition="0">
        <references count="3">
          <reference field="12" count="1" selected="0">
            <x v="2"/>
          </reference>
          <reference field="13" count="1" selected="0">
            <x v="62"/>
          </reference>
          <reference field="14" count="1">
            <x v="3"/>
          </reference>
        </references>
      </pivotArea>
    </format>
    <format dxfId="724">
      <pivotArea dataOnly="0" labelOnly="1" outline="0" fieldPosition="0">
        <references count="3">
          <reference field="12" count="1" selected="0">
            <x v="3"/>
          </reference>
          <reference field="13" count="1" selected="0">
            <x v="79"/>
          </reference>
          <reference field="14" count="1">
            <x v="3"/>
          </reference>
        </references>
      </pivotArea>
    </format>
    <format dxfId="723">
      <pivotArea dataOnly="0" labelOnly="1" outline="0" fieldPosition="0">
        <references count="3">
          <reference field="12" count="1" selected="0">
            <x v="4"/>
          </reference>
          <reference field="13" count="1" selected="0">
            <x v="78"/>
          </reference>
          <reference field="14" count="1">
            <x v="3"/>
          </reference>
        </references>
      </pivotArea>
    </format>
    <format dxfId="722">
      <pivotArea dataOnly="0" labelOnly="1" outline="0" fieldPosition="0">
        <references count="3">
          <reference field="12" count="1" selected="0">
            <x v="5"/>
          </reference>
          <reference field="13" count="1" selected="0">
            <x v="82"/>
          </reference>
          <reference field="14" count="1">
            <x v="3"/>
          </reference>
        </references>
      </pivotArea>
    </format>
    <format dxfId="721">
      <pivotArea dataOnly="0" labelOnly="1" outline="0" fieldPosition="0">
        <references count="3">
          <reference field="12" count="1" selected="0">
            <x v="6"/>
          </reference>
          <reference field="13" count="1" selected="0">
            <x v="81"/>
          </reference>
          <reference field="14" count="1">
            <x v="3"/>
          </reference>
        </references>
      </pivotArea>
    </format>
    <format dxfId="720">
      <pivotArea dataOnly="0" labelOnly="1" outline="0" fieldPosition="0">
        <references count="3">
          <reference field="12" count="1" selected="0">
            <x v="7"/>
          </reference>
          <reference field="13" count="1" selected="0">
            <x v="80"/>
          </reference>
          <reference field="14" count="1">
            <x v="3"/>
          </reference>
        </references>
      </pivotArea>
    </format>
    <format dxfId="719">
      <pivotArea dataOnly="0" labelOnly="1" outline="0" fieldPosition="0">
        <references count="3">
          <reference field="12" count="1" selected="0">
            <x v="8"/>
          </reference>
          <reference field="13" count="1" selected="0">
            <x v="64"/>
          </reference>
          <reference field="14" count="1">
            <x v="3"/>
          </reference>
        </references>
      </pivotArea>
    </format>
    <format dxfId="718">
      <pivotArea dataOnly="0" labelOnly="1" outline="0" fieldPosition="0">
        <references count="3">
          <reference field="12" count="1" selected="0">
            <x v="9"/>
          </reference>
          <reference field="13" count="1" selected="0">
            <x v="65"/>
          </reference>
          <reference field="14" count="1">
            <x v="3"/>
          </reference>
        </references>
      </pivotArea>
    </format>
    <format dxfId="717">
      <pivotArea dataOnly="0" labelOnly="1" outline="0" fieldPosition="0">
        <references count="3">
          <reference field="12" count="1" selected="0">
            <x v="10"/>
          </reference>
          <reference field="13" count="1" selected="0">
            <x v="48"/>
          </reference>
          <reference field="14" count="1">
            <x v="3"/>
          </reference>
        </references>
      </pivotArea>
    </format>
    <format dxfId="716">
      <pivotArea dataOnly="0" labelOnly="1" outline="0" fieldPosition="0">
        <references count="3">
          <reference field="12" count="1" selected="0">
            <x v="11"/>
          </reference>
          <reference field="13" count="1" selected="0">
            <x v="83"/>
          </reference>
          <reference field="14" count="1">
            <x v="3"/>
          </reference>
        </references>
      </pivotArea>
    </format>
    <format dxfId="715">
      <pivotArea dataOnly="0" labelOnly="1" outline="0" fieldPosition="0">
        <references count="3">
          <reference field="12" count="1" selected="0">
            <x v="12"/>
          </reference>
          <reference field="13" count="1" selected="0">
            <x v="10"/>
          </reference>
          <reference field="14" count="1">
            <x v="3"/>
          </reference>
        </references>
      </pivotArea>
    </format>
    <format dxfId="714">
      <pivotArea dataOnly="0" labelOnly="1" outline="0" fieldPosition="0">
        <references count="3">
          <reference field="12" count="1" selected="0">
            <x v="13"/>
          </reference>
          <reference field="13" count="1" selected="0">
            <x v="9"/>
          </reference>
          <reference field="14" count="1">
            <x v="3"/>
          </reference>
        </references>
      </pivotArea>
    </format>
    <format dxfId="713">
      <pivotArea dataOnly="0" labelOnly="1" outline="0" fieldPosition="0">
        <references count="3">
          <reference field="12" count="1" selected="0">
            <x v="14"/>
          </reference>
          <reference field="13" count="1" selected="0">
            <x v="35"/>
          </reference>
          <reference field="14" count="1">
            <x v="3"/>
          </reference>
        </references>
      </pivotArea>
    </format>
    <format dxfId="712">
      <pivotArea dataOnly="0" labelOnly="1" outline="0" fieldPosition="0">
        <references count="3">
          <reference field="12" count="1" selected="0">
            <x v="15"/>
          </reference>
          <reference field="13" count="1" selected="0">
            <x v="36"/>
          </reference>
          <reference field="14" count="1">
            <x v="3"/>
          </reference>
        </references>
      </pivotArea>
    </format>
    <format dxfId="711">
      <pivotArea dataOnly="0" labelOnly="1" outline="0" fieldPosition="0">
        <references count="3">
          <reference field="12" count="1" selected="0">
            <x v="16"/>
          </reference>
          <reference field="13" count="1" selected="0">
            <x v="33"/>
          </reference>
          <reference field="14" count="1">
            <x v="3"/>
          </reference>
        </references>
      </pivotArea>
    </format>
    <format dxfId="710">
      <pivotArea dataOnly="0" labelOnly="1" outline="0" fieldPosition="0">
        <references count="3">
          <reference field="12" count="1" selected="0">
            <x v="17"/>
          </reference>
          <reference field="13" count="1" selected="0">
            <x v="34"/>
          </reference>
          <reference field="14" count="1">
            <x v="3"/>
          </reference>
        </references>
      </pivotArea>
    </format>
    <format dxfId="709">
      <pivotArea dataOnly="0" labelOnly="1" outline="0" fieldPosition="0">
        <references count="3">
          <reference field="12" count="1" selected="0">
            <x v="18"/>
          </reference>
          <reference field="13" count="1" selected="0">
            <x v="1"/>
          </reference>
          <reference field="14" count="1">
            <x v="3"/>
          </reference>
        </references>
      </pivotArea>
    </format>
    <format dxfId="708">
      <pivotArea dataOnly="0" labelOnly="1" outline="0" fieldPosition="0">
        <references count="3">
          <reference field="12" count="1" selected="0">
            <x v="19"/>
          </reference>
          <reference field="13" count="1" selected="0">
            <x v="30"/>
          </reference>
          <reference field="14" count="1">
            <x v="3"/>
          </reference>
        </references>
      </pivotArea>
    </format>
    <format dxfId="707">
      <pivotArea dataOnly="0" labelOnly="1" outline="0" fieldPosition="0">
        <references count="3">
          <reference field="12" count="1" selected="0">
            <x v="20"/>
          </reference>
          <reference field="13" count="1" selected="0">
            <x v="31"/>
          </reference>
          <reference field="14" count="1">
            <x v="3"/>
          </reference>
        </references>
      </pivotArea>
    </format>
    <format dxfId="706">
      <pivotArea dataOnly="0" labelOnly="1" outline="0" fieldPosition="0">
        <references count="3">
          <reference field="12" count="1" selected="0">
            <x v="21"/>
          </reference>
          <reference field="13" count="1" selected="0">
            <x v="47"/>
          </reference>
          <reference field="14" count="1">
            <x v="3"/>
          </reference>
        </references>
      </pivotArea>
    </format>
    <format dxfId="705">
      <pivotArea dataOnly="0" labelOnly="1" outline="0" fieldPosition="0">
        <references count="3">
          <reference field="12" count="1" selected="0">
            <x v="22"/>
          </reference>
          <reference field="13" count="1" selected="0">
            <x v="56"/>
          </reference>
          <reference field="14" count="1">
            <x v="3"/>
          </reference>
        </references>
      </pivotArea>
    </format>
    <format dxfId="704">
      <pivotArea dataOnly="0" labelOnly="1" outline="0" fieldPosition="0">
        <references count="3">
          <reference field="12" count="1" selected="0">
            <x v="23"/>
          </reference>
          <reference field="13" count="1" selected="0">
            <x v="55"/>
          </reference>
          <reference field="14" count="1">
            <x v="3"/>
          </reference>
        </references>
      </pivotArea>
    </format>
    <format dxfId="703">
      <pivotArea dataOnly="0" labelOnly="1" outline="0" fieldPosition="0">
        <references count="3">
          <reference field="12" count="1" selected="0">
            <x v="24"/>
          </reference>
          <reference field="13" count="1" selected="0">
            <x v="23"/>
          </reference>
          <reference field="14" count="1">
            <x v="3"/>
          </reference>
        </references>
      </pivotArea>
    </format>
    <format dxfId="702">
      <pivotArea dataOnly="0" labelOnly="1" outline="0" fieldPosition="0">
        <references count="3">
          <reference field="12" count="1" selected="0">
            <x v="25"/>
          </reference>
          <reference field="13" count="1" selected="0">
            <x v="63"/>
          </reference>
          <reference field="14" count="1">
            <x v="3"/>
          </reference>
        </references>
      </pivotArea>
    </format>
    <format dxfId="701">
      <pivotArea dataOnly="0" labelOnly="1" outline="0" fieldPosition="0">
        <references count="3">
          <reference field="12" count="1" selected="0">
            <x v="26"/>
          </reference>
          <reference field="13" count="1" selected="0">
            <x v="26"/>
          </reference>
          <reference field="14" count="1">
            <x v="3"/>
          </reference>
        </references>
      </pivotArea>
    </format>
    <format dxfId="700">
      <pivotArea dataOnly="0" labelOnly="1" outline="0" fieldPosition="0">
        <references count="3">
          <reference field="12" count="1" selected="0">
            <x v="27"/>
          </reference>
          <reference field="13" count="1" selected="0">
            <x v="28"/>
          </reference>
          <reference field="14" count="1">
            <x v="3"/>
          </reference>
        </references>
      </pivotArea>
    </format>
    <format dxfId="699">
      <pivotArea dataOnly="0" labelOnly="1" outline="0" fieldPosition="0">
        <references count="3">
          <reference field="12" count="1" selected="0">
            <x v="28"/>
          </reference>
          <reference field="13" count="1" selected="0">
            <x v="25"/>
          </reference>
          <reference field="14" count="1">
            <x v="3"/>
          </reference>
        </references>
      </pivotArea>
    </format>
    <format dxfId="698">
      <pivotArea dataOnly="0" labelOnly="1" outline="0" fieldPosition="0">
        <references count="3">
          <reference field="12" count="1" selected="0">
            <x v="29"/>
          </reference>
          <reference field="13" count="1" selected="0">
            <x v="29"/>
          </reference>
          <reference field="14" count="1">
            <x v="3"/>
          </reference>
        </references>
      </pivotArea>
    </format>
    <format dxfId="697">
      <pivotArea dataOnly="0" labelOnly="1" outline="0" fieldPosition="0">
        <references count="3">
          <reference field="12" count="1" selected="0">
            <x v="30"/>
          </reference>
          <reference field="13" count="1" selected="0">
            <x v="27"/>
          </reference>
          <reference field="14" count="1">
            <x v="3"/>
          </reference>
        </references>
      </pivotArea>
    </format>
    <format dxfId="696">
      <pivotArea dataOnly="0" labelOnly="1" outline="0" fieldPosition="0">
        <references count="3">
          <reference field="12" count="1" selected="0">
            <x v="31"/>
          </reference>
          <reference field="13" count="1" selected="0">
            <x v="24"/>
          </reference>
          <reference field="14" count="1">
            <x v="3"/>
          </reference>
        </references>
      </pivotArea>
    </format>
    <format dxfId="695">
      <pivotArea dataOnly="0" labelOnly="1" outline="0" fieldPosition="0">
        <references count="3">
          <reference field="12" count="1" selected="0">
            <x v="32"/>
          </reference>
          <reference field="13" count="1" selected="0">
            <x v="59"/>
          </reference>
          <reference field="14" count="1">
            <x v="2"/>
          </reference>
        </references>
      </pivotArea>
    </format>
    <format dxfId="694">
      <pivotArea dataOnly="0" labelOnly="1" outline="0" fieldPosition="0">
        <references count="3">
          <reference field="12" count="1" selected="0">
            <x v="33"/>
          </reference>
          <reference field="13" count="1" selected="0">
            <x v="46"/>
          </reference>
          <reference field="14" count="1">
            <x v="3"/>
          </reference>
        </references>
      </pivotArea>
    </format>
    <format dxfId="693">
      <pivotArea dataOnly="0" labelOnly="1" outline="0" fieldPosition="0">
        <references count="3">
          <reference field="12" count="1" selected="0">
            <x v="34"/>
          </reference>
          <reference field="13" count="1" selected="0">
            <x v="45"/>
          </reference>
          <reference field="14" count="1">
            <x v="3"/>
          </reference>
        </references>
      </pivotArea>
    </format>
    <format dxfId="692">
      <pivotArea dataOnly="0" labelOnly="1" outline="0" fieldPosition="0">
        <references count="3">
          <reference field="12" count="1" selected="0">
            <x v="35"/>
          </reference>
          <reference field="13" count="1" selected="0">
            <x v="71"/>
          </reference>
          <reference field="14" count="1">
            <x v="3"/>
          </reference>
        </references>
      </pivotArea>
    </format>
    <format dxfId="691">
      <pivotArea dataOnly="0" labelOnly="1" outline="0" fieldPosition="0">
        <references count="3">
          <reference field="12" count="1" selected="0">
            <x v="36"/>
          </reference>
          <reference field="13" count="1" selected="0">
            <x v="41"/>
          </reference>
          <reference field="14" count="1">
            <x v="3"/>
          </reference>
        </references>
      </pivotArea>
    </format>
    <format dxfId="690">
      <pivotArea dataOnly="0" labelOnly="1" outline="0" fieldPosition="0">
        <references count="3">
          <reference field="12" count="1" selected="0">
            <x v="37"/>
          </reference>
          <reference field="13" count="1" selected="0">
            <x v="40"/>
          </reference>
          <reference field="14" count="1">
            <x v="3"/>
          </reference>
        </references>
      </pivotArea>
    </format>
    <format dxfId="689">
      <pivotArea dataOnly="0" labelOnly="1" outline="0" fieldPosition="0">
        <references count="3">
          <reference field="12" count="1" selected="0">
            <x v="38"/>
          </reference>
          <reference field="13" count="1" selected="0">
            <x v="50"/>
          </reference>
          <reference field="14" count="1">
            <x v="3"/>
          </reference>
        </references>
      </pivotArea>
    </format>
    <format dxfId="688">
      <pivotArea dataOnly="0" labelOnly="1" outline="0" fieldPosition="0">
        <references count="3">
          <reference field="12" count="1" selected="0">
            <x v="39"/>
          </reference>
          <reference field="13" count="1" selected="0">
            <x v="51"/>
          </reference>
          <reference field="14" count="1">
            <x v="3"/>
          </reference>
        </references>
      </pivotArea>
    </format>
    <format dxfId="687">
      <pivotArea dataOnly="0" labelOnly="1" outline="0" fieldPosition="0">
        <references count="3">
          <reference field="12" count="1" selected="0">
            <x v="40"/>
          </reference>
          <reference field="13" count="1" selected="0">
            <x v="49"/>
          </reference>
          <reference field="14" count="1">
            <x v="3"/>
          </reference>
        </references>
      </pivotArea>
    </format>
    <format dxfId="686">
      <pivotArea dataOnly="0" labelOnly="1" outline="0" fieldPosition="0">
        <references count="3">
          <reference field="12" count="1" selected="0">
            <x v="41"/>
          </reference>
          <reference field="13" count="1" selected="0">
            <x v="57"/>
          </reference>
          <reference field="14" count="1">
            <x v="3"/>
          </reference>
        </references>
      </pivotArea>
    </format>
    <format dxfId="685">
      <pivotArea dataOnly="0" labelOnly="1" outline="0" fieldPosition="0">
        <references count="3">
          <reference field="12" count="1" selected="0">
            <x v="42"/>
          </reference>
          <reference field="13" count="1" selected="0">
            <x v="58"/>
          </reference>
          <reference field="14" count="1">
            <x v="3"/>
          </reference>
        </references>
      </pivotArea>
    </format>
    <format dxfId="684">
      <pivotArea dataOnly="0" labelOnly="1" outline="0" fieldPosition="0">
        <references count="3">
          <reference field="12" count="1" selected="0">
            <x v="43"/>
          </reference>
          <reference field="13" count="1" selected="0">
            <x v="86"/>
          </reference>
          <reference field="14" count="1">
            <x v="3"/>
          </reference>
        </references>
      </pivotArea>
    </format>
    <format dxfId="683">
      <pivotArea dataOnly="0" labelOnly="1" outline="0" fieldPosition="0">
        <references count="3">
          <reference field="12" count="1" selected="0">
            <x v="44"/>
          </reference>
          <reference field="13" count="1" selected="0">
            <x v="88"/>
          </reference>
          <reference field="14" count="1">
            <x v="3"/>
          </reference>
        </references>
      </pivotArea>
    </format>
    <format dxfId="682">
      <pivotArea dataOnly="0" labelOnly="1" outline="0" fieldPosition="0">
        <references count="3">
          <reference field="12" count="1" selected="0">
            <x v="45"/>
          </reference>
          <reference field="13" count="1" selected="0">
            <x v="87"/>
          </reference>
          <reference field="14" count="1">
            <x v="3"/>
          </reference>
        </references>
      </pivotArea>
    </format>
    <format dxfId="681">
      <pivotArea dataOnly="0" labelOnly="1" outline="0" fieldPosition="0">
        <references count="3">
          <reference field="12" count="1" selected="0">
            <x v="46"/>
          </reference>
          <reference field="13" count="1" selected="0">
            <x v="85"/>
          </reference>
          <reference field="14" count="1">
            <x v="3"/>
          </reference>
        </references>
      </pivotArea>
    </format>
    <format dxfId="680">
      <pivotArea dataOnly="0" labelOnly="1" outline="0" fieldPosition="0">
        <references count="3">
          <reference field="12" count="1" selected="0">
            <x v="47"/>
          </reference>
          <reference field="13" count="1" selected="0">
            <x v="67"/>
          </reference>
          <reference field="14" count="1">
            <x v="3"/>
          </reference>
        </references>
      </pivotArea>
    </format>
    <format dxfId="679">
      <pivotArea dataOnly="0" labelOnly="1" outline="0" fieldPosition="0">
        <references count="3">
          <reference field="12" count="1" selected="0">
            <x v="48"/>
          </reference>
          <reference field="13" count="1" selected="0">
            <x v="68"/>
          </reference>
          <reference field="14" count="1">
            <x v="3"/>
          </reference>
        </references>
      </pivotArea>
    </format>
    <format dxfId="678">
      <pivotArea dataOnly="0" labelOnly="1" outline="0" fieldPosition="0">
        <references count="3">
          <reference field="12" count="1" selected="0">
            <x v="49"/>
          </reference>
          <reference field="13" count="1" selected="0">
            <x v="66"/>
          </reference>
          <reference field="14" count="1">
            <x v="3"/>
          </reference>
        </references>
      </pivotArea>
    </format>
    <format dxfId="677">
      <pivotArea dataOnly="0" labelOnly="1" outline="0" fieldPosition="0">
        <references count="3">
          <reference field="12" count="1" selected="0">
            <x v="50"/>
          </reference>
          <reference field="13" count="1" selected="0">
            <x v="61"/>
          </reference>
          <reference field="14" count="1">
            <x v="3"/>
          </reference>
        </references>
      </pivotArea>
    </format>
    <format dxfId="676">
      <pivotArea dataOnly="0" labelOnly="1" outline="0" fieldPosition="0">
        <references count="3">
          <reference field="12" count="1" selected="0">
            <x v="51"/>
          </reference>
          <reference field="13" count="1" selected="0">
            <x v="60"/>
          </reference>
          <reference field="14" count="1">
            <x v="3"/>
          </reference>
        </references>
      </pivotArea>
    </format>
    <format dxfId="675">
      <pivotArea dataOnly="0" labelOnly="1" outline="0" fieldPosition="0">
        <references count="3">
          <reference field="12" count="1" selected="0">
            <x v="52"/>
          </reference>
          <reference field="13" count="1" selected="0">
            <x v="37"/>
          </reference>
          <reference field="14" count="1">
            <x v="3"/>
          </reference>
        </references>
      </pivotArea>
    </format>
    <format dxfId="674">
      <pivotArea dataOnly="0" labelOnly="1" outline="0" fieldPosition="0">
        <references count="3">
          <reference field="12" count="1" selected="0">
            <x v="53"/>
          </reference>
          <reference field="13" count="1" selected="0">
            <x v="74"/>
          </reference>
          <reference field="14" count="1">
            <x v="3"/>
          </reference>
        </references>
      </pivotArea>
    </format>
    <format dxfId="673">
      <pivotArea dataOnly="0" labelOnly="1" outline="0" fieldPosition="0">
        <references count="3">
          <reference field="12" count="1" selected="0">
            <x v="54"/>
          </reference>
          <reference field="13" count="1" selected="0">
            <x v="73"/>
          </reference>
          <reference field="14" count="1">
            <x v="3"/>
          </reference>
        </references>
      </pivotArea>
    </format>
    <format dxfId="672">
      <pivotArea dataOnly="0" labelOnly="1" outline="0" fieldPosition="0">
        <references count="3">
          <reference field="12" count="1" selected="0">
            <x v="55"/>
          </reference>
          <reference field="13" count="1" selected="0">
            <x v="38"/>
          </reference>
          <reference field="14" count="1">
            <x v="3"/>
          </reference>
        </references>
      </pivotArea>
    </format>
    <format dxfId="671">
      <pivotArea dataOnly="0" labelOnly="1" outline="0" fieldPosition="0">
        <references count="3">
          <reference field="12" count="1" selected="0">
            <x v="56"/>
          </reference>
          <reference field="13" count="1" selected="0">
            <x v="39"/>
          </reference>
          <reference field="14" count="1">
            <x v="3"/>
          </reference>
        </references>
      </pivotArea>
    </format>
    <format dxfId="670">
      <pivotArea dataOnly="0" labelOnly="1" outline="0" fieldPosition="0">
        <references count="3">
          <reference field="12" count="1" selected="0">
            <x v="57"/>
          </reference>
          <reference field="13" count="1" selected="0">
            <x v="91"/>
          </reference>
          <reference field="14" count="1">
            <x v="3"/>
          </reference>
        </references>
      </pivotArea>
    </format>
    <format dxfId="669">
      <pivotArea dataOnly="0" labelOnly="1" outline="0" fieldPosition="0">
        <references count="3">
          <reference field="12" count="1" selected="0">
            <x v="58"/>
          </reference>
          <reference field="13" count="1" selected="0">
            <x v="72"/>
          </reference>
          <reference field="14" count="1">
            <x v="3"/>
          </reference>
        </references>
      </pivotArea>
    </format>
    <format dxfId="668">
      <pivotArea dataOnly="0" labelOnly="1" outline="0" fieldPosition="0">
        <references count="3">
          <reference field="12" count="1" selected="0">
            <x v="59"/>
          </reference>
          <reference field="13" count="1" selected="0">
            <x v="75"/>
          </reference>
          <reference field="14" count="1">
            <x v="3"/>
          </reference>
        </references>
      </pivotArea>
    </format>
    <format dxfId="667">
      <pivotArea dataOnly="0" labelOnly="1" outline="0" fieldPosition="0">
        <references count="3">
          <reference field="12" count="1" selected="0">
            <x v="60"/>
          </reference>
          <reference field="13" count="1" selected="0">
            <x v="76"/>
          </reference>
          <reference field="14" count="1">
            <x v="3"/>
          </reference>
        </references>
      </pivotArea>
    </format>
    <format dxfId="666">
      <pivotArea dataOnly="0" labelOnly="1" outline="0" fieldPosition="0">
        <references count="3">
          <reference field="12" count="1" selected="0">
            <x v="61"/>
          </reference>
          <reference field="13" count="1" selected="0">
            <x v="77"/>
          </reference>
          <reference field="14" count="1">
            <x v="3"/>
          </reference>
        </references>
      </pivotArea>
    </format>
    <format dxfId="665">
      <pivotArea dataOnly="0" labelOnly="1" outline="0" fieldPosition="0">
        <references count="3">
          <reference field="12" count="1" selected="0">
            <x v="62"/>
          </reference>
          <reference field="13" count="1" selected="0">
            <x v="84"/>
          </reference>
          <reference field="14" count="1">
            <x v="3"/>
          </reference>
        </references>
      </pivotArea>
    </format>
    <format dxfId="664">
      <pivotArea dataOnly="0" labelOnly="1" outline="0" fieldPosition="0">
        <references count="3">
          <reference field="12" count="1" selected="0">
            <x v="63"/>
          </reference>
          <reference field="13" count="1" selected="0">
            <x v="18"/>
          </reference>
          <reference field="14" count="1">
            <x v="2"/>
          </reference>
        </references>
      </pivotArea>
    </format>
    <format dxfId="663">
      <pivotArea dataOnly="0" labelOnly="1" outline="0" fieldPosition="0">
        <references count="3">
          <reference field="12" count="1" selected="0">
            <x v="64"/>
          </reference>
          <reference field="13" count="1" selected="0">
            <x v="17"/>
          </reference>
          <reference field="14" count="1">
            <x v="2"/>
          </reference>
        </references>
      </pivotArea>
    </format>
    <format dxfId="662">
      <pivotArea dataOnly="0" labelOnly="1" outline="0" fieldPosition="0">
        <references count="3">
          <reference field="12" count="1" selected="0">
            <x v="65"/>
          </reference>
          <reference field="13" count="1" selected="0">
            <x v="20"/>
          </reference>
          <reference field="14" count="1">
            <x v="2"/>
          </reference>
        </references>
      </pivotArea>
    </format>
    <format dxfId="661">
      <pivotArea dataOnly="0" labelOnly="1" outline="0" fieldPosition="0">
        <references count="3">
          <reference field="12" count="1" selected="0">
            <x v="66"/>
          </reference>
          <reference field="13" count="1" selected="0">
            <x v="16"/>
          </reference>
          <reference field="14" count="1">
            <x v="2"/>
          </reference>
        </references>
      </pivotArea>
    </format>
    <format dxfId="660">
      <pivotArea dataOnly="0" labelOnly="1" outline="0" fieldPosition="0">
        <references count="3">
          <reference field="12" count="1" selected="0">
            <x v="67"/>
          </reference>
          <reference field="13" count="1" selected="0">
            <x v="19"/>
          </reference>
          <reference field="14" count="1">
            <x v="2"/>
          </reference>
        </references>
      </pivotArea>
    </format>
    <format dxfId="659">
      <pivotArea dataOnly="0" labelOnly="1" outline="0" fieldPosition="0">
        <references count="3">
          <reference field="12" count="1" selected="0">
            <x v="68"/>
          </reference>
          <reference field="13" count="1" selected="0">
            <x v="15"/>
          </reference>
          <reference field="14" count="1">
            <x v="2"/>
          </reference>
        </references>
      </pivotArea>
    </format>
    <format dxfId="658">
      <pivotArea dataOnly="0" labelOnly="1" outline="0" fieldPosition="0">
        <references count="3">
          <reference field="12" count="1" selected="0">
            <x v="69"/>
          </reference>
          <reference field="13" count="1" selected="0">
            <x v="13"/>
          </reference>
          <reference field="14" count="1">
            <x v="2"/>
          </reference>
        </references>
      </pivotArea>
    </format>
    <format dxfId="657">
      <pivotArea dataOnly="0" labelOnly="1" outline="0" fieldPosition="0">
        <references count="3">
          <reference field="12" count="1" selected="0">
            <x v="70"/>
          </reference>
          <reference field="13" count="1" selected="0">
            <x v="12"/>
          </reference>
          <reference field="14" count="1">
            <x v="2"/>
          </reference>
        </references>
      </pivotArea>
    </format>
    <format dxfId="656">
      <pivotArea dataOnly="0" labelOnly="1" outline="0" fieldPosition="0">
        <references count="3">
          <reference field="12" count="1" selected="0">
            <x v="71"/>
          </reference>
          <reference field="13" count="1" selected="0">
            <x v="11"/>
          </reference>
          <reference field="14" count="1">
            <x v="2"/>
          </reference>
        </references>
      </pivotArea>
    </format>
    <format dxfId="655">
      <pivotArea dataOnly="0" labelOnly="1" outline="0" fieldPosition="0">
        <references count="3">
          <reference field="12" count="1" selected="0">
            <x v="72"/>
          </reference>
          <reference field="13" count="1" selected="0">
            <x v="14"/>
          </reference>
          <reference field="14" count="1">
            <x v="2"/>
          </reference>
        </references>
      </pivotArea>
    </format>
    <format dxfId="654">
      <pivotArea dataOnly="0" labelOnly="1" outline="0" fieldPosition="0">
        <references count="3">
          <reference field="12" count="1" selected="0">
            <x v="73"/>
          </reference>
          <reference field="13" count="1" selected="0">
            <x v="21"/>
          </reference>
          <reference field="14" count="1">
            <x v="2"/>
          </reference>
        </references>
      </pivotArea>
    </format>
    <format dxfId="653">
      <pivotArea dataOnly="0" labelOnly="1" outline="0" fieldPosition="0">
        <references count="3">
          <reference field="12" count="1" selected="0">
            <x v="74"/>
          </reference>
          <reference field="13" count="1" selected="0">
            <x v="22"/>
          </reference>
          <reference field="14" count="1">
            <x v="2"/>
          </reference>
        </references>
      </pivotArea>
    </format>
    <format dxfId="652">
      <pivotArea dataOnly="0" labelOnly="1" outline="0" fieldPosition="0">
        <references count="3">
          <reference field="12" count="1" selected="0">
            <x v="75"/>
          </reference>
          <reference field="13" count="1" selected="0">
            <x v="5"/>
          </reference>
          <reference field="14" count="1">
            <x v="3"/>
          </reference>
        </references>
      </pivotArea>
    </format>
    <format dxfId="651">
      <pivotArea dataOnly="0" labelOnly="1" outline="0" fieldPosition="0">
        <references count="3">
          <reference field="12" count="1" selected="0">
            <x v="76"/>
          </reference>
          <reference field="13" count="1" selected="0">
            <x v="6"/>
          </reference>
          <reference field="14" count="1">
            <x v="3"/>
          </reference>
        </references>
      </pivotArea>
    </format>
    <format dxfId="650">
      <pivotArea dataOnly="0" labelOnly="1" outline="0" fieldPosition="0">
        <references count="3">
          <reference field="12" count="1" selected="0">
            <x v="77"/>
          </reference>
          <reference field="13" count="1" selected="0">
            <x v="32"/>
          </reference>
          <reference field="14" count="1">
            <x v="3"/>
          </reference>
        </references>
      </pivotArea>
    </format>
    <format dxfId="649">
      <pivotArea dataOnly="0" labelOnly="1" outline="0" fieldPosition="0">
        <references count="3">
          <reference field="12" count="1" selected="0">
            <x v="78"/>
          </reference>
          <reference field="13" count="1" selected="0">
            <x v="53"/>
          </reference>
          <reference field="14" count="1">
            <x v="3"/>
          </reference>
        </references>
      </pivotArea>
    </format>
    <format dxfId="648">
      <pivotArea dataOnly="0" labelOnly="1" outline="0" fieldPosition="0">
        <references count="3">
          <reference field="12" count="1" selected="0">
            <x v="79"/>
          </reference>
          <reference field="13" count="1" selected="0">
            <x v="54"/>
          </reference>
          <reference field="14" count="1">
            <x v="3"/>
          </reference>
        </references>
      </pivotArea>
    </format>
    <format dxfId="647">
      <pivotArea dataOnly="0" labelOnly="1" outline="0" fieldPosition="0">
        <references count="3">
          <reference field="12" count="1" selected="0">
            <x v="80"/>
          </reference>
          <reference field="13" count="1" selected="0">
            <x v="52"/>
          </reference>
          <reference field="14" count="1">
            <x v="3"/>
          </reference>
        </references>
      </pivotArea>
    </format>
    <format dxfId="646">
      <pivotArea dataOnly="0" labelOnly="1" outline="0" fieldPosition="0">
        <references count="3">
          <reference field="12" count="1" selected="0">
            <x v="81"/>
          </reference>
          <reference field="13" count="1" selected="0">
            <x v="42"/>
          </reference>
          <reference field="14" count="1">
            <x v="3"/>
          </reference>
        </references>
      </pivotArea>
    </format>
    <format dxfId="645">
      <pivotArea dataOnly="0" labelOnly="1" outline="0" fieldPosition="0">
        <references count="3">
          <reference field="12" count="1" selected="0">
            <x v="82"/>
          </reference>
          <reference field="13" count="1" selected="0">
            <x v="69"/>
          </reference>
          <reference field="14" count="1">
            <x v="3"/>
          </reference>
        </references>
      </pivotArea>
    </format>
    <format dxfId="644">
      <pivotArea dataOnly="0" labelOnly="1" outline="0" fieldPosition="0">
        <references count="3">
          <reference field="12" count="1" selected="0">
            <x v="83"/>
          </reference>
          <reference field="13" count="1" selected="0">
            <x v="70"/>
          </reference>
          <reference field="14" count="1">
            <x v="3"/>
          </reference>
        </references>
      </pivotArea>
    </format>
    <format dxfId="643">
      <pivotArea dataOnly="0" labelOnly="1" outline="0" fieldPosition="0">
        <references count="3">
          <reference field="12" count="1" selected="0">
            <x v="84"/>
          </reference>
          <reference field="13" count="1" selected="0">
            <x v="7"/>
          </reference>
          <reference field="14" count="1">
            <x v="3"/>
          </reference>
        </references>
      </pivotArea>
    </format>
    <format dxfId="642">
      <pivotArea dataOnly="0" labelOnly="1" outline="0" fieldPosition="0">
        <references count="3">
          <reference field="12" count="1" selected="0">
            <x v="85"/>
          </reference>
          <reference field="13" count="1" selected="0">
            <x v="8"/>
          </reference>
          <reference field="14" count="1">
            <x v="3"/>
          </reference>
        </references>
      </pivotArea>
    </format>
    <format dxfId="641">
      <pivotArea dataOnly="0" labelOnly="1" outline="0" fieldPosition="0">
        <references count="3">
          <reference field="12" count="1" selected="0">
            <x v="86"/>
          </reference>
          <reference field="13" count="1" selected="0">
            <x v="93"/>
          </reference>
          <reference field="14" count="1">
            <x v="3"/>
          </reference>
        </references>
      </pivotArea>
    </format>
    <format dxfId="640">
      <pivotArea dataOnly="0" labelOnly="1" outline="0" fieldPosition="0">
        <references count="3">
          <reference field="12" count="1" selected="0">
            <x v="87"/>
          </reference>
          <reference field="13" count="1" selected="0">
            <x v="89"/>
          </reference>
          <reference field="14" count="1">
            <x v="3"/>
          </reference>
        </references>
      </pivotArea>
    </format>
    <format dxfId="639">
      <pivotArea dataOnly="0" labelOnly="1" outline="0" fieldPosition="0">
        <references count="3">
          <reference field="12" count="1" selected="0">
            <x v="88"/>
          </reference>
          <reference field="13" count="1" selected="0">
            <x v="90"/>
          </reference>
          <reference field="14" count="1">
            <x v="3"/>
          </reference>
        </references>
      </pivotArea>
    </format>
    <format dxfId="638">
      <pivotArea dataOnly="0" labelOnly="1" outline="0" fieldPosition="0">
        <references count="3">
          <reference field="12" count="1" selected="0">
            <x v="89"/>
          </reference>
          <reference field="13" count="1" selected="0">
            <x v="3"/>
          </reference>
          <reference field="14" count="1">
            <x v="3"/>
          </reference>
        </references>
      </pivotArea>
    </format>
    <format dxfId="637">
      <pivotArea dataOnly="0" labelOnly="1" outline="0" fieldPosition="0">
        <references count="3">
          <reference field="12" count="1" selected="0">
            <x v="90"/>
          </reference>
          <reference field="13" count="1" selected="0">
            <x v="92"/>
          </reference>
          <reference field="14" count="1">
            <x v="3"/>
          </reference>
        </references>
      </pivotArea>
    </format>
    <format dxfId="636">
      <pivotArea dataOnly="0" labelOnly="1" outline="0" fieldPosition="0">
        <references count="3">
          <reference field="12" count="1" selected="0">
            <x v="91"/>
          </reference>
          <reference field="13" count="1" selected="0">
            <x v="43"/>
          </reference>
          <reference field="14" count="1">
            <x v="3"/>
          </reference>
        </references>
      </pivotArea>
    </format>
    <format dxfId="635">
      <pivotArea dataOnly="0" labelOnly="1" outline="0" fieldPosition="0">
        <references count="3">
          <reference field="12" count="1" selected="0">
            <x v="92"/>
          </reference>
          <reference field="13" count="1" selected="0">
            <x v="44"/>
          </reference>
          <reference field="14" count="1">
            <x v="3"/>
          </reference>
        </references>
      </pivotArea>
    </format>
    <format dxfId="634">
      <pivotArea dataOnly="0" labelOnly="1" outline="0" fieldPosition="0">
        <references count="3">
          <reference field="12" count="1" selected="0">
            <x v="93"/>
          </reference>
          <reference field="13" count="1" selected="0">
            <x v="2"/>
          </reference>
          <reference field="14" count="1">
            <x v="1"/>
          </reference>
        </references>
      </pivotArea>
    </format>
    <format dxfId="633">
      <pivotArea field="14" type="button" dataOnly="0" labelOnly="1" outline="0" axis="axisRow" fieldPosition="2"/>
    </format>
    <format dxfId="6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field="12" type="button" dataOnly="0" labelOnly="1" outline="0" axis="axisRow" fieldPosition="0"/>
    </format>
    <format dxfId="627">
      <pivotArea field="13" type="button" dataOnly="0" labelOnly="1" outline="0" axis="axisRow" fieldPosition="1"/>
    </format>
    <format dxfId="626">
      <pivotArea field="14" type="button" dataOnly="0" labelOnly="1" outline="0" axis="axisRow" fieldPosition="2"/>
    </format>
    <format dxfId="625">
      <pivotArea dataOnly="0" labelOnly="1" outline="0" fieldPosition="0">
        <references count="1">
          <reference field="1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24">
      <pivotArea dataOnly="0" labelOnly="1" outline="0" fieldPosition="0">
        <references count="1">
          <reference field="12" count="4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</reference>
        </references>
      </pivotArea>
    </format>
    <format dxfId="623">
      <pivotArea dataOnly="0" labelOnly="1" grandRow="1" outline="0" fieldPosition="0"/>
    </format>
    <format dxfId="622">
      <pivotArea dataOnly="0" labelOnly="1" outline="0" fieldPosition="0">
        <references count="2">
          <reference field="12" count="1" selected="0">
            <x v="0"/>
          </reference>
          <reference field="13" count="1">
            <x v="0"/>
          </reference>
        </references>
      </pivotArea>
    </format>
    <format dxfId="621">
      <pivotArea dataOnly="0" labelOnly="1" outline="0" fieldPosition="0">
        <references count="2">
          <reference field="12" count="1" selected="0">
            <x v="1"/>
          </reference>
          <reference field="13" count="1">
            <x v="4"/>
          </reference>
        </references>
      </pivotArea>
    </format>
    <format dxfId="620">
      <pivotArea dataOnly="0" labelOnly="1" outline="0" fieldPosition="0">
        <references count="2">
          <reference field="12" count="1" selected="0">
            <x v="2"/>
          </reference>
          <reference field="13" count="1">
            <x v="62"/>
          </reference>
        </references>
      </pivotArea>
    </format>
    <format dxfId="619">
      <pivotArea dataOnly="0" labelOnly="1" outline="0" fieldPosition="0">
        <references count="2">
          <reference field="12" count="1" selected="0">
            <x v="3"/>
          </reference>
          <reference field="13" count="1">
            <x v="79"/>
          </reference>
        </references>
      </pivotArea>
    </format>
    <format dxfId="618">
      <pivotArea dataOnly="0" labelOnly="1" outline="0" fieldPosition="0">
        <references count="2">
          <reference field="12" count="1" selected="0">
            <x v="4"/>
          </reference>
          <reference field="13" count="1">
            <x v="78"/>
          </reference>
        </references>
      </pivotArea>
    </format>
    <format dxfId="617">
      <pivotArea dataOnly="0" labelOnly="1" outline="0" fieldPosition="0">
        <references count="2">
          <reference field="12" count="1" selected="0">
            <x v="5"/>
          </reference>
          <reference field="13" count="1">
            <x v="82"/>
          </reference>
        </references>
      </pivotArea>
    </format>
    <format dxfId="616">
      <pivotArea dataOnly="0" labelOnly="1" outline="0" fieldPosition="0">
        <references count="2">
          <reference field="12" count="1" selected="0">
            <x v="6"/>
          </reference>
          <reference field="13" count="1">
            <x v="81"/>
          </reference>
        </references>
      </pivotArea>
    </format>
    <format dxfId="615">
      <pivotArea dataOnly="0" labelOnly="1" outline="0" fieldPosition="0">
        <references count="2">
          <reference field="12" count="1" selected="0">
            <x v="7"/>
          </reference>
          <reference field="13" count="1">
            <x v="80"/>
          </reference>
        </references>
      </pivotArea>
    </format>
    <format dxfId="614">
      <pivotArea dataOnly="0" labelOnly="1" outline="0" fieldPosition="0">
        <references count="2">
          <reference field="12" count="1" selected="0">
            <x v="8"/>
          </reference>
          <reference field="13" count="1">
            <x v="64"/>
          </reference>
        </references>
      </pivotArea>
    </format>
    <format dxfId="613">
      <pivotArea dataOnly="0" labelOnly="1" outline="0" fieldPosition="0">
        <references count="2">
          <reference field="12" count="1" selected="0">
            <x v="9"/>
          </reference>
          <reference field="13" count="1">
            <x v="65"/>
          </reference>
        </references>
      </pivotArea>
    </format>
    <format dxfId="612">
      <pivotArea dataOnly="0" labelOnly="1" outline="0" fieldPosition="0">
        <references count="2">
          <reference field="12" count="1" selected="0">
            <x v="10"/>
          </reference>
          <reference field="13" count="1">
            <x v="48"/>
          </reference>
        </references>
      </pivotArea>
    </format>
    <format dxfId="611">
      <pivotArea dataOnly="0" labelOnly="1" outline="0" fieldPosition="0">
        <references count="2">
          <reference field="12" count="1" selected="0">
            <x v="11"/>
          </reference>
          <reference field="13" count="1">
            <x v="83"/>
          </reference>
        </references>
      </pivotArea>
    </format>
    <format dxfId="610">
      <pivotArea dataOnly="0" labelOnly="1" outline="0" fieldPosition="0">
        <references count="2">
          <reference field="12" count="1" selected="0">
            <x v="12"/>
          </reference>
          <reference field="13" count="1">
            <x v="10"/>
          </reference>
        </references>
      </pivotArea>
    </format>
    <format dxfId="609">
      <pivotArea dataOnly="0" labelOnly="1" outline="0" fieldPosition="0">
        <references count="2">
          <reference field="12" count="1" selected="0">
            <x v="13"/>
          </reference>
          <reference field="13" count="1">
            <x v="9"/>
          </reference>
        </references>
      </pivotArea>
    </format>
    <format dxfId="608">
      <pivotArea dataOnly="0" labelOnly="1" outline="0" fieldPosition="0">
        <references count="2">
          <reference field="12" count="1" selected="0">
            <x v="14"/>
          </reference>
          <reference field="13" count="1">
            <x v="35"/>
          </reference>
        </references>
      </pivotArea>
    </format>
    <format dxfId="607">
      <pivotArea dataOnly="0" labelOnly="1" outline="0" fieldPosition="0">
        <references count="2">
          <reference field="12" count="1" selected="0">
            <x v="15"/>
          </reference>
          <reference field="13" count="1">
            <x v="36"/>
          </reference>
        </references>
      </pivotArea>
    </format>
    <format dxfId="606">
      <pivotArea dataOnly="0" labelOnly="1" outline="0" fieldPosition="0">
        <references count="2">
          <reference field="12" count="1" selected="0">
            <x v="16"/>
          </reference>
          <reference field="13" count="1">
            <x v="33"/>
          </reference>
        </references>
      </pivotArea>
    </format>
    <format dxfId="605">
      <pivotArea dataOnly="0" labelOnly="1" outline="0" fieldPosition="0">
        <references count="2">
          <reference field="12" count="1" selected="0">
            <x v="17"/>
          </reference>
          <reference field="13" count="1">
            <x v="34"/>
          </reference>
        </references>
      </pivotArea>
    </format>
    <format dxfId="604">
      <pivotArea dataOnly="0" labelOnly="1" outline="0" fieldPosition="0">
        <references count="2">
          <reference field="12" count="1" selected="0">
            <x v="18"/>
          </reference>
          <reference field="13" count="1">
            <x v="1"/>
          </reference>
        </references>
      </pivotArea>
    </format>
    <format dxfId="603">
      <pivotArea dataOnly="0" labelOnly="1" outline="0" fieldPosition="0">
        <references count="2">
          <reference field="12" count="1" selected="0">
            <x v="19"/>
          </reference>
          <reference field="13" count="1">
            <x v="30"/>
          </reference>
        </references>
      </pivotArea>
    </format>
    <format dxfId="602">
      <pivotArea dataOnly="0" labelOnly="1" outline="0" fieldPosition="0">
        <references count="2">
          <reference field="12" count="1" selected="0">
            <x v="20"/>
          </reference>
          <reference field="13" count="1">
            <x v="31"/>
          </reference>
        </references>
      </pivotArea>
    </format>
    <format dxfId="601">
      <pivotArea dataOnly="0" labelOnly="1" outline="0" fieldPosition="0">
        <references count="2">
          <reference field="12" count="1" selected="0">
            <x v="21"/>
          </reference>
          <reference field="13" count="1">
            <x v="47"/>
          </reference>
        </references>
      </pivotArea>
    </format>
    <format dxfId="600">
      <pivotArea dataOnly="0" labelOnly="1" outline="0" fieldPosition="0">
        <references count="2">
          <reference field="12" count="1" selected="0">
            <x v="22"/>
          </reference>
          <reference field="13" count="1">
            <x v="56"/>
          </reference>
        </references>
      </pivotArea>
    </format>
    <format dxfId="599">
      <pivotArea dataOnly="0" labelOnly="1" outline="0" fieldPosition="0">
        <references count="2">
          <reference field="12" count="1" selected="0">
            <x v="23"/>
          </reference>
          <reference field="13" count="1">
            <x v="55"/>
          </reference>
        </references>
      </pivotArea>
    </format>
    <format dxfId="598">
      <pivotArea dataOnly="0" labelOnly="1" outline="0" fieldPosition="0">
        <references count="2">
          <reference field="12" count="1" selected="0">
            <x v="24"/>
          </reference>
          <reference field="13" count="1">
            <x v="23"/>
          </reference>
        </references>
      </pivotArea>
    </format>
    <format dxfId="597">
      <pivotArea dataOnly="0" labelOnly="1" outline="0" fieldPosition="0">
        <references count="2">
          <reference field="12" count="1" selected="0">
            <x v="25"/>
          </reference>
          <reference field="13" count="1">
            <x v="63"/>
          </reference>
        </references>
      </pivotArea>
    </format>
    <format dxfId="596">
      <pivotArea dataOnly="0" labelOnly="1" outline="0" fieldPosition="0">
        <references count="2">
          <reference field="12" count="1" selected="0">
            <x v="26"/>
          </reference>
          <reference field="13" count="1">
            <x v="26"/>
          </reference>
        </references>
      </pivotArea>
    </format>
    <format dxfId="595">
      <pivotArea dataOnly="0" labelOnly="1" outline="0" fieldPosition="0">
        <references count="2">
          <reference field="12" count="1" selected="0">
            <x v="27"/>
          </reference>
          <reference field="13" count="1">
            <x v="28"/>
          </reference>
        </references>
      </pivotArea>
    </format>
    <format dxfId="594">
      <pivotArea dataOnly="0" labelOnly="1" outline="0" fieldPosition="0">
        <references count="2">
          <reference field="12" count="1" selected="0">
            <x v="28"/>
          </reference>
          <reference field="13" count="1">
            <x v="25"/>
          </reference>
        </references>
      </pivotArea>
    </format>
    <format dxfId="593">
      <pivotArea dataOnly="0" labelOnly="1" outline="0" fieldPosition="0">
        <references count="2">
          <reference field="12" count="1" selected="0">
            <x v="29"/>
          </reference>
          <reference field="13" count="1">
            <x v="29"/>
          </reference>
        </references>
      </pivotArea>
    </format>
    <format dxfId="592">
      <pivotArea dataOnly="0" labelOnly="1" outline="0" fieldPosition="0">
        <references count="2">
          <reference field="12" count="1" selected="0">
            <x v="30"/>
          </reference>
          <reference field="13" count="1">
            <x v="27"/>
          </reference>
        </references>
      </pivotArea>
    </format>
    <format dxfId="591">
      <pivotArea dataOnly="0" labelOnly="1" outline="0" fieldPosition="0">
        <references count="2">
          <reference field="12" count="1" selected="0">
            <x v="31"/>
          </reference>
          <reference field="13" count="1">
            <x v="24"/>
          </reference>
        </references>
      </pivotArea>
    </format>
    <format dxfId="590">
      <pivotArea dataOnly="0" labelOnly="1" outline="0" fieldPosition="0">
        <references count="2">
          <reference field="12" count="1" selected="0">
            <x v="32"/>
          </reference>
          <reference field="13" count="1">
            <x v="59"/>
          </reference>
        </references>
      </pivotArea>
    </format>
    <format dxfId="589">
      <pivotArea dataOnly="0" labelOnly="1" outline="0" fieldPosition="0">
        <references count="2">
          <reference field="12" count="1" selected="0">
            <x v="33"/>
          </reference>
          <reference field="13" count="1">
            <x v="46"/>
          </reference>
        </references>
      </pivotArea>
    </format>
    <format dxfId="588">
      <pivotArea dataOnly="0" labelOnly="1" outline="0" fieldPosition="0">
        <references count="2">
          <reference field="12" count="1" selected="0">
            <x v="34"/>
          </reference>
          <reference field="13" count="1">
            <x v="45"/>
          </reference>
        </references>
      </pivotArea>
    </format>
    <format dxfId="587">
      <pivotArea dataOnly="0" labelOnly="1" outline="0" fieldPosition="0">
        <references count="2">
          <reference field="12" count="1" selected="0">
            <x v="35"/>
          </reference>
          <reference field="13" count="1">
            <x v="71"/>
          </reference>
        </references>
      </pivotArea>
    </format>
    <format dxfId="586">
      <pivotArea dataOnly="0" labelOnly="1" outline="0" fieldPosition="0">
        <references count="2">
          <reference field="12" count="1" selected="0">
            <x v="36"/>
          </reference>
          <reference field="13" count="1">
            <x v="41"/>
          </reference>
        </references>
      </pivotArea>
    </format>
    <format dxfId="585">
      <pivotArea dataOnly="0" labelOnly="1" outline="0" fieldPosition="0">
        <references count="2">
          <reference field="12" count="1" selected="0">
            <x v="37"/>
          </reference>
          <reference field="13" count="1">
            <x v="40"/>
          </reference>
        </references>
      </pivotArea>
    </format>
    <format dxfId="584">
      <pivotArea dataOnly="0" labelOnly="1" outline="0" fieldPosition="0">
        <references count="2">
          <reference field="12" count="1" selected="0">
            <x v="38"/>
          </reference>
          <reference field="13" count="1">
            <x v="50"/>
          </reference>
        </references>
      </pivotArea>
    </format>
    <format dxfId="583">
      <pivotArea dataOnly="0" labelOnly="1" outline="0" fieldPosition="0">
        <references count="2">
          <reference field="12" count="1" selected="0">
            <x v="39"/>
          </reference>
          <reference field="13" count="1">
            <x v="51"/>
          </reference>
        </references>
      </pivotArea>
    </format>
    <format dxfId="582">
      <pivotArea dataOnly="0" labelOnly="1" outline="0" fieldPosition="0">
        <references count="2">
          <reference field="12" count="1" selected="0">
            <x v="40"/>
          </reference>
          <reference field="13" count="1">
            <x v="49"/>
          </reference>
        </references>
      </pivotArea>
    </format>
    <format dxfId="581">
      <pivotArea dataOnly="0" labelOnly="1" outline="0" fieldPosition="0">
        <references count="2">
          <reference field="12" count="1" selected="0">
            <x v="41"/>
          </reference>
          <reference field="13" count="1">
            <x v="57"/>
          </reference>
        </references>
      </pivotArea>
    </format>
    <format dxfId="580">
      <pivotArea dataOnly="0" labelOnly="1" outline="0" fieldPosition="0">
        <references count="2">
          <reference field="12" count="1" selected="0">
            <x v="42"/>
          </reference>
          <reference field="13" count="1">
            <x v="58"/>
          </reference>
        </references>
      </pivotArea>
    </format>
    <format dxfId="579">
      <pivotArea dataOnly="0" labelOnly="1" outline="0" fieldPosition="0">
        <references count="2">
          <reference field="12" count="1" selected="0">
            <x v="43"/>
          </reference>
          <reference field="13" count="1">
            <x v="86"/>
          </reference>
        </references>
      </pivotArea>
    </format>
    <format dxfId="578">
      <pivotArea dataOnly="0" labelOnly="1" outline="0" fieldPosition="0">
        <references count="2">
          <reference field="12" count="1" selected="0">
            <x v="44"/>
          </reference>
          <reference field="13" count="1">
            <x v="88"/>
          </reference>
        </references>
      </pivotArea>
    </format>
    <format dxfId="577">
      <pivotArea dataOnly="0" labelOnly="1" outline="0" fieldPosition="0">
        <references count="2">
          <reference field="12" count="1" selected="0">
            <x v="45"/>
          </reference>
          <reference field="13" count="1">
            <x v="87"/>
          </reference>
        </references>
      </pivotArea>
    </format>
    <format dxfId="576">
      <pivotArea dataOnly="0" labelOnly="1" outline="0" fieldPosition="0">
        <references count="2">
          <reference field="12" count="1" selected="0">
            <x v="46"/>
          </reference>
          <reference field="13" count="1">
            <x v="85"/>
          </reference>
        </references>
      </pivotArea>
    </format>
    <format dxfId="575">
      <pivotArea dataOnly="0" labelOnly="1" outline="0" fieldPosition="0">
        <references count="2">
          <reference field="12" count="1" selected="0">
            <x v="47"/>
          </reference>
          <reference field="13" count="1">
            <x v="67"/>
          </reference>
        </references>
      </pivotArea>
    </format>
    <format dxfId="574">
      <pivotArea dataOnly="0" labelOnly="1" outline="0" fieldPosition="0">
        <references count="2">
          <reference field="12" count="1" selected="0">
            <x v="48"/>
          </reference>
          <reference field="13" count="1">
            <x v="68"/>
          </reference>
        </references>
      </pivotArea>
    </format>
    <format dxfId="573">
      <pivotArea dataOnly="0" labelOnly="1" outline="0" fieldPosition="0">
        <references count="2">
          <reference field="12" count="1" selected="0">
            <x v="49"/>
          </reference>
          <reference field="13" count="1">
            <x v="66"/>
          </reference>
        </references>
      </pivotArea>
    </format>
    <format dxfId="572">
      <pivotArea dataOnly="0" labelOnly="1" outline="0" fieldPosition="0">
        <references count="2">
          <reference field="12" count="1" selected="0">
            <x v="50"/>
          </reference>
          <reference field="13" count="1">
            <x v="61"/>
          </reference>
        </references>
      </pivotArea>
    </format>
    <format dxfId="571">
      <pivotArea dataOnly="0" labelOnly="1" outline="0" fieldPosition="0">
        <references count="2">
          <reference field="12" count="1" selected="0">
            <x v="51"/>
          </reference>
          <reference field="13" count="1">
            <x v="60"/>
          </reference>
        </references>
      </pivotArea>
    </format>
    <format dxfId="570">
      <pivotArea dataOnly="0" labelOnly="1" outline="0" fieldPosition="0">
        <references count="2">
          <reference field="12" count="1" selected="0">
            <x v="52"/>
          </reference>
          <reference field="13" count="1">
            <x v="37"/>
          </reference>
        </references>
      </pivotArea>
    </format>
    <format dxfId="569">
      <pivotArea dataOnly="0" labelOnly="1" outline="0" fieldPosition="0">
        <references count="2">
          <reference field="12" count="1" selected="0">
            <x v="53"/>
          </reference>
          <reference field="13" count="1">
            <x v="74"/>
          </reference>
        </references>
      </pivotArea>
    </format>
    <format dxfId="568">
      <pivotArea dataOnly="0" labelOnly="1" outline="0" fieldPosition="0">
        <references count="2">
          <reference field="12" count="1" selected="0">
            <x v="54"/>
          </reference>
          <reference field="13" count="1">
            <x v="73"/>
          </reference>
        </references>
      </pivotArea>
    </format>
    <format dxfId="567">
      <pivotArea dataOnly="0" labelOnly="1" outline="0" fieldPosition="0">
        <references count="2">
          <reference field="12" count="1" selected="0">
            <x v="55"/>
          </reference>
          <reference field="13" count="1">
            <x v="38"/>
          </reference>
        </references>
      </pivotArea>
    </format>
    <format dxfId="566">
      <pivotArea dataOnly="0" labelOnly="1" outline="0" fieldPosition="0">
        <references count="2">
          <reference field="12" count="1" selected="0">
            <x v="56"/>
          </reference>
          <reference field="13" count="1">
            <x v="39"/>
          </reference>
        </references>
      </pivotArea>
    </format>
    <format dxfId="565">
      <pivotArea dataOnly="0" labelOnly="1" outline="0" fieldPosition="0">
        <references count="2">
          <reference field="12" count="1" selected="0">
            <x v="57"/>
          </reference>
          <reference field="13" count="1">
            <x v="91"/>
          </reference>
        </references>
      </pivotArea>
    </format>
    <format dxfId="564">
      <pivotArea dataOnly="0" labelOnly="1" outline="0" fieldPosition="0">
        <references count="2">
          <reference field="12" count="1" selected="0">
            <x v="58"/>
          </reference>
          <reference field="13" count="1">
            <x v="72"/>
          </reference>
        </references>
      </pivotArea>
    </format>
    <format dxfId="563">
      <pivotArea dataOnly="0" labelOnly="1" outline="0" fieldPosition="0">
        <references count="2">
          <reference field="12" count="1" selected="0">
            <x v="59"/>
          </reference>
          <reference field="13" count="1">
            <x v="75"/>
          </reference>
        </references>
      </pivotArea>
    </format>
    <format dxfId="562">
      <pivotArea dataOnly="0" labelOnly="1" outline="0" fieldPosition="0">
        <references count="2">
          <reference field="12" count="1" selected="0">
            <x v="60"/>
          </reference>
          <reference field="13" count="1">
            <x v="76"/>
          </reference>
        </references>
      </pivotArea>
    </format>
    <format dxfId="561">
      <pivotArea dataOnly="0" labelOnly="1" outline="0" fieldPosition="0">
        <references count="2">
          <reference field="12" count="1" selected="0">
            <x v="61"/>
          </reference>
          <reference field="13" count="1">
            <x v="77"/>
          </reference>
        </references>
      </pivotArea>
    </format>
    <format dxfId="560">
      <pivotArea dataOnly="0" labelOnly="1" outline="0" fieldPosition="0">
        <references count="2">
          <reference field="12" count="1" selected="0">
            <x v="62"/>
          </reference>
          <reference field="13" count="1">
            <x v="84"/>
          </reference>
        </references>
      </pivotArea>
    </format>
    <format dxfId="559">
      <pivotArea dataOnly="0" labelOnly="1" outline="0" fieldPosition="0">
        <references count="2">
          <reference field="12" count="1" selected="0">
            <x v="63"/>
          </reference>
          <reference field="13" count="1">
            <x v="18"/>
          </reference>
        </references>
      </pivotArea>
    </format>
    <format dxfId="558">
      <pivotArea dataOnly="0" labelOnly="1" outline="0" fieldPosition="0">
        <references count="2">
          <reference field="12" count="1" selected="0">
            <x v="64"/>
          </reference>
          <reference field="13" count="1">
            <x v="17"/>
          </reference>
        </references>
      </pivotArea>
    </format>
    <format dxfId="557">
      <pivotArea dataOnly="0" labelOnly="1" outline="0" fieldPosition="0">
        <references count="2">
          <reference field="12" count="1" selected="0">
            <x v="65"/>
          </reference>
          <reference field="13" count="1">
            <x v="20"/>
          </reference>
        </references>
      </pivotArea>
    </format>
    <format dxfId="556">
      <pivotArea dataOnly="0" labelOnly="1" outline="0" fieldPosition="0">
        <references count="2">
          <reference field="12" count="1" selected="0">
            <x v="66"/>
          </reference>
          <reference field="13" count="1">
            <x v="16"/>
          </reference>
        </references>
      </pivotArea>
    </format>
    <format dxfId="555">
      <pivotArea dataOnly="0" labelOnly="1" outline="0" fieldPosition="0">
        <references count="2">
          <reference field="12" count="1" selected="0">
            <x v="67"/>
          </reference>
          <reference field="13" count="1">
            <x v="19"/>
          </reference>
        </references>
      </pivotArea>
    </format>
    <format dxfId="554">
      <pivotArea dataOnly="0" labelOnly="1" outline="0" fieldPosition="0">
        <references count="2">
          <reference field="12" count="1" selected="0">
            <x v="68"/>
          </reference>
          <reference field="13" count="1">
            <x v="15"/>
          </reference>
        </references>
      </pivotArea>
    </format>
    <format dxfId="553">
      <pivotArea dataOnly="0" labelOnly="1" outline="0" fieldPosition="0">
        <references count="2">
          <reference field="12" count="1" selected="0">
            <x v="69"/>
          </reference>
          <reference field="13" count="1">
            <x v="13"/>
          </reference>
        </references>
      </pivotArea>
    </format>
    <format dxfId="552">
      <pivotArea dataOnly="0" labelOnly="1" outline="0" fieldPosition="0">
        <references count="2">
          <reference field="12" count="1" selected="0">
            <x v="70"/>
          </reference>
          <reference field="13" count="1">
            <x v="12"/>
          </reference>
        </references>
      </pivotArea>
    </format>
    <format dxfId="551">
      <pivotArea dataOnly="0" labelOnly="1" outline="0" fieldPosition="0">
        <references count="2">
          <reference field="12" count="1" selected="0">
            <x v="71"/>
          </reference>
          <reference field="13" count="1">
            <x v="11"/>
          </reference>
        </references>
      </pivotArea>
    </format>
    <format dxfId="550">
      <pivotArea dataOnly="0" labelOnly="1" outline="0" fieldPosition="0">
        <references count="2">
          <reference field="12" count="1" selected="0">
            <x v="72"/>
          </reference>
          <reference field="13" count="1">
            <x v="14"/>
          </reference>
        </references>
      </pivotArea>
    </format>
    <format dxfId="549">
      <pivotArea dataOnly="0" labelOnly="1" outline="0" fieldPosition="0">
        <references count="2">
          <reference field="12" count="1" selected="0">
            <x v="73"/>
          </reference>
          <reference field="13" count="1">
            <x v="21"/>
          </reference>
        </references>
      </pivotArea>
    </format>
    <format dxfId="548">
      <pivotArea dataOnly="0" labelOnly="1" outline="0" fieldPosition="0">
        <references count="2">
          <reference field="12" count="1" selected="0">
            <x v="74"/>
          </reference>
          <reference field="13" count="1">
            <x v="22"/>
          </reference>
        </references>
      </pivotArea>
    </format>
    <format dxfId="547">
      <pivotArea dataOnly="0" labelOnly="1" outline="0" fieldPosition="0">
        <references count="2">
          <reference field="12" count="1" selected="0">
            <x v="75"/>
          </reference>
          <reference field="13" count="1">
            <x v="5"/>
          </reference>
        </references>
      </pivotArea>
    </format>
    <format dxfId="546">
      <pivotArea dataOnly="0" labelOnly="1" outline="0" fieldPosition="0">
        <references count="2">
          <reference field="12" count="1" selected="0">
            <x v="76"/>
          </reference>
          <reference field="13" count="1">
            <x v="6"/>
          </reference>
        </references>
      </pivotArea>
    </format>
    <format dxfId="545">
      <pivotArea dataOnly="0" labelOnly="1" outline="0" fieldPosition="0">
        <references count="2">
          <reference field="12" count="1" selected="0">
            <x v="77"/>
          </reference>
          <reference field="13" count="1">
            <x v="32"/>
          </reference>
        </references>
      </pivotArea>
    </format>
    <format dxfId="544">
      <pivotArea dataOnly="0" labelOnly="1" outline="0" fieldPosition="0">
        <references count="2">
          <reference field="12" count="1" selected="0">
            <x v="78"/>
          </reference>
          <reference field="13" count="1">
            <x v="53"/>
          </reference>
        </references>
      </pivotArea>
    </format>
    <format dxfId="543">
      <pivotArea dataOnly="0" labelOnly="1" outline="0" fieldPosition="0">
        <references count="2">
          <reference field="12" count="1" selected="0">
            <x v="79"/>
          </reference>
          <reference field="13" count="1">
            <x v="54"/>
          </reference>
        </references>
      </pivotArea>
    </format>
    <format dxfId="542">
      <pivotArea dataOnly="0" labelOnly="1" outline="0" fieldPosition="0">
        <references count="2">
          <reference field="12" count="1" selected="0">
            <x v="80"/>
          </reference>
          <reference field="13" count="1">
            <x v="52"/>
          </reference>
        </references>
      </pivotArea>
    </format>
    <format dxfId="541">
      <pivotArea dataOnly="0" labelOnly="1" outline="0" fieldPosition="0">
        <references count="2">
          <reference field="12" count="1" selected="0">
            <x v="81"/>
          </reference>
          <reference field="13" count="1">
            <x v="42"/>
          </reference>
        </references>
      </pivotArea>
    </format>
    <format dxfId="540">
      <pivotArea dataOnly="0" labelOnly="1" outline="0" fieldPosition="0">
        <references count="2">
          <reference field="12" count="1" selected="0">
            <x v="82"/>
          </reference>
          <reference field="13" count="1">
            <x v="69"/>
          </reference>
        </references>
      </pivotArea>
    </format>
    <format dxfId="539">
      <pivotArea dataOnly="0" labelOnly="1" outline="0" fieldPosition="0">
        <references count="2">
          <reference field="12" count="1" selected="0">
            <x v="83"/>
          </reference>
          <reference field="13" count="1">
            <x v="70"/>
          </reference>
        </references>
      </pivotArea>
    </format>
    <format dxfId="538">
      <pivotArea dataOnly="0" labelOnly="1" outline="0" fieldPosition="0">
        <references count="2">
          <reference field="12" count="1" selected="0">
            <x v="84"/>
          </reference>
          <reference field="13" count="1">
            <x v="7"/>
          </reference>
        </references>
      </pivotArea>
    </format>
    <format dxfId="537">
      <pivotArea dataOnly="0" labelOnly="1" outline="0" fieldPosition="0">
        <references count="2">
          <reference field="12" count="1" selected="0">
            <x v="85"/>
          </reference>
          <reference field="13" count="1">
            <x v="8"/>
          </reference>
        </references>
      </pivotArea>
    </format>
    <format dxfId="536">
      <pivotArea dataOnly="0" labelOnly="1" outline="0" fieldPosition="0">
        <references count="2">
          <reference field="12" count="1" selected="0">
            <x v="86"/>
          </reference>
          <reference field="13" count="1">
            <x v="93"/>
          </reference>
        </references>
      </pivotArea>
    </format>
    <format dxfId="535">
      <pivotArea dataOnly="0" labelOnly="1" outline="0" fieldPosition="0">
        <references count="2">
          <reference field="12" count="1" selected="0">
            <x v="87"/>
          </reference>
          <reference field="13" count="1">
            <x v="89"/>
          </reference>
        </references>
      </pivotArea>
    </format>
    <format dxfId="534">
      <pivotArea dataOnly="0" labelOnly="1" outline="0" fieldPosition="0">
        <references count="2">
          <reference field="12" count="1" selected="0">
            <x v="88"/>
          </reference>
          <reference field="13" count="1">
            <x v="90"/>
          </reference>
        </references>
      </pivotArea>
    </format>
    <format dxfId="533">
      <pivotArea dataOnly="0" labelOnly="1" outline="0" fieldPosition="0">
        <references count="2">
          <reference field="12" count="1" selected="0">
            <x v="89"/>
          </reference>
          <reference field="13" count="1">
            <x v="3"/>
          </reference>
        </references>
      </pivotArea>
    </format>
    <format dxfId="532">
      <pivotArea dataOnly="0" labelOnly="1" outline="0" fieldPosition="0">
        <references count="2">
          <reference field="12" count="1" selected="0">
            <x v="90"/>
          </reference>
          <reference field="13" count="1">
            <x v="92"/>
          </reference>
        </references>
      </pivotArea>
    </format>
    <format dxfId="531">
      <pivotArea dataOnly="0" labelOnly="1" outline="0" fieldPosition="0">
        <references count="2">
          <reference field="12" count="1" selected="0">
            <x v="91"/>
          </reference>
          <reference field="13" count="1">
            <x v="43"/>
          </reference>
        </references>
      </pivotArea>
    </format>
    <format dxfId="530">
      <pivotArea dataOnly="0" labelOnly="1" outline="0" fieldPosition="0">
        <references count="2">
          <reference field="12" count="1" selected="0">
            <x v="92"/>
          </reference>
          <reference field="13" count="1">
            <x v="44"/>
          </reference>
        </references>
      </pivotArea>
    </format>
    <format dxfId="529">
      <pivotArea dataOnly="0" labelOnly="1" outline="0" fieldPosition="0">
        <references count="2">
          <reference field="12" count="1" selected="0">
            <x v="93"/>
          </reference>
          <reference field="13" count="1">
            <x v="2"/>
          </reference>
        </references>
      </pivotArea>
    </format>
    <format dxfId="528">
      <pivotArea dataOnly="0" labelOnly="1" outline="0" fieldPosition="0">
        <references count="3">
          <reference field="12" count="1" selected="0">
            <x v="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">
      <pivotArea dataOnly="0" labelOnly="1" outline="0" fieldPosition="0">
        <references count="3">
          <reference field="12" count="1" selected="0">
            <x v="1"/>
          </reference>
          <reference field="13" count="1" selected="0">
            <x v="4"/>
          </reference>
          <reference field="14" count="1">
            <x v="3"/>
          </reference>
        </references>
      </pivotArea>
    </format>
    <format dxfId="526">
      <pivotArea dataOnly="0" labelOnly="1" outline="0" fieldPosition="0">
        <references count="3">
          <reference field="12" count="1" selected="0">
            <x v="2"/>
          </reference>
          <reference field="13" count="1" selected="0">
            <x v="62"/>
          </reference>
          <reference field="14" count="1">
            <x v="3"/>
          </reference>
        </references>
      </pivotArea>
    </format>
    <format dxfId="525">
      <pivotArea dataOnly="0" labelOnly="1" outline="0" fieldPosition="0">
        <references count="3">
          <reference field="12" count="1" selected="0">
            <x v="3"/>
          </reference>
          <reference field="13" count="1" selected="0">
            <x v="79"/>
          </reference>
          <reference field="14" count="1">
            <x v="3"/>
          </reference>
        </references>
      </pivotArea>
    </format>
    <format dxfId="524">
      <pivotArea dataOnly="0" labelOnly="1" outline="0" fieldPosition="0">
        <references count="3">
          <reference field="12" count="1" selected="0">
            <x v="4"/>
          </reference>
          <reference field="13" count="1" selected="0">
            <x v="78"/>
          </reference>
          <reference field="14" count="1">
            <x v="3"/>
          </reference>
        </references>
      </pivotArea>
    </format>
    <format dxfId="523">
      <pivotArea dataOnly="0" labelOnly="1" outline="0" fieldPosition="0">
        <references count="3">
          <reference field="12" count="1" selected="0">
            <x v="5"/>
          </reference>
          <reference field="13" count="1" selected="0">
            <x v="82"/>
          </reference>
          <reference field="14" count="1">
            <x v="3"/>
          </reference>
        </references>
      </pivotArea>
    </format>
    <format dxfId="522">
      <pivotArea dataOnly="0" labelOnly="1" outline="0" fieldPosition="0">
        <references count="3">
          <reference field="12" count="1" selected="0">
            <x v="6"/>
          </reference>
          <reference field="13" count="1" selected="0">
            <x v="81"/>
          </reference>
          <reference field="14" count="1">
            <x v="3"/>
          </reference>
        </references>
      </pivotArea>
    </format>
    <format dxfId="521">
      <pivotArea dataOnly="0" labelOnly="1" outline="0" fieldPosition="0">
        <references count="3">
          <reference field="12" count="1" selected="0">
            <x v="7"/>
          </reference>
          <reference field="13" count="1" selected="0">
            <x v="80"/>
          </reference>
          <reference field="14" count="1">
            <x v="3"/>
          </reference>
        </references>
      </pivotArea>
    </format>
    <format dxfId="520">
      <pivotArea dataOnly="0" labelOnly="1" outline="0" fieldPosition="0">
        <references count="3">
          <reference field="12" count="1" selected="0">
            <x v="8"/>
          </reference>
          <reference field="13" count="1" selected="0">
            <x v="64"/>
          </reference>
          <reference field="14" count="1">
            <x v="3"/>
          </reference>
        </references>
      </pivotArea>
    </format>
    <format dxfId="519">
      <pivotArea dataOnly="0" labelOnly="1" outline="0" fieldPosition="0">
        <references count="3">
          <reference field="12" count="1" selected="0">
            <x v="9"/>
          </reference>
          <reference field="13" count="1" selected="0">
            <x v="65"/>
          </reference>
          <reference field="14" count="1">
            <x v="3"/>
          </reference>
        </references>
      </pivotArea>
    </format>
    <format dxfId="518">
      <pivotArea dataOnly="0" labelOnly="1" outline="0" fieldPosition="0">
        <references count="3">
          <reference field="12" count="1" selected="0">
            <x v="10"/>
          </reference>
          <reference field="13" count="1" selected="0">
            <x v="48"/>
          </reference>
          <reference field="14" count="1">
            <x v="3"/>
          </reference>
        </references>
      </pivotArea>
    </format>
    <format dxfId="517">
      <pivotArea dataOnly="0" labelOnly="1" outline="0" fieldPosition="0">
        <references count="3">
          <reference field="12" count="1" selected="0">
            <x v="11"/>
          </reference>
          <reference field="13" count="1" selected="0">
            <x v="83"/>
          </reference>
          <reference field="14" count="1">
            <x v="3"/>
          </reference>
        </references>
      </pivotArea>
    </format>
    <format dxfId="516">
      <pivotArea dataOnly="0" labelOnly="1" outline="0" fieldPosition="0">
        <references count="3">
          <reference field="12" count="1" selected="0">
            <x v="12"/>
          </reference>
          <reference field="13" count="1" selected="0">
            <x v="10"/>
          </reference>
          <reference field="14" count="1">
            <x v="3"/>
          </reference>
        </references>
      </pivotArea>
    </format>
    <format dxfId="515">
      <pivotArea dataOnly="0" labelOnly="1" outline="0" fieldPosition="0">
        <references count="3">
          <reference field="12" count="1" selected="0">
            <x v="13"/>
          </reference>
          <reference field="13" count="1" selected="0">
            <x v="9"/>
          </reference>
          <reference field="14" count="1">
            <x v="3"/>
          </reference>
        </references>
      </pivotArea>
    </format>
    <format dxfId="514">
      <pivotArea dataOnly="0" labelOnly="1" outline="0" fieldPosition="0">
        <references count="3">
          <reference field="12" count="1" selected="0">
            <x v="14"/>
          </reference>
          <reference field="13" count="1" selected="0">
            <x v="35"/>
          </reference>
          <reference field="14" count="1">
            <x v="3"/>
          </reference>
        </references>
      </pivotArea>
    </format>
    <format dxfId="513">
      <pivotArea dataOnly="0" labelOnly="1" outline="0" fieldPosition="0">
        <references count="3">
          <reference field="12" count="1" selected="0">
            <x v="15"/>
          </reference>
          <reference field="13" count="1" selected="0">
            <x v="36"/>
          </reference>
          <reference field="14" count="1">
            <x v="3"/>
          </reference>
        </references>
      </pivotArea>
    </format>
    <format dxfId="512">
      <pivotArea dataOnly="0" labelOnly="1" outline="0" fieldPosition="0">
        <references count="3">
          <reference field="12" count="1" selected="0">
            <x v="16"/>
          </reference>
          <reference field="13" count="1" selected="0">
            <x v="33"/>
          </reference>
          <reference field="14" count="1">
            <x v="3"/>
          </reference>
        </references>
      </pivotArea>
    </format>
    <format dxfId="511">
      <pivotArea dataOnly="0" labelOnly="1" outline="0" fieldPosition="0">
        <references count="3">
          <reference field="12" count="1" selected="0">
            <x v="17"/>
          </reference>
          <reference field="13" count="1" selected="0">
            <x v="34"/>
          </reference>
          <reference field="14" count="1">
            <x v="3"/>
          </reference>
        </references>
      </pivotArea>
    </format>
    <format dxfId="510">
      <pivotArea dataOnly="0" labelOnly="1" outline="0" fieldPosition="0">
        <references count="3">
          <reference field="12" count="1" selected="0">
            <x v="18"/>
          </reference>
          <reference field="13" count="1" selected="0">
            <x v="1"/>
          </reference>
          <reference field="14" count="1">
            <x v="3"/>
          </reference>
        </references>
      </pivotArea>
    </format>
    <format dxfId="509">
      <pivotArea dataOnly="0" labelOnly="1" outline="0" fieldPosition="0">
        <references count="3">
          <reference field="12" count="1" selected="0">
            <x v="19"/>
          </reference>
          <reference field="13" count="1" selected="0">
            <x v="30"/>
          </reference>
          <reference field="14" count="1">
            <x v="3"/>
          </reference>
        </references>
      </pivotArea>
    </format>
    <format dxfId="508">
      <pivotArea dataOnly="0" labelOnly="1" outline="0" fieldPosition="0">
        <references count="3">
          <reference field="12" count="1" selected="0">
            <x v="20"/>
          </reference>
          <reference field="13" count="1" selected="0">
            <x v="31"/>
          </reference>
          <reference field="14" count="1">
            <x v="3"/>
          </reference>
        </references>
      </pivotArea>
    </format>
    <format dxfId="507">
      <pivotArea dataOnly="0" labelOnly="1" outline="0" fieldPosition="0">
        <references count="3">
          <reference field="12" count="1" selected="0">
            <x v="21"/>
          </reference>
          <reference field="13" count="1" selected="0">
            <x v="47"/>
          </reference>
          <reference field="14" count="1">
            <x v="3"/>
          </reference>
        </references>
      </pivotArea>
    </format>
    <format dxfId="506">
      <pivotArea dataOnly="0" labelOnly="1" outline="0" fieldPosition="0">
        <references count="3">
          <reference field="12" count="1" selected="0">
            <x v="22"/>
          </reference>
          <reference field="13" count="1" selected="0">
            <x v="56"/>
          </reference>
          <reference field="14" count="1">
            <x v="3"/>
          </reference>
        </references>
      </pivotArea>
    </format>
    <format dxfId="505">
      <pivotArea dataOnly="0" labelOnly="1" outline="0" fieldPosition="0">
        <references count="3">
          <reference field="12" count="1" selected="0">
            <x v="23"/>
          </reference>
          <reference field="13" count="1" selected="0">
            <x v="55"/>
          </reference>
          <reference field="14" count="1">
            <x v="3"/>
          </reference>
        </references>
      </pivotArea>
    </format>
    <format dxfId="504">
      <pivotArea dataOnly="0" labelOnly="1" outline="0" fieldPosition="0">
        <references count="3">
          <reference field="12" count="1" selected="0">
            <x v="24"/>
          </reference>
          <reference field="13" count="1" selected="0">
            <x v="23"/>
          </reference>
          <reference field="14" count="1">
            <x v="3"/>
          </reference>
        </references>
      </pivotArea>
    </format>
    <format dxfId="503">
      <pivotArea dataOnly="0" labelOnly="1" outline="0" fieldPosition="0">
        <references count="3">
          <reference field="12" count="1" selected="0">
            <x v="25"/>
          </reference>
          <reference field="13" count="1" selected="0">
            <x v="63"/>
          </reference>
          <reference field="14" count="1">
            <x v="3"/>
          </reference>
        </references>
      </pivotArea>
    </format>
    <format dxfId="502">
      <pivotArea dataOnly="0" labelOnly="1" outline="0" fieldPosition="0">
        <references count="3">
          <reference field="12" count="1" selected="0">
            <x v="26"/>
          </reference>
          <reference field="13" count="1" selected="0">
            <x v="26"/>
          </reference>
          <reference field="14" count="1">
            <x v="3"/>
          </reference>
        </references>
      </pivotArea>
    </format>
    <format dxfId="501">
      <pivotArea dataOnly="0" labelOnly="1" outline="0" fieldPosition="0">
        <references count="3">
          <reference field="12" count="1" selected="0">
            <x v="27"/>
          </reference>
          <reference field="13" count="1" selected="0">
            <x v="28"/>
          </reference>
          <reference field="14" count="1">
            <x v="3"/>
          </reference>
        </references>
      </pivotArea>
    </format>
    <format dxfId="500">
      <pivotArea dataOnly="0" labelOnly="1" outline="0" fieldPosition="0">
        <references count="3">
          <reference field="12" count="1" selected="0">
            <x v="28"/>
          </reference>
          <reference field="13" count="1" selected="0">
            <x v="25"/>
          </reference>
          <reference field="14" count="1">
            <x v="3"/>
          </reference>
        </references>
      </pivotArea>
    </format>
    <format dxfId="499">
      <pivotArea dataOnly="0" labelOnly="1" outline="0" fieldPosition="0">
        <references count="3">
          <reference field="12" count="1" selected="0">
            <x v="29"/>
          </reference>
          <reference field="13" count="1" selected="0">
            <x v="29"/>
          </reference>
          <reference field="14" count="1">
            <x v="3"/>
          </reference>
        </references>
      </pivotArea>
    </format>
    <format dxfId="498">
      <pivotArea dataOnly="0" labelOnly="1" outline="0" fieldPosition="0">
        <references count="3">
          <reference field="12" count="1" selected="0">
            <x v="30"/>
          </reference>
          <reference field="13" count="1" selected="0">
            <x v="27"/>
          </reference>
          <reference field="14" count="1">
            <x v="3"/>
          </reference>
        </references>
      </pivotArea>
    </format>
    <format dxfId="497">
      <pivotArea dataOnly="0" labelOnly="1" outline="0" fieldPosition="0">
        <references count="3">
          <reference field="12" count="1" selected="0">
            <x v="31"/>
          </reference>
          <reference field="13" count="1" selected="0">
            <x v="24"/>
          </reference>
          <reference field="14" count="1">
            <x v="3"/>
          </reference>
        </references>
      </pivotArea>
    </format>
    <format dxfId="496">
      <pivotArea dataOnly="0" labelOnly="1" outline="0" fieldPosition="0">
        <references count="3">
          <reference field="12" count="1" selected="0">
            <x v="32"/>
          </reference>
          <reference field="13" count="1" selected="0">
            <x v="59"/>
          </reference>
          <reference field="14" count="1">
            <x v="2"/>
          </reference>
        </references>
      </pivotArea>
    </format>
    <format dxfId="495">
      <pivotArea dataOnly="0" labelOnly="1" outline="0" fieldPosition="0">
        <references count="3">
          <reference field="12" count="1" selected="0">
            <x v="33"/>
          </reference>
          <reference field="13" count="1" selected="0">
            <x v="46"/>
          </reference>
          <reference field="14" count="1">
            <x v="3"/>
          </reference>
        </references>
      </pivotArea>
    </format>
    <format dxfId="494">
      <pivotArea dataOnly="0" labelOnly="1" outline="0" fieldPosition="0">
        <references count="3">
          <reference field="12" count="1" selected="0">
            <x v="34"/>
          </reference>
          <reference field="13" count="1" selected="0">
            <x v="45"/>
          </reference>
          <reference field="14" count="1">
            <x v="3"/>
          </reference>
        </references>
      </pivotArea>
    </format>
    <format dxfId="493">
      <pivotArea dataOnly="0" labelOnly="1" outline="0" fieldPosition="0">
        <references count="3">
          <reference field="12" count="1" selected="0">
            <x v="35"/>
          </reference>
          <reference field="13" count="1" selected="0">
            <x v="71"/>
          </reference>
          <reference field="14" count="1">
            <x v="3"/>
          </reference>
        </references>
      </pivotArea>
    </format>
    <format dxfId="492">
      <pivotArea dataOnly="0" labelOnly="1" outline="0" fieldPosition="0">
        <references count="3">
          <reference field="12" count="1" selected="0">
            <x v="36"/>
          </reference>
          <reference field="13" count="1" selected="0">
            <x v="41"/>
          </reference>
          <reference field="14" count="1">
            <x v="3"/>
          </reference>
        </references>
      </pivotArea>
    </format>
    <format dxfId="491">
      <pivotArea dataOnly="0" labelOnly="1" outline="0" fieldPosition="0">
        <references count="3">
          <reference field="12" count="1" selected="0">
            <x v="37"/>
          </reference>
          <reference field="13" count="1" selected="0">
            <x v="40"/>
          </reference>
          <reference field="14" count="1">
            <x v="3"/>
          </reference>
        </references>
      </pivotArea>
    </format>
    <format dxfId="490">
      <pivotArea dataOnly="0" labelOnly="1" outline="0" fieldPosition="0">
        <references count="3">
          <reference field="12" count="1" selected="0">
            <x v="38"/>
          </reference>
          <reference field="13" count="1" selected="0">
            <x v="50"/>
          </reference>
          <reference field="14" count="1">
            <x v="3"/>
          </reference>
        </references>
      </pivotArea>
    </format>
    <format dxfId="489">
      <pivotArea dataOnly="0" labelOnly="1" outline="0" fieldPosition="0">
        <references count="3">
          <reference field="12" count="1" selected="0">
            <x v="39"/>
          </reference>
          <reference field="13" count="1" selected="0">
            <x v="51"/>
          </reference>
          <reference field="14" count="1">
            <x v="3"/>
          </reference>
        </references>
      </pivotArea>
    </format>
    <format dxfId="488">
      <pivotArea dataOnly="0" labelOnly="1" outline="0" fieldPosition="0">
        <references count="3">
          <reference field="12" count="1" selected="0">
            <x v="40"/>
          </reference>
          <reference field="13" count="1" selected="0">
            <x v="49"/>
          </reference>
          <reference field="14" count="1">
            <x v="3"/>
          </reference>
        </references>
      </pivotArea>
    </format>
    <format dxfId="487">
      <pivotArea dataOnly="0" labelOnly="1" outline="0" fieldPosition="0">
        <references count="3">
          <reference field="12" count="1" selected="0">
            <x v="41"/>
          </reference>
          <reference field="13" count="1" selected="0">
            <x v="57"/>
          </reference>
          <reference field="14" count="1">
            <x v="3"/>
          </reference>
        </references>
      </pivotArea>
    </format>
    <format dxfId="486">
      <pivotArea dataOnly="0" labelOnly="1" outline="0" fieldPosition="0">
        <references count="3">
          <reference field="12" count="1" selected="0">
            <x v="42"/>
          </reference>
          <reference field="13" count="1" selected="0">
            <x v="58"/>
          </reference>
          <reference field="14" count="1">
            <x v="3"/>
          </reference>
        </references>
      </pivotArea>
    </format>
    <format dxfId="485">
      <pivotArea dataOnly="0" labelOnly="1" outline="0" fieldPosition="0">
        <references count="3">
          <reference field="12" count="1" selected="0">
            <x v="43"/>
          </reference>
          <reference field="13" count="1" selected="0">
            <x v="86"/>
          </reference>
          <reference field="14" count="1">
            <x v="3"/>
          </reference>
        </references>
      </pivotArea>
    </format>
    <format dxfId="484">
      <pivotArea dataOnly="0" labelOnly="1" outline="0" fieldPosition="0">
        <references count="3">
          <reference field="12" count="1" selected="0">
            <x v="44"/>
          </reference>
          <reference field="13" count="1" selected="0">
            <x v="88"/>
          </reference>
          <reference field="14" count="1">
            <x v="3"/>
          </reference>
        </references>
      </pivotArea>
    </format>
    <format dxfId="483">
      <pivotArea dataOnly="0" labelOnly="1" outline="0" fieldPosition="0">
        <references count="3">
          <reference field="12" count="1" selected="0">
            <x v="45"/>
          </reference>
          <reference field="13" count="1" selected="0">
            <x v="87"/>
          </reference>
          <reference field="14" count="1">
            <x v="3"/>
          </reference>
        </references>
      </pivotArea>
    </format>
    <format dxfId="482">
      <pivotArea dataOnly="0" labelOnly="1" outline="0" fieldPosition="0">
        <references count="3">
          <reference field="12" count="1" selected="0">
            <x v="46"/>
          </reference>
          <reference field="13" count="1" selected="0">
            <x v="85"/>
          </reference>
          <reference field="14" count="1">
            <x v="3"/>
          </reference>
        </references>
      </pivotArea>
    </format>
    <format dxfId="481">
      <pivotArea dataOnly="0" labelOnly="1" outline="0" fieldPosition="0">
        <references count="3">
          <reference field="12" count="1" selected="0">
            <x v="47"/>
          </reference>
          <reference field="13" count="1" selected="0">
            <x v="67"/>
          </reference>
          <reference field="14" count="1">
            <x v="3"/>
          </reference>
        </references>
      </pivotArea>
    </format>
    <format dxfId="480">
      <pivotArea dataOnly="0" labelOnly="1" outline="0" fieldPosition="0">
        <references count="3">
          <reference field="12" count="1" selected="0">
            <x v="48"/>
          </reference>
          <reference field="13" count="1" selected="0">
            <x v="68"/>
          </reference>
          <reference field="14" count="1">
            <x v="3"/>
          </reference>
        </references>
      </pivotArea>
    </format>
    <format dxfId="479">
      <pivotArea dataOnly="0" labelOnly="1" outline="0" fieldPosition="0">
        <references count="3">
          <reference field="12" count="1" selected="0">
            <x v="49"/>
          </reference>
          <reference field="13" count="1" selected="0">
            <x v="66"/>
          </reference>
          <reference field="14" count="1">
            <x v="3"/>
          </reference>
        </references>
      </pivotArea>
    </format>
    <format dxfId="478">
      <pivotArea dataOnly="0" labelOnly="1" outline="0" fieldPosition="0">
        <references count="3">
          <reference field="12" count="1" selected="0">
            <x v="50"/>
          </reference>
          <reference field="13" count="1" selected="0">
            <x v="61"/>
          </reference>
          <reference field="14" count="1">
            <x v="3"/>
          </reference>
        </references>
      </pivotArea>
    </format>
    <format dxfId="477">
      <pivotArea dataOnly="0" labelOnly="1" outline="0" fieldPosition="0">
        <references count="3">
          <reference field="12" count="1" selected="0">
            <x v="51"/>
          </reference>
          <reference field="13" count="1" selected="0">
            <x v="60"/>
          </reference>
          <reference field="14" count="1">
            <x v="3"/>
          </reference>
        </references>
      </pivotArea>
    </format>
    <format dxfId="476">
      <pivotArea dataOnly="0" labelOnly="1" outline="0" fieldPosition="0">
        <references count="3">
          <reference field="12" count="1" selected="0">
            <x v="52"/>
          </reference>
          <reference field="13" count="1" selected="0">
            <x v="37"/>
          </reference>
          <reference field="14" count="1">
            <x v="3"/>
          </reference>
        </references>
      </pivotArea>
    </format>
    <format dxfId="475">
      <pivotArea dataOnly="0" labelOnly="1" outline="0" fieldPosition="0">
        <references count="3">
          <reference field="12" count="1" selected="0">
            <x v="53"/>
          </reference>
          <reference field="13" count="1" selected="0">
            <x v="74"/>
          </reference>
          <reference field="14" count="1">
            <x v="3"/>
          </reference>
        </references>
      </pivotArea>
    </format>
    <format dxfId="474">
      <pivotArea dataOnly="0" labelOnly="1" outline="0" fieldPosition="0">
        <references count="3">
          <reference field="12" count="1" selected="0">
            <x v="54"/>
          </reference>
          <reference field="13" count="1" selected="0">
            <x v="73"/>
          </reference>
          <reference field="14" count="1">
            <x v="3"/>
          </reference>
        </references>
      </pivotArea>
    </format>
    <format dxfId="473">
      <pivotArea dataOnly="0" labelOnly="1" outline="0" fieldPosition="0">
        <references count="3">
          <reference field="12" count="1" selected="0">
            <x v="55"/>
          </reference>
          <reference field="13" count="1" selected="0">
            <x v="38"/>
          </reference>
          <reference field="14" count="1">
            <x v="3"/>
          </reference>
        </references>
      </pivotArea>
    </format>
    <format dxfId="472">
      <pivotArea dataOnly="0" labelOnly="1" outline="0" fieldPosition="0">
        <references count="3">
          <reference field="12" count="1" selected="0">
            <x v="56"/>
          </reference>
          <reference field="13" count="1" selected="0">
            <x v="39"/>
          </reference>
          <reference field="14" count="1">
            <x v="3"/>
          </reference>
        </references>
      </pivotArea>
    </format>
    <format dxfId="471">
      <pivotArea dataOnly="0" labelOnly="1" outline="0" fieldPosition="0">
        <references count="3">
          <reference field="12" count="1" selected="0">
            <x v="57"/>
          </reference>
          <reference field="13" count="1" selected="0">
            <x v="91"/>
          </reference>
          <reference field="14" count="1">
            <x v="3"/>
          </reference>
        </references>
      </pivotArea>
    </format>
    <format dxfId="470">
      <pivotArea dataOnly="0" labelOnly="1" outline="0" fieldPosition="0">
        <references count="3">
          <reference field="12" count="1" selected="0">
            <x v="58"/>
          </reference>
          <reference field="13" count="1" selected="0">
            <x v="72"/>
          </reference>
          <reference field="14" count="1">
            <x v="3"/>
          </reference>
        </references>
      </pivotArea>
    </format>
    <format dxfId="469">
      <pivotArea dataOnly="0" labelOnly="1" outline="0" fieldPosition="0">
        <references count="3">
          <reference field="12" count="1" selected="0">
            <x v="59"/>
          </reference>
          <reference field="13" count="1" selected="0">
            <x v="75"/>
          </reference>
          <reference field="14" count="1">
            <x v="3"/>
          </reference>
        </references>
      </pivotArea>
    </format>
    <format dxfId="468">
      <pivotArea dataOnly="0" labelOnly="1" outline="0" fieldPosition="0">
        <references count="3">
          <reference field="12" count="1" selected="0">
            <x v="60"/>
          </reference>
          <reference field="13" count="1" selected="0">
            <x v="76"/>
          </reference>
          <reference field="14" count="1">
            <x v="3"/>
          </reference>
        </references>
      </pivotArea>
    </format>
    <format dxfId="467">
      <pivotArea dataOnly="0" labelOnly="1" outline="0" fieldPosition="0">
        <references count="3">
          <reference field="12" count="1" selected="0">
            <x v="61"/>
          </reference>
          <reference field="13" count="1" selected="0">
            <x v="77"/>
          </reference>
          <reference field="14" count="1">
            <x v="3"/>
          </reference>
        </references>
      </pivotArea>
    </format>
    <format dxfId="466">
      <pivotArea dataOnly="0" labelOnly="1" outline="0" fieldPosition="0">
        <references count="3">
          <reference field="12" count="1" selected="0">
            <x v="62"/>
          </reference>
          <reference field="13" count="1" selected="0">
            <x v="84"/>
          </reference>
          <reference field="14" count="1">
            <x v="3"/>
          </reference>
        </references>
      </pivotArea>
    </format>
    <format dxfId="465">
      <pivotArea dataOnly="0" labelOnly="1" outline="0" fieldPosition="0">
        <references count="3">
          <reference field="12" count="1" selected="0">
            <x v="63"/>
          </reference>
          <reference field="13" count="1" selected="0">
            <x v="18"/>
          </reference>
          <reference field="14" count="1">
            <x v="2"/>
          </reference>
        </references>
      </pivotArea>
    </format>
    <format dxfId="464">
      <pivotArea dataOnly="0" labelOnly="1" outline="0" fieldPosition="0">
        <references count="3">
          <reference field="12" count="1" selected="0">
            <x v="64"/>
          </reference>
          <reference field="13" count="1" selected="0">
            <x v="17"/>
          </reference>
          <reference field="14" count="1">
            <x v="2"/>
          </reference>
        </references>
      </pivotArea>
    </format>
    <format dxfId="463">
      <pivotArea dataOnly="0" labelOnly="1" outline="0" fieldPosition="0">
        <references count="3">
          <reference field="12" count="1" selected="0">
            <x v="65"/>
          </reference>
          <reference field="13" count="1" selected="0">
            <x v="20"/>
          </reference>
          <reference field="14" count="1">
            <x v="2"/>
          </reference>
        </references>
      </pivotArea>
    </format>
    <format dxfId="462">
      <pivotArea dataOnly="0" labelOnly="1" outline="0" fieldPosition="0">
        <references count="3">
          <reference field="12" count="1" selected="0">
            <x v="66"/>
          </reference>
          <reference field="13" count="1" selected="0">
            <x v="16"/>
          </reference>
          <reference field="14" count="1">
            <x v="2"/>
          </reference>
        </references>
      </pivotArea>
    </format>
    <format dxfId="461">
      <pivotArea dataOnly="0" labelOnly="1" outline="0" fieldPosition="0">
        <references count="3">
          <reference field="12" count="1" selected="0">
            <x v="67"/>
          </reference>
          <reference field="13" count="1" selected="0">
            <x v="19"/>
          </reference>
          <reference field="14" count="1">
            <x v="2"/>
          </reference>
        </references>
      </pivotArea>
    </format>
    <format dxfId="460">
      <pivotArea dataOnly="0" labelOnly="1" outline="0" fieldPosition="0">
        <references count="3">
          <reference field="12" count="1" selected="0">
            <x v="68"/>
          </reference>
          <reference field="13" count="1" selected="0">
            <x v="15"/>
          </reference>
          <reference field="14" count="1">
            <x v="2"/>
          </reference>
        </references>
      </pivotArea>
    </format>
    <format dxfId="459">
      <pivotArea dataOnly="0" labelOnly="1" outline="0" fieldPosition="0">
        <references count="3">
          <reference field="12" count="1" selected="0">
            <x v="69"/>
          </reference>
          <reference field="13" count="1" selected="0">
            <x v="13"/>
          </reference>
          <reference field="14" count="1">
            <x v="2"/>
          </reference>
        </references>
      </pivotArea>
    </format>
    <format dxfId="458">
      <pivotArea dataOnly="0" labelOnly="1" outline="0" fieldPosition="0">
        <references count="3">
          <reference field="12" count="1" selected="0">
            <x v="70"/>
          </reference>
          <reference field="13" count="1" selected="0">
            <x v="12"/>
          </reference>
          <reference field="14" count="1">
            <x v="2"/>
          </reference>
        </references>
      </pivotArea>
    </format>
    <format dxfId="457">
      <pivotArea dataOnly="0" labelOnly="1" outline="0" fieldPosition="0">
        <references count="3">
          <reference field="12" count="1" selected="0">
            <x v="71"/>
          </reference>
          <reference field="13" count="1" selected="0">
            <x v="11"/>
          </reference>
          <reference field="14" count="1">
            <x v="2"/>
          </reference>
        </references>
      </pivotArea>
    </format>
    <format dxfId="456">
      <pivotArea dataOnly="0" labelOnly="1" outline="0" fieldPosition="0">
        <references count="3">
          <reference field="12" count="1" selected="0">
            <x v="72"/>
          </reference>
          <reference field="13" count="1" selected="0">
            <x v="14"/>
          </reference>
          <reference field="14" count="1">
            <x v="2"/>
          </reference>
        </references>
      </pivotArea>
    </format>
    <format dxfId="455">
      <pivotArea dataOnly="0" labelOnly="1" outline="0" fieldPosition="0">
        <references count="3">
          <reference field="12" count="1" selected="0">
            <x v="73"/>
          </reference>
          <reference field="13" count="1" selected="0">
            <x v="21"/>
          </reference>
          <reference field="14" count="1">
            <x v="2"/>
          </reference>
        </references>
      </pivotArea>
    </format>
    <format dxfId="454">
      <pivotArea dataOnly="0" labelOnly="1" outline="0" fieldPosition="0">
        <references count="3">
          <reference field="12" count="1" selected="0">
            <x v="74"/>
          </reference>
          <reference field="13" count="1" selected="0">
            <x v="22"/>
          </reference>
          <reference field="14" count="1">
            <x v="2"/>
          </reference>
        </references>
      </pivotArea>
    </format>
    <format dxfId="453">
      <pivotArea dataOnly="0" labelOnly="1" outline="0" fieldPosition="0">
        <references count="3">
          <reference field="12" count="1" selected="0">
            <x v="75"/>
          </reference>
          <reference field="13" count="1" selected="0">
            <x v="5"/>
          </reference>
          <reference field="14" count="1">
            <x v="3"/>
          </reference>
        </references>
      </pivotArea>
    </format>
    <format dxfId="452">
      <pivotArea dataOnly="0" labelOnly="1" outline="0" fieldPosition="0">
        <references count="3">
          <reference field="12" count="1" selected="0">
            <x v="76"/>
          </reference>
          <reference field="13" count="1" selected="0">
            <x v="6"/>
          </reference>
          <reference field="14" count="1">
            <x v="3"/>
          </reference>
        </references>
      </pivotArea>
    </format>
    <format dxfId="451">
      <pivotArea dataOnly="0" labelOnly="1" outline="0" fieldPosition="0">
        <references count="3">
          <reference field="12" count="1" selected="0">
            <x v="77"/>
          </reference>
          <reference field="13" count="1" selected="0">
            <x v="32"/>
          </reference>
          <reference field="14" count="1">
            <x v="3"/>
          </reference>
        </references>
      </pivotArea>
    </format>
    <format dxfId="450">
      <pivotArea dataOnly="0" labelOnly="1" outline="0" fieldPosition="0">
        <references count="3">
          <reference field="12" count="1" selected="0">
            <x v="78"/>
          </reference>
          <reference field="13" count="1" selected="0">
            <x v="53"/>
          </reference>
          <reference field="14" count="1">
            <x v="3"/>
          </reference>
        </references>
      </pivotArea>
    </format>
    <format dxfId="449">
      <pivotArea dataOnly="0" labelOnly="1" outline="0" fieldPosition="0">
        <references count="3">
          <reference field="12" count="1" selected="0">
            <x v="79"/>
          </reference>
          <reference field="13" count="1" selected="0">
            <x v="54"/>
          </reference>
          <reference field="14" count="1">
            <x v="3"/>
          </reference>
        </references>
      </pivotArea>
    </format>
    <format dxfId="448">
      <pivotArea dataOnly="0" labelOnly="1" outline="0" fieldPosition="0">
        <references count="3">
          <reference field="12" count="1" selected="0">
            <x v="80"/>
          </reference>
          <reference field="13" count="1" selected="0">
            <x v="52"/>
          </reference>
          <reference field="14" count="1">
            <x v="3"/>
          </reference>
        </references>
      </pivotArea>
    </format>
    <format dxfId="447">
      <pivotArea dataOnly="0" labelOnly="1" outline="0" fieldPosition="0">
        <references count="3">
          <reference field="12" count="1" selected="0">
            <x v="81"/>
          </reference>
          <reference field="13" count="1" selected="0">
            <x v="42"/>
          </reference>
          <reference field="14" count="1">
            <x v="3"/>
          </reference>
        </references>
      </pivotArea>
    </format>
    <format dxfId="446">
      <pivotArea dataOnly="0" labelOnly="1" outline="0" fieldPosition="0">
        <references count="3">
          <reference field="12" count="1" selected="0">
            <x v="82"/>
          </reference>
          <reference field="13" count="1" selected="0">
            <x v="69"/>
          </reference>
          <reference field="14" count="1">
            <x v="3"/>
          </reference>
        </references>
      </pivotArea>
    </format>
    <format dxfId="445">
      <pivotArea dataOnly="0" labelOnly="1" outline="0" fieldPosition="0">
        <references count="3">
          <reference field="12" count="1" selected="0">
            <x v="83"/>
          </reference>
          <reference field="13" count="1" selected="0">
            <x v="70"/>
          </reference>
          <reference field="14" count="1">
            <x v="3"/>
          </reference>
        </references>
      </pivotArea>
    </format>
    <format dxfId="444">
      <pivotArea dataOnly="0" labelOnly="1" outline="0" fieldPosition="0">
        <references count="3">
          <reference field="12" count="1" selected="0">
            <x v="84"/>
          </reference>
          <reference field="13" count="1" selected="0">
            <x v="7"/>
          </reference>
          <reference field="14" count="1">
            <x v="3"/>
          </reference>
        </references>
      </pivotArea>
    </format>
    <format dxfId="443">
      <pivotArea dataOnly="0" labelOnly="1" outline="0" fieldPosition="0">
        <references count="3">
          <reference field="12" count="1" selected="0">
            <x v="85"/>
          </reference>
          <reference field="13" count="1" selected="0">
            <x v="8"/>
          </reference>
          <reference field="14" count="1">
            <x v="3"/>
          </reference>
        </references>
      </pivotArea>
    </format>
    <format dxfId="442">
      <pivotArea dataOnly="0" labelOnly="1" outline="0" fieldPosition="0">
        <references count="3">
          <reference field="12" count="1" selected="0">
            <x v="86"/>
          </reference>
          <reference field="13" count="1" selected="0">
            <x v="93"/>
          </reference>
          <reference field="14" count="1">
            <x v="3"/>
          </reference>
        </references>
      </pivotArea>
    </format>
    <format dxfId="441">
      <pivotArea dataOnly="0" labelOnly="1" outline="0" fieldPosition="0">
        <references count="3">
          <reference field="12" count="1" selected="0">
            <x v="87"/>
          </reference>
          <reference field="13" count="1" selected="0">
            <x v="89"/>
          </reference>
          <reference field="14" count="1">
            <x v="3"/>
          </reference>
        </references>
      </pivotArea>
    </format>
    <format dxfId="440">
      <pivotArea dataOnly="0" labelOnly="1" outline="0" fieldPosition="0">
        <references count="3">
          <reference field="12" count="1" selected="0">
            <x v="88"/>
          </reference>
          <reference field="13" count="1" selected="0">
            <x v="90"/>
          </reference>
          <reference field="14" count="1">
            <x v="3"/>
          </reference>
        </references>
      </pivotArea>
    </format>
    <format dxfId="439">
      <pivotArea dataOnly="0" labelOnly="1" outline="0" fieldPosition="0">
        <references count="3">
          <reference field="12" count="1" selected="0">
            <x v="89"/>
          </reference>
          <reference field="13" count="1" selected="0">
            <x v="3"/>
          </reference>
          <reference field="14" count="1">
            <x v="3"/>
          </reference>
        </references>
      </pivotArea>
    </format>
    <format dxfId="438">
      <pivotArea dataOnly="0" labelOnly="1" outline="0" fieldPosition="0">
        <references count="3">
          <reference field="12" count="1" selected="0">
            <x v="90"/>
          </reference>
          <reference field="13" count="1" selected="0">
            <x v="92"/>
          </reference>
          <reference field="14" count="1">
            <x v="3"/>
          </reference>
        </references>
      </pivotArea>
    </format>
    <format dxfId="437">
      <pivotArea dataOnly="0" labelOnly="1" outline="0" fieldPosition="0">
        <references count="3">
          <reference field="12" count="1" selected="0">
            <x v="91"/>
          </reference>
          <reference field="13" count="1" selected="0">
            <x v="43"/>
          </reference>
          <reference field="14" count="1">
            <x v="3"/>
          </reference>
        </references>
      </pivotArea>
    </format>
    <format dxfId="436">
      <pivotArea dataOnly="0" labelOnly="1" outline="0" fieldPosition="0">
        <references count="3">
          <reference field="12" count="1" selected="0">
            <x v="92"/>
          </reference>
          <reference field="13" count="1" selected="0">
            <x v="44"/>
          </reference>
          <reference field="14" count="1">
            <x v="3"/>
          </reference>
        </references>
      </pivotArea>
    </format>
    <format dxfId="435">
      <pivotArea dataOnly="0" labelOnly="1" outline="0" fieldPosition="0">
        <references count="3">
          <reference field="12" count="1" selected="0">
            <x v="93"/>
          </reference>
          <reference field="13" count="1" selected="0">
            <x v="2"/>
          </reference>
          <reference field="14" count="1">
            <x v="1"/>
          </reference>
        </references>
      </pivotArea>
    </format>
    <format dxfId="4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22C34-DF14-4793-B1CD-1C569FAA8823}" name="TablaDinámica4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95" firstHeaderRow="0" firstDataRow="1" firstDataCol="3"/>
  <pivotFields count="7">
    <pivotField axis="axisRow" compact="0" outline="0" showAll="0" sortType="ascending" defaultSubtotal="0">
      <items count="94">
        <item m="1" x="92"/>
        <item x="10"/>
        <item x="85"/>
        <item x="34"/>
        <item x="76"/>
        <item x="35"/>
        <item x="77"/>
        <item x="67"/>
        <item x="9"/>
        <item x="66"/>
        <item x="12"/>
        <item x="32"/>
        <item x="33"/>
        <item x="0"/>
        <item x="75"/>
        <item x="81"/>
        <item x="74"/>
        <item x="11"/>
        <item x="72"/>
        <item x="73"/>
        <item x="2"/>
        <item x="84"/>
        <item x="41"/>
        <item x="86"/>
        <item x="82"/>
        <item x="16"/>
        <item x="17"/>
        <item x="36"/>
        <item x="40"/>
        <item x="37"/>
        <item x="83"/>
        <item x="20"/>
        <item x="26"/>
        <item x="38"/>
        <item x="27"/>
        <item x="28"/>
        <item x="54"/>
        <item x="29"/>
        <item x="80"/>
        <item x="71"/>
        <item x="30"/>
        <item x="55"/>
        <item x="31"/>
        <item x="61"/>
        <item x="53"/>
        <item x="39"/>
        <item x="56"/>
        <item x="52"/>
        <item x="64"/>
        <item x="63"/>
        <item x="62"/>
        <item x="43"/>
        <item x="47"/>
        <item x="48"/>
        <item x="68"/>
        <item x="69"/>
        <item x="79"/>
        <item x="88"/>
        <item x="13"/>
        <item x="14"/>
        <item x="89"/>
        <item x="90"/>
        <item x="3"/>
        <item x="4"/>
        <item x="57"/>
        <item x="5"/>
        <item x="6"/>
        <item x="25"/>
        <item x="24"/>
        <item x="23"/>
        <item x="22"/>
        <item x="21"/>
        <item x="18"/>
        <item x="19"/>
        <item x="8"/>
        <item x="49"/>
        <item x="1"/>
        <item x="15"/>
        <item x="58"/>
        <item x="50"/>
        <item x="51"/>
        <item m="1" x="93"/>
        <item x="45"/>
        <item x="78"/>
        <item x="59"/>
        <item x="46"/>
        <item x="91"/>
        <item x="87"/>
        <item x="42"/>
        <item x="70"/>
        <item x="44"/>
        <item x="7"/>
        <item x="60"/>
        <item x="65"/>
      </items>
    </pivotField>
    <pivotField axis="axisRow" compact="0" outline="0" showAll="0" defaultSubtotal="0">
      <items count="93">
        <item m="1" x="92"/>
        <item x="11"/>
        <item x="65"/>
        <item x="70"/>
        <item x="8"/>
        <item x="49"/>
        <item x="59"/>
        <item x="46"/>
        <item x="0"/>
        <item x="33"/>
        <item x="22"/>
        <item x="23"/>
        <item x="24"/>
        <item x="21"/>
        <item x="25"/>
        <item x="5"/>
        <item x="4"/>
        <item x="3"/>
        <item x="6"/>
        <item x="57"/>
        <item x="36"/>
        <item x="16"/>
        <item x="37"/>
        <item x="17"/>
        <item x="40"/>
        <item x="1"/>
        <item x="43"/>
        <item x="68"/>
        <item x="69"/>
        <item x="54"/>
        <item x="28"/>
        <item x="51"/>
        <item x="7"/>
        <item x="60"/>
        <item x="38"/>
        <item x="26"/>
        <item x="2"/>
        <item x="12"/>
        <item x="29"/>
        <item x="50"/>
        <item x="15"/>
        <item x="58"/>
        <item x="41"/>
        <item x="55"/>
        <item x="20"/>
        <item x="62"/>
        <item x="63"/>
        <item x="9"/>
        <item x="66"/>
        <item x="64"/>
        <item x="56"/>
        <item x="52"/>
        <item x="45"/>
        <item x="27"/>
        <item x="48"/>
        <item x="13"/>
        <item x="14"/>
        <item x="34"/>
        <item x="67"/>
        <item x="35"/>
        <item x="32"/>
        <item x="39"/>
        <item x="31"/>
        <item x="53"/>
        <item x="61"/>
        <item x="42"/>
        <item x="44"/>
        <item x="18"/>
        <item x="19"/>
        <item x="30"/>
        <item x="71"/>
        <item x="72"/>
        <item x="73"/>
        <item x="74"/>
        <item x="75"/>
        <item x="76"/>
        <item x="77"/>
        <item x="78"/>
        <item x="10"/>
        <item x="79"/>
        <item x="80"/>
        <item x="81"/>
        <item x="82"/>
        <item x="47"/>
        <item x="83"/>
        <item x="84"/>
        <item x="85"/>
        <item x="86"/>
        <item x="87"/>
        <item x="88"/>
        <item x="89"/>
        <item x="90"/>
        <item x="91"/>
      </items>
    </pivotField>
    <pivotField axis="axisRow" compact="0" outline="0" showAll="0" defaultSubtotal="0">
      <items count="4">
        <item m="1" x="3"/>
        <item x="2"/>
        <item x="1"/>
        <item x="0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3">
    <field x="0"/>
    <field x="1"/>
    <field x="2"/>
  </rowFields>
  <rowItems count="93">
    <i>
      <x v="1"/>
      <x v="78"/>
      <x v="3"/>
    </i>
    <i>
      <x v="2"/>
      <x v="86"/>
      <x v="3"/>
    </i>
    <i>
      <x v="3"/>
      <x v="57"/>
      <x v="3"/>
    </i>
    <i>
      <x v="4"/>
      <x v="75"/>
      <x v="3"/>
    </i>
    <i>
      <x v="5"/>
      <x v="59"/>
      <x v="3"/>
    </i>
    <i>
      <x v="6"/>
      <x v="76"/>
      <x v="3"/>
    </i>
    <i>
      <x v="7"/>
      <x v="58"/>
      <x v="3"/>
    </i>
    <i>
      <x v="8"/>
      <x v="47"/>
      <x v="3"/>
    </i>
    <i>
      <x v="9"/>
      <x v="48"/>
      <x v="3"/>
    </i>
    <i>
      <x v="10"/>
      <x v="37"/>
      <x v="3"/>
    </i>
    <i>
      <x v="11"/>
      <x v="60"/>
      <x v="3"/>
    </i>
    <i>
      <x v="12"/>
      <x v="9"/>
      <x v="3"/>
    </i>
    <i>
      <x v="13"/>
      <x v="8"/>
      <x v="3"/>
    </i>
    <i>
      <x v="14"/>
      <x v="74"/>
      <x v="3"/>
    </i>
    <i>
      <x v="15"/>
      <x v="81"/>
      <x v="3"/>
    </i>
    <i>
      <x v="16"/>
      <x v="73"/>
      <x v="3"/>
    </i>
    <i>
      <x v="17"/>
      <x v="1"/>
      <x v="3"/>
    </i>
    <i>
      <x v="18"/>
      <x v="71"/>
      <x v="3"/>
    </i>
    <i>
      <x v="19"/>
      <x v="72"/>
      <x v="3"/>
    </i>
    <i>
      <x v="20"/>
      <x v="36"/>
      <x v="3"/>
    </i>
    <i>
      <x v="21"/>
      <x v="85"/>
      <x v="3"/>
    </i>
    <i>
      <x v="22"/>
      <x v="42"/>
      <x v="3"/>
    </i>
    <i>
      <x v="23"/>
      <x v="87"/>
      <x v="3"/>
    </i>
    <i>
      <x v="24"/>
      <x v="82"/>
      <x v="3"/>
    </i>
    <i>
      <x v="25"/>
      <x v="21"/>
      <x v="3"/>
    </i>
    <i>
      <x v="26"/>
      <x v="23"/>
      <x v="3"/>
    </i>
    <i>
      <x v="27"/>
      <x v="20"/>
      <x v="3"/>
    </i>
    <i>
      <x v="28"/>
      <x v="24"/>
      <x v="3"/>
    </i>
    <i>
      <x v="29"/>
      <x v="22"/>
      <x v="3"/>
    </i>
    <i>
      <x v="30"/>
      <x v="84"/>
      <x v="3"/>
    </i>
    <i>
      <x v="31"/>
      <x v="44"/>
      <x v="2"/>
    </i>
    <i>
      <x v="32"/>
      <x v="35"/>
      <x v="3"/>
    </i>
    <i>
      <x v="33"/>
      <x v="34"/>
      <x v="3"/>
    </i>
    <i>
      <x v="34"/>
      <x v="53"/>
      <x v="3"/>
    </i>
    <i>
      <x v="35"/>
      <x v="30"/>
      <x v="3"/>
    </i>
    <i>
      <x v="36"/>
      <x v="29"/>
      <x v="3"/>
    </i>
    <i>
      <x v="37"/>
      <x v="38"/>
      <x v="3"/>
    </i>
    <i>
      <x v="38"/>
      <x v="80"/>
      <x v="3"/>
    </i>
    <i>
      <x v="39"/>
      <x v="70"/>
      <x v="3"/>
    </i>
    <i>
      <x v="40"/>
      <x v="69"/>
      <x v="3"/>
    </i>
    <i>
      <x v="41"/>
      <x v="43"/>
      <x v="3"/>
    </i>
    <i>
      <x v="42"/>
      <x v="62"/>
      <x v="3"/>
    </i>
    <i>
      <x v="43"/>
      <x v="64"/>
      <x v="3"/>
    </i>
    <i>
      <x v="44"/>
      <x v="63"/>
      <x v="3"/>
    </i>
    <i>
      <x v="45"/>
      <x v="61"/>
      <x v="3"/>
    </i>
    <i>
      <x v="46"/>
      <x v="50"/>
      <x v="3"/>
    </i>
    <i>
      <x v="47"/>
      <x v="51"/>
      <x v="3"/>
    </i>
    <i>
      <x v="48"/>
      <x v="49"/>
      <x v="3"/>
    </i>
    <i>
      <x v="49"/>
      <x v="46"/>
      <x v="3"/>
    </i>
    <i>
      <x v="50"/>
      <x v="45"/>
      <x v="3"/>
    </i>
    <i>
      <x v="51"/>
      <x v="26"/>
      <x v="3"/>
    </i>
    <i>
      <x v="52"/>
      <x v="83"/>
      <x v="3"/>
    </i>
    <i>
      <x v="53"/>
      <x v="54"/>
      <x v="3"/>
    </i>
    <i>
      <x v="54"/>
      <x v="27"/>
      <x v="3"/>
    </i>
    <i>
      <x v="55"/>
      <x v="28"/>
      <x v="3"/>
    </i>
    <i>
      <x v="56"/>
      <x v="79"/>
      <x v="3"/>
    </i>
    <i>
      <x v="57"/>
      <x v="89"/>
      <x v="3"/>
    </i>
    <i>
      <x v="58"/>
      <x v="55"/>
      <x v="3"/>
    </i>
    <i>
      <x v="59"/>
      <x v="56"/>
      <x v="3"/>
    </i>
    <i>
      <x v="60"/>
      <x v="90"/>
      <x v="3"/>
    </i>
    <i>
      <x v="61"/>
      <x v="91"/>
      <x v="3"/>
    </i>
    <i>
      <x v="62"/>
      <x v="17"/>
      <x v="2"/>
    </i>
    <i>
      <x v="63"/>
      <x v="16"/>
      <x v="2"/>
    </i>
    <i>
      <x v="64"/>
      <x v="19"/>
      <x v="2"/>
    </i>
    <i>
      <x v="65"/>
      <x v="15"/>
      <x v="2"/>
    </i>
    <i>
      <x v="66"/>
      <x v="18"/>
      <x v="2"/>
    </i>
    <i>
      <x v="67"/>
      <x v="14"/>
      <x v="2"/>
    </i>
    <i>
      <x v="68"/>
      <x v="12"/>
      <x v="2"/>
    </i>
    <i>
      <x v="69"/>
      <x v="11"/>
      <x v="2"/>
    </i>
    <i>
      <x v="70"/>
      <x v="10"/>
      <x v="2"/>
    </i>
    <i>
      <x v="71"/>
      <x v="13"/>
      <x v="2"/>
    </i>
    <i>
      <x v="72"/>
      <x v="67"/>
      <x v="2"/>
    </i>
    <i>
      <x v="73"/>
      <x v="68"/>
      <x v="2"/>
    </i>
    <i>
      <x v="74"/>
      <x v="4"/>
      <x v="3"/>
    </i>
    <i>
      <x v="75"/>
      <x v="5"/>
      <x v="3"/>
    </i>
    <i>
      <x v="76"/>
      <x v="25"/>
      <x v="3"/>
    </i>
    <i>
      <x v="77"/>
      <x v="40"/>
      <x v="3"/>
    </i>
    <i>
      <x v="78"/>
      <x v="41"/>
      <x v="3"/>
    </i>
    <i>
      <x v="79"/>
      <x v="39"/>
      <x v="3"/>
    </i>
    <i>
      <x v="80"/>
      <x v="31"/>
      <x v="3"/>
    </i>
    <i>
      <x v="82"/>
      <x v="52"/>
      <x v="3"/>
    </i>
    <i>
      <x v="83"/>
      <x v="77"/>
      <x v="3"/>
    </i>
    <i>
      <x v="84"/>
      <x v="6"/>
      <x v="3"/>
    </i>
    <i>
      <x v="85"/>
      <x v="7"/>
      <x v="3"/>
    </i>
    <i>
      <x v="86"/>
      <x v="92"/>
      <x v="3"/>
    </i>
    <i>
      <x v="87"/>
      <x v="88"/>
      <x v="3"/>
    </i>
    <i>
      <x v="88"/>
      <x v="65"/>
      <x v="3"/>
    </i>
    <i>
      <x v="89"/>
      <x v="3"/>
      <x v="3"/>
    </i>
    <i>
      <x v="90"/>
      <x v="66"/>
      <x v="3"/>
    </i>
    <i>
      <x v="91"/>
      <x v="32"/>
      <x v="3"/>
    </i>
    <i>
      <x v="92"/>
      <x v="33"/>
      <x v="3"/>
    </i>
    <i>
      <x v="93"/>
      <x v="2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. ENTREGADA" fld="3" baseField="0" baseItem="0"/>
    <dataField name="Suma de CANT. DEVOLUC." fld="6" baseField="0" baseItem="0"/>
  </dataFields>
  <formats count="432">
    <format dxfId="433">
      <pivotArea field="1" type="button" dataOnly="0" labelOnly="1" outline="0" axis="axisRow" fieldPosition="1"/>
    </format>
    <format dxfId="432">
      <pivotArea type="all" dataOnly="0" outline="0" fieldPosition="0"/>
    </format>
    <format dxfId="431">
      <pivotArea outline="0" collapsedLevelsAreSubtotals="1" fieldPosition="0"/>
    </format>
    <format dxfId="430">
      <pivotArea field="0" type="button" dataOnly="0" labelOnly="1" outline="0" axis="axisRow" fieldPosition="0"/>
    </format>
    <format dxfId="429">
      <pivotArea field="1" type="button" dataOnly="0" labelOnly="1" outline="0" axis="axisRow" fieldPosition="1"/>
    </format>
    <format dxfId="428">
      <pivotArea field="2" type="button" dataOnly="0" labelOnly="1" outline="0" axis="axisRow" fieldPosition="2"/>
    </format>
    <format dxfId="427">
      <pivotArea dataOnly="0" labelOnly="1" outline="0" fieldPosition="0">
        <references count="1">
          <reference field="0" count="50">
            <x v="0"/>
            <x v="1"/>
            <x v="3"/>
            <x v="5"/>
            <x v="7"/>
            <x v="8"/>
            <x v="9"/>
            <x v="10"/>
            <x v="11"/>
            <x v="12"/>
            <x v="13"/>
            <x v="17"/>
            <x v="20"/>
            <x v="22"/>
            <x v="25"/>
            <x v="26"/>
            <x v="27"/>
            <x v="28"/>
            <x v="29"/>
            <x v="31"/>
            <x v="32"/>
            <x v="33"/>
            <x v="34"/>
            <x v="35"/>
            <x v="36"/>
            <x v="37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8"/>
            <x v="59"/>
            <x v="62"/>
            <x v="63"/>
            <x v="64"/>
            <x v="65"/>
            <x v="66"/>
            <x v="67"/>
          </reference>
        </references>
      </pivotArea>
    </format>
    <format dxfId="426">
      <pivotArea dataOnly="0" labelOnly="1" outline="0" fieldPosition="0">
        <references count="1">
          <reference field="0" count="22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2"/>
            <x v="84"/>
            <x v="85"/>
            <x v="88"/>
            <x v="89"/>
            <x v="90"/>
            <x v="91"/>
            <x v="92"/>
            <x v="93"/>
          </reference>
        </references>
      </pivotArea>
    </format>
    <format dxfId="425">
      <pivotArea dataOnly="0" labelOnly="1" grandRow="1" outline="0" fieldPosition="0"/>
    </format>
    <format dxfId="424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3"/>
          </reference>
          <reference field="1" count="1">
            <x v="57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5"/>
          </reference>
          <reference field="1" count="1">
            <x v="59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7"/>
          </reference>
          <reference field="1" count="1">
            <x v="58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8"/>
          </reference>
          <reference field="1" count="1">
            <x v="47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9"/>
          </reference>
          <reference field="1" count="1">
            <x v="48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10"/>
          </reference>
          <reference field="1" count="1">
            <x v="37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11"/>
          </reference>
          <reference field="1" count="1">
            <x v="60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12"/>
          </reference>
          <reference field="1" count="1">
            <x v="9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13"/>
          </reference>
          <reference field="1" count="1">
            <x v="8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17"/>
          </reference>
          <reference field="1" count="1">
            <x v="1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20"/>
          </reference>
          <reference field="1" count="1">
            <x v="36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22"/>
          </reference>
          <reference field="1" count="1">
            <x v="42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25"/>
          </reference>
          <reference field="1" count="1">
            <x v="21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26"/>
          </reference>
          <reference field="1" count="1">
            <x v="23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27"/>
          </reference>
          <reference field="1" count="1">
            <x v="20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28"/>
          </reference>
          <reference field="1" count="1">
            <x v="24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29"/>
          </reference>
          <reference field="1" count="1">
            <x v="22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32"/>
          </reference>
          <reference field="1" count="1">
            <x v="35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33"/>
          </reference>
          <reference field="1" count="1">
            <x v="34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34"/>
          </reference>
          <reference field="1" count="1">
            <x v="53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35"/>
          </reference>
          <reference field="1" count="1">
            <x v="30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36"/>
          </reference>
          <reference field="1" count="1">
            <x v="29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37"/>
          </reference>
          <reference field="1" count="1">
            <x v="38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41"/>
          </reference>
          <reference field="1" count="1">
            <x v="43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42"/>
          </reference>
          <reference field="1" count="1">
            <x v="62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43"/>
          </reference>
          <reference field="1" count="1">
            <x v="64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44"/>
          </reference>
          <reference field="1" count="1">
            <x v="63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45"/>
          </reference>
          <reference field="1" count="1">
            <x v="61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46"/>
          </reference>
          <reference field="1" count="1">
            <x v="50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47"/>
          </reference>
          <reference field="1" count="1">
            <x v="51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48"/>
          </reference>
          <reference field="1" count="1">
            <x v="49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49"/>
          </reference>
          <reference field="1" count="1">
            <x v="46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50"/>
          </reference>
          <reference field="1" count="1">
            <x v="45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51"/>
          </reference>
          <reference field="1" count="1">
            <x v="26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53"/>
          </reference>
          <reference field="1" count="1">
            <x v="54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54"/>
          </reference>
          <reference field="1" count="1">
            <x v="27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55"/>
          </reference>
          <reference field="1" count="1">
            <x v="28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58"/>
          </reference>
          <reference field="1" count="1">
            <x v="55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59"/>
          </reference>
          <reference field="1" count="1">
            <x v="56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62"/>
          </reference>
          <reference field="1" count="1">
            <x v="17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63"/>
          </reference>
          <reference field="1" count="1">
            <x v="16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64"/>
          </reference>
          <reference field="1" count="1">
            <x v="19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65"/>
          </reference>
          <reference field="1" count="1">
            <x v="15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66"/>
          </reference>
          <reference field="1" count="1">
            <x v="18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67"/>
          </reference>
          <reference field="1" count="1">
            <x v="14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68"/>
          </reference>
          <reference field="1" count="1">
            <x v="12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69"/>
          </reference>
          <reference field="1" count="1">
            <x v="11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70"/>
          </reference>
          <reference field="1" count="1">
            <x v="10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71"/>
          </reference>
          <reference field="1" count="1">
            <x v="13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74"/>
          </reference>
          <reference field="1" count="1">
            <x v="4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75"/>
          </reference>
          <reference field="1" count="1">
            <x v="5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76"/>
          </reference>
          <reference field="1" count="1">
            <x v="25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77"/>
          </reference>
          <reference field="1" count="1">
            <x v="40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78"/>
          </reference>
          <reference field="1" count="1">
            <x v="41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79"/>
          </reference>
          <reference field="1" count="1">
            <x v="39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80"/>
          </reference>
          <reference field="1" count="1">
            <x v="31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82"/>
          </reference>
          <reference field="1" count="1">
            <x v="52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84"/>
          </reference>
          <reference field="1" count="1">
            <x v="6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85"/>
          </reference>
          <reference field="1" count="1">
            <x v="7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88"/>
          </reference>
          <reference field="1" count="1">
            <x v="65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89"/>
          </reference>
          <reference field="1" count="1">
            <x v="3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90"/>
          </reference>
          <reference field="1" count="1">
            <x v="66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91"/>
          </reference>
          <reference field="1" count="1">
            <x v="32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92"/>
          </reference>
          <reference field="1" count="1">
            <x v="33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93"/>
          </reference>
          <reference field="1" count="1">
            <x v="2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"/>
          </reference>
          <reference field="2" count="1">
            <x v="3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9"/>
          </reference>
          <reference field="2" count="1">
            <x v="3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3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47"/>
          </reference>
          <reference field="2" count="1">
            <x v="3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48"/>
          </reference>
          <reference field="2" count="1">
            <x v="3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37"/>
          </reference>
          <reference field="2" count="1">
            <x v="3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60"/>
          </reference>
          <reference field="2" count="1">
            <x v="3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3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8"/>
          </reference>
          <reference field="2" count="1">
            <x v="3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36"/>
          </reference>
          <reference field="2" count="1">
            <x v="3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42"/>
          </reference>
          <reference field="2" count="1">
            <x v="3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21"/>
          </reference>
          <reference field="2" count="1">
            <x v="3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23"/>
          </reference>
          <reference field="2" count="1">
            <x v="3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20"/>
          </reference>
          <reference field="2" count="1">
            <x v="3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4"/>
          </reference>
          <reference field="2" count="1">
            <x v="3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22"/>
          </reference>
          <reference field="2" count="1">
            <x v="3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44"/>
          </reference>
          <reference field="2" count="1">
            <x v="2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35"/>
          </reference>
          <reference field="2" count="1">
            <x v="3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3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53"/>
          </reference>
          <reference field="2" count="1">
            <x v="3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0"/>
          </reference>
          <reference field="2" count="1">
            <x v="3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29"/>
          </reference>
          <reference field="2" count="1">
            <x v="3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38"/>
          </reference>
          <reference field="2" count="1">
            <x v="3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43"/>
          </reference>
          <reference field="2" count="1">
            <x v="3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62"/>
          </reference>
          <reference field="2" count="1">
            <x v="3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64"/>
          </reference>
          <reference field="2" count="1">
            <x v="3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63"/>
          </reference>
          <reference field="2" count="1">
            <x v="3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61"/>
          </reference>
          <reference field="2" count="1">
            <x v="3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50"/>
          </reference>
          <reference field="2" count="1">
            <x v="3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1"/>
          </reference>
          <reference field="2" count="1">
            <x v="3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49"/>
          </reference>
          <reference field="2" count="1">
            <x v="3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46"/>
          </reference>
          <reference field="2" count="1">
            <x v="3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45"/>
          </reference>
          <reference field="2" count="1">
            <x v="3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26"/>
          </reference>
          <reference field="2" count="1">
            <x v="3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54"/>
          </reference>
          <reference field="2" count="1">
            <x v="3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27"/>
          </reference>
          <reference field="2" count="1">
            <x v="3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28"/>
          </reference>
          <reference field="2" count="1">
            <x v="3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58"/>
          </reference>
          <reference field="1" count="1" selected="0">
            <x v="55"/>
          </reference>
          <reference field="2" count="1">
            <x v="3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56"/>
          </reference>
          <reference field="2" count="1">
            <x v="3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63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68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11"/>
          </reference>
          <reference field="2" count="1">
            <x v="2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70"/>
          </reference>
          <reference field="1" count="1" selected="0">
            <x v="10"/>
          </reference>
          <reference field="2" count="1">
            <x v="2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71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74"/>
          </reference>
          <reference field="1" count="1" selected="0">
            <x v="4"/>
          </reference>
          <reference field="2" count="1">
            <x v="3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75"/>
          </reference>
          <reference field="1" count="1" selected="0">
            <x v="5"/>
          </reference>
          <reference field="2" count="1">
            <x v="3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76"/>
          </reference>
          <reference field="1" count="1" selected="0">
            <x v="25"/>
          </reference>
          <reference field="2" count="1">
            <x v="3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40"/>
          </reference>
          <reference field="2" count="1">
            <x v="3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78"/>
          </reference>
          <reference field="1" count="1" selected="0">
            <x v="41"/>
          </reference>
          <reference field="2" count="1">
            <x v="3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79"/>
          </reference>
          <reference field="1" count="1" selected="0">
            <x v="39"/>
          </reference>
          <reference field="2" count="1">
            <x v="3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80"/>
          </reference>
          <reference field="1" count="1" selected="0">
            <x v="31"/>
          </reference>
          <reference field="2" count="1">
            <x v="3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82"/>
          </reference>
          <reference field="1" count="1" selected="0">
            <x v="52"/>
          </reference>
          <reference field="2" count="1">
            <x v="3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84"/>
          </reference>
          <reference field="1" count="1" selected="0">
            <x v="6"/>
          </reference>
          <reference field="2" count="1">
            <x v="3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85"/>
          </reference>
          <reference field="1" count="1" selected="0">
            <x v="7"/>
          </reference>
          <reference field="2" count="1">
            <x v="3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88"/>
          </reference>
          <reference field="1" count="1" selected="0">
            <x v="65"/>
          </reference>
          <reference field="2" count="1">
            <x v="3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89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90"/>
          </reference>
          <reference field="1" count="1" selected="0">
            <x v="66"/>
          </reference>
          <reference field="2" count="1">
            <x v="3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91"/>
          </reference>
          <reference field="1" count="1" selected="0">
            <x v="32"/>
          </reference>
          <reference field="2" count="1">
            <x v="3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92"/>
          </reference>
          <reference field="1" count="1" selected="0">
            <x v="33"/>
          </reference>
          <reference field="2" count="1">
            <x v="3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9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2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0" type="button" dataOnly="0" labelOnly="1" outline="0" axis="axisRow" fieldPosition="0"/>
    </format>
    <format dxfId="286">
      <pivotArea field="2" type="button" dataOnly="0" labelOnly="1" outline="0" axis="axisRow" fieldPosition="2"/>
    </format>
    <format dxfId="285">
      <pivotArea dataOnly="0" labelOnly="1" outline="0" fieldPosition="0">
        <references count="1">
          <reference field="0" count="50">
            <x v="0"/>
            <x v="1"/>
            <x v="3"/>
            <x v="5"/>
            <x v="7"/>
            <x v="8"/>
            <x v="9"/>
            <x v="10"/>
            <x v="11"/>
            <x v="12"/>
            <x v="13"/>
            <x v="17"/>
            <x v="20"/>
            <x v="22"/>
            <x v="25"/>
            <x v="26"/>
            <x v="27"/>
            <x v="28"/>
            <x v="29"/>
            <x v="31"/>
            <x v="32"/>
            <x v="33"/>
            <x v="34"/>
            <x v="35"/>
            <x v="36"/>
            <x v="37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8"/>
            <x v="59"/>
            <x v="62"/>
            <x v="63"/>
            <x v="64"/>
            <x v="65"/>
            <x v="66"/>
            <x v="67"/>
          </reference>
        </references>
      </pivotArea>
    </format>
    <format dxfId="284">
      <pivotArea dataOnly="0" labelOnly="1" outline="0" fieldPosition="0">
        <references count="1">
          <reference field="0" count="22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2"/>
            <x v="84"/>
            <x v="85"/>
            <x v="88"/>
            <x v="89"/>
            <x v="90"/>
            <x v="91"/>
            <x v="92"/>
            <x v="93"/>
          </reference>
        </references>
      </pivotArea>
    </format>
    <format dxfId="283">
      <pivotArea dataOnly="0" labelOnly="1" grandRow="1" outline="0" fieldPosition="0"/>
    </format>
    <format dxfId="28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3"/>
          </reference>
          <reference field="1" count="1">
            <x v="57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5"/>
          </reference>
          <reference field="1" count="1">
            <x v="59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7"/>
          </reference>
          <reference field="1" count="1">
            <x v="58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8"/>
          </reference>
          <reference field="1" count="1">
            <x v="47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9"/>
          </reference>
          <reference field="1" count="1">
            <x v="48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0"/>
          </reference>
          <reference field="1" count="1">
            <x v="37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1"/>
          </reference>
          <reference field="1" count="1">
            <x v="60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2"/>
          </reference>
          <reference field="1" count="1">
            <x v="9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3"/>
          </reference>
          <reference field="1" count="1">
            <x v="8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7"/>
          </reference>
          <reference field="1" count="1">
            <x v="1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20"/>
          </reference>
          <reference field="1" count="1">
            <x v="36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22"/>
          </reference>
          <reference field="1" count="1">
            <x v="42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25"/>
          </reference>
          <reference field="1" count="1">
            <x v="21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26"/>
          </reference>
          <reference field="1" count="1">
            <x v="23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27"/>
          </reference>
          <reference field="1" count="1">
            <x v="20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28"/>
          </reference>
          <reference field="1" count="1">
            <x v="24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29"/>
          </reference>
          <reference field="1" count="1">
            <x v="22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32"/>
          </reference>
          <reference field="1" count="1">
            <x v="35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33"/>
          </reference>
          <reference field="1" count="1">
            <x v="34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34"/>
          </reference>
          <reference field="1" count="1">
            <x v="53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35"/>
          </reference>
          <reference field="1" count="1">
            <x v="30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36"/>
          </reference>
          <reference field="1" count="1">
            <x v="29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37"/>
          </reference>
          <reference field="1" count="1">
            <x v="38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41"/>
          </reference>
          <reference field="1" count="1">
            <x v="43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42"/>
          </reference>
          <reference field="1" count="1">
            <x v="62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43"/>
          </reference>
          <reference field="1" count="1">
            <x v="64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44"/>
          </reference>
          <reference field="1" count="1">
            <x v="63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45"/>
          </reference>
          <reference field="1" count="1">
            <x v="61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46"/>
          </reference>
          <reference field="1" count="1">
            <x v="50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47"/>
          </reference>
          <reference field="1" count="1">
            <x v="51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48"/>
          </reference>
          <reference field="1" count="1">
            <x v="49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49"/>
          </reference>
          <reference field="1" count="1">
            <x v="46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50"/>
          </reference>
          <reference field="1" count="1">
            <x v="45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51"/>
          </reference>
          <reference field="1" count="1">
            <x v="26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53"/>
          </reference>
          <reference field="1" count="1">
            <x v="54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54"/>
          </reference>
          <reference field="1" count="1">
            <x v="27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55"/>
          </reference>
          <reference field="1" count="1">
            <x v="28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58"/>
          </reference>
          <reference field="1" count="1">
            <x v="55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59"/>
          </reference>
          <reference field="1" count="1">
            <x v="56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62"/>
          </reference>
          <reference field="1" count="1">
            <x v="17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63"/>
          </reference>
          <reference field="1" count="1">
            <x v="16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64"/>
          </reference>
          <reference field="1" count="1">
            <x v="19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65"/>
          </reference>
          <reference field="1" count="1">
            <x v="15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66"/>
          </reference>
          <reference field="1" count="1">
            <x v="18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67"/>
          </reference>
          <reference field="1" count="1">
            <x v="14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68"/>
          </reference>
          <reference field="1" count="1">
            <x v="12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69"/>
          </reference>
          <reference field="1" count="1">
            <x v="11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70"/>
          </reference>
          <reference field="1" count="1">
            <x v="10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71"/>
          </reference>
          <reference field="1" count="1">
            <x v="13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74"/>
          </reference>
          <reference field="1" count="1">
            <x v="4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75"/>
          </reference>
          <reference field="1" count="1">
            <x v="5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76"/>
          </reference>
          <reference field="1" count="1">
            <x v="25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77"/>
          </reference>
          <reference field="1" count="1">
            <x v="40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78"/>
          </reference>
          <reference field="1" count="1">
            <x v="41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79"/>
          </reference>
          <reference field="1" count="1">
            <x v="39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80"/>
          </reference>
          <reference field="1" count="1">
            <x v="31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82"/>
          </reference>
          <reference field="1" count="1">
            <x v="52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84"/>
          </reference>
          <reference field="1" count="1">
            <x v="6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85"/>
          </reference>
          <reference field="1" count="1">
            <x v="7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88"/>
          </reference>
          <reference field="1" count="1">
            <x v="65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89"/>
          </reference>
          <reference field="1" count="1">
            <x v="3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90"/>
          </reference>
          <reference field="1" count="1">
            <x v="66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91"/>
          </reference>
          <reference field="1" count="1">
            <x v="32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92"/>
          </reference>
          <reference field="1" count="1">
            <x v="33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93"/>
          </reference>
          <reference field="1" count="1">
            <x v="2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"/>
          </reference>
          <reference field="2" count="1">
            <x v="3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9"/>
          </reference>
          <reference field="2" count="1">
            <x v="3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3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47"/>
          </reference>
          <reference field="2" count="1">
            <x v="3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48"/>
          </reference>
          <reference field="2" count="1">
            <x v="3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37"/>
          </reference>
          <reference field="2" count="1">
            <x v="3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60"/>
          </reference>
          <reference field="2" count="1">
            <x v="3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3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8"/>
          </reference>
          <reference field="2" count="1">
            <x v="3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36"/>
          </reference>
          <reference field="2" count="1">
            <x v="3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42"/>
          </reference>
          <reference field="2" count="1">
            <x v="3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21"/>
          </reference>
          <reference field="2" count="1">
            <x v="3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23"/>
          </reference>
          <reference field="2" count="1">
            <x v="3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20"/>
          </reference>
          <reference field="2" count="1">
            <x v="3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4"/>
          </reference>
          <reference field="2" count="1">
            <x v="3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22"/>
          </reference>
          <reference field="2" count="1">
            <x v="3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44"/>
          </reference>
          <reference field="2" count="1">
            <x v="2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35"/>
          </reference>
          <reference field="2" count="1">
            <x v="3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3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53"/>
          </reference>
          <reference field="2" count="1">
            <x v="3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0"/>
          </reference>
          <reference field="2" count="1">
            <x v="3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29"/>
          </reference>
          <reference field="2" count="1">
            <x v="3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38"/>
          </reference>
          <reference field="2" count="1">
            <x v="3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43"/>
          </reference>
          <reference field="2" count="1">
            <x v="3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62"/>
          </reference>
          <reference field="2" count="1">
            <x v="3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64"/>
          </reference>
          <reference field="2" count="1">
            <x v="3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63"/>
          </reference>
          <reference field="2" count="1">
            <x v="3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61"/>
          </reference>
          <reference field="2" count="1">
            <x v="3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50"/>
          </reference>
          <reference field="2" count="1">
            <x v="3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1"/>
          </reference>
          <reference field="2" count="1">
            <x v="3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49"/>
          </reference>
          <reference field="2" count="1">
            <x v="3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46"/>
          </reference>
          <reference field="2" count="1">
            <x v="3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45"/>
          </reference>
          <reference field="2" count="1">
            <x v="3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26"/>
          </reference>
          <reference field="2" count="1">
            <x v="3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54"/>
          </reference>
          <reference field="2" count="1">
            <x v="3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27"/>
          </reference>
          <reference field="2" count="1">
            <x v="3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28"/>
          </reference>
          <reference field="2" count="1">
            <x v="3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58"/>
          </reference>
          <reference field="1" count="1" selected="0">
            <x v="55"/>
          </reference>
          <reference field="2" count="1">
            <x v="3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56"/>
          </reference>
          <reference field="2" count="1">
            <x v="3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63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68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11"/>
          </reference>
          <reference field="2" count="1">
            <x v="2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70"/>
          </reference>
          <reference field="1" count="1" selected="0">
            <x v="10"/>
          </reference>
          <reference field="2" count="1">
            <x v="2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71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74"/>
          </reference>
          <reference field="1" count="1" selected="0">
            <x v="4"/>
          </reference>
          <reference field="2" count="1">
            <x v="3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75"/>
          </reference>
          <reference field="1" count="1" selected="0">
            <x v="5"/>
          </reference>
          <reference field="2" count="1">
            <x v="3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76"/>
          </reference>
          <reference field="1" count="1" selected="0">
            <x v="25"/>
          </reference>
          <reference field="2" count="1">
            <x v="3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40"/>
          </reference>
          <reference field="2" count="1">
            <x v="3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78"/>
          </reference>
          <reference field="1" count="1" selected="0">
            <x v="41"/>
          </reference>
          <reference field="2" count="1">
            <x v="3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79"/>
          </reference>
          <reference field="1" count="1" selected="0">
            <x v="39"/>
          </reference>
          <reference field="2" count="1">
            <x v="3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80"/>
          </reference>
          <reference field="1" count="1" selected="0">
            <x v="31"/>
          </reference>
          <reference field="2" count="1">
            <x v="3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82"/>
          </reference>
          <reference field="1" count="1" selected="0">
            <x v="52"/>
          </reference>
          <reference field="2" count="1">
            <x v="3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84"/>
          </reference>
          <reference field="1" count="1" selected="0">
            <x v="6"/>
          </reference>
          <reference field="2" count="1">
            <x v="3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85"/>
          </reference>
          <reference field="1" count="1" selected="0">
            <x v="7"/>
          </reference>
          <reference field="2" count="1">
            <x v="3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88"/>
          </reference>
          <reference field="1" count="1" selected="0">
            <x v="65"/>
          </reference>
          <reference field="2" count="1">
            <x v="3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89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90"/>
          </reference>
          <reference field="1" count="1" selected="0">
            <x v="66"/>
          </reference>
          <reference field="2" count="1">
            <x v="3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91"/>
          </reference>
          <reference field="1" count="1" selected="0">
            <x v="32"/>
          </reference>
          <reference field="2" count="1">
            <x v="3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92"/>
          </reference>
          <reference field="1" count="1" selected="0">
            <x v="33"/>
          </reference>
          <reference field="2" count="1">
            <x v="3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9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field="1" type="button" dataOnly="0" labelOnly="1" outline="0" axis="axisRow" fieldPosition="1"/>
    </format>
    <format dxfId="146">
      <pivotArea field="2" type="button" dataOnly="0" labelOnly="1" outline="0" axis="axisRow" fieldPosition="2"/>
    </format>
    <format dxfId="145">
      <pivotArea dataOnly="0" outline="0" fieldPosition="0">
        <references count="1">
          <reference field="4294967294" count="1">
            <x v="0"/>
          </reference>
        </references>
      </pivotArea>
    </format>
    <format dxfId="144">
      <pivotArea dataOnly="0" outline="0" fieldPosition="0">
        <references count="1">
          <reference field="4294967294" count="1">
            <x v="1"/>
          </reference>
        </references>
      </pivotArea>
    </format>
    <format dxfId="143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142">
      <pivotArea field="0" type="button" dataOnly="0" labelOnly="1" outline="0" axis="axisRow" fieldPosition="0"/>
    </format>
    <format dxfId="141">
      <pivotArea field="1" type="button" dataOnly="0" labelOnly="1" outline="0" axis="axisRow" fieldPosition="1"/>
    </format>
    <format dxfId="140">
      <pivotArea field="2" type="button" dataOnly="0" labelOnly="1" outline="0" axis="axisRow" fieldPosition="2"/>
    </format>
    <format dxfId="139">
      <pivotArea dataOnly="0" labelOnly="1" outline="0" fieldPosition="0">
        <references count="1">
          <reference field="0" count="50">
            <x v="0"/>
            <x v="1"/>
            <x v="3"/>
            <x v="5"/>
            <x v="7"/>
            <x v="8"/>
            <x v="9"/>
            <x v="10"/>
            <x v="11"/>
            <x v="12"/>
            <x v="13"/>
            <x v="17"/>
            <x v="20"/>
            <x v="22"/>
            <x v="25"/>
            <x v="26"/>
            <x v="27"/>
            <x v="28"/>
            <x v="29"/>
            <x v="31"/>
            <x v="32"/>
            <x v="33"/>
            <x v="34"/>
            <x v="35"/>
            <x v="36"/>
            <x v="37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8"/>
            <x v="59"/>
            <x v="62"/>
            <x v="63"/>
            <x v="64"/>
            <x v="65"/>
            <x v="66"/>
            <x v="67"/>
          </reference>
        </references>
      </pivotArea>
    </format>
    <format dxfId="138">
      <pivotArea dataOnly="0" labelOnly="1" outline="0" fieldPosition="0">
        <references count="1">
          <reference field="0" count="22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2"/>
            <x v="84"/>
            <x v="85"/>
            <x v="88"/>
            <x v="89"/>
            <x v="90"/>
            <x v="91"/>
            <x v="92"/>
            <x v="93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3"/>
          </reference>
          <reference field="1" count="1">
            <x v="57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5"/>
          </reference>
          <reference field="1" count="1">
            <x v="59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7"/>
          </reference>
          <reference field="1" count="1">
            <x v="58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8"/>
          </reference>
          <reference field="1" count="1">
            <x v="47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9"/>
          </reference>
          <reference field="1" count="1">
            <x v="48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10"/>
          </reference>
          <reference field="1" count="1">
            <x v="37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11"/>
          </reference>
          <reference field="1" count="1">
            <x v="60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2"/>
          </reference>
          <reference field="1" count="1">
            <x v="9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3"/>
          </reference>
          <reference field="1" count="1">
            <x v="8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7"/>
          </reference>
          <reference field="1" count="1">
            <x v="1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20"/>
          </reference>
          <reference field="1" count="1">
            <x v="36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22"/>
          </reference>
          <reference field="1" count="1">
            <x v="42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25"/>
          </reference>
          <reference field="1" count="1">
            <x v="21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26"/>
          </reference>
          <reference field="1" count="1">
            <x v="23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27"/>
          </reference>
          <reference field="1" count="1">
            <x v="20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28"/>
          </reference>
          <reference field="1" count="1">
            <x v="24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29"/>
          </reference>
          <reference field="1" count="1">
            <x v="22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32"/>
          </reference>
          <reference field="1" count="1">
            <x v="35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33"/>
          </reference>
          <reference field="1" count="1">
            <x v="34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34"/>
          </reference>
          <reference field="1" count="1">
            <x v="53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35"/>
          </reference>
          <reference field="1" count="1">
            <x v="30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36"/>
          </reference>
          <reference field="1" count="1">
            <x v="29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37"/>
          </reference>
          <reference field="1" count="1">
            <x v="38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41"/>
          </reference>
          <reference field="1" count="1">
            <x v="43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42"/>
          </reference>
          <reference field="1" count="1">
            <x v="62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43"/>
          </reference>
          <reference field="1" count="1">
            <x v="64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44"/>
          </reference>
          <reference field="1" count="1">
            <x v="63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45"/>
          </reference>
          <reference field="1" count="1">
            <x v="61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46"/>
          </reference>
          <reference field="1" count="1">
            <x v="50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47"/>
          </reference>
          <reference field="1" count="1">
            <x v="51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48"/>
          </reference>
          <reference field="1" count="1">
            <x v="49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49"/>
          </reference>
          <reference field="1" count="1">
            <x v="46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50"/>
          </reference>
          <reference field="1" count="1">
            <x v="45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51"/>
          </reference>
          <reference field="1" count="1">
            <x v="26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53"/>
          </reference>
          <reference field="1" count="1">
            <x v="54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54"/>
          </reference>
          <reference field="1" count="1">
            <x v="27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55"/>
          </reference>
          <reference field="1" count="1">
            <x v="28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58"/>
          </reference>
          <reference field="1" count="1">
            <x v="55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59"/>
          </reference>
          <reference field="1" count="1">
            <x v="56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62"/>
          </reference>
          <reference field="1" count="1">
            <x v="17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63"/>
          </reference>
          <reference field="1" count="1">
            <x v="16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64"/>
          </reference>
          <reference field="1" count="1">
            <x v="19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65"/>
          </reference>
          <reference field="1" count="1">
            <x v="15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66"/>
          </reference>
          <reference field="1" count="1">
            <x v="18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67"/>
          </reference>
          <reference field="1" count="1">
            <x v="1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68"/>
          </reference>
          <reference field="1" count="1">
            <x v="12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69"/>
          </reference>
          <reference field="1" count="1">
            <x v="11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70"/>
          </reference>
          <reference field="1" count="1">
            <x v="10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71"/>
          </reference>
          <reference field="1" count="1">
            <x v="13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74"/>
          </reference>
          <reference field="1" count="1">
            <x v="4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75"/>
          </reference>
          <reference field="1" count="1">
            <x v="5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76"/>
          </reference>
          <reference field="1" count="1">
            <x v="25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77"/>
          </reference>
          <reference field="1" count="1">
            <x v="40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78"/>
          </reference>
          <reference field="1" count="1">
            <x v="41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79"/>
          </reference>
          <reference field="1" count="1">
            <x v="39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80"/>
          </reference>
          <reference field="1" count="1">
            <x v="31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82"/>
          </reference>
          <reference field="1" count="1">
            <x v="52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84"/>
          </reference>
          <reference field="1" count="1">
            <x v="6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85"/>
          </reference>
          <reference field="1" count="1">
            <x v="7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88"/>
          </reference>
          <reference field="1" count="1">
            <x v="65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89"/>
          </reference>
          <reference field="1" count="1">
            <x v="3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90"/>
          </reference>
          <reference field="1" count="1">
            <x v="66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91"/>
          </reference>
          <reference field="1" count="1">
            <x v="32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92"/>
          </reference>
          <reference field="1" count="1">
            <x v="33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93"/>
          </reference>
          <reference field="1" count="1">
            <x v="2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"/>
          </reference>
          <reference field="2" count="1">
            <x v="3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9"/>
          </reference>
          <reference field="2" count="1">
            <x v="3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3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47"/>
          </reference>
          <reference field="2" count="1">
            <x v="3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48"/>
          </reference>
          <reference field="2" count="1">
            <x v="3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37"/>
          </reference>
          <reference field="2" count="1">
            <x v="3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60"/>
          </reference>
          <reference field="2" count="1">
            <x v="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3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8"/>
          </reference>
          <reference field="2" count="1">
            <x v="3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36"/>
          </reference>
          <reference field="2" count="1">
            <x v="3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42"/>
          </reference>
          <reference field="2" count="1">
            <x v="3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21"/>
          </reference>
          <reference field="2" count="1">
            <x v="3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23"/>
          </reference>
          <reference field="2" count="1">
            <x v="3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20"/>
          </reference>
          <reference field="2" count="1">
            <x v="3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4"/>
          </reference>
          <reference field="2" count="1">
            <x v="3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22"/>
          </reference>
          <reference field="2" count="1">
            <x v="3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44"/>
          </reference>
          <reference field="2" count="1">
            <x v="2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35"/>
          </reference>
          <reference field="2" count="1">
            <x v="3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3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53"/>
          </reference>
          <reference field="2" count="1">
            <x v="3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0"/>
          </reference>
          <reference field="2" count="1">
            <x v="3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29"/>
          </reference>
          <reference field="2" count="1">
            <x v="3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38"/>
          </reference>
          <reference field="2" count="1">
            <x v="3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43"/>
          </reference>
          <reference field="2" count="1">
            <x v="3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62"/>
          </reference>
          <reference field="2" count="1">
            <x v="3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64"/>
          </reference>
          <reference field="2" count="1">
            <x v="3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63"/>
          </reference>
          <reference field="2" count="1">
            <x v="3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61"/>
          </reference>
          <reference field="2" count="1">
            <x v="3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50"/>
          </reference>
          <reference field="2" count="1">
            <x v="3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1"/>
          </reference>
          <reference field="2" count="1">
            <x v="3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49"/>
          </reference>
          <reference field="2" count="1">
            <x v="3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46"/>
          </reference>
          <reference field="2" count="1">
            <x v="3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45"/>
          </reference>
          <reference field="2" count="1">
            <x v="3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26"/>
          </reference>
          <reference field="2" count="1">
            <x v="3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54"/>
          </reference>
          <reference field="2" count="1">
            <x v="3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27"/>
          </reference>
          <reference field="2" count="1">
            <x v="3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28"/>
          </reference>
          <reference field="2" count="1">
            <x v="3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58"/>
          </reference>
          <reference field="1" count="1" selected="0">
            <x v="55"/>
          </reference>
          <reference field="2" count="1">
            <x v="3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56"/>
          </reference>
          <reference field="2" count="1">
            <x v="3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63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68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11"/>
          </reference>
          <reference field="2" count="1">
            <x v="2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70"/>
          </reference>
          <reference field="1" count="1" selected="0">
            <x v="10"/>
          </reference>
          <reference field="2" count="1">
            <x v="2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71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74"/>
          </reference>
          <reference field="1" count="1" selected="0">
            <x v="4"/>
          </reference>
          <reference field="2" count="1">
            <x v="3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75"/>
          </reference>
          <reference field="1" count="1" selected="0">
            <x v="5"/>
          </reference>
          <reference field="2" count="1">
            <x v="3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76"/>
          </reference>
          <reference field="1" count="1" selected="0">
            <x v="25"/>
          </reference>
          <reference field="2" count="1">
            <x v="3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40"/>
          </reference>
          <reference field="2" count="1">
            <x v="3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78"/>
          </reference>
          <reference field="1" count="1" selected="0">
            <x v="41"/>
          </reference>
          <reference field="2" count="1">
            <x v="3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79"/>
          </reference>
          <reference field="1" count="1" selected="0">
            <x v="39"/>
          </reference>
          <reference field="2" count="1">
            <x v="3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80"/>
          </reference>
          <reference field="1" count="1" selected="0">
            <x v="31"/>
          </reference>
          <reference field="2" count="1">
            <x v="3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82"/>
          </reference>
          <reference field="1" count="1" selected="0">
            <x v="52"/>
          </reference>
          <reference field="2" count="1">
            <x v="3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84"/>
          </reference>
          <reference field="1" count="1" selected="0">
            <x v="6"/>
          </reference>
          <reference field="2" count="1">
            <x v="3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85"/>
          </reference>
          <reference field="1" count="1" selected="0">
            <x v="7"/>
          </reference>
          <reference field="2" count="1">
            <x v="3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88"/>
          </reference>
          <reference field="1" count="1" selected="0">
            <x v="65"/>
          </reference>
          <reference field="2" count="1">
            <x v="3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89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90"/>
          </reference>
          <reference field="1" count="1" selected="0">
            <x v="66"/>
          </reference>
          <reference field="2" count="1">
            <x v="3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91"/>
          </reference>
          <reference field="1" count="1" selected="0">
            <x v="32"/>
          </reference>
          <reference field="2" count="1">
            <x v="3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92"/>
          </reference>
          <reference field="1" count="1" selected="0">
            <x v="33"/>
          </reference>
          <reference field="2" count="1">
            <x v="3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9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1" type="button" dataOnly="0" labelOnly="1" outline="0" axis="axisRow" fieldPosition="1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088F-D4DC-4177-9DC0-21E82F522A6E}">
  <dimension ref="A1:N876"/>
  <sheetViews>
    <sheetView zoomScale="85" zoomScaleNormal="85" workbookViewId="0">
      <selection activeCell="A105" sqref="A105:C110"/>
    </sheetView>
  </sheetViews>
  <sheetFormatPr baseColWidth="10" defaultColWidth="11.5546875" defaultRowHeight="14.4" x14ac:dyDescent="0.3"/>
  <cols>
    <col min="1" max="3" width="11.5546875" style="23"/>
    <col min="4" max="4" width="16.6640625" style="24" customWidth="1"/>
    <col min="5" max="5" width="60.6640625" style="7" bestFit="1" customWidth="1"/>
    <col min="6" max="6" width="11.5546875" style="38"/>
    <col min="7" max="7" width="11.5546875" style="19"/>
    <col min="8" max="9" width="11.5546875" style="7"/>
    <col min="10" max="10" width="0" style="7" hidden="1" customWidth="1"/>
    <col min="11" max="13" width="11.5546875" style="7"/>
    <col min="14" max="14" width="27.6640625" style="7" customWidth="1"/>
    <col min="15" max="16384" width="11.5546875" style="7"/>
  </cols>
  <sheetData>
    <row r="1" spans="1:14" s="32" customFormat="1" ht="28.95" customHeight="1" x14ac:dyDescent="0.3">
      <c r="A1" s="21" t="s">
        <v>0</v>
      </c>
      <c r="B1" s="21" t="s">
        <v>1</v>
      </c>
      <c r="C1" s="2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/>
      <c r="I1" s="31"/>
      <c r="J1" s="31"/>
      <c r="K1" s="31"/>
      <c r="L1" s="31"/>
      <c r="M1" s="31"/>
      <c r="N1" s="31"/>
    </row>
    <row r="2" spans="1:14" x14ac:dyDescent="0.3">
      <c r="A2" s="23">
        <v>7</v>
      </c>
      <c r="B2" s="23">
        <v>20</v>
      </c>
      <c r="C2" s="23">
        <v>178</v>
      </c>
      <c r="D2" s="24" t="s">
        <v>274</v>
      </c>
      <c r="E2" s="7" t="s">
        <v>100</v>
      </c>
      <c r="F2" s="23" t="s">
        <v>8</v>
      </c>
      <c r="G2" s="19">
        <v>0</v>
      </c>
    </row>
    <row r="3" spans="1:14" x14ac:dyDescent="0.3">
      <c r="A3" s="23">
        <v>7</v>
      </c>
      <c r="B3" s="23">
        <v>20</v>
      </c>
      <c r="C3" s="23">
        <v>179</v>
      </c>
      <c r="D3" s="24" t="s">
        <v>275</v>
      </c>
      <c r="E3" s="7" t="s">
        <v>101</v>
      </c>
      <c r="F3" s="23" t="s">
        <v>8</v>
      </c>
      <c r="G3" s="19">
        <v>0</v>
      </c>
    </row>
    <row r="4" spans="1:14" x14ac:dyDescent="0.3">
      <c r="A4" s="23">
        <v>13</v>
      </c>
      <c r="B4" s="23">
        <v>21</v>
      </c>
      <c r="C4" s="23">
        <v>180</v>
      </c>
      <c r="D4" s="24" t="s">
        <v>166</v>
      </c>
      <c r="E4" s="7" t="s">
        <v>54</v>
      </c>
      <c r="F4" s="23" t="s">
        <v>8</v>
      </c>
      <c r="G4" s="19" t="s">
        <v>55</v>
      </c>
    </row>
    <row r="5" spans="1:14" x14ac:dyDescent="0.3">
      <c r="A5" s="23">
        <v>13</v>
      </c>
      <c r="B5" s="23">
        <v>21</v>
      </c>
      <c r="C5" s="23">
        <v>181</v>
      </c>
      <c r="D5" s="24" t="s">
        <v>167</v>
      </c>
      <c r="E5" s="7" t="s">
        <v>56</v>
      </c>
      <c r="F5" s="23" t="s">
        <v>8</v>
      </c>
      <c r="G5" s="19" t="s">
        <v>55</v>
      </c>
    </row>
    <row r="6" spans="1:14" x14ac:dyDescent="0.3">
      <c r="A6" s="23">
        <v>13</v>
      </c>
      <c r="B6" s="23">
        <v>22</v>
      </c>
      <c r="C6" s="23">
        <v>182</v>
      </c>
      <c r="D6" s="24" t="s">
        <v>168</v>
      </c>
      <c r="E6" s="7" t="s">
        <v>58</v>
      </c>
      <c r="F6" s="23" t="s">
        <v>8</v>
      </c>
      <c r="G6" s="19" t="s">
        <v>55</v>
      </c>
    </row>
    <row r="7" spans="1:14" x14ac:dyDescent="0.3">
      <c r="A7" s="23">
        <v>13</v>
      </c>
      <c r="B7" s="23">
        <v>22</v>
      </c>
      <c r="C7" s="23">
        <v>183</v>
      </c>
      <c r="D7" s="24" t="s">
        <v>169</v>
      </c>
      <c r="E7" s="7" t="s">
        <v>59</v>
      </c>
      <c r="F7" s="23" t="s">
        <v>8</v>
      </c>
      <c r="G7" s="19" t="s">
        <v>55</v>
      </c>
    </row>
    <row r="8" spans="1:14" x14ac:dyDescent="0.3">
      <c r="A8" s="23">
        <v>13</v>
      </c>
      <c r="B8" s="23">
        <v>22</v>
      </c>
      <c r="C8" s="23">
        <v>184</v>
      </c>
      <c r="D8" s="24" t="s">
        <v>170</v>
      </c>
      <c r="E8" s="7" t="s">
        <v>60</v>
      </c>
      <c r="F8" s="23" t="s">
        <v>8</v>
      </c>
      <c r="G8" s="19" t="s">
        <v>55</v>
      </c>
    </row>
    <row r="9" spans="1:14" x14ac:dyDescent="0.3">
      <c r="A9" s="23">
        <v>13</v>
      </c>
      <c r="B9" s="23">
        <v>23</v>
      </c>
      <c r="C9" s="23">
        <v>185</v>
      </c>
      <c r="D9" s="24" t="s">
        <v>171</v>
      </c>
      <c r="E9" s="7" t="s">
        <v>64</v>
      </c>
      <c r="F9" s="23" t="s">
        <v>8</v>
      </c>
      <c r="G9" s="19" t="s">
        <v>55</v>
      </c>
    </row>
    <row r="10" spans="1:14" x14ac:dyDescent="0.3">
      <c r="A10" s="23">
        <v>13</v>
      </c>
      <c r="B10" s="23">
        <v>23</v>
      </c>
      <c r="C10" s="23">
        <v>186</v>
      </c>
      <c r="D10" s="24" t="s">
        <v>172</v>
      </c>
      <c r="E10" s="7" t="s">
        <v>65</v>
      </c>
      <c r="F10" s="23" t="s">
        <v>8</v>
      </c>
      <c r="G10" s="19" t="s">
        <v>55</v>
      </c>
    </row>
    <row r="11" spans="1:14" x14ac:dyDescent="0.3">
      <c r="A11" s="23">
        <v>13</v>
      </c>
      <c r="B11" s="23">
        <v>23</v>
      </c>
      <c r="C11" s="23">
        <v>187</v>
      </c>
      <c r="D11" s="24" t="s">
        <v>173</v>
      </c>
      <c r="E11" s="7" t="s">
        <v>66</v>
      </c>
      <c r="F11" s="23" t="s">
        <v>8</v>
      </c>
      <c r="G11" s="19" t="s">
        <v>55</v>
      </c>
    </row>
    <row r="12" spans="1:14" x14ac:dyDescent="0.3">
      <c r="A12" s="23">
        <v>13</v>
      </c>
      <c r="B12" s="23">
        <v>23</v>
      </c>
      <c r="C12" s="23">
        <v>188</v>
      </c>
      <c r="D12" s="24" t="s">
        <v>174</v>
      </c>
      <c r="E12" s="7" t="s">
        <v>67</v>
      </c>
      <c r="F12" s="23" t="s">
        <v>8</v>
      </c>
      <c r="G12" s="19" t="s">
        <v>55</v>
      </c>
    </row>
    <row r="13" spans="1:14" x14ac:dyDescent="0.3">
      <c r="A13" s="23">
        <v>13</v>
      </c>
      <c r="B13" s="23">
        <v>23</v>
      </c>
      <c r="C13" s="23">
        <v>189</v>
      </c>
      <c r="D13" s="24" t="s">
        <v>175</v>
      </c>
      <c r="E13" s="7" t="s">
        <v>68</v>
      </c>
      <c r="F13" s="23" t="s">
        <v>8</v>
      </c>
      <c r="G13" s="19" t="s">
        <v>55</v>
      </c>
    </row>
    <row r="14" spans="1:14" x14ac:dyDescent="0.3">
      <c r="A14" s="23">
        <v>13</v>
      </c>
      <c r="B14" s="23">
        <v>23</v>
      </c>
      <c r="C14" s="23">
        <v>190</v>
      </c>
      <c r="D14" s="24" t="s">
        <v>176</v>
      </c>
      <c r="E14" s="7" t="s">
        <v>62</v>
      </c>
      <c r="F14" s="23" t="s">
        <v>8</v>
      </c>
      <c r="G14" s="19" t="s">
        <v>55</v>
      </c>
    </row>
    <row r="15" spans="1:14" x14ac:dyDescent="0.3">
      <c r="A15" s="23">
        <v>13</v>
      </c>
      <c r="B15" s="23">
        <v>23</v>
      </c>
      <c r="C15" s="23">
        <v>191</v>
      </c>
      <c r="D15" s="24" t="s">
        <v>177</v>
      </c>
      <c r="E15" s="7" t="s">
        <v>63</v>
      </c>
      <c r="F15" s="23" t="s">
        <v>8</v>
      </c>
      <c r="G15" s="19" t="s">
        <v>55</v>
      </c>
    </row>
    <row r="16" spans="1:14" x14ac:dyDescent="0.3">
      <c r="A16" s="23">
        <v>6</v>
      </c>
      <c r="B16" s="23">
        <v>23</v>
      </c>
      <c r="C16" s="23">
        <v>192</v>
      </c>
      <c r="D16" s="24" t="s">
        <v>178</v>
      </c>
      <c r="E16" s="7" t="s">
        <v>69</v>
      </c>
      <c r="F16" s="23" t="s">
        <v>8</v>
      </c>
      <c r="G16" s="19" t="s">
        <v>55</v>
      </c>
    </row>
    <row r="17" spans="1:7" x14ac:dyDescent="0.3">
      <c r="A17" s="23">
        <v>14</v>
      </c>
      <c r="B17" s="23">
        <v>24</v>
      </c>
      <c r="C17" s="23">
        <v>193</v>
      </c>
      <c r="D17" s="24" t="s">
        <v>179</v>
      </c>
      <c r="E17" s="7" t="s">
        <v>72</v>
      </c>
      <c r="F17" s="23" t="s">
        <v>8</v>
      </c>
      <c r="G17" s="19" t="s">
        <v>55</v>
      </c>
    </row>
    <row r="18" spans="1:7" x14ac:dyDescent="0.3">
      <c r="A18" s="23">
        <v>13</v>
      </c>
      <c r="B18" s="23">
        <v>25</v>
      </c>
      <c r="C18" s="23">
        <v>194</v>
      </c>
      <c r="D18" s="24" t="s">
        <v>180</v>
      </c>
      <c r="E18" s="7" t="s">
        <v>76</v>
      </c>
      <c r="F18" s="23" t="s">
        <v>8</v>
      </c>
      <c r="G18" s="19" t="s">
        <v>74</v>
      </c>
    </row>
    <row r="19" spans="1:7" x14ac:dyDescent="0.3">
      <c r="A19" s="23">
        <v>15</v>
      </c>
      <c r="B19" s="23">
        <v>25</v>
      </c>
      <c r="C19" s="23">
        <v>195</v>
      </c>
      <c r="D19" s="24" t="s">
        <v>181</v>
      </c>
      <c r="E19" s="7" t="s">
        <v>77</v>
      </c>
      <c r="F19" s="23" t="s">
        <v>8</v>
      </c>
      <c r="G19" s="19" t="s">
        <v>74</v>
      </c>
    </row>
    <row r="20" spans="1:7" x14ac:dyDescent="0.3">
      <c r="A20" s="23">
        <v>7</v>
      </c>
      <c r="B20" s="23">
        <v>26</v>
      </c>
      <c r="C20" s="23">
        <v>196</v>
      </c>
      <c r="D20" s="24" t="s">
        <v>182</v>
      </c>
      <c r="E20" s="7" t="s">
        <v>79</v>
      </c>
      <c r="F20" s="23" t="s">
        <v>8</v>
      </c>
      <c r="G20" s="19" t="s">
        <v>80</v>
      </c>
    </row>
    <row r="21" spans="1:7" ht="28.8" x14ac:dyDescent="0.3">
      <c r="A21" s="23">
        <v>4</v>
      </c>
      <c r="B21" s="23">
        <v>27</v>
      </c>
      <c r="C21" s="23">
        <v>197</v>
      </c>
      <c r="D21" s="24" t="s">
        <v>183</v>
      </c>
      <c r="E21" s="1" t="s">
        <v>82</v>
      </c>
      <c r="F21" s="23" t="s">
        <v>8</v>
      </c>
      <c r="G21" s="19" t="s">
        <v>55</v>
      </c>
    </row>
    <row r="22" spans="1:7" ht="28.8" x14ac:dyDescent="0.3">
      <c r="A22" s="23">
        <v>4</v>
      </c>
      <c r="B22" s="23">
        <v>27</v>
      </c>
      <c r="C22" s="23">
        <v>198</v>
      </c>
      <c r="D22" s="24" t="s">
        <v>184</v>
      </c>
      <c r="E22" s="1" t="s">
        <v>84</v>
      </c>
      <c r="F22" s="23" t="s">
        <v>8</v>
      </c>
      <c r="G22" s="19" t="s">
        <v>55</v>
      </c>
    </row>
    <row r="23" spans="1:7" x14ac:dyDescent="0.3">
      <c r="A23" s="23">
        <v>4</v>
      </c>
      <c r="B23" s="23">
        <v>27</v>
      </c>
      <c r="C23" s="23">
        <v>199</v>
      </c>
      <c r="D23" s="24" t="s">
        <v>185</v>
      </c>
      <c r="E23" s="7" t="s">
        <v>83</v>
      </c>
      <c r="F23" s="23" t="s">
        <v>8</v>
      </c>
      <c r="G23" s="19" t="s">
        <v>55</v>
      </c>
    </row>
    <row r="24" spans="1:7" x14ac:dyDescent="0.3">
      <c r="A24" s="23">
        <v>8</v>
      </c>
      <c r="B24" s="23">
        <v>28</v>
      </c>
      <c r="C24" s="23">
        <v>200</v>
      </c>
      <c r="D24" s="24" t="s">
        <v>186</v>
      </c>
      <c r="E24" s="7" t="s">
        <v>86</v>
      </c>
      <c r="F24" s="23" t="s">
        <v>8</v>
      </c>
      <c r="G24" s="19" t="s">
        <v>55</v>
      </c>
    </row>
    <row r="25" spans="1:7" x14ac:dyDescent="0.3">
      <c r="A25" s="23">
        <v>8</v>
      </c>
      <c r="B25" s="23">
        <v>28</v>
      </c>
      <c r="C25" s="23">
        <v>201</v>
      </c>
      <c r="D25" s="24" t="s">
        <v>187</v>
      </c>
      <c r="E25" s="7" t="s">
        <v>87</v>
      </c>
      <c r="F25" s="23" t="s">
        <v>8</v>
      </c>
      <c r="G25" s="19" t="s">
        <v>55</v>
      </c>
    </row>
    <row r="26" spans="1:7" x14ac:dyDescent="0.3">
      <c r="A26" s="23">
        <v>4</v>
      </c>
      <c r="B26" s="23">
        <v>27</v>
      </c>
      <c r="C26" s="23">
        <v>202</v>
      </c>
      <c r="D26" s="24" t="s">
        <v>188</v>
      </c>
      <c r="E26" s="7" t="s">
        <v>88</v>
      </c>
      <c r="F26" s="23" t="s">
        <v>8</v>
      </c>
      <c r="G26" s="19" t="s">
        <v>55</v>
      </c>
    </row>
    <row r="27" spans="1:7" x14ac:dyDescent="0.3">
      <c r="A27" s="23">
        <v>8</v>
      </c>
      <c r="B27" s="23">
        <v>29</v>
      </c>
      <c r="C27" s="23">
        <v>202</v>
      </c>
      <c r="D27" s="24" t="s">
        <v>189</v>
      </c>
      <c r="E27" s="7" t="s">
        <v>91</v>
      </c>
      <c r="F27" s="23" t="s">
        <v>8</v>
      </c>
      <c r="G27" s="19" t="s">
        <v>55</v>
      </c>
    </row>
    <row r="28" spans="1:7" x14ac:dyDescent="0.3">
      <c r="A28" s="23">
        <v>8</v>
      </c>
      <c r="B28" s="23">
        <v>27</v>
      </c>
      <c r="C28" s="23">
        <v>203</v>
      </c>
      <c r="D28" s="24" t="s">
        <v>190</v>
      </c>
      <c r="E28" s="7" t="s">
        <v>92</v>
      </c>
      <c r="F28" s="23" t="s">
        <v>8</v>
      </c>
      <c r="G28" s="19" t="s">
        <v>55</v>
      </c>
    </row>
    <row r="29" spans="1:7" x14ac:dyDescent="0.3">
      <c r="A29" s="23">
        <v>8</v>
      </c>
      <c r="B29" s="23">
        <v>27</v>
      </c>
      <c r="C29" s="23">
        <v>204</v>
      </c>
      <c r="D29" s="24" t="s">
        <v>191</v>
      </c>
      <c r="E29" s="7" t="s">
        <v>93</v>
      </c>
      <c r="F29" s="23" t="s">
        <v>8</v>
      </c>
      <c r="G29" s="19" t="s">
        <v>55</v>
      </c>
    </row>
    <row r="30" spans="1:7" x14ac:dyDescent="0.3">
      <c r="A30" s="23">
        <v>8</v>
      </c>
      <c r="B30" s="23">
        <v>4</v>
      </c>
      <c r="C30" s="23">
        <v>205</v>
      </c>
      <c r="D30" s="24" t="s">
        <v>192</v>
      </c>
      <c r="E30" s="7" t="s">
        <v>94</v>
      </c>
      <c r="F30" s="23" t="s">
        <v>8</v>
      </c>
      <c r="G30" s="19" t="s">
        <v>55</v>
      </c>
    </row>
    <row r="31" spans="1:7" x14ac:dyDescent="0.3">
      <c r="A31" s="23">
        <v>8</v>
      </c>
      <c r="B31" s="23">
        <v>30</v>
      </c>
      <c r="C31" s="23">
        <v>206</v>
      </c>
      <c r="D31" s="24" t="s">
        <v>193</v>
      </c>
      <c r="E31" s="7" t="s">
        <v>95</v>
      </c>
      <c r="F31" s="23" t="s">
        <v>8</v>
      </c>
      <c r="G31" s="19" t="s">
        <v>55</v>
      </c>
    </row>
    <row r="32" spans="1:7" x14ac:dyDescent="0.3">
      <c r="A32" s="23">
        <v>1</v>
      </c>
      <c r="B32" s="23">
        <v>27</v>
      </c>
      <c r="C32" s="23">
        <v>207</v>
      </c>
      <c r="D32" s="24" t="s">
        <v>194</v>
      </c>
      <c r="E32" s="7" t="s">
        <v>97</v>
      </c>
      <c r="F32" s="23" t="s">
        <v>8</v>
      </c>
      <c r="G32" s="19" t="s">
        <v>55</v>
      </c>
    </row>
    <row r="33" spans="1:7" x14ac:dyDescent="0.3">
      <c r="A33" s="23">
        <v>1</v>
      </c>
      <c r="B33" s="23">
        <v>27</v>
      </c>
      <c r="C33" s="23">
        <v>208</v>
      </c>
      <c r="D33" s="24" t="s">
        <v>195</v>
      </c>
      <c r="E33" s="7" t="s">
        <v>99</v>
      </c>
      <c r="F33" s="23" t="s">
        <v>8</v>
      </c>
      <c r="G33" s="19" t="s">
        <v>55</v>
      </c>
    </row>
    <row r="34" spans="1:7" ht="28.8" x14ac:dyDescent="0.3">
      <c r="A34" s="23">
        <v>3</v>
      </c>
      <c r="B34" s="23">
        <v>31</v>
      </c>
      <c r="C34" s="23">
        <v>209</v>
      </c>
      <c r="D34" s="24" t="s">
        <v>196</v>
      </c>
      <c r="E34" s="7" t="s">
        <v>312</v>
      </c>
      <c r="F34" s="23" t="s">
        <v>108</v>
      </c>
      <c r="G34" s="19" t="s">
        <v>109</v>
      </c>
    </row>
    <row r="35" spans="1:7" ht="28.8" x14ac:dyDescent="0.3">
      <c r="A35" s="23">
        <v>3</v>
      </c>
      <c r="B35" s="23">
        <v>31</v>
      </c>
      <c r="C35" s="23">
        <v>210</v>
      </c>
      <c r="D35" s="24" t="s">
        <v>197</v>
      </c>
      <c r="E35" s="7" t="s">
        <v>313</v>
      </c>
      <c r="F35" s="23" t="s">
        <v>108</v>
      </c>
      <c r="G35" s="19" t="s">
        <v>109</v>
      </c>
    </row>
    <row r="36" spans="1:7" ht="28.8" x14ac:dyDescent="0.3">
      <c r="A36" s="23">
        <v>3</v>
      </c>
      <c r="B36" s="23">
        <v>31</v>
      </c>
      <c r="C36" s="23">
        <v>211</v>
      </c>
      <c r="D36" s="24" t="s">
        <v>198</v>
      </c>
      <c r="E36" s="7" t="s">
        <v>314</v>
      </c>
      <c r="F36" s="23" t="s">
        <v>108</v>
      </c>
      <c r="G36" s="19" t="s">
        <v>109</v>
      </c>
    </row>
    <row r="37" spans="1:7" ht="28.8" x14ac:dyDescent="0.3">
      <c r="A37" s="23">
        <v>3</v>
      </c>
      <c r="B37" s="23">
        <v>31</v>
      </c>
      <c r="C37" s="23">
        <v>212</v>
      </c>
      <c r="D37" s="24" t="s">
        <v>199</v>
      </c>
      <c r="E37" s="7" t="s">
        <v>315</v>
      </c>
      <c r="F37" s="23" t="s">
        <v>108</v>
      </c>
      <c r="G37" s="19" t="s">
        <v>109</v>
      </c>
    </row>
    <row r="38" spans="1:7" ht="28.8" x14ac:dyDescent="0.3">
      <c r="A38" s="23">
        <v>3</v>
      </c>
      <c r="B38" s="23">
        <v>31</v>
      </c>
      <c r="C38" s="23">
        <v>213</v>
      </c>
      <c r="D38" s="24" t="s">
        <v>200</v>
      </c>
      <c r="E38" s="7" t="s">
        <v>316</v>
      </c>
      <c r="F38" s="23" t="s">
        <v>108</v>
      </c>
      <c r="G38" s="19" t="s">
        <v>109</v>
      </c>
    </row>
    <row r="39" spans="1:7" ht="28.8" x14ac:dyDescent="0.3">
      <c r="A39" s="23">
        <v>3</v>
      </c>
      <c r="B39" s="23">
        <v>31</v>
      </c>
      <c r="C39" s="23">
        <v>214</v>
      </c>
      <c r="D39" s="24" t="s">
        <v>201</v>
      </c>
      <c r="E39" s="7" t="s">
        <v>322</v>
      </c>
      <c r="F39" s="23" t="s">
        <v>108</v>
      </c>
      <c r="G39" s="19" t="s">
        <v>109</v>
      </c>
    </row>
    <row r="40" spans="1:7" ht="28.8" x14ac:dyDescent="0.3">
      <c r="A40" s="23">
        <v>3</v>
      </c>
      <c r="B40" s="23">
        <v>31</v>
      </c>
      <c r="C40" s="23">
        <v>215</v>
      </c>
      <c r="D40" s="24" t="s">
        <v>202</v>
      </c>
      <c r="E40" s="7" t="s">
        <v>323</v>
      </c>
      <c r="F40" s="23" t="s">
        <v>108</v>
      </c>
      <c r="G40" s="19" t="s">
        <v>109</v>
      </c>
    </row>
    <row r="41" spans="1:7" ht="28.8" x14ac:dyDescent="0.3">
      <c r="A41" s="23">
        <v>3</v>
      </c>
      <c r="B41" s="23">
        <v>31</v>
      </c>
      <c r="C41" s="23">
        <v>216</v>
      </c>
      <c r="D41" s="24" t="s">
        <v>203</v>
      </c>
      <c r="E41" s="7" t="s">
        <v>324</v>
      </c>
      <c r="F41" s="23" t="s">
        <v>108</v>
      </c>
      <c r="G41" s="19" t="s">
        <v>109</v>
      </c>
    </row>
    <row r="42" spans="1:7" ht="28.8" x14ac:dyDescent="0.3">
      <c r="A42" s="23">
        <v>3</v>
      </c>
      <c r="B42" s="23">
        <v>31</v>
      </c>
      <c r="C42" s="23">
        <v>217</v>
      </c>
      <c r="D42" s="24" t="s">
        <v>204</v>
      </c>
      <c r="E42" s="7" t="s">
        <v>325</v>
      </c>
      <c r="F42" s="23" t="s">
        <v>108</v>
      </c>
      <c r="G42" s="19" t="s">
        <v>109</v>
      </c>
    </row>
    <row r="43" spans="1:7" ht="28.8" x14ac:dyDescent="0.3">
      <c r="A43" s="23">
        <v>3</v>
      </c>
      <c r="B43" s="23">
        <v>31</v>
      </c>
      <c r="C43" s="23">
        <v>218</v>
      </c>
      <c r="D43" s="24" t="s">
        <v>205</v>
      </c>
      <c r="E43" s="7" t="s">
        <v>317</v>
      </c>
      <c r="F43" s="23" t="s">
        <v>108</v>
      </c>
      <c r="G43" s="19" t="s">
        <v>109</v>
      </c>
    </row>
    <row r="44" spans="1:7" ht="28.8" x14ac:dyDescent="0.3">
      <c r="A44" s="23">
        <v>3</v>
      </c>
      <c r="B44" s="23">
        <v>31</v>
      </c>
      <c r="C44" s="23">
        <v>219</v>
      </c>
      <c r="D44" s="24" t="s">
        <v>206</v>
      </c>
      <c r="E44" s="7" t="s">
        <v>318</v>
      </c>
      <c r="F44" s="23" t="s">
        <v>108</v>
      </c>
      <c r="G44" s="19" t="s">
        <v>109</v>
      </c>
    </row>
    <row r="45" spans="1:7" ht="28.8" x14ac:dyDescent="0.3">
      <c r="A45" s="23">
        <v>3</v>
      </c>
      <c r="B45" s="23">
        <v>31</v>
      </c>
      <c r="C45" s="23">
        <v>220</v>
      </c>
      <c r="D45" s="24" t="s">
        <v>207</v>
      </c>
      <c r="E45" s="7" t="s">
        <v>319</v>
      </c>
      <c r="F45" s="23" t="s">
        <v>108</v>
      </c>
      <c r="G45" s="19" t="s">
        <v>109</v>
      </c>
    </row>
    <row r="46" spans="1:7" ht="28.8" x14ac:dyDescent="0.3">
      <c r="A46" s="23">
        <v>3</v>
      </c>
      <c r="B46" s="23">
        <v>31</v>
      </c>
      <c r="C46" s="23">
        <v>221</v>
      </c>
      <c r="D46" s="24" t="s">
        <v>208</v>
      </c>
      <c r="E46" s="7" t="s">
        <v>320</v>
      </c>
      <c r="F46" s="23" t="s">
        <v>108</v>
      </c>
      <c r="G46" s="19" t="s">
        <v>109</v>
      </c>
    </row>
    <row r="47" spans="1:7" ht="28.8" x14ac:dyDescent="0.3">
      <c r="A47" s="23">
        <v>3</v>
      </c>
      <c r="B47" s="23">
        <v>31</v>
      </c>
      <c r="C47" s="23">
        <v>222</v>
      </c>
      <c r="D47" s="24" t="s">
        <v>209</v>
      </c>
      <c r="E47" s="7" t="s">
        <v>321</v>
      </c>
      <c r="F47" s="23" t="s">
        <v>108</v>
      </c>
      <c r="G47" s="19" t="s">
        <v>109</v>
      </c>
    </row>
    <row r="48" spans="1:7" ht="28.8" x14ac:dyDescent="0.3">
      <c r="A48" s="23">
        <v>9</v>
      </c>
      <c r="B48" s="23">
        <v>32</v>
      </c>
      <c r="C48" s="23">
        <v>223</v>
      </c>
      <c r="D48" s="24" t="s">
        <v>210</v>
      </c>
      <c r="E48" s="7" t="s">
        <v>119</v>
      </c>
      <c r="F48" s="23" t="s">
        <v>8</v>
      </c>
      <c r="G48" s="19" t="s">
        <v>109</v>
      </c>
    </row>
    <row r="49" spans="1:7" ht="28.8" x14ac:dyDescent="0.3">
      <c r="A49" s="23">
        <v>9</v>
      </c>
      <c r="B49" s="23">
        <v>32</v>
      </c>
      <c r="C49" s="23">
        <v>224</v>
      </c>
      <c r="D49" s="24" t="s">
        <v>211</v>
      </c>
      <c r="E49" s="7" t="s">
        <v>120</v>
      </c>
      <c r="F49" s="23" t="s">
        <v>8</v>
      </c>
      <c r="G49" s="19" t="s">
        <v>109</v>
      </c>
    </row>
    <row r="50" spans="1:7" ht="28.8" x14ac:dyDescent="0.3">
      <c r="A50" s="23">
        <v>9</v>
      </c>
      <c r="B50" s="23">
        <v>32</v>
      </c>
      <c r="C50" s="23">
        <v>225</v>
      </c>
      <c r="D50" s="24" t="s">
        <v>212</v>
      </c>
      <c r="E50" s="7" t="s">
        <v>122</v>
      </c>
      <c r="F50" s="23" t="s">
        <v>8</v>
      </c>
      <c r="G50" s="19" t="s">
        <v>109</v>
      </c>
    </row>
    <row r="51" spans="1:7" x14ac:dyDescent="0.3">
      <c r="A51" s="23">
        <v>16</v>
      </c>
      <c r="B51" s="23">
        <v>33</v>
      </c>
      <c r="C51" s="23">
        <v>226</v>
      </c>
      <c r="D51" s="24" t="s">
        <v>213</v>
      </c>
      <c r="E51" s="7" t="s">
        <v>124</v>
      </c>
      <c r="F51" s="23" t="s">
        <v>8</v>
      </c>
      <c r="G51" s="19" t="s">
        <v>126</v>
      </c>
    </row>
    <row r="52" spans="1:7" ht="28.8" x14ac:dyDescent="0.3">
      <c r="A52" s="23">
        <v>10</v>
      </c>
      <c r="B52" s="23">
        <v>34</v>
      </c>
      <c r="C52" s="23">
        <v>227</v>
      </c>
      <c r="D52" s="24" t="s">
        <v>214</v>
      </c>
      <c r="E52" s="7" t="s">
        <v>128</v>
      </c>
      <c r="F52" s="23" t="s">
        <v>8</v>
      </c>
      <c r="G52" s="19" t="s">
        <v>129</v>
      </c>
    </row>
    <row r="53" spans="1:7" x14ac:dyDescent="0.3">
      <c r="A53" s="23">
        <v>7</v>
      </c>
      <c r="B53" s="23">
        <v>35</v>
      </c>
      <c r="C53" s="23">
        <v>228</v>
      </c>
      <c r="D53" s="24" t="s">
        <v>215</v>
      </c>
      <c r="E53" s="7" t="s">
        <v>131</v>
      </c>
      <c r="F53" s="23" t="s">
        <v>8</v>
      </c>
      <c r="G53" s="19" t="s">
        <v>126</v>
      </c>
    </row>
    <row r="54" spans="1:7" x14ac:dyDescent="0.3">
      <c r="A54" s="23">
        <v>7</v>
      </c>
      <c r="B54" s="23">
        <v>35</v>
      </c>
      <c r="C54" s="23">
        <v>229</v>
      </c>
      <c r="D54" s="24" t="s">
        <v>216</v>
      </c>
      <c r="E54" s="7" t="s">
        <v>132</v>
      </c>
      <c r="F54" s="23" t="s">
        <v>8</v>
      </c>
      <c r="G54" s="19" t="s">
        <v>126</v>
      </c>
    </row>
    <row r="55" spans="1:7" ht="28.8" x14ac:dyDescent="0.3">
      <c r="A55" s="23">
        <v>7</v>
      </c>
      <c r="B55" s="23">
        <v>36</v>
      </c>
      <c r="C55" s="23">
        <v>231</v>
      </c>
      <c r="D55" s="24" t="s">
        <v>217</v>
      </c>
      <c r="E55" s="7" t="s">
        <v>136</v>
      </c>
      <c r="F55" s="23" t="s">
        <v>8</v>
      </c>
      <c r="G55" s="19" t="s">
        <v>134</v>
      </c>
    </row>
    <row r="56" spans="1:7" ht="28.8" x14ac:dyDescent="0.3">
      <c r="A56" s="23">
        <v>7</v>
      </c>
      <c r="B56" s="23">
        <v>35</v>
      </c>
      <c r="C56" s="23">
        <v>230</v>
      </c>
      <c r="D56" s="24" t="s">
        <v>218</v>
      </c>
      <c r="E56" s="7" t="s">
        <v>133</v>
      </c>
      <c r="F56" s="23" t="s">
        <v>8</v>
      </c>
      <c r="G56" s="19" t="s">
        <v>134</v>
      </c>
    </row>
    <row r="57" spans="1:7" ht="28.8" x14ac:dyDescent="0.3">
      <c r="A57" s="23">
        <v>10</v>
      </c>
      <c r="B57" s="23">
        <v>37</v>
      </c>
      <c r="C57" s="23">
        <v>232</v>
      </c>
      <c r="D57" s="24" t="s">
        <v>219</v>
      </c>
      <c r="E57" s="7" t="s">
        <v>137</v>
      </c>
      <c r="F57" s="23" t="s">
        <v>8</v>
      </c>
      <c r="G57" s="19" t="s">
        <v>129</v>
      </c>
    </row>
    <row r="58" spans="1:7" ht="43.2" x14ac:dyDescent="0.3">
      <c r="A58" s="23">
        <v>7</v>
      </c>
      <c r="B58" s="23">
        <v>38</v>
      </c>
      <c r="C58" s="23">
        <v>233</v>
      </c>
      <c r="D58" s="24" t="s">
        <v>220</v>
      </c>
      <c r="E58" s="7" t="s">
        <v>140</v>
      </c>
      <c r="F58" s="23" t="s">
        <v>8</v>
      </c>
      <c r="G58" s="19" t="s">
        <v>164</v>
      </c>
    </row>
    <row r="59" spans="1:7" ht="28.8" x14ac:dyDescent="0.3">
      <c r="A59" s="23">
        <v>7</v>
      </c>
      <c r="B59" s="23">
        <v>38</v>
      </c>
      <c r="C59" s="23">
        <v>234</v>
      </c>
      <c r="D59" s="24" t="s">
        <v>221</v>
      </c>
      <c r="E59" s="7" t="s">
        <v>141</v>
      </c>
      <c r="F59" s="23" t="s">
        <v>8</v>
      </c>
      <c r="G59" s="19" t="s">
        <v>165</v>
      </c>
    </row>
    <row r="60" spans="1:7" ht="28.8" x14ac:dyDescent="0.3">
      <c r="A60" s="23">
        <v>7</v>
      </c>
      <c r="B60" s="23">
        <v>38</v>
      </c>
      <c r="C60" s="23">
        <v>235</v>
      </c>
      <c r="D60" s="24" t="s">
        <v>222</v>
      </c>
      <c r="E60" s="7" t="s">
        <v>142</v>
      </c>
      <c r="F60" s="23" t="s">
        <v>8</v>
      </c>
      <c r="G60" s="19" t="s">
        <v>160</v>
      </c>
    </row>
    <row r="61" spans="1:7" x14ac:dyDescent="0.3">
      <c r="A61" s="23">
        <v>7</v>
      </c>
      <c r="B61" s="23">
        <v>38</v>
      </c>
      <c r="C61" s="23">
        <v>236</v>
      </c>
      <c r="D61" s="24" t="s">
        <v>223</v>
      </c>
      <c r="E61" s="7" t="s">
        <v>143</v>
      </c>
      <c r="F61" s="23" t="s">
        <v>8</v>
      </c>
      <c r="G61" s="19" t="s">
        <v>158</v>
      </c>
    </row>
    <row r="62" spans="1:7" ht="28.8" x14ac:dyDescent="0.3">
      <c r="A62" s="23">
        <v>7</v>
      </c>
      <c r="B62" s="23">
        <v>38</v>
      </c>
      <c r="C62" s="23">
        <v>237</v>
      </c>
      <c r="D62" s="24" t="s">
        <v>224</v>
      </c>
      <c r="E62" s="7" t="s">
        <v>144</v>
      </c>
      <c r="F62" s="23" t="s">
        <v>8</v>
      </c>
      <c r="G62" s="19" t="s">
        <v>160</v>
      </c>
    </row>
    <row r="63" spans="1:7" x14ac:dyDescent="0.3">
      <c r="A63" s="23">
        <v>7</v>
      </c>
      <c r="B63" s="23">
        <v>38</v>
      </c>
      <c r="C63" s="23">
        <v>238</v>
      </c>
      <c r="D63" s="24" t="s">
        <v>225</v>
      </c>
      <c r="E63" s="7" t="s">
        <v>145</v>
      </c>
      <c r="F63" s="23" t="s">
        <v>8</v>
      </c>
      <c r="G63" s="19" t="s">
        <v>157</v>
      </c>
    </row>
    <row r="64" spans="1:7" x14ac:dyDescent="0.3">
      <c r="A64" s="23">
        <v>7</v>
      </c>
      <c r="B64" s="23">
        <v>38</v>
      </c>
      <c r="C64" s="23">
        <v>239</v>
      </c>
      <c r="D64" s="24" t="s">
        <v>226</v>
      </c>
      <c r="E64" s="7" t="s">
        <v>146</v>
      </c>
      <c r="F64" s="23" t="s">
        <v>8</v>
      </c>
      <c r="G64" s="19" t="s">
        <v>158</v>
      </c>
    </row>
    <row r="65" spans="1:7" x14ac:dyDescent="0.3">
      <c r="A65" s="23">
        <v>7</v>
      </c>
      <c r="B65" s="23">
        <v>38</v>
      </c>
      <c r="C65" s="23">
        <v>240</v>
      </c>
      <c r="D65" s="24" t="s">
        <v>227</v>
      </c>
      <c r="E65" s="7" t="s">
        <v>147</v>
      </c>
      <c r="F65" s="23" t="s">
        <v>8</v>
      </c>
      <c r="G65" s="19" t="s">
        <v>158</v>
      </c>
    </row>
    <row r="66" spans="1:7" x14ac:dyDescent="0.3">
      <c r="A66" s="23">
        <v>7</v>
      </c>
      <c r="B66" s="23">
        <v>38</v>
      </c>
      <c r="C66" s="23">
        <v>241</v>
      </c>
      <c r="D66" s="24" t="s">
        <v>228</v>
      </c>
      <c r="E66" s="7" t="s">
        <v>148</v>
      </c>
      <c r="F66" s="23" t="s">
        <v>8</v>
      </c>
      <c r="G66" s="19" t="s">
        <v>159</v>
      </c>
    </row>
    <row r="67" spans="1:7" ht="28.8" x14ac:dyDescent="0.3">
      <c r="A67" s="23">
        <v>7</v>
      </c>
      <c r="B67" s="23">
        <v>38</v>
      </c>
      <c r="C67" s="23">
        <v>242</v>
      </c>
      <c r="D67" s="24" t="s">
        <v>229</v>
      </c>
      <c r="E67" s="7" t="s">
        <v>149</v>
      </c>
      <c r="F67" s="23" t="s">
        <v>8</v>
      </c>
      <c r="G67" s="19" t="s">
        <v>160</v>
      </c>
    </row>
    <row r="68" spans="1:7" ht="28.8" x14ac:dyDescent="0.3">
      <c r="A68" s="23">
        <v>7</v>
      </c>
      <c r="B68" s="23">
        <v>38</v>
      </c>
      <c r="C68" s="23">
        <v>243</v>
      </c>
      <c r="D68" s="24" t="s">
        <v>230</v>
      </c>
      <c r="E68" s="7" t="s">
        <v>150</v>
      </c>
      <c r="F68" s="23" t="s">
        <v>8</v>
      </c>
      <c r="G68" s="19" t="s">
        <v>161</v>
      </c>
    </row>
    <row r="69" spans="1:7" x14ac:dyDescent="0.3">
      <c r="A69" s="23">
        <v>7</v>
      </c>
      <c r="B69" s="23">
        <v>38</v>
      </c>
      <c r="C69" s="23">
        <v>244</v>
      </c>
      <c r="D69" s="24" t="s">
        <v>231</v>
      </c>
      <c r="E69" s="7" t="s">
        <v>151</v>
      </c>
      <c r="F69" s="23" t="s">
        <v>8</v>
      </c>
      <c r="G69" s="19" t="s">
        <v>162</v>
      </c>
    </row>
    <row r="70" spans="1:7" x14ac:dyDescent="0.3">
      <c r="A70" s="23">
        <v>7</v>
      </c>
      <c r="B70" s="23">
        <v>38</v>
      </c>
      <c r="C70" s="23">
        <v>245</v>
      </c>
      <c r="D70" s="24" t="s">
        <v>232</v>
      </c>
      <c r="E70" s="7" t="s">
        <v>152</v>
      </c>
      <c r="F70" s="23" t="s">
        <v>8</v>
      </c>
      <c r="G70" s="19" t="s">
        <v>158</v>
      </c>
    </row>
    <row r="71" spans="1:7" x14ac:dyDescent="0.3">
      <c r="A71" s="23">
        <v>7</v>
      </c>
      <c r="B71" s="23">
        <v>38</v>
      </c>
      <c r="C71" s="23">
        <v>246</v>
      </c>
      <c r="D71" s="24" t="s">
        <v>233</v>
      </c>
      <c r="E71" s="7" t="s">
        <v>153</v>
      </c>
      <c r="F71" s="23" t="s">
        <v>8</v>
      </c>
      <c r="G71" s="19" t="s">
        <v>163</v>
      </c>
    </row>
    <row r="72" spans="1:7" x14ac:dyDescent="0.3">
      <c r="A72" s="23">
        <v>7</v>
      </c>
      <c r="B72" s="23">
        <v>38</v>
      </c>
      <c r="C72" s="23">
        <v>247</v>
      </c>
      <c r="D72" s="24" t="s">
        <v>234</v>
      </c>
      <c r="E72" s="7" t="s">
        <v>154</v>
      </c>
      <c r="F72" s="23" t="s">
        <v>8</v>
      </c>
      <c r="G72" s="19" t="s">
        <v>158</v>
      </c>
    </row>
    <row r="73" spans="1:7" x14ac:dyDescent="0.3">
      <c r="A73" s="23">
        <v>7</v>
      </c>
      <c r="B73" s="23">
        <v>38</v>
      </c>
      <c r="C73" s="23">
        <v>248</v>
      </c>
      <c r="D73" s="24" t="s">
        <v>235</v>
      </c>
      <c r="E73" s="7" t="s">
        <v>155</v>
      </c>
      <c r="F73" s="23" t="s">
        <v>8</v>
      </c>
      <c r="G73" s="19" t="s">
        <v>163</v>
      </c>
    </row>
    <row r="74" spans="1:7" x14ac:dyDescent="0.3">
      <c r="A74" s="23">
        <v>7</v>
      </c>
      <c r="B74" s="23">
        <v>38</v>
      </c>
      <c r="C74" s="23">
        <v>249</v>
      </c>
      <c r="D74" s="24" t="s">
        <v>236</v>
      </c>
      <c r="E74" s="7" t="s">
        <v>156</v>
      </c>
      <c r="F74" s="23" t="s">
        <v>8</v>
      </c>
      <c r="G74" s="19" t="s">
        <v>158</v>
      </c>
    </row>
    <row r="75" spans="1:7" x14ac:dyDescent="0.3">
      <c r="A75" s="23">
        <v>4</v>
      </c>
      <c r="B75" s="23">
        <v>39</v>
      </c>
      <c r="C75" s="23">
        <v>250</v>
      </c>
      <c r="D75" s="24" t="s">
        <v>276</v>
      </c>
      <c r="E75" s="7" t="s">
        <v>238</v>
      </c>
      <c r="F75" s="23" t="s">
        <v>8</v>
      </c>
      <c r="G75" s="19" t="s">
        <v>55</v>
      </c>
    </row>
    <row r="76" spans="1:7" x14ac:dyDescent="0.3">
      <c r="A76" s="23">
        <v>4</v>
      </c>
      <c r="B76" s="23">
        <v>40</v>
      </c>
      <c r="C76" s="23">
        <v>251</v>
      </c>
      <c r="D76" s="24" t="s">
        <v>277</v>
      </c>
      <c r="E76" s="7" t="s">
        <v>239</v>
      </c>
      <c r="F76" s="23" t="s">
        <v>8</v>
      </c>
      <c r="G76" s="19" t="s">
        <v>55</v>
      </c>
    </row>
    <row r="77" spans="1:7" x14ac:dyDescent="0.3">
      <c r="A77" s="23">
        <v>13</v>
      </c>
      <c r="B77" s="23">
        <v>25</v>
      </c>
      <c r="C77" s="23">
        <v>252</v>
      </c>
      <c r="D77" s="24" t="s">
        <v>278</v>
      </c>
      <c r="E77" s="7" t="s">
        <v>240</v>
      </c>
      <c r="F77" s="23" t="s">
        <v>8</v>
      </c>
      <c r="G77" s="19" t="s">
        <v>55</v>
      </c>
    </row>
    <row r="78" spans="1:7" x14ac:dyDescent="0.3">
      <c r="A78" s="23">
        <v>13</v>
      </c>
      <c r="B78" s="23">
        <v>25</v>
      </c>
      <c r="C78" s="23">
        <v>253</v>
      </c>
      <c r="D78" s="24" t="s">
        <v>279</v>
      </c>
      <c r="E78" s="7" t="s">
        <v>241</v>
      </c>
      <c r="F78" s="23" t="s">
        <v>8</v>
      </c>
      <c r="G78" s="19" t="s">
        <v>55</v>
      </c>
    </row>
    <row r="79" spans="1:7" x14ac:dyDescent="0.3">
      <c r="A79" s="23">
        <v>13</v>
      </c>
      <c r="B79" s="23">
        <v>25</v>
      </c>
      <c r="C79" s="23">
        <v>254</v>
      </c>
      <c r="D79" s="24" t="s">
        <v>280</v>
      </c>
      <c r="E79" s="7" t="s">
        <v>242</v>
      </c>
      <c r="F79" s="23" t="s">
        <v>8</v>
      </c>
      <c r="G79" s="19" t="s">
        <v>55</v>
      </c>
    </row>
    <row r="80" spans="1:7" x14ac:dyDescent="0.3">
      <c r="A80" s="23">
        <v>13</v>
      </c>
      <c r="B80" s="23">
        <v>25</v>
      </c>
      <c r="C80" s="23">
        <v>255</v>
      </c>
      <c r="D80" s="24" t="s">
        <v>281</v>
      </c>
      <c r="E80" s="7" t="s">
        <v>243</v>
      </c>
      <c r="F80" s="23" t="s">
        <v>8</v>
      </c>
      <c r="G80" s="19" t="s">
        <v>55</v>
      </c>
    </row>
    <row r="81" spans="1:7" x14ac:dyDescent="0.3">
      <c r="A81" s="23">
        <v>13</v>
      </c>
      <c r="B81" s="23">
        <v>25</v>
      </c>
      <c r="C81" s="23">
        <v>256</v>
      </c>
      <c r="D81" s="24" t="s">
        <v>282</v>
      </c>
      <c r="E81" s="7" t="s">
        <v>244</v>
      </c>
      <c r="F81" s="23" t="s">
        <v>8</v>
      </c>
      <c r="G81" s="19" t="s">
        <v>55</v>
      </c>
    </row>
    <row r="82" spans="1:7" x14ac:dyDescent="0.3">
      <c r="A82" s="23">
        <v>8</v>
      </c>
      <c r="B82" s="23">
        <v>28</v>
      </c>
      <c r="C82" s="23">
        <v>257</v>
      </c>
      <c r="D82" s="24" t="s">
        <v>283</v>
      </c>
      <c r="E82" s="7" t="s">
        <v>245</v>
      </c>
      <c r="F82" s="23" t="s">
        <v>8</v>
      </c>
      <c r="G82" s="19" t="s">
        <v>55</v>
      </c>
    </row>
    <row r="83" spans="1:7" x14ac:dyDescent="0.3">
      <c r="A83" s="23">
        <v>8</v>
      </c>
      <c r="B83" s="23">
        <v>28</v>
      </c>
      <c r="C83" s="23">
        <v>258</v>
      </c>
      <c r="D83" s="24" t="s">
        <v>284</v>
      </c>
      <c r="E83" s="7" t="s">
        <v>246</v>
      </c>
      <c r="F83" s="23" t="s">
        <v>8</v>
      </c>
      <c r="G83" s="19" t="s">
        <v>55</v>
      </c>
    </row>
    <row r="84" spans="1:7" x14ac:dyDescent="0.3">
      <c r="A84" s="23">
        <v>8</v>
      </c>
      <c r="B84" s="23">
        <v>13</v>
      </c>
      <c r="C84" s="23">
        <v>259</v>
      </c>
      <c r="D84" s="24" t="s">
        <v>285</v>
      </c>
      <c r="E84" s="7" t="s">
        <v>247</v>
      </c>
      <c r="F84" s="23" t="s">
        <v>8</v>
      </c>
      <c r="G84" s="19" t="s">
        <v>55</v>
      </c>
    </row>
    <row r="85" spans="1:7" x14ac:dyDescent="0.3">
      <c r="A85" s="23">
        <v>1</v>
      </c>
      <c r="B85" s="23">
        <v>13</v>
      </c>
      <c r="C85" s="23">
        <v>260</v>
      </c>
      <c r="D85" s="24" t="s">
        <v>286</v>
      </c>
      <c r="E85" s="7" t="s">
        <v>248</v>
      </c>
      <c r="F85" s="23" t="s">
        <v>8</v>
      </c>
      <c r="G85" s="19" t="s">
        <v>55</v>
      </c>
    </row>
    <row r="86" spans="1:7" x14ac:dyDescent="0.3">
      <c r="A86" s="23">
        <v>1</v>
      </c>
      <c r="B86" s="23">
        <v>28</v>
      </c>
      <c r="C86" s="23">
        <v>261</v>
      </c>
      <c r="D86" s="24" t="s">
        <v>287</v>
      </c>
      <c r="E86" s="7" t="s">
        <v>249</v>
      </c>
      <c r="F86" s="23" t="s">
        <v>8</v>
      </c>
      <c r="G86" s="19" t="s">
        <v>55</v>
      </c>
    </row>
    <row r="87" spans="1:7" x14ac:dyDescent="0.3">
      <c r="A87" s="23">
        <v>8</v>
      </c>
      <c r="B87" s="23">
        <v>13</v>
      </c>
      <c r="C87" s="23">
        <v>262</v>
      </c>
      <c r="D87" s="24" t="s">
        <v>288</v>
      </c>
      <c r="E87" s="7" t="s">
        <v>250</v>
      </c>
      <c r="F87" s="23" t="s">
        <v>8</v>
      </c>
      <c r="G87" s="19" t="s">
        <v>55</v>
      </c>
    </row>
    <row r="88" spans="1:7" x14ac:dyDescent="0.3">
      <c r="A88" s="23">
        <v>1</v>
      </c>
      <c r="B88" s="23">
        <v>28</v>
      </c>
      <c r="C88" s="23">
        <v>263</v>
      </c>
      <c r="D88" s="24" t="s">
        <v>289</v>
      </c>
      <c r="E88" s="7" t="s">
        <v>251</v>
      </c>
      <c r="F88" s="23" t="s">
        <v>8</v>
      </c>
      <c r="G88" s="19" t="s">
        <v>55</v>
      </c>
    </row>
    <row r="89" spans="1:7" x14ac:dyDescent="0.3">
      <c r="A89" s="23">
        <v>1</v>
      </c>
      <c r="B89" s="23">
        <v>28</v>
      </c>
      <c r="C89" s="23">
        <v>264</v>
      </c>
      <c r="D89" s="24" t="s">
        <v>290</v>
      </c>
      <c r="E89" s="7" t="s">
        <v>252</v>
      </c>
      <c r="F89" s="23" t="s">
        <v>8</v>
      </c>
      <c r="G89" s="19" t="s">
        <v>55</v>
      </c>
    </row>
    <row r="90" spans="1:7" x14ac:dyDescent="0.3">
      <c r="A90" s="23">
        <v>8</v>
      </c>
      <c r="B90" s="23">
        <v>41</v>
      </c>
      <c r="C90" s="23">
        <v>265</v>
      </c>
      <c r="D90" s="24" t="s">
        <v>291</v>
      </c>
      <c r="E90" s="7" t="s">
        <v>253</v>
      </c>
      <c r="F90" s="23" t="s">
        <v>8</v>
      </c>
      <c r="G90" s="19" t="s">
        <v>55</v>
      </c>
    </row>
    <row r="91" spans="1:7" x14ac:dyDescent="0.3">
      <c r="A91" s="23">
        <v>4</v>
      </c>
      <c r="B91" s="23">
        <v>40</v>
      </c>
      <c r="C91" s="23">
        <v>266</v>
      </c>
      <c r="D91" s="24" t="s">
        <v>292</v>
      </c>
      <c r="E91" s="7" t="s">
        <v>254</v>
      </c>
      <c r="F91" s="23" t="s">
        <v>8</v>
      </c>
      <c r="G91" s="19" t="s">
        <v>55</v>
      </c>
    </row>
    <row r="92" spans="1:7" x14ac:dyDescent="0.3">
      <c r="A92" s="23">
        <v>4</v>
      </c>
      <c r="B92" s="23">
        <v>15</v>
      </c>
      <c r="C92" s="23">
        <v>267</v>
      </c>
      <c r="D92" s="24" t="s">
        <v>293</v>
      </c>
      <c r="E92" s="7" t="s">
        <v>267</v>
      </c>
      <c r="F92" s="23" t="s">
        <v>8</v>
      </c>
      <c r="G92" s="19" t="s">
        <v>268</v>
      </c>
    </row>
    <row r="93" spans="1:7" ht="28.8" x14ac:dyDescent="0.3">
      <c r="A93" s="23">
        <v>10</v>
      </c>
      <c r="B93" s="23">
        <v>42</v>
      </c>
      <c r="C93" s="23">
        <v>268</v>
      </c>
      <c r="D93" s="24" t="s">
        <v>294</v>
      </c>
      <c r="E93" s="7" t="s">
        <v>269</v>
      </c>
      <c r="F93" s="23" t="s">
        <v>8</v>
      </c>
      <c r="G93" s="19" t="s">
        <v>129</v>
      </c>
    </row>
    <row r="94" spans="1:7" ht="28.8" x14ac:dyDescent="0.3">
      <c r="A94" s="23">
        <v>10</v>
      </c>
      <c r="B94" s="23">
        <v>15</v>
      </c>
      <c r="C94" s="23">
        <v>269</v>
      </c>
      <c r="D94" s="24" t="s">
        <v>295</v>
      </c>
      <c r="E94" s="7" t="s">
        <v>296</v>
      </c>
      <c r="F94" s="23" t="s">
        <v>8</v>
      </c>
      <c r="G94" s="19" t="s">
        <v>129</v>
      </c>
    </row>
    <row r="95" spans="1:7" ht="28.8" x14ac:dyDescent="0.3">
      <c r="A95" s="23">
        <v>10</v>
      </c>
      <c r="B95" s="23">
        <v>43</v>
      </c>
      <c r="C95" s="23">
        <v>270</v>
      </c>
      <c r="D95" s="24" t="s">
        <v>297</v>
      </c>
      <c r="E95" s="7" t="s">
        <v>298</v>
      </c>
      <c r="F95" s="23" t="s">
        <v>8</v>
      </c>
      <c r="G95" s="19" t="s">
        <v>129</v>
      </c>
    </row>
    <row r="96" spans="1:7" x14ac:dyDescent="0.3">
      <c r="A96" s="23">
        <v>17</v>
      </c>
      <c r="B96" s="23">
        <v>44</v>
      </c>
      <c r="C96" s="23">
        <v>271</v>
      </c>
      <c r="D96" s="24" t="s">
        <v>299</v>
      </c>
      <c r="E96" s="7" t="s">
        <v>300</v>
      </c>
      <c r="F96" s="23" t="s">
        <v>8</v>
      </c>
      <c r="G96" s="19" t="s">
        <v>55</v>
      </c>
    </row>
    <row r="97" spans="1:8" x14ac:dyDescent="0.3">
      <c r="A97" s="23">
        <v>17</v>
      </c>
      <c r="B97" s="23">
        <v>44</v>
      </c>
      <c r="C97" s="23">
        <v>272</v>
      </c>
      <c r="D97" s="24" t="s">
        <v>301</v>
      </c>
      <c r="E97" s="7" t="s">
        <v>302</v>
      </c>
      <c r="F97" s="23" t="s">
        <v>8</v>
      </c>
      <c r="G97" s="19" t="s">
        <v>55</v>
      </c>
    </row>
    <row r="98" spans="1:8" x14ac:dyDescent="0.3">
      <c r="A98" s="23">
        <v>17</v>
      </c>
      <c r="B98" s="23">
        <v>44</v>
      </c>
      <c r="C98" s="23">
        <v>273</v>
      </c>
      <c r="D98" s="24" t="s">
        <v>303</v>
      </c>
      <c r="E98" s="7" t="s">
        <v>304</v>
      </c>
      <c r="F98" s="23" t="s">
        <v>8</v>
      </c>
      <c r="G98" s="19" t="s">
        <v>55</v>
      </c>
    </row>
    <row r="99" spans="1:8" ht="28.8" x14ac:dyDescent="0.3">
      <c r="A99" s="19">
        <v>7</v>
      </c>
      <c r="B99" s="19">
        <v>35</v>
      </c>
      <c r="C99" s="19">
        <v>274</v>
      </c>
      <c r="D99" s="40" t="s">
        <v>305</v>
      </c>
      <c r="E99" s="1" t="s">
        <v>306</v>
      </c>
      <c r="F99" s="19" t="s">
        <v>8</v>
      </c>
      <c r="G99" s="19" t="s">
        <v>326</v>
      </c>
      <c r="H99" s="1"/>
    </row>
    <row r="100" spans="1:8" ht="28.8" x14ac:dyDescent="0.3">
      <c r="A100" s="23">
        <v>16</v>
      </c>
      <c r="B100" s="23">
        <v>45</v>
      </c>
      <c r="C100" s="23">
        <v>275</v>
      </c>
      <c r="D100" s="24" t="s">
        <v>308</v>
      </c>
      <c r="E100" s="7" t="s">
        <v>309</v>
      </c>
      <c r="F100" s="23" t="s">
        <v>8</v>
      </c>
      <c r="G100" s="19" t="s">
        <v>109</v>
      </c>
    </row>
    <row r="101" spans="1:8" ht="28.8" x14ac:dyDescent="0.3">
      <c r="A101" s="23">
        <v>16</v>
      </c>
      <c r="B101" s="23">
        <v>45</v>
      </c>
      <c r="C101" s="23">
        <v>276</v>
      </c>
      <c r="D101" s="24" t="s">
        <v>310</v>
      </c>
      <c r="E101" s="7" t="s">
        <v>311</v>
      </c>
      <c r="F101" s="23" t="s">
        <v>8</v>
      </c>
      <c r="G101" s="19" t="s">
        <v>109</v>
      </c>
    </row>
    <row r="102" spans="1:8" x14ac:dyDescent="0.3">
      <c r="A102" s="23">
        <v>3</v>
      </c>
      <c r="B102" s="23">
        <v>31</v>
      </c>
      <c r="C102" s="23">
        <v>277</v>
      </c>
      <c r="D102" s="24" t="s">
        <v>327</v>
      </c>
      <c r="E102" s="7" t="s">
        <v>328</v>
      </c>
      <c r="F102" s="23" t="s">
        <v>108</v>
      </c>
      <c r="G102" s="19" t="s">
        <v>326</v>
      </c>
    </row>
    <row r="103" spans="1:8" x14ac:dyDescent="0.3">
      <c r="A103" s="23">
        <v>3</v>
      </c>
      <c r="B103" s="23">
        <v>31</v>
      </c>
      <c r="C103" s="23">
        <v>278</v>
      </c>
      <c r="D103" s="24" t="s">
        <v>329</v>
      </c>
      <c r="E103" s="7" t="s">
        <v>330</v>
      </c>
      <c r="F103" s="23" t="s">
        <v>108</v>
      </c>
      <c r="G103" s="19" t="s">
        <v>326</v>
      </c>
    </row>
    <row r="104" spans="1:8" x14ac:dyDescent="0.3">
      <c r="A104" s="23">
        <v>16</v>
      </c>
      <c r="B104" s="23">
        <v>46</v>
      </c>
      <c r="C104" s="23">
        <v>279</v>
      </c>
      <c r="D104" s="24" t="s">
        <v>331</v>
      </c>
      <c r="E104" s="7" t="s">
        <v>332</v>
      </c>
      <c r="F104" s="23" t="s">
        <v>108</v>
      </c>
      <c r="G104" s="19">
        <v>0</v>
      </c>
    </row>
    <row r="105" spans="1:8" ht="28.8" x14ac:dyDescent="0.3">
      <c r="A105" s="23">
        <v>16</v>
      </c>
      <c r="B105" s="23">
        <v>47</v>
      </c>
      <c r="C105" s="23">
        <v>280</v>
      </c>
      <c r="D105" s="24" t="s">
        <v>333</v>
      </c>
      <c r="E105" s="7" t="s">
        <v>334</v>
      </c>
      <c r="F105" s="23" t="s">
        <v>8</v>
      </c>
      <c r="G105" s="19" t="s">
        <v>109</v>
      </c>
    </row>
    <row r="106" spans="1:8" ht="28.8" x14ac:dyDescent="0.3">
      <c r="A106" s="23">
        <v>16</v>
      </c>
      <c r="B106" s="23">
        <v>48</v>
      </c>
      <c r="C106" s="23">
        <v>281</v>
      </c>
      <c r="D106" s="24" t="s">
        <v>335</v>
      </c>
      <c r="E106" s="7" t="s">
        <v>336</v>
      </c>
      <c r="F106" s="23" t="s">
        <v>8</v>
      </c>
      <c r="G106" s="19" t="s">
        <v>109</v>
      </c>
    </row>
    <row r="107" spans="1:8" x14ac:dyDescent="0.3">
      <c r="A107" s="23">
        <v>16</v>
      </c>
      <c r="B107" s="23">
        <v>49</v>
      </c>
      <c r="C107" s="23">
        <v>282</v>
      </c>
      <c r="D107" s="24" t="s">
        <v>337</v>
      </c>
      <c r="E107" s="7" t="s">
        <v>338</v>
      </c>
      <c r="F107" s="23" t="s">
        <v>8</v>
      </c>
      <c r="G107" s="19" t="s">
        <v>339</v>
      </c>
    </row>
    <row r="108" spans="1:8" ht="28.8" x14ac:dyDescent="0.3">
      <c r="A108" s="23">
        <v>16</v>
      </c>
      <c r="B108" s="23">
        <v>50</v>
      </c>
      <c r="C108" s="23">
        <v>283</v>
      </c>
      <c r="D108" s="24" t="s">
        <v>340</v>
      </c>
      <c r="E108" s="7" t="s">
        <v>341</v>
      </c>
      <c r="F108" s="23" t="s">
        <v>8</v>
      </c>
      <c r="G108" s="19" t="s">
        <v>109</v>
      </c>
    </row>
    <row r="109" spans="1:8" ht="28.8" x14ac:dyDescent="0.3">
      <c r="A109" s="23">
        <v>16</v>
      </c>
      <c r="B109" s="23">
        <v>51</v>
      </c>
      <c r="C109" s="23">
        <v>284</v>
      </c>
      <c r="D109" s="24" t="s">
        <v>342</v>
      </c>
      <c r="E109" s="7" t="s">
        <v>343</v>
      </c>
      <c r="F109" s="23" t="s">
        <v>8</v>
      </c>
      <c r="G109" s="19" t="s">
        <v>109</v>
      </c>
    </row>
    <row r="110" spans="1:8" ht="28.8" x14ac:dyDescent="0.3">
      <c r="A110" s="23">
        <v>16</v>
      </c>
      <c r="B110" s="23">
        <v>52</v>
      </c>
      <c r="C110" s="23">
        <v>285</v>
      </c>
      <c r="D110" s="24" t="s">
        <v>344</v>
      </c>
      <c r="E110" s="7" t="s">
        <v>345</v>
      </c>
      <c r="F110" s="23" t="s">
        <v>8</v>
      </c>
      <c r="G110" s="19" t="s">
        <v>109</v>
      </c>
    </row>
    <row r="111" spans="1:8" x14ac:dyDescent="0.3">
      <c r="D111" s="24" t="s">
        <v>237</v>
      </c>
      <c r="E111" s="7">
        <v>0</v>
      </c>
      <c r="F111" s="23">
        <v>0</v>
      </c>
      <c r="G111" s="19">
        <v>0</v>
      </c>
    </row>
    <row r="112" spans="1:8" x14ac:dyDescent="0.3">
      <c r="D112" s="24" t="s">
        <v>237</v>
      </c>
      <c r="E112" s="7">
        <v>0</v>
      </c>
      <c r="F112" s="23">
        <v>0</v>
      </c>
      <c r="G112" s="19">
        <v>0</v>
      </c>
    </row>
    <row r="113" spans="4:7" x14ac:dyDescent="0.3">
      <c r="D113" s="24" t="s">
        <v>237</v>
      </c>
      <c r="E113" s="7">
        <v>0</v>
      </c>
      <c r="F113" s="23">
        <v>0</v>
      </c>
      <c r="G113" s="19">
        <v>0</v>
      </c>
    </row>
    <row r="114" spans="4:7" x14ac:dyDescent="0.3">
      <c r="D114" s="24" t="s">
        <v>237</v>
      </c>
      <c r="E114" s="7">
        <v>0</v>
      </c>
      <c r="F114" s="23">
        <v>0</v>
      </c>
      <c r="G114" s="19">
        <v>0</v>
      </c>
    </row>
    <row r="115" spans="4:7" x14ac:dyDescent="0.3">
      <c r="D115" s="24" t="s">
        <v>237</v>
      </c>
      <c r="E115" s="7">
        <v>0</v>
      </c>
      <c r="F115" s="23">
        <v>0</v>
      </c>
      <c r="G115" s="19">
        <v>0</v>
      </c>
    </row>
    <row r="116" spans="4:7" x14ac:dyDescent="0.3">
      <c r="D116" s="24" t="s">
        <v>237</v>
      </c>
      <c r="E116" s="7">
        <v>0</v>
      </c>
      <c r="F116" s="23">
        <v>0</v>
      </c>
      <c r="G116" s="19">
        <v>0</v>
      </c>
    </row>
    <row r="117" spans="4:7" x14ac:dyDescent="0.3">
      <c r="D117" s="24" t="s">
        <v>237</v>
      </c>
      <c r="E117" s="7">
        <v>0</v>
      </c>
      <c r="F117" s="23">
        <v>0</v>
      </c>
      <c r="G117" s="19">
        <v>0</v>
      </c>
    </row>
    <row r="118" spans="4:7" x14ac:dyDescent="0.3">
      <c r="D118" s="24" t="s">
        <v>237</v>
      </c>
      <c r="E118" s="7">
        <v>0</v>
      </c>
      <c r="F118" s="23">
        <v>0</v>
      </c>
      <c r="G118" s="19">
        <v>0</v>
      </c>
    </row>
    <row r="119" spans="4:7" x14ac:dyDescent="0.3">
      <c r="D119" s="24" t="s">
        <v>237</v>
      </c>
      <c r="E119" s="7">
        <v>0</v>
      </c>
      <c r="F119" s="23">
        <v>0</v>
      </c>
      <c r="G119" s="19">
        <v>0</v>
      </c>
    </row>
    <row r="120" spans="4:7" x14ac:dyDescent="0.3">
      <c r="D120" s="24" t="s">
        <v>237</v>
      </c>
      <c r="E120" s="7">
        <v>0</v>
      </c>
      <c r="F120" s="23">
        <v>0</v>
      </c>
      <c r="G120" s="19">
        <v>0</v>
      </c>
    </row>
    <row r="121" spans="4:7" x14ac:dyDescent="0.3">
      <c r="D121" s="24" t="s">
        <v>237</v>
      </c>
      <c r="E121" s="7">
        <v>0</v>
      </c>
      <c r="F121" s="23">
        <v>0</v>
      </c>
      <c r="G121" s="19">
        <v>0</v>
      </c>
    </row>
    <row r="122" spans="4:7" x14ac:dyDescent="0.3">
      <c r="D122" s="24" t="s">
        <v>237</v>
      </c>
      <c r="E122" s="7">
        <v>0</v>
      </c>
      <c r="F122" s="23">
        <v>0</v>
      </c>
      <c r="G122" s="19">
        <v>0</v>
      </c>
    </row>
    <row r="123" spans="4:7" x14ac:dyDescent="0.3">
      <c r="D123" s="24" t="s">
        <v>237</v>
      </c>
      <c r="E123" s="7">
        <v>0</v>
      </c>
      <c r="F123" s="23">
        <v>0</v>
      </c>
      <c r="G123" s="19">
        <v>0</v>
      </c>
    </row>
    <row r="124" spans="4:7" x14ac:dyDescent="0.3">
      <c r="D124" s="24" t="s">
        <v>237</v>
      </c>
      <c r="E124" s="7">
        <v>0</v>
      </c>
      <c r="F124" s="23">
        <v>0</v>
      </c>
      <c r="G124" s="19">
        <v>0</v>
      </c>
    </row>
    <row r="125" spans="4:7" x14ac:dyDescent="0.3">
      <c r="D125" s="24" t="s">
        <v>237</v>
      </c>
      <c r="E125" s="7">
        <v>0</v>
      </c>
      <c r="F125" s="23">
        <v>0</v>
      </c>
      <c r="G125" s="19">
        <v>0</v>
      </c>
    </row>
    <row r="126" spans="4:7" x14ac:dyDescent="0.3">
      <c r="D126" s="24" t="s">
        <v>237</v>
      </c>
      <c r="E126" s="7">
        <v>0</v>
      </c>
      <c r="F126" s="23">
        <v>0</v>
      </c>
      <c r="G126" s="19">
        <v>0</v>
      </c>
    </row>
    <row r="127" spans="4:7" x14ac:dyDescent="0.3">
      <c r="D127" s="24" t="s">
        <v>237</v>
      </c>
      <c r="E127" s="7">
        <v>0</v>
      </c>
      <c r="F127" s="23">
        <v>0</v>
      </c>
      <c r="G127" s="19">
        <v>0</v>
      </c>
    </row>
    <row r="128" spans="4:7" x14ac:dyDescent="0.3">
      <c r="D128" s="24" t="s">
        <v>237</v>
      </c>
      <c r="E128" s="7">
        <v>0</v>
      </c>
      <c r="F128" s="23">
        <v>0</v>
      </c>
      <c r="G128" s="19">
        <v>0</v>
      </c>
    </row>
    <row r="129" spans="4:7" x14ac:dyDescent="0.3">
      <c r="D129" s="24" t="s">
        <v>237</v>
      </c>
      <c r="E129" s="7">
        <v>0</v>
      </c>
      <c r="F129" s="23">
        <v>0</v>
      </c>
      <c r="G129" s="19">
        <v>0</v>
      </c>
    </row>
    <row r="130" spans="4:7" x14ac:dyDescent="0.3">
      <c r="D130" s="24" t="s">
        <v>237</v>
      </c>
      <c r="E130" s="7">
        <v>0</v>
      </c>
      <c r="F130" s="23">
        <v>0</v>
      </c>
      <c r="G130" s="19">
        <v>0</v>
      </c>
    </row>
    <row r="131" spans="4:7" x14ac:dyDescent="0.3">
      <c r="D131" s="24" t="s">
        <v>237</v>
      </c>
      <c r="E131" s="7">
        <v>0</v>
      </c>
      <c r="F131" s="23">
        <v>0</v>
      </c>
      <c r="G131" s="19">
        <v>0</v>
      </c>
    </row>
    <row r="132" spans="4:7" x14ac:dyDescent="0.3">
      <c r="D132" s="24" t="s">
        <v>237</v>
      </c>
      <c r="E132" s="7">
        <v>0</v>
      </c>
      <c r="F132" s="23">
        <v>0</v>
      </c>
      <c r="G132" s="19">
        <v>0</v>
      </c>
    </row>
    <row r="133" spans="4:7" x14ac:dyDescent="0.3">
      <c r="D133" s="24" t="s">
        <v>237</v>
      </c>
      <c r="E133" s="7">
        <v>0</v>
      </c>
      <c r="F133" s="23">
        <v>0</v>
      </c>
      <c r="G133" s="19">
        <v>0</v>
      </c>
    </row>
    <row r="134" spans="4:7" x14ac:dyDescent="0.3">
      <c r="D134" s="24" t="s">
        <v>237</v>
      </c>
      <c r="E134" s="7">
        <v>0</v>
      </c>
      <c r="F134" s="23">
        <v>0</v>
      </c>
      <c r="G134" s="19">
        <v>0</v>
      </c>
    </row>
    <row r="135" spans="4:7" x14ac:dyDescent="0.3">
      <c r="D135" s="24" t="s">
        <v>237</v>
      </c>
      <c r="E135" s="7">
        <v>0</v>
      </c>
      <c r="F135" s="23">
        <v>0</v>
      </c>
      <c r="G135" s="19">
        <v>0</v>
      </c>
    </row>
    <row r="136" spans="4:7" x14ac:dyDescent="0.3">
      <c r="D136" s="24" t="s">
        <v>237</v>
      </c>
      <c r="E136" s="7">
        <v>0</v>
      </c>
      <c r="F136" s="23">
        <v>0</v>
      </c>
      <c r="G136" s="19">
        <v>0</v>
      </c>
    </row>
    <row r="137" spans="4:7" x14ac:dyDescent="0.3">
      <c r="D137" s="24" t="s">
        <v>237</v>
      </c>
      <c r="E137" s="7">
        <v>0</v>
      </c>
      <c r="F137" s="23">
        <v>0</v>
      </c>
      <c r="G137" s="19">
        <v>0</v>
      </c>
    </row>
    <row r="138" spans="4:7" x14ac:dyDescent="0.3">
      <c r="D138" s="24" t="s">
        <v>237</v>
      </c>
      <c r="E138" s="7">
        <v>0</v>
      </c>
      <c r="F138" s="23">
        <v>0</v>
      </c>
      <c r="G138" s="19">
        <v>0</v>
      </c>
    </row>
    <row r="139" spans="4:7" x14ac:dyDescent="0.3">
      <c r="D139" s="24" t="s">
        <v>237</v>
      </c>
      <c r="E139" s="7">
        <v>0</v>
      </c>
      <c r="F139" s="23">
        <v>0</v>
      </c>
      <c r="G139" s="19">
        <v>0</v>
      </c>
    </row>
    <row r="140" spans="4:7" x14ac:dyDescent="0.3">
      <c r="D140" s="24" t="s">
        <v>237</v>
      </c>
      <c r="E140" s="7">
        <v>0</v>
      </c>
      <c r="F140" s="23">
        <v>0</v>
      </c>
      <c r="G140" s="19">
        <v>0</v>
      </c>
    </row>
    <row r="141" spans="4:7" x14ac:dyDescent="0.3">
      <c r="D141" s="24" t="s">
        <v>237</v>
      </c>
      <c r="E141" s="7">
        <v>0</v>
      </c>
      <c r="F141" s="23">
        <v>0</v>
      </c>
      <c r="G141" s="19">
        <v>0</v>
      </c>
    </row>
    <row r="142" spans="4:7" x14ac:dyDescent="0.3">
      <c r="D142" s="24" t="s">
        <v>237</v>
      </c>
      <c r="E142" s="7">
        <v>0</v>
      </c>
      <c r="F142" s="23">
        <v>0</v>
      </c>
      <c r="G142" s="19">
        <v>0</v>
      </c>
    </row>
    <row r="143" spans="4:7" x14ac:dyDescent="0.3">
      <c r="D143" s="24" t="s">
        <v>237</v>
      </c>
      <c r="E143" s="7">
        <v>0</v>
      </c>
      <c r="F143" s="23">
        <v>0</v>
      </c>
      <c r="G143" s="19">
        <v>0</v>
      </c>
    </row>
    <row r="144" spans="4:7" x14ac:dyDescent="0.3">
      <c r="D144" s="24" t="s">
        <v>237</v>
      </c>
      <c r="E144" s="7">
        <v>0</v>
      </c>
      <c r="F144" s="23">
        <v>0</v>
      </c>
      <c r="G144" s="19">
        <v>0</v>
      </c>
    </row>
    <row r="145" spans="4:7" x14ac:dyDescent="0.3">
      <c r="D145" s="24" t="s">
        <v>237</v>
      </c>
      <c r="E145" s="7">
        <v>0</v>
      </c>
      <c r="F145" s="23">
        <v>0</v>
      </c>
      <c r="G145" s="19">
        <v>0</v>
      </c>
    </row>
    <row r="146" spans="4:7" x14ac:dyDescent="0.3">
      <c r="D146" s="24" t="s">
        <v>237</v>
      </c>
      <c r="E146" s="7">
        <v>0</v>
      </c>
      <c r="F146" s="23">
        <v>0</v>
      </c>
      <c r="G146" s="19">
        <v>0</v>
      </c>
    </row>
    <row r="147" spans="4:7" x14ac:dyDescent="0.3">
      <c r="D147" s="24" t="s">
        <v>237</v>
      </c>
      <c r="E147" s="7">
        <v>0</v>
      </c>
      <c r="F147" s="23">
        <v>0</v>
      </c>
      <c r="G147" s="19">
        <v>0</v>
      </c>
    </row>
    <row r="148" spans="4:7" x14ac:dyDescent="0.3">
      <c r="D148" s="24" t="s">
        <v>237</v>
      </c>
      <c r="E148" s="7">
        <v>0</v>
      </c>
      <c r="F148" s="23">
        <v>0</v>
      </c>
      <c r="G148" s="19">
        <v>0</v>
      </c>
    </row>
    <row r="149" spans="4:7" x14ac:dyDescent="0.3">
      <c r="D149" s="24" t="s">
        <v>237</v>
      </c>
      <c r="E149" s="7">
        <v>0</v>
      </c>
      <c r="F149" s="23">
        <v>0</v>
      </c>
      <c r="G149" s="19">
        <v>0</v>
      </c>
    </row>
    <row r="150" spans="4:7" x14ac:dyDescent="0.3">
      <c r="D150" s="24" t="s">
        <v>237</v>
      </c>
      <c r="E150" s="7">
        <v>0</v>
      </c>
      <c r="F150" s="23">
        <v>0</v>
      </c>
      <c r="G150" s="19">
        <v>0</v>
      </c>
    </row>
    <row r="151" spans="4:7" x14ac:dyDescent="0.3">
      <c r="D151" s="24" t="s">
        <v>237</v>
      </c>
      <c r="E151" s="7">
        <v>0</v>
      </c>
      <c r="F151" s="23">
        <v>0</v>
      </c>
      <c r="G151" s="19">
        <v>0</v>
      </c>
    </row>
    <row r="152" spans="4:7" x14ac:dyDescent="0.3">
      <c r="D152" s="24" t="s">
        <v>237</v>
      </c>
      <c r="E152" s="7">
        <v>0</v>
      </c>
      <c r="F152" s="23">
        <v>0</v>
      </c>
      <c r="G152" s="19">
        <v>0</v>
      </c>
    </row>
    <row r="153" spans="4:7" x14ac:dyDescent="0.3">
      <c r="D153" s="24" t="s">
        <v>237</v>
      </c>
      <c r="E153" s="7">
        <v>0</v>
      </c>
      <c r="F153" s="23">
        <v>0</v>
      </c>
      <c r="G153" s="19">
        <v>0</v>
      </c>
    </row>
    <row r="154" spans="4:7" x14ac:dyDescent="0.3">
      <c r="D154" s="24" t="s">
        <v>237</v>
      </c>
      <c r="E154" s="7">
        <v>0</v>
      </c>
      <c r="F154" s="23">
        <v>0</v>
      </c>
      <c r="G154" s="19">
        <v>0</v>
      </c>
    </row>
    <row r="155" spans="4:7" x14ac:dyDescent="0.3">
      <c r="D155" s="24" t="s">
        <v>237</v>
      </c>
      <c r="E155" s="7">
        <v>0</v>
      </c>
      <c r="F155" s="23">
        <v>0</v>
      </c>
      <c r="G155" s="19">
        <v>0</v>
      </c>
    </row>
    <row r="156" spans="4:7" x14ac:dyDescent="0.3">
      <c r="D156" s="24" t="s">
        <v>237</v>
      </c>
      <c r="E156" s="7">
        <v>0</v>
      </c>
      <c r="F156" s="23">
        <v>0</v>
      </c>
      <c r="G156" s="19">
        <v>0</v>
      </c>
    </row>
    <row r="157" spans="4:7" x14ac:dyDescent="0.3">
      <c r="D157" s="24" t="s">
        <v>237</v>
      </c>
      <c r="E157" s="7">
        <v>0</v>
      </c>
      <c r="F157" s="23">
        <v>0</v>
      </c>
      <c r="G157" s="19">
        <v>0</v>
      </c>
    </row>
    <row r="158" spans="4:7" x14ac:dyDescent="0.3">
      <c r="D158" s="24" t="s">
        <v>237</v>
      </c>
      <c r="E158" s="7">
        <v>0</v>
      </c>
      <c r="F158" s="23">
        <v>0</v>
      </c>
      <c r="G158" s="19">
        <v>0</v>
      </c>
    </row>
    <row r="159" spans="4:7" x14ac:dyDescent="0.3">
      <c r="D159" s="24" t="s">
        <v>237</v>
      </c>
      <c r="E159" s="7">
        <v>0</v>
      </c>
      <c r="F159" s="23">
        <v>0</v>
      </c>
      <c r="G159" s="19">
        <v>0</v>
      </c>
    </row>
    <row r="160" spans="4:7" x14ac:dyDescent="0.3">
      <c r="D160" s="24" t="s">
        <v>237</v>
      </c>
      <c r="E160" s="7">
        <v>0</v>
      </c>
      <c r="F160" s="23">
        <v>0</v>
      </c>
      <c r="G160" s="19">
        <v>0</v>
      </c>
    </row>
    <row r="161" spans="4:7" x14ac:dyDescent="0.3">
      <c r="D161" s="24" t="s">
        <v>237</v>
      </c>
      <c r="E161" s="7">
        <v>0</v>
      </c>
      <c r="F161" s="23">
        <v>0</v>
      </c>
      <c r="G161" s="19">
        <v>0</v>
      </c>
    </row>
    <row r="162" spans="4:7" x14ac:dyDescent="0.3">
      <c r="D162" s="24" t="s">
        <v>237</v>
      </c>
      <c r="E162" s="7">
        <v>0</v>
      </c>
      <c r="F162" s="23">
        <v>0</v>
      </c>
      <c r="G162" s="19">
        <v>0</v>
      </c>
    </row>
    <row r="163" spans="4:7" x14ac:dyDescent="0.3">
      <c r="D163" s="24" t="s">
        <v>237</v>
      </c>
      <c r="E163" s="7">
        <v>0</v>
      </c>
      <c r="F163" s="23">
        <v>0</v>
      </c>
      <c r="G163" s="19">
        <v>0</v>
      </c>
    </row>
    <row r="164" spans="4:7" x14ac:dyDescent="0.3">
      <c r="D164" s="24" t="s">
        <v>237</v>
      </c>
      <c r="E164" s="7">
        <v>0</v>
      </c>
      <c r="F164" s="23">
        <v>0</v>
      </c>
      <c r="G164" s="19">
        <v>0</v>
      </c>
    </row>
    <row r="165" spans="4:7" x14ac:dyDescent="0.3">
      <c r="D165" s="24" t="s">
        <v>237</v>
      </c>
      <c r="E165" s="7">
        <v>0</v>
      </c>
      <c r="F165" s="23">
        <v>0</v>
      </c>
      <c r="G165" s="19">
        <v>0</v>
      </c>
    </row>
    <row r="166" spans="4:7" x14ac:dyDescent="0.3">
      <c r="D166" s="24" t="s">
        <v>237</v>
      </c>
      <c r="E166" s="7">
        <v>0</v>
      </c>
      <c r="F166" s="23">
        <v>0</v>
      </c>
      <c r="G166" s="19">
        <v>0</v>
      </c>
    </row>
    <row r="167" spans="4:7" x14ac:dyDescent="0.3">
      <c r="D167" s="24" t="s">
        <v>237</v>
      </c>
      <c r="E167" s="7">
        <v>0</v>
      </c>
      <c r="F167" s="23">
        <v>0</v>
      </c>
      <c r="G167" s="19">
        <v>0</v>
      </c>
    </row>
    <row r="168" spans="4:7" x14ac:dyDescent="0.3">
      <c r="D168" s="24" t="s">
        <v>237</v>
      </c>
      <c r="E168" s="7">
        <v>0</v>
      </c>
      <c r="F168" s="23">
        <v>0</v>
      </c>
      <c r="G168" s="19">
        <v>0</v>
      </c>
    </row>
    <row r="169" spans="4:7" x14ac:dyDescent="0.3">
      <c r="D169" s="24" t="s">
        <v>237</v>
      </c>
      <c r="E169" s="7">
        <v>0</v>
      </c>
      <c r="F169" s="23">
        <v>0</v>
      </c>
      <c r="G169" s="19">
        <v>0</v>
      </c>
    </row>
    <row r="170" spans="4:7" x14ac:dyDescent="0.3">
      <c r="D170" s="24" t="s">
        <v>237</v>
      </c>
      <c r="E170" s="7">
        <v>0</v>
      </c>
      <c r="F170" s="23">
        <v>0</v>
      </c>
      <c r="G170" s="19">
        <v>0</v>
      </c>
    </row>
    <row r="171" spans="4:7" x14ac:dyDescent="0.3">
      <c r="D171" s="24" t="s">
        <v>237</v>
      </c>
      <c r="E171" s="7">
        <v>0</v>
      </c>
      <c r="F171" s="23">
        <v>0</v>
      </c>
      <c r="G171" s="19">
        <v>0</v>
      </c>
    </row>
    <row r="172" spans="4:7" x14ac:dyDescent="0.3">
      <c r="D172" s="24" t="s">
        <v>237</v>
      </c>
      <c r="E172" s="7">
        <v>0</v>
      </c>
      <c r="F172" s="23">
        <v>0</v>
      </c>
      <c r="G172" s="19">
        <v>0</v>
      </c>
    </row>
    <row r="173" spans="4:7" x14ac:dyDescent="0.3">
      <c r="D173" s="24" t="s">
        <v>237</v>
      </c>
      <c r="E173" s="7">
        <v>0</v>
      </c>
      <c r="F173" s="23">
        <v>0</v>
      </c>
      <c r="G173" s="19">
        <v>0</v>
      </c>
    </row>
    <row r="174" spans="4:7" x14ac:dyDescent="0.3">
      <c r="D174" s="24" t="s">
        <v>237</v>
      </c>
      <c r="E174" s="7">
        <v>0</v>
      </c>
      <c r="F174" s="23">
        <v>0</v>
      </c>
      <c r="G174" s="19">
        <v>0</v>
      </c>
    </row>
    <row r="175" spans="4:7" x14ac:dyDescent="0.3">
      <c r="D175" s="24" t="s">
        <v>237</v>
      </c>
      <c r="E175" s="7">
        <v>0</v>
      </c>
      <c r="F175" s="23">
        <v>0</v>
      </c>
      <c r="G175" s="19">
        <v>0</v>
      </c>
    </row>
    <row r="176" spans="4:7" x14ac:dyDescent="0.3">
      <c r="D176" s="24" t="s">
        <v>237</v>
      </c>
      <c r="E176" s="7">
        <v>0</v>
      </c>
      <c r="F176" s="23">
        <v>0</v>
      </c>
      <c r="G176" s="19">
        <v>0</v>
      </c>
    </row>
    <row r="177" spans="4:7" x14ac:dyDescent="0.3">
      <c r="D177" s="24" t="s">
        <v>237</v>
      </c>
      <c r="E177" s="7">
        <v>0</v>
      </c>
      <c r="F177" s="23">
        <v>0</v>
      </c>
      <c r="G177" s="19">
        <v>0</v>
      </c>
    </row>
    <row r="178" spans="4:7" x14ac:dyDescent="0.3">
      <c r="D178" s="24" t="s">
        <v>237</v>
      </c>
      <c r="E178" s="7">
        <v>0</v>
      </c>
      <c r="F178" s="23">
        <v>0</v>
      </c>
      <c r="G178" s="19">
        <v>0</v>
      </c>
    </row>
    <row r="179" spans="4:7" x14ac:dyDescent="0.3">
      <c r="D179" s="24" t="s">
        <v>237</v>
      </c>
      <c r="E179" s="7">
        <v>0</v>
      </c>
      <c r="F179" s="23">
        <v>0</v>
      </c>
      <c r="G179" s="19">
        <v>0</v>
      </c>
    </row>
    <row r="180" spans="4:7" x14ac:dyDescent="0.3">
      <c r="D180" s="24" t="s">
        <v>237</v>
      </c>
      <c r="E180" s="7">
        <v>0</v>
      </c>
      <c r="F180" s="23">
        <v>0</v>
      </c>
      <c r="G180" s="19">
        <v>0</v>
      </c>
    </row>
    <row r="181" spans="4:7" x14ac:dyDescent="0.3">
      <c r="D181" s="24" t="s">
        <v>237</v>
      </c>
      <c r="E181" s="7">
        <v>0</v>
      </c>
      <c r="F181" s="23">
        <v>0</v>
      </c>
      <c r="G181" s="19">
        <v>0</v>
      </c>
    </row>
    <row r="182" spans="4:7" x14ac:dyDescent="0.3">
      <c r="D182" s="24" t="s">
        <v>237</v>
      </c>
      <c r="E182" s="7">
        <v>0</v>
      </c>
      <c r="F182" s="23">
        <v>0</v>
      </c>
      <c r="G182" s="19">
        <v>0</v>
      </c>
    </row>
    <row r="183" spans="4:7" x14ac:dyDescent="0.3">
      <c r="D183" s="24" t="s">
        <v>237</v>
      </c>
      <c r="E183" s="7">
        <v>0</v>
      </c>
      <c r="F183" s="23">
        <v>0</v>
      </c>
      <c r="G183" s="19">
        <v>0</v>
      </c>
    </row>
    <row r="184" spans="4:7" x14ac:dyDescent="0.3">
      <c r="D184" s="24" t="s">
        <v>237</v>
      </c>
      <c r="E184" s="7">
        <v>0</v>
      </c>
      <c r="F184" s="23">
        <v>0</v>
      </c>
      <c r="G184" s="19">
        <v>0</v>
      </c>
    </row>
    <row r="185" spans="4:7" x14ac:dyDescent="0.3">
      <c r="D185" s="24" t="s">
        <v>237</v>
      </c>
      <c r="E185" s="7">
        <v>0</v>
      </c>
      <c r="F185" s="23">
        <v>0</v>
      </c>
      <c r="G185" s="19">
        <v>0</v>
      </c>
    </row>
    <row r="186" spans="4:7" x14ac:dyDescent="0.3">
      <c r="D186" s="24" t="s">
        <v>237</v>
      </c>
      <c r="E186" s="7">
        <v>0</v>
      </c>
      <c r="F186" s="23">
        <v>0</v>
      </c>
      <c r="G186" s="19">
        <v>0</v>
      </c>
    </row>
    <row r="187" spans="4:7" x14ac:dyDescent="0.3">
      <c r="D187" s="24" t="s">
        <v>237</v>
      </c>
      <c r="E187" s="7">
        <v>0</v>
      </c>
      <c r="F187" s="23">
        <v>0</v>
      </c>
      <c r="G187" s="19">
        <v>0</v>
      </c>
    </row>
    <row r="188" spans="4:7" x14ac:dyDescent="0.3">
      <c r="D188" s="24" t="s">
        <v>237</v>
      </c>
      <c r="E188" s="7">
        <v>0</v>
      </c>
      <c r="F188" s="23">
        <v>0</v>
      </c>
      <c r="G188" s="19">
        <v>0</v>
      </c>
    </row>
    <row r="189" spans="4:7" x14ac:dyDescent="0.3">
      <c r="D189" s="24" t="s">
        <v>237</v>
      </c>
      <c r="E189" s="7">
        <v>0</v>
      </c>
      <c r="F189" s="23">
        <v>0</v>
      </c>
      <c r="G189" s="19">
        <v>0</v>
      </c>
    </row>
    <row r="190" spans="4:7" x14ac:dyDescent="0.3">
      <c r="D190" s="24" t="s">
        <v>237</v>
      </c>
      <c r="E190" s="7">
        <v>0</v>
      </c>
      <c r="F190" s="23">
        <v>0</v>
      </c>
      <c r="G190" s="19">
        <v>0</v>
      </c>
    </row>
    <row r="191" spans="4:7" x14ac:dyDescent="0.3">
      <c r="D191" s="24" t="s">
        <v>237</v>
      </c>
      <c r="E191" s="7">
        <v>0</v>
      </c>
      <c r="F191" s="23">
        <v>0</v>
      </c>
      <c r="G191" s="19">
        <v>0</v>
      </c>
    </row>
    <row r="192" spans="4:7" x14ac:dyDescent="0.3">
      <c r="D192" s="24" t="s">
        <v>237</v>
      </c>
      <c r="E192" s="7">
        <v>0</v>
      </c>
      <c r="F192" s="23">
        <v>0</v>
      </c>
      <c r="G192" s="19">
        <v>0</v>
      </c>
    </row>
    <row r="193" spans="4:7" x14ac:dyDescent="0.3">
      <c r="D193" s="24" t="s">
        <v>237</v>
      </c>
      <c r="E193" s="7">
        <v>0</v>
      </c>
      <c r="F193" s="23">
        <v>0</v>
      </c>
      <c r="G193" s="19">
        <v>0</v>
      </c>
    </row>
    <row r="194" spans="4:7" x14ac:dyDescent="0.3">
      <c r="D194" s="24" t="s">
        <v>237</v>
      </c>
      <c r="E194" s="7">
        <v>0</v>
      </c>
      <c r="F194" s="23">
        <v>0</v>
      </c>
      <c r="G194" s="19">
        <v>0</v>
      </c>
    </row>
    <row r="195" spans="4:7" x14ac:dyDescent="0.3">
      <c r="D195" s="24" t="s">
        <v>237</v>
      </c>
      <c r="E195" s="7">
        <v>0</v>
      </c>
      <c r="F195" s="23">
        <v>0</v>
      </c>
      <c r="G195" s="19">
        <v>0</v>
      </c>
    </row>
    <row r="196" spans="4:7" x14ac:dyDescent="0.3">
      <c r="D196" s="24" t="s">
        <v>237</v>
      </c>
      <c r="E196" s="7">
        <v>0</v>
      </c>
      <c r="F196" s="23">
        <v>0</v>
      </c>
      <c r="G196" s="19">
        <v>0</v>
      </c>
    </row>
    <row r="197" spans="4:7" x14ac:dyDescent="0.3">
      <c r="D197" s="24" t="s">
        <v>237</v>
      </c>
      <c r="E197" s="7">
        <v>0</v>
      </c>
      <c r="F197" s="23">
        <v>0</v>
      </c>
      <c r="G197" s="19">
        <v>0</v>
      </c>
    </row>
    <row r="198" spans="4:7" x14ac:dyDescent="0.3">
      <c r="D198" s="24" t="s">
        <v>237</v>
      </c>
      <c r="E198" s="7">
        <v>0</v>
      </c>
      <c r="F198" s="23">
        <v>0</v>
      </c>
      <c r="G198" s="19">
        <v>0</v>
      </c>
    </row>
    <row r="199" spans="4:7" x14ac:dyDescent="0.3">
      <c r="D199" s="24" t="s">
        <v>237</v>
      </c>
      <c r="E199" s="7">
        <v>0</v>
      </c>
      <c r="F199" s="23">
        <v>0</v>
      </c>
      <c r="G199" s="19">
        <v>0</v>
      </c>
    </row>
    <row r="200" spans="4:7" x14ac:dyDescent="0.3">
      <c r="D200" s="24" t="s">
        <v>237</v>
      </c>
      <c r="E200" s="7">
        <v>0</v>
      </c>
      <c r="F200" s="23">
        <v>0</v>
      </c>
      <c r="G200" s="19">
        <v>0</v>
      </c>
    </row>
    <row r="201" spans="4:7" x14ac:dyDescent="0.3">
      <c r="D201" s="24" t="s">
        <v>237</v>
      </c>
      <c r="E201" s="7">
        <v>0</v>
      </c>
      <c r="F201" s="23">
        <v>0</v>
      </c>
      <c r="G201" s="19">
        <v>0</v>
      </c>
    </row>
    <row r="202" spans="4:7" x14ac:dyDescent="0.3">
      <c r="D202" s="24" t="s">
        <v>237</v>
      </c>
      <c r="E202" s="7">
        <v>0</v>
      </c>
      <c r="F202" s="23">
        <v>0</v>
      </c>
      <c r="G202" s="19">
        <v>0</v>
      </c>
    </row>
    <row r="203" spans="4:7" x14ac:dyDescent="0.3">
      <c r="D203" s="24" t="s">
        <v>237</v>
      </c>
      <c r="E203" s="7">
        <v>0</v>
      </c>
      <c r="F203" s="23">
        <v>0</v>
      </c>
      <c r="G203" s="19">
        <v>0</v>
      </c>
    </row>
    <row r="204" spans="4:7" x14ac:dyDescent="0.3">
      <c r="D204" s="24" t="s">
        <v>237</v>
      </c>
      <c r="E204" s="7">
        <v>0</v>
      </c>
      <c r="F204" s="23">
        <v>0</v>
      </c>
      <c r="G204" s="19">
        <v>0</v>
      </c>
    </row>
    <row r="205" spans="4:7" x14ac:dyDescent="0.3">
      <c r="D205" s="24" t="s">
        <v>237</v>
      </c>
      <c r="E205" s="7">
        <v>0</v>
      </c>
      <c r="F205" s="23">
        <v>0</v>
      </c>
      <c r="G205" s="19">
        <v>0</v>
      </c>
    </row>
    <row r="206" spans="4:7" x14ac:dyDescent="0.3">
      <c r="D206" s="24" t="s">
        <v>237</v>
      </c>
      <c r="E206" s="7">
        <v>0</v>
      </c>
      <c r="F206" s="23">
        <v>0</v>
      </c>
      <c r="G206" s="19">
        <v>0</v>
      </c>
    </row>
    <row r="207" spans="4:7" x14ac:dyDescent="0.3">
      <c r="D207" s="24" t="s">
        <v>237</v>
      </c>
      <c r="E207" s="7">
        <v>0</v>
      </c>
      <c r="F207" s="23">
        <v>0</v>
      </c>
      <c r="G207" s="19">
        <v>0</v>
      </c>
    </row>
    <row r="208" spans="4:7" x14ac:dyDescent="0.3">
      <c r="D208" s="24" t="s">
        <v>237</v>
      </c>
      <c r="E208" s="7">
        <v>0</v>
      </c>
      <c r="F208" s="23">
        <v>0</v>
      </c>
      <c r="G208" s="19">
        <v>0</v>
      </c>
    </row>
    <row r="209" spans="4:7" x14ac:dyDescent="0.3">
      <c r="D209" s="24" t="s">
        <v>237</v>
      </c>
      <c r="E209" s="7">
        <v>0</v>
      </c>
      <c r="F209" s="23">
        <v>0</v>
      </c>
      <c r="G209" s="19">
        <v>0</v>
      </c>
    </row>
    <row r="210" spans="4:7" x14ac:dyDescent="0.3">
      <c r="D210" s="24" t="s">
        <v>237</v>
      </c>
      <c r="E210" s="7">
        <v>0</v>
      </c>
      <c r="F210" s="23">
        <v>0</v>
      </c>
      <c r="G210" s="19">
        <v>0</v>
      </c>
    </row>
    <row r="211" spans="4:7" x14ac:dyDescent="0.3">
      <c r="D211" s="24" t="s">
        <v>237</v>
      </c>
      <c r="E211" s="7">
        <v>0</v>
      </c>
      <c r="F211" s="23">
        <v>0</v>
      </c>
      <c r="G211" s="19">
        <v>0</v>
      </c>
    </row>
    <row r="212" spans="4:7" x14ac:dyDescent="0.3">
      <c r="D212" s="24" t="s">
        <v>237</v>
      </c>
      <c r="E212" s="7">
        <v>0</v>
      </c>
      <c r="F212" s="23">
        <v>0</v>
      </c>
      <c r="G212" s="19">
        <v>0</v>
      </c>
    </row>
    <row r="213" spans="4:7" x14ac:dyDescent="0.3">
      <c r="D213" s="24" t="s">
        <v>237</v>
      </c>
      <c r="E213" s="7">
        <v>0</v>
      </c>
      <c r="F213" s="23">
        <v>0</v>
      </c>
      <c r="G213" s="19">
        <v>0</v>
      </c>
    </row>
    <row r="214" spans="4:7" x14ac:dyDescent="0.3">
      <c r="D214" s="24" t="s">
        <v>237</v>
      </c>
      <c r="E214" s="7">
        <v>0</v>
      </c>
      <c r="F214" s="23">
        <v>0</v>
      </c>
      <c r="G214" s="19">
        <v>0</v>
      </c>
    </row>
    <row r="215" spans="4:7" x14ac:dyDescent="0.3">
      <c r="D215" s="24" t="s">
        <v>237</v>
      </c>
      <c r="E215" s="7">
        <v>0</v>
      </c>
      <c r="F215" s="23">
        <v>0</v>
      </c>
      <c r="G215" s="19">
        <v>0</v>
      </c>
    </row>
    <row r="216" spans="4:7" x14ac:dyDescent="0.3">
      <c r="D216" s="24" t="s">
        <v>237</v>
      </c>
      <c r="E216" s="7">
        <v>0</v>
      </c>
      <c r="F216" s="23">
        <v>0</v>
      </c>
      <c r="G216" s="19">
        <v>0</v>
      </c>
    </row>
    <row r="217" spans="4:7" x14ac:dyDescent="0.3">
      <c r="D217" s="24" t="s">
        <v>237</v>
      </c>
      <c r="E217" s="7">
        <v>0</v>
      </c>
      <c r="F217" s="23">
        <v>0</v>
      </c>
      <c r="G217" s="19">
        <v>0</v>
      </c>
    </row>
    <row r="218" spans="4:7" x14ac:dyDescent="0.3">
      <c r="D218" s="24" t="s">
        <v>237</v>
      </c>
      <c r="E218" s="7">
        <v>0</v>
      </c>
      <c r="F218" s="23">
        <v>0</v>
      </c>
      <c r="G218" s="19">
        <v>0</v>
      </c>
    </row>
    <row r="219" spans="4:7" x14ac:dyDescent="0.3">
      <c r="D219" s="24" t="s">
        <v>237</v>
      </c>
      <c r="E219" s="7">
        <v>0</v>
      </c>
      <c r="F219" s="23">
        <v>0</v>
      </c>
      <c r="G219" s="19">
        <v>0</v>
      </c>
    </row>
    <row r="220" spans="4:7" x14ac:dyDescent="0.3">
      <c r="D220" s="24" t="s">
        <v>237</v>
      </c>
      <c r="E220" s="7">
        <v>0</v>
      </c>
      <c r="F220" s="23">
        <v>0</v>
      </c>
      <c r="G220" s="19">
        <v>0</v>
      </c>
    </row>
    <row r="221" spans="4:7" x14ac:dyDescent="0.3">
      <c r="D221" s="24" t="s">
        <v>237</v>
      </c>
      <c r="E221" s="7">
        <v>0</v>
      </c>
      <c r="F221" s="23">
        <v>0</v>
      </c>
      <c r="G221" s="19">
        <v>0</v>
      </c>
    </row>
    <row r="222" spans="4:7" x14ac:dyDescent="0.3">
      <c r="D222" s="24" t="s">
        <v>237</v>
      </c>
      <c r="E222" s="7">
        <v>0</v>
      </c>
      <c r="F222" s="23">
        <v>0</v>
      </c>
      <c r="G222" s="19">
        <v>0</v>
      </c>
    </row>
    <row r="223" spans="4:7" x14ac:dyDescent="0.3">
      <c r="D223" s="24" t="s">
        <v>237</v>
      </c>
      <c r="E223" s="7">
        <v>0</v>
      </c>
      <c r="F223" s="23">
        <v>0</v>
      </c>
      <c r="G223" s="19">
        <v>0</v>
      </c>
    </row>
    <row r="224" spans="4:7" x14ac:dyDescent="0.3">
      <c r="D224" s="24" t="s">
        <v>237</v>
      </c>
      <c r="E224" s="7">
        <v>0</v>
      </c>
      <c r="F224" s="23">
        <v>0</v>
      </c>
      <c r="G224" s="19">
        <v>0</v>
      </c>
    </row>
    <row r="225" spans="4:7" x14ac:dyDescent="0.3">
      <c r="D225" s="24" t="s">
        <v>237</v>
      </c>
      <c r="E225" s="7">
        <v>0</v>
      </c>
      <c r="F225" s="23">
        <v>0</v>
      </c>
      <c r="G225" s="19">
        <v>0</v>
      </c>
    </row>
    <row r="226" spans="4:7" x14ac:dyDescent="0.3">
      <c r="D226" s="24" t="s">
        <v>237</v>
      </c>
      <c r="E226" s="7">
        <v>0</v>
      </c>
      <c r="F226" s="23">
        <v>0</v>
      </c>
      <c r="G226" s="19">
        <v>0</v>
      </c>
    </row>
    <row r="227" spans="4:7" x14ac:dyDescent="0.3">
      <c r="D227" s="24" t="s">
        <v>237</v>
      </c>
      <c r="E227" s="7">
        <v>0</v>
      </c>
      <c r="F227" s="23">
        <v>0</v>
      </c>
      <c r="G227" s="19">
        <v>0</v>
      </c>
    </row>
    <row r="228" spans="4:7" x14ac:dyDescent="0.3">
      <c r="D228" s="24" t="s">
        <v>237</v>
      </c>
      <c r="E228" s="7">
        <v>0</v>
      </c>
      <c r="F228" s="23">
        <v>0</v>
      </c>
      <c r="G228" s="19">
        <v>0</v>
      </c>
    </row>
    <row r="229" spans="4:7" x14ac:dyDescent="0.3">
      <c r="D229" s="24" t="s">
        <v>237</v>
      </c>
      <c r="E229" s="7">
        <v>0</v>
      </c>
      <c r="F229" s="23">
        <v>0</v>
      </c>
      <c r="G229" s="19">
        <v>0</v>
      </c>
    </row>
    <row r="230" spans="4:7" x14ac:dyDescent="0.3">
      <c r="D230" s="24" t="s">
        <v>237</v>
      </c>
      <c r="E230" s="7">
        <v>0</v>
      </c>
      <c r="F230" s="23">
        <v>0</v>
      </c>
      <c r="G230" s="19">
        <v>0</v>
      </c>
    </row>
    <row r="231" spans="4:7" x14ac:dyDescent="0.3">
      <c r="D231" s="24" t="s">
        <v>237</v>
      </c>
      <c r="E231" s="7">
        <v>0</v>
      </c>
      <c r="F231" s="23">
        <v>0</v>
      </c>
      <c r="G231" s="19">
        <v>0</v>
      </c>
    </row>
    <row r="232" spans="4:7" x14ac:dyDescent="0.3">
      <c r="D232" s="24" t="s">
        <v>237</v>
      </c>
      <c r="E232" s="7">
        <v>0</v>
      </c>
      <c r="F232" s="23">
        <v>0</v>
      </c>
      <c r="G232" s="19">
        <v>0</v>
      </c>
    </row>
    <row r="233" spans="4:7" x14ac:dyDescent="0.3">
      <c r="D233" s="24" t="s">
        <v>237</v>
      </c>
      <c r="E233" s="7">
        <v>0</v>
      </c>
      <c r="F233" s="23">
        <v>0</v>
      </c>
      <c r="G233" s="19">
        <v>0</v>
      </c>
    </row>
    <row r="234" spans="4:7" x14ac:dyDescent="0.3">
      <c r="D234" s="24" t="s">
        <v>237</v>
      </c>
      <c r="E234" s="7">
        <v>0</v>
      </c>
      <c r="F234" s="23">
        <v>0</v>
      </c>
      <c r="G234" s="19">
        <v>0</v>
      </c>
    </row>
    <row r="235" spans="4:7" x14ac:dyDescent="0.3">
      <c r="D235" s="24" t="s">
        <v>237</v>
      </c>
      <c r="E235" s="7">
        <v>0</v>
      </c>
      <c r="F235" s="23">
        <v>0</v>
      </c>
      <c r="G235" s="19">
        <v>0</v>
      </c>
    </row>
    <row r="236" spans="4:7" x14ac:dyDescent="0.3">
      <c r="D236" s="24" t="s">
        <v>237</v>
      </c>
      <c r="E236" s="7">
        <v>0</v>
      </c>
      <c r="F236" s="23">
        <v>0</v>
      </c>
      <c r="G236" s="19">
        <v>0</v>
      </c>
    </row>
    <row r="237" spans="4:7" x14ac:dyDescent="0.3">
      <c r="D237" s="24" t="s">
        <v>237</v>
      </c>
      <c r="E237" s="7">
        <v>0</v>
      </c>
      <c r="F237" s="23">
        <v>0</v>
      </c>
      <c r="G237" s="19">
        <v>0</v>
      </c>
    </row>
    <row r="238" spans="4:7" x14ac:dyDescent="0.3">
      <c r="D238" s="24" t="s">
        <v>237</v>
      </c>
      <c r="E238" s="7">
        <v>0</v>
      </c>
      <c r="F238" s="23">
        <v>0</v>
      </c>
      <c r="G238" s="19">
        <v>0</v>
      </c>
    </row>
    <row r="239" spans="4:7" x14ac:dyDescent="0.3">
      <c r="D239" s="24" t="s">
        <v>237</v>
      </c>
      <c r="E239" s="7">
        <v>0</v>
      </c>
      <c r="F239" s="23">
        <v>0</v>
      </c>
      <c r="G239" s="19">
        <v>0</v>
      </c>
    </row>
    <row r="240" spans="4:7" x14ac:dyDescent="0.3">
      <c r="D240" s="24" t="s">
        <v>237</v>
      </c>
      <c r="E240" s="7">
        <v>0</v>
      </c>
      <c r="F240" s="23">
        <v>0</v>
      </c>
      <c r="G240" s="19">
        <v>0</v>
      </c>
    </row>
    <row r="241" spans="4:7" x14ac:dyDescent="0.3">
      <c r="D241" s="24" t="s">
        <v>237</v>
      </c>
      <c r="E241" s="7">
        <v>0</v>
      </c>
      <c r="F241" s="23">
        <v>0</v>
      </c>
      <c r="G241" s="19">
        <v>0</v>
      </c>
    </row>
    <row r="242" spans="4:7" x14ac:dyDescent="0.3">
      <c r="D242" s="24" t="s">
        <v>237</v>
      </c>
      <c r="E242" s="7">
        <v>0</v>
      </c>
      <c r="F242" s="23">
        <v>0</v>
      </c>
      <c r="G242" s="19">
        <v>0</v>
      </c>
    </row>
    <row r="243" spans="4:7" x14ac:dyDescent="0.3">
      <c r="D243" s="24" t="s">
        <v>237</v>
      </c>
      <c r="E243" s="7">
        <v>0</v>
      </c>
      <c r="F243" s="23">
        <v>0</v>
      </c>
      <c r="G243" s="19">
        <v>0</v>
      </c>
    </row>
    <row r="244" spans="4:7" x14ac:dyDescent="0.3">
      <c r="D244" s="24" t="s">
        <v>237</v>
      </c>
      <c r="E244" s="7">
        <v>0</v>
      </c>
      <c r="F244" s="23">
        <v>0</v>
      </c>
      <c r="G244" s="19">
        <v>0</v>
      </c>
    </row>
    <row r="245" spans="4:7" x14ac:dyDescent="0.3">
      <c r="D245" s="24" t="s">
        <v>237</v>
      </c>
      <c r="E245" s="7">
        <v>0</v>
      </c>
      <c r="F245" s="23">
        <v>0</v>
      </c>
      <c r="G245" s="19">
        <v>0</v>
      </c>
    </row>
    <row r="246" spans="4:7" x14ac:dyDescent="0.3">
      <c r="D246" s="24" t="s">
        <v>237</v>
      </c>
      <c r="E246" s="7">
        <v>0</v>
      </c>
      <c r="F246" s="23">
        <v>0</v>
      </c>
      <c r="G246" s="19">
        <v>0</v>
      </c>
    </row>
    <row r="247" spans="4:7" x14ac:dyDescent="0.3">
      <c r="D247" s="24" t="s">
        <v>237</v>
      </c>
      <c r="E247" s="7">
        <v>0</v>
      </c>
      <c r="F247" s="23">
        <v>0</v>
      </c>
      <c r="G247" s="19">
        <v>0</v>
      </c>
    </row>
    <row r="248" spans="4:7" x14ac:dyDescent="0.3">
      <c r="D248" s="24" t="s">
        <v>237</v>
      </c>
      <c r="E248" s="7">
        <v>0</v>
      </c>
      <c r="F248" s="23">
        <v>0</v>
      </c>
      <c r="G248" s="19">
        <v>0</v>
      </c>
    </row>
    <row r="249" spans="4:7" x14ac:dyDescent="0.3">
      <c r="D249" s="24" t="s">
        <v>237</v>
      </c>
      <c r="E249" s="7">
        <v>0</v>
      </c>
      <c r="F249" s="23">
        <v>0</v>
      </c>
      <c r="G249" s="19">
        <v>0</v>
      </c>
    </row>
    <row r="250" spans="4:7" x14ac:dyDescent="0.3">
      <c r="D250" s="24" t="s">
        <v>237</v>
      </c>
      <c r="E250" s="7">
        <v>0</v>
      </c>
      <c r="F250" s="23">
        <v>0</v>
      </c>
      <c r="G250" s="19">
        <v>0</v>
      </c>
    </row>
    <row r="251" spans="4:7" x14ac:dyDescent="0.3">
      <c r="D251" s="24" t="s">
        <v>237</v>
      </c>
      <c r="E251" s="7">
        <v>0</v>
      </c>
      <c r="F251" s="23">
        <v>0</v>
      </c>
      <c r="G251" s="19">
        <v>0</v>
      </c>
    </row>
    <row r="252" spans="4:7" x14ac:dyDescent="0.3">
      <c r="D252" s="24" t="s">
        <v>237</v>
      </c>
      <c r="E252" s="7">
        <v>0</v>
      </c>
      <c r="F252" s="23">
        <v>0</v>
      </c>
      <c r="G252" s="19">
        <v>0</v>
      </c>
    </row>
    <row r="253" spans="4:7" x14ac:dyDescent="0.3">
      <c r="D253" s="24" t="s">
        <v>237</v>
      </c>
      <c r="E253" s="7">
        <v>0</v>
      </c>
      <c r="F253" s="23">
        <v>0</v>
      </c>
      <c r="G253" s="19">
        <v>0</v>
      </c>
    </row>
    <row r="254" spans="4:7" x14ac:dyDescent="0.3">
      <c r="D254" s="24" t="s">
        <v>237</v>
      </c>
      <c r="E254" s="7">
        <v>0</v>
      </c>
      <c r="F254" s="23">
        <v>0</v>
      </c>
      <c r="G254" s="19">
        <v>0</v>
      </c>
    </row>
    <row r="255" spans="4:7" x14ac:dyDescent="0.3">
      <c r="D255" s="24" t="s">
        <v>237</v>
      </c>
      <c r="E255" s="7">
        <v>0</v>
      </c>
      <c r="F255" s="23">
        <v>0</v>
      </c>
      <c r="G255" s="19">
        <v>0</v>
      </c>
    </row>
    <row r="256" spans="4:7" x14ac:dyDescent="0.3">
      <c r="D256" s="24" t="s">
        <v>237</v>
      </c>
      <c r="E256" s="7">
        <v>0</v>
      </c>
      <c r="F256" s="23">
        <v>0</v>
      </c>
      <c r="G256" s="19">
        <v>0</v>
      </c>
    </row>
    <row r="257" spans="4:7" x14ac:dyDescent="0.3">
      <c r="D257" s="24" t="s">
        <v>237</v>
      </c>
      <c r="E257" s="7">
        <v>0</v>
      </c>
      <c r="F257" s="23">
        <v>0</v>
      </c>
      <c r="G257" s="19">
        <v>0</v>
      </c>
    </row>
    <row r="258" spans="4:7" x14ac:dyDescent="0.3">
      <c r="D258" s="24" t="s">
        <v>237</v>
      </c>
      <c r="E258" s="7">
        <v>0</v>
      </c>
      <c r="F258" s="23">
        <v>0</v>
      </c>
      <c r="G258" s="19">
        <v>0</v>
      </c>
    </row>
    <row r="259" spans="4:7" x14ac:dyDescent="0.3">
      <c r="D259" s="24" t="s">
        <v>237</v>
      </c>
      <c r="E259" s="7">
        <v>0</v>
      </c>
      <c r="F259" s="23">
        <v>0</v>
      </c>
      <c r="G259" s="19">
        <v>0</v>
      </c>
    </row>
    <row r="260" spans="4:7" x14ac:dyDescent="0.3">
      <c r="D260" s="24" t="s">
        <v>237</v>
      </c>
      <c r="E260" s="7">
        <v>0</v>
      </c>
      <c r="F260" s="23">
        <v>0</v>
      </c>
      <c r="G260" s="19">
        <v>0</v>
      </c>
    </row>
    <row r="261" spans="4:7" x14ac:dyDescent="0.3">
      <c r="D261" s="24" t="s">
        <v>237</v>
      </c>
      <c r="E261" s="7">
        <v>0</v>
      </c>
      <c r="F261" s="23">
        <v>0</v>
      </c>
      <c r="G261" s="19">
        <v>0</v>
      </c>
    </row>
    <row r="262" spans="4:7" x14ac:dyDescent="0.3">
      <c r="D262" s="24" t="s">
        <v>237</v>
      </c>
      <c r="E262" s="7">
        <v>0</v>
      </c>
      <c r="F262" s="23">
        <v>0</v>
      </c>
      <c r="G262" s="19">
        <v>0</v>
      </c>
    </row>
    <row r="263" spans="4:7" x14ac:dyDescent="0.3">
      <c r="D263" s="24" t="s">
        <v>237</v>
      </c>
      <c r="E263" s="7">
        <v>0</v>
      </c>
      <c r="F263" s="23">
        <v>0</v>
      </c>
      <c r="G263" s="19">
        <v>0</v>
      </c>
    </row>
    <row r="264" spans="4:7" x14ac:dyDescent="0.3">
      <c r="D264" s="24" t="s">
        <v>237</v>
      </c>
      <c r="E264" s="7">
        <v>0</v>
      </c>
      <c r="F264" s="23">
        <v>0</v>
      </c>
      <c r="G264" s="19">
        <v>0</v>
      </c>
    </row>
    <row r="265" spans="4:7" x14ac:dyDescent="0.3">
      <c r="D265" s="24" t="s">
        <v>237</v>
      </c>
      <c r="E265" s="7">
        <v>0</v>
      </c>
      <c r="F265" s="23">
        <v>0</v>
      </c>
      <c r="G265" s="19">
        <v>0</v>
      </c>
    </row>
    <row r="266" spans="4:7" x14ac:dyDescent="0.3">
      <c r="D266" s="24" t="s">
        <v>237</v>
      </c>
      <c r="E266" s="7">
        <v>0</v>
      </c>
      <c r="F266" s="23">
        <v>0</v>
      </c>
      <c r="G266" s="19">
        <v>0</v>
      </c>
    </row>
    <row r="267" spans="4:7" x14ac:dyDescent="0.3">
      <c r="D267" s="24" t="s">
        <v>237</v>
      </c>
      <c r="E267" s="7">
        <v>0</v>
      </c>
      <c r="F267" s="23">
        <v>0</v>
      </c>
      <c r="G267" s="19">
        <v>0</v>
      </c>
    </row>
    <row r="268" spans="4:7" x14ac:dyDescent="0.3">
      <c r="D268" s="24" t="s">
        <v>237</v>
      </c>
      <c r="E268" s="7">
        <v>0</v>
      </c>
      <c r="F268" s="23">
        <v>0</v>
      </c>
      <c r="G268" s="19">
        <v>0</v>
      </c>
    </row>
    <row r="269" spans="4:7" x14ac:dyDescent="0.3">
      <c r="D269" s="24" t="s">
        <v>237</v>
      </c>
      <c r="E269" s="7">
        <v>0</v>
      </c>
      <c r="F269" s="23">
        <v>0</v>
      </c>
      <c r="G269" s="19">
        <v>0</v>
      </c>
    </row>
    <row r="270" spans="4:7" x14ac:dyDescent="0.3">
      <c r="D270" s="24" t="s">
        <v>237</v>
      </c>
      <c r="E270" s="7">
        <v>0</v>
      </c>
      <c r="F270" s="23">
        <v>0</v>
      </c>
      <c r="G270" s="19">
        <v>0</v>
      </c>
    </row>
    <row r="271" spans="4:7" x14ac:dyDescent="0.3">
      <c r="D271" s="24" t="s">
        <v>237</v>
      </c>
      <c r="E271" s="7">
        <v>0</v>
      </c>
      <c r="F271" s="23">
        <v>0</v>
      </c>
      <c r="G271" s="19">
        <v>0</v>
      </c>
    </row>
    <row r="272" spans="4:7" x14ac:dyDescent="0.3">
      <c r="D272" s="24" t="s">
        <v>237</v>
      </c>
      <c r="E272" s="7">
        <v>0</v>
      </c>
      <c r="F272" s="23">
        <v>0</v>
      </c>
      <c r="G272" s="19">
        <v>0</v>
      </c>
    </row>
    <row r="273" spans="4:7" x14ac:dyDescent="0.3">
      <c r="D273" s="24" t="s">
        <v>237</v>
      </c>
      <c r="E273" s="7">
        <v>0</v>
      </c>
      <c r="F273" s="23">
        <v>0</v>
      </c>
      <c r="G273" s="19">
        <v>0</v>
      </c>
    </row>
    <row r="274" spans="4:7" x14ac:dyDescent="0.3">
      <c r="D274" s="24" t="s">
        <v>237</v>
      </c>
      <c r="E274" s="7">
        <v>0</v>
      </c>
      <c r="F274" s="23">
        <v>0</v>
      </c>
      <c r="G274" s="19">
        <v>0</v>
      </c>
    </row>
    <row r="275" spans="4:7" x14ac:dyDescent="0.3">
      <c r="D275" s="24" t="s">
        <v>237</v>
      </c>
      <c r="E275" s="7">
        <v>0</v>
      </c>
      <c r="F275" s="23">
        <v>0</v>
      </c>
      <c r="G275" s="19">
        <v>0</v>
      </c>
    </row>
    <row r="276" spans="4:7" x14ac:dyDescent="0.3">
      <c r="D276" s="24" t="s">
        <v>237</v>
      </c>
      <c r="E276" s="7">
        <v>0</v>
      </c>
      <c r="F276" s="23">
        <v>0</v>
      </c>
      <c r="G276" s="19">
        <v>0</v>
      </c>
    </row>
    <row r="277" spans="4:7" x14ac:dyDescent="0.3">
      <c r="D277" s="24" t="s">
        <v>237</v>
      </c>
      <c r="E277" s="7">
        <v>0</v>
      </c>
      <c r="F277" s="23">
        <v>0</v>
      </c>
      <c r="G277" s="19">
        <v>0</v>
      </c>
    </row>
    <row r="278" spans="4:7" x14ac:dyDescent="0.3">
      <c r="D278" s="24" t="s">
        <v>237</v>
      </c>
      <c r="E278" s="7">
        <v>0</v>
      </c>
      <c r="F278" s="23">
        <v>0</v>
      </c>
      <c r="G278" s="19">
        <v>0</v>
      </c>
    </row>
    <row r="279" spans="4:7" x14ac:dyDescent="0.3">
      <c r="D279" s="24" t="s">
        <v>237</v>
      </c>
      <c r="E279" s="7">
        <v>0</v>
      </c>
      <c r="F279" s="23">
        <v>0</v>
      </c>
      <c r="G279" s="19">
        <v>0</v>
      </c>
    </row>
    <row r="280" spans="4:7" x14ac:dyDescent="0.3">
      <c r="D280" s="24" t="s">
        <v>237</v>
      </c>
      <c r="E280" s="7">
        <v>0</v>
      </c>
      <c r="F280" s="23">
        <v>0</v>
      </c>
      <c r="G280" s="19">
        <v>0</v>
      </c>
    </row>
    <row r="281" spans="4:7" x14ac:dyDescent="0.3">
      <c r="D281" s="24" t="s">
        <v>237</v>
      </c>
      <c r="E281" s="7">
        <v>0</v>
      </c>
      <c r="F281" s="23">
        <v>0</v>
      </c>
      <c r="G281" s="19">
        <v>0</v>
      </c>
    </row>
    <row r="282" spans="4:7" x14ac:dyDescent="0.3">
      <c r="D282" s="24" t="s">
        <v>237</v>
      </c>
      <c r="E282" s="7">
        <v>0</v>
      </c>
      <c r="F282" s="23">
        <v>0</v>
      </c>
      <c r="G282" s="19">
        <v>0</v>
      </c>
    </row>
    <row r="283" spans="4:7" x14ac:dyDescent="0.3">
      <c r="D283" s="24" t="s">
        <v>237</v>
      </c>
      <c r="E283" s="7">
        <v>0</v>
      </c>
      <c r="F283" s="23">
        <v>0</v>
      </c>
      <c r="G283" s="19">
        <v>0</v>
      </c>
    </row>
    <row r="284" spans="4:7" x14ac:dyDescent="0.3">
      <c r="D284" s="24" t="s">
        <v>237</v>
      </c>
      <c r="E284" s="7">
        <v>0</v>
      </c>
      <c r="F284" s="23">
        <v>0</v>
      </c>
      <c r="G284" s="19">
        <v>0</v>
      </c>
    </row>
    <row r="285" spans="4:7" x14ac:dyDescent="0.3">
      <c r="D285" s="24" t="s">
        <v>237</v>
      </c>
      <c r="E285" s="7">
        <v>0</v>
      </c>
      <c r="F285" s="23">
        <v>0</v>
      </c>
      <c r="G285" s="19">
        <v>0</v>
      </c>
    </row>
    <row r="286" spans="4:7" x14ac:dyDescent="0.3">
      <c r="D286" s="24" t="s">
        <v>237</v>
      </c>
      <c r="E286" s="7">
        <v>0</v>
      </c>
      <c r="F286" s="23">
        <v>0</v>
      </c>
      <c r="G286" s="19">
        <v>0</v>
      </c>
    </row>
    <row r="287" spans="4:7" x14ac:dyDescent="0.3">
      <c r="D287" s="24" t="s">
        <v>237</v>
      </c>
      <c r="E287" s="7">
        <v>0</v>
      </c>
      <c r="F287" s="23">
        <v>0</v>
      </c>
      <c r="G287" s="19">
        <v>0</v>
      </c>
    </row>
    <row r="288" spans="4:7" x14ac:dyDescent="0.3">
      <c r="D288" s="24" t="s">
        <v>237</v>
      </c>
      <c r="E288" s="7">
        <v>0</v>
      </c>
      <c r="F288" s="23">
        <v>0</v>
      </c>
      <c r="G288" s="19">
        <v>0</v>
      </c>
    </row>
    <row r="289" spans="4:7" x14ac:dyDescent="0.3">
      <c r="D289" s="24" t="s">
        <v>237</v>
      </c>
      <c r="E289" s="7">
        <v>0</v>
      </c>
      <c r="F289" s="23">
        <v>0</v>
      </c>
      <c r="G289" s="19">
        <v>0</v>
      </c>
    </row>
    <row r="290" spans="4:7" x14ac:dyDescent="0.3">
      <c r="D290" s="24" t="s">
        <v>237</v>
      </c>
      <c r="E290" s="7">
        <v>0</v>
      </c>
      <c r="F290" s="23">
        <v>0</v>
      </c>
      <c r="G290" s="19">
        <v>0</v>
      </c>
    </row>
    <row r="291" spans="4:7" x14ac:dyDescent="0.3">
      <c r="D291" s="24" t="s">
        <v>237</v>
      </c>
      <c r="E291" s="7">
        <v>0</v>
      </c>
      <c r="F291" s="23">
        <v>0</v>
      </c>
      <c r="G291" s="19">
        <v>0</v>
      </c>
    </row>
    <row r="292" spans="4:7" x14ac:dyDescent="0.3">
      <c r="D292" s="24" t="s">
        <v>237</v>
      </c>
      <c r="E292" s="7">
        <v>0</v>
      </c>
      <c r="F292" s="23">
        <v>0</v>
      </c>
      <c r="G292" s="19">
        <v>0</v>
      </c>
    </row>
    <row r="293" spans="4:7" x14ac:dyDescent="0.3">
      <c r="D293" s="24" t="s">
        <v>237</v>
      </c>
      <c r="E293" s="7">
        <v>0</v>
      </c>
      <c r="F293" s="23">
        <v>0</v>
      </c>
      <c r="G293" s="19">
        <v>0</v>
      </c>
    </row>
    <row r="294" spans="4:7" x14ac:dyDescent="0.3">
      <c r="D294" s="24" t="s">
        <v>237</v>
      </c>
      <c r="E294" s="7">
        <v>0</v>
      </c>
      <c r="F294" s="23">
        <v>0</v>
      </c>
      <c r="G294" s="19">
        <v>0</v>
      </c>
    </row>
    <row r="295" spans="4:7" x14ac:dyDescent="0.3">
      <c r="D295" s="24" t="s">
        <v>237</v>
      </c>
      <c r="E295" s="7">
        <v>0</v>
      </c>
      <c r="F295" s="23">
        <v>0</v>
      </c>
      <c r="G295" s="19">
        <v>0</v>
      </c>
    </row>
    <row r="296" spans="4:7" x14ac:dyDescent="0.3">
      <c r="D296" s="24" t="s">
        <v>237</v>
      </c>
      <c r="E296" s="7">
        <v>0</v>
      </c>
      <c r="F296" s="23">
        <v>0</v>
      </c>
      <c r="G296" s="19">
        <v>0</v>
      </c>
    </row>
    <row r="297" spans="4:7" x14ac:dyDescent="0.3">
      <c r="D297" s="24" t="s">
        <v>237</v>
      </c>
      <c r="E297" s="7">
        <v>0</v>
      </c>
      <c r="F297" s="23">
        <v>0</v>
      </c>
      <c r="G297" s="19">
        <v>0</v>
      </c>
    </row>
    <row r="298" spans="4:7" x14ac:dyDescent="0.3">
      <c r="D298" s="24" t="s">
        <v>237</v>
      </c>
      <c r="E298" s="7">
        <v>0</v>
      </c>
      <c r="F298" s="23">
        <v>0</v>
      </c>
      <c r="G298" s="19">
        <v>0</v>
      </c>
    </row>
    <row r="299" spans="4:7" x14ac:dyDescent="0.3">
      <c r="D299" s="24" t="s">
        <v>237</v>
      </c>
      <c r="E299" s="7">
        <v>0</v>
      </c>
      <c r="F299" s="23">
        <v>0</v>
      </c>
      <c r="G299" s="19">
        <v>0</v>
      </c>
    </row>
    <row r="300" spans="4:7" x14ac:dyDescent="0.3">
      <c r="D300" s="24" t="s">
        <v>237</v>
      </c>
      <c r="E300" s="7">
        <v>0</v>
      </c>
      <c r="F300" s="23">
        <v>0</v>
      </c>
      <c r="G300" s="19">
        <v>0</v>
      </c>
    </row>
    <row r="301" spans="4:7" x14ac:dyDescent="0.3">
      <c r="D301" s="24" t="s">
        <v>237</v>
      </c>
      <c r="E301" s="7">
        <v>0</v>
      </c>
      <c r="F301" s="23">
        <v>0</v>
      </c>
      <c r="G301" s="19">
        <v>0</v>
      </c>
    </row>
    <row r="302" spans="4:7" x14ac:dyDescent="0.3">
      <c r="D302" s="24" t="s">
        <v>237</v>
      </c>
      <c r="E302" s="7">
        <v>0</v>
      </c>
      <c r="F302" s="23">
        <v>0</v>
      </c>
      <c r="G302" s="19">
        <v>0</v>
      </c>
    </row>
    <row r="303" spans="4:7" x14ac:dyDescent="0.3">
      <c r="D303" s="24" t="s">
        <v>237</v>
      </c>
      <c r="E303" s="7">
        <v>0</v>
      </c>
      <c r="F303" s="23">
        <v>0</v>
      </c>
      <c r="G303" s="19">
        <v>0</v>
      </c>
    </row>
    <row r="304" spans="4:7" x14ac:dyDescent="0.3">
      <c r="D304" s="24" t="s">
        <v>237</v>
      </c>
      <c r="E304" s="7">
        <v>0</v>
      </c>
      <c r="F304" s="23">
        <v>0</v>
      </c>
      <c r="G304" s="19">
        <v>0</v>
      </c>
    </row>
    <row r="305" spans="4:7" x14ac:dyDescent="0.3">
      <c r="D305" s="24" t="s">
        <v>237</v>
      </c>
      <c r="E305" s="7">
        <v>0</v>
      </c>
      <c r="F305" s="23">
        <v>0</v>
      </c>
      <c r="G305" s="19">
        <v>0</v>
      </c>
    </row>
    <row r="306" spans="4:7" x14ac:dyDescent="0.3">
      <c r="D306" s="24" t="s">
        <v>237</v>
      </c>
      <c r="E306" s="7">
        <v>0</v>
      </c>
      <c r="F306" s="23">
        <v>0</v>
      </c>
      <c r="G306" s="19">
        <v>0</v>
      </c>
    </row>
    <row r="307" spans="4:7" x14ac:dyDescent="0.3">
      <c r="D307" s="24" t="s">
        <v>237</v>
      </c>
      <c r="E307" s="7">
        <v>0</v>
      </c>
      <c r="F307" s="23">
        <v>0</v>
      </c>
      <c r="G307" s="19">
        <v>0</v>
      </c>
    </row>
    <row r="308" spans="4:7" x14ac:dyDescent="0.3">
      <c r="D308" s="24" t="s">
        <v>237</v>
      </c>
      <c r="E308" s="7">
        <v>0</v>
      </c>
      <c r="F308" s="23">
        <v>0</v>
      </c>
      <c r="G308" s="19">
        <v>0</v>
      </c>
    </row>
    <row r="309" spans="4:7" x14ac:dyDescent="0.3">
      <c r="D309" s="24" t="s">
        <v>237</v>
      </c>
      <c r="E309" s="7">
        <v>0</v>
      </c>
      <c r="F309" s="23">
        <v>0</v>
      </c>
      <c r="G309" s="19">
        <v>0</v>
      </c>
    </row>
    <row r="310" spans="4:7" x14ac:dyDescent="0.3">
      <c r="D310" s="24" t="s">
        <v>237</v>
      </c>
      <c r="E310" s="7">
        <v>0</v>
      </c>
      <c r="F310" s="23">
        <v>0</v>
      </c>
      <c r="G310" s="19">
        <v>0</v>
      </c>
    </row>
    <row r="311" spans="4:7" x14ac:dyDescent="0.3">
      <c r="D311" s="24" t="s">
        <v>237</v>
      </c>
      <c r="E311" s="7">
        <v>0</v>
      </c>
      <c r="F311" s="23">
        <v>0</v>
      </c>
      <c r="G311" s="19">
        <v>0</v>
      </c>
    </row>
    <row r="312" spans="4:7" x14ac:dyDescent="0.3">
      <c r="D312" s="24" t="s">
        <v>237</v>
      </c>
      <c r="E312" s="7">
        <v>0</v>
      </c>
      <c r="F312" s="23">
        <v>0</v>
      </c>
      <c r="G312" s="19">
        <v>0</v>
      </c>
    </row>
    <row r="313" spans="4:7" x14ac:dyDescent="0.3">
      <c r="D313" s="24" t="s">
        <v>237</v>
      </c>
      <c r="E313" s="7">
        <v>0</v>
      </c>
      <c r="F313" s="23">
        <v>0</v>
      </c>
      <c r="G313" s="19">
        <v>0</v>
      </c>
    </row>
    <row r="314" spans="4:7" x14ac:dyDescent="0.3">
      <c r="D314" s="24" t="s">
        <v>237</v>
      </c>
      <c r="E314" s="7">
        <v>0</v>
      </c>
      <c r="F314" s="23">
        <v>0</v>
      </c>
      <c r="G314" s="19">
        <v>0</v>
      </c>
    </row>
    <row r="315" spans="4:7" x14ac:dyDescent="0.3">
      <c r="D315" s="24" t="s">
        <v>237</v>
      </c>
      <c r="E315" s="7">
        <v>0</v>
      </c>
      <c r="F315" s="23">
        <v>0</v>
      </c>
      <c r="G315" s="19">
        <v>0</v>
      </c>
    </row>
    <row r="316" spans="4:7" x14ac:dyDescent="0.3">
      <c r="D316" s="24" t="s">
        <v>237</v>
      </c>
      <c r="E316" s="7">
        <v>0</v>
      </c>
      <c r="F316" s="23">
        <v>0</v>
      </c>
      <c r="G316" s="19">
        <v>0</v>
      </c>
    </row>
    <row r="317" spans="4:7" x14ac:dyDescent="0.3">
      <c r="D317" s="24" t="s">
        <v>237</v>
      </c>
      <c r="E317" s="7">
        <v>0</v>
      </c>
      <c r="F317" s="23">
        <v>0</v>
      </c>
      <c r="G317" s="19">
        <v>0</v>
      </c>
    </row>
    <row r="318" spans="4:7" x14ac:dyDescent="0.3">
      <c r="D318" s="24" t="s">
        <v>237</v>
      </c>
      <c r="E318" s="7">
        <v>0</v>
      </c>
      <c r="F318" s="23">
        <v>0</v>
      </c>
      <c r="G318" s="19">
        <v>0</v>
      </c>
    </row>
    <row r="319" spans="4:7" x14ac:dyDescent="0.3">
      <c r="D319" s="24" t="s">
        <v>237</v>
      </c>
      <c r="E319" s="7">
        <v>0</v>
      </c>
      <c r="F319" s="23">
        <v>0</v>
      </c>
      <c r="G319" s="19">
        <v>0</v>
      </c>
    </row>
    <row r="320" spans="4:7" x14ac:dyDescent="0.3">
      <c r="D320" s="24" t="s">
        <v>237</v>
      </c>
      <c r="E320" s="7">
        <v>0</v>
      </c>
      <c r="F320" s="23">
        <v>0</v>
      </c>
      <c r="G320" s="19">
        <v>0</v>
      </c>
    </row>
    <row r="321" spans="4:7" x14ac:dyDescent="0.3">
      <c r="D321" s="24" t="s">
        <v>237</v>
      </c>
      <c r="E321" s="7">
        <v>0</v>
      </c>
      <c r="F321" s="23">
        <v>0</v>
      </c>
      <c r="G321" s="19">
        <v>0</v>
      </c>
    </row>
    <row r="322" spans="4:7" x14ac:dyDescent="0.3">
      <c r="D322" s="24" t="s">
        <v>237</v>
      </c>
      <c r="E322" s="7">
        <v>0</v>
      </c>
      <c r="F322" s="23">
        <v>0</v>
      </c>
      <c r="G322" s="19">
        <v>0</v>
      </c>
    </row>
    <row r="323" spans="4:7" x14ac:dyDescent="0.3">
      <c r="D323" s="24" t="s">
        <v>237</v>
      </c>
      <c r="E323" s="7">
        <v>0</v>
      </c>
      <c r="F323" s="23">
        <v>0</v>
      </c>
      <c r="G323" s="19">
        <v>0</v>
      </c>
    </row>
    <row r="324" spans="4:7" x14ac:dyDescent="0.3">
      <c r="D324" s="24" t="s">
        <v>237</v>
      </c>
      <c r="E324" s="7">
        <v>0</v>
      </c>
      <c r="F324" s="23">
        <v>0</v>
      </c>
      <c r="G324" s="19">
        <v>0</v>
      </c>
    </row>
    <row r="325" spans="4:7" x14ac:dyDescent="0.3">
      <c r="D325" s="24" t="s">
        <v>237</v>
      </c>
      <c r="E325" s="7">
        <v>0</v>
      </c>
      <c r="F325" s="23">
        <v>0</v>
      </c>
      <c r="G325" s="19">
        <v>0</v>
      </c>
    </row>
    <row r="326" spans="4:7" x14ac:dyDescent="0.3">
      <c r="D326" s="24" t="s">
        <v>237</v>
      </c>
      <c r="E326" s="7">
        <v>0</v>
      </c>
      <c r="F326" s="23">
        <v>0</v>
      </c>
      <c r="G326" s="19">
        <v>0</v>
      </c>
    </row>
    <row r="327" spans="4:7" x14ac:dyDescent="0.3">
      <c r="D327" s="24" t="s">
        <v>237</v>
      </c>
      <c r="E327" s="7">
        <v>0</v>
      </c>
      <c r="F327" s="23">
        <v>0</v>
      </c>
      <c r="G327" s="19">
        <v>0</v>
      </c>
    </row>
    <row r="328" spans="4:7" x14ac:dyDescent="0.3">
      <c r="D328" s="24" t="s">
        <v>237</v>
      </c>
      <c r="E328" s="7">
        <v>0</v>
      </c>
      <c r="F328" s="23">
        <v>0</v>
      </c>
      <c r="G328" s="19">
        <v>0</v>
      </c>
    </row>
    <row r="329" spans="4:7" x14ac:dyDescent="0.3">
      <c r="D329" s="24" t="s">
        <v>237</v>
      </c>
      <c r="E329" s="7">
        <v>0</v>
      </c>
      <c r="F329" s="23">
        <v>0</v>
      </c>
      <c r="G329" s="19">
        <v>0</v>
      </c>
    </row>
    <row r="330" spans="4:7" x14ac:dyDescent="0.3">
      <c r="D330" s="24" t="s">
        <v>237</v>
      </c>
      <c r="E330" s="7">
        <v>0</v>
      </c>
      <c r="F330" s="23">
        <v>0</v>
      </c>
      <c r="G330" s="19">
        <v>0</v>
      </c>
    </row>
    <row r="331" spans="4:7" x14ac:dyDescent="0.3">
      <c r="D331" s="24" t="s">
        <v>237</v>
      </c>
      <c r="E331" s="7">
        <v>0</v>
      </c>
      <c r="F331" s="23">
        <v>0</v>
      </c>
      <c r="G331" s="19">
        <v>0</v>
      </c>
    </row>
    <row r="332" spans="4:7" x14ac:dyDescent="0.3">
      <c r="D332" s="24" t="s">
        <v>237</v>
      </c>
      <c r="E332" s="7">
        <v>0</v>
      </c>
      <c r="F332" s="23">
        <v>0</v>
      </c>
      <c r="G332" s="19">
        <v>0</v>
      </c>
    </row>
    <row r="333" spans="4:7" x14ac:dyDescent="0.3">
      <c r="D333" s="24" t="s">
        <v>237</v>
      </c>
      <c r="E333" s="7">
        <v>0</v>
      </c>
      <c r="F333" s="23">
        <v>0</v>
      </c>
      <c r="G333" s="19">
        <v>0</v>
      </c>
    </row>
    <row r="334" spans="4:7" x14ac:dyDescent="0.3">
      <c r="D334" s="24" t="s">
        <v>237</v>
      </c>
      <c r="E334" s="7">
        <v>0</v>
      </c>
      <c r="F334" s="23">
        <v>0</v>
      </c>
      <c r="G334" s="19">
        <v>0</v>
      </c>
    </row>
    <row r="335" spans="4:7" x14ac:dyDescent="0.3">
      <c r="D335" s="24" t="s">
        <v>237</v>
      </c>
      <c r="E335" s="7">
        <v>0</v>
      </c>
      <c r="F335" s="23">
        <v>0</v>
      </c>
      <c r="G335" s="19">
        <v>0</v>
      </c>
    </row>
    <row r="336" spans="4:7" x14ac:dyDescent="0.3">
      <c r="D336" s="24" t="s">
        <v>237</v>
      </c>
      <c r="E336" s="7">
        <v>0</v>
      </c>
      <c r="F336" s="23">
        <v>0</v>
      </c>
      <c r="G336" s="19">
        <v>0</v>
      </c>
    </row>
    <row r="337" spans="4:7" x14ac:dyDescent="0.3">
      <c r="D337" s="24" t="s">
        <v>237</v>
      </c>
      <c r="E337" s="7">
        <v>0</v>
      </c>
      <c r="F337" s="23">
        <v>0</v>
      </c>
      <c r="G337" s="19">
        <v>0</v>
      </c>
    </row>
    <row r="338" spans="4:7" x14ac:dyDescent="0.3">
      <c r="D338" s="24" t="s">
        <v>237</v>
      </c>
      <c r="E338" s="7">
        <v>0</v>
      </c>
      <c r="F338" s="23">
        <v>0</v>
      </c>
      <c r="G338" s="19">
        <v>0</v>
      </c>
    </row>
    <row r="339" spans="4:7" x14ac:dyDescent="0.3">
      <c r="D339" s="24" t="s">
        <v>237</v>
      </c>
      <c r="E339" s="7">
        <v>0</v>
      </c>
      <c r="F339" s="23">
        <v>0</v>
      </c>
      <c r="G339" s="19">
        <v>0</v>
      </c>
    </row>
    <row r="340" spans="4:7" x14ac:dyDescent="0.3">
      <c r="D340" s="24" t="s">
        <v>237</v>
      </c>
      <c r="E340" s="7">
        <v>0</v>
      </c>
      <c r="F340" s="23">
        <v>0</v>
      </c>
      <c r="G340" s="19">
        <v>0</v>
      </c>
    </row>
    <row r="341" spans="4:7" x14ac:dyDescent="0.3">
      <c r="D341" s="24" t="s">
        <v>237</v>
      </c>
      <c r="E341" s="7">
        <v>0</v>
      </c>
      <c r="F341" s="23">
        <v>0</v>
      </c>
      <c r="G341" s="19">
        <v>0</v>
      </c>
    </row>
    <row r="342" spans="4:7" x14ac:dyDescent="0.3">
      <c r="D342" s="24" t="s">
        <v>237</v>
      </c>
      <c r="E342" s="7">
        <v>0</v>
      </c>
      <c r="F342" s="23">
        <v>0</v>
      </c>
      <c r="G342" s="19">
        <v>0</v>
      </c>
    </row>
    <row r="343" spans="4:7" x14ac:dyDescent="0.3">
      <c r="D343" s="24" t="s">
        <v>237</v>
      </c>
      <c r="E343" s="7">
        <v>0</v>
      </c>
      <c r="F343" s="23">
        <v>0</v>
      </c>
      <c r="G343" s="19">
        <v>0</v>
      </c>
    </row>
    <row r="344" spans="4:7" x14ac:dyDescent="0.3">
      <c r="D344" s="24" t="s">
        <v>237</v>
      </c>
      <c r="E344" s="7">
        <v>0</v>
      </c>
      <c r="F344" s="23">
        <v>0</v>
      </c>
      <c r="G344" s="19">
        <v>0</v>
      </c>
    </row>
    <row r="345" spans="4:7" x14ac:dyDescent="0.3">
      <c r="D345" s="24" t="s">
        <v>237</v>
      </c>
      <c r="E345" s="7">
        <v>0</v>
      </c>
      <c r="F345" s="23">
        <v>0</v>
      </c>
      <c r="G345" s="19">
        <v>0</v>
      </c>
    </row>
    <row r="346" spans="4:7" x14ac:dyDescent="0.3">
      <c r="D346" s="24" t="s">
        <v>237</v>
      </c>
      <c r="E346" s="7">
        <v>0</v>
      </c>
      <c r="F346" s="23">
        <v>0</v>
      </c>
      <c r="G346" s="19">
        <v>0</v>
      </c>
    </row>
    <row r="347" spans="4:7" x14ac:dyDescent="0.3">
      <c r="D347" s="24" t="s">
        <v>237</v>
      </c>
      <c r="E347" s="7">
        <v>0</v>
      </c>
      <c r="F347" s="23">
        <v>0</v>
      </c>
      <c r="G347" s="19">
        <v>0</v>
      </c>
    </row>
    <row r="348" spans="4:7" x14ac:dyDescent="0.3">
      <c r="D348" s="24" t="s">
        <v>237</v>
      </c>
      <c r="E348" s="7">
        <v>0</v>
      </c>
      <c r="F348" s="23">
        <v>0</v>
      </c>
      <c r="G348" s="19">
        <v>0</v>
      </c>
    </row>
    <row r="349" spans="4:7" x14ac:dyDescent="0.3">
      <c r="D349" s="24" t="s">
        <v>237</v>
      </c>
      <c r="E349" s="7">
        <v>0</v>
      </c>
      <c r="F349" s="23">
        <v>0</v>
      </c>
      <c r="G349" s="19">
        <v>0</v>
      </c>
    </row>
    <row r="350" spans="4:7" x14ac:dyDescent="0.3">
      <c r="D350" s="24" t="s">
        <v>237</v>
      </c>
      <c r="E350" s="7">
        <v>0</v>
      </c>
      <c r="F350" s="23">
        <v>0</v>
      </c>
      <c r="G350" s="19">
        <v>0</v>
      </c>
    </row>
    <row r="351" spans="4:7" x14ac:dyDescent="0.3">
      <c r="D351" s="24" t="s">
        <v>237</v>
      </c>
      <c r="E351" s="7">
        <v>0</v>
      </c>
      <c r="F351" s="23">
        <v>0</v>
      </c>
      <c r="G351" s="19">
        <v>0</v>
      </c>
    </row>
    <row r="352" spans="4:7" x14ac:dyDescent="0.3">
      <c r="D352" s="24" t="s">
        <v>237</v>
      </c>
      <c r="E352" s="7">
        <v>0</v>
      </c>
      <c r="F352" s="23">
        <v>0</v>
      </c>
      <c r="G352" s="19">
        <v>0</v>
      </c>
    </row>
    <row r="353" spans="4:7" x14ac:dyDescent="0.3">
      <c r="D353" s="24" t="s">
        <v>237</v>
      </c>
      <c r="E353" s="7">
        <v>0</v>
      </c>
      <c r="F353" s="23">
        <v>0</v>
      </c>
      <c r="G353" s="19">
        <v>0</v>
      </c>
    </row>
    <row r="354" spans="4:7" x14ac:dyDescent="0.3">
      <c r="D354" s="24" t="s">
        <v>237</v>
      </c>
      <c r="E354" s="7">
        <v>0</v>
      </c>
      <c r="F354" s="23">
        <v>0</v>
      </c>
      <c r="G354" s="19">
        <v>0</v>
      </c>
    </row>
    <row r="355" spans="4:7" x14ac:dyDescent="0.3">
      <c r="D355" s="24" t="s">
        <v>237</v>
      </c>
      <c r="E355" s="7">
        <v>0</v>
      </c>
      <c r="F355" s="23">
        <v>0</v>
      </c>
      <c r="G355" s="19">
        <v>0</v>
      </c>
    </row>
    <row r="356" spans="4:7" x14ac:dyDescent="0.3">
      <c r="D356" s="24" t="s">
        <v>237</v>
      </c>
      <c r="E356" s="7">
        <v>0</v>
      </c>
      <c r="F356" s="23">
        <v>0</v>
      </c>
      <c r="G356" s="19">
        <v>0</v>
      </c>
    </row>
    <row r="357" spans="4:7" x14ac:dyDescent="0.3">
      <c r="D357" s="24" t="s">
        <v>237</v>
      </c>
      <c r="E357" s="7">
        <v>0</v>
      </c>
      <c r="F357" s="23">
        <v>0</v>
      </c>
      <c r="G357" s="19">
        <v>0</v>
      </c>
    </row>
    <row r="358" spans="4:7" x14ac:dyDescent="0.3">
      <c r="D358" s="24" t="s">
        <v>237</v>
      </c>
      <c r="E358" s="7">
        <v>0</v>
      </c>
      <c r="F358" s="23">
        <v>0</v>
      </c>
      <c r="G358" s="19">
        <v>0</v>
      </c>
    </row>
    <row r="359" spans="4:7" x14ac:dyDescent="0.3">
      <c r="D359" s="24" t="s">
        <v>237</v>
      </c>
      <c r="E359" s="7">
        <v>0</v>
      </c>
      <c r="F359" s="23">
        <v>0</v>
      </c>
      <c r="G359" s="19">
        <v>0</v>
      </c>
    </row>
    <row r="360" spans="4:7" x14ac:dyDescent="0.3">
      <c r="D360" s="24" t="s">
        <v>237</v>
      </c>
      <c r="E360" s="7">
        <v>0</v>
      </c>
      <c r="F360" s="23">
        <v>0</v>
      </c>
      <c r="G360" s="19">
        <v>0</v>
      </c>
    </row>
    <row r="361" spans="4:7" x14ac:dyDescent="0.3">
      <c r="D361" s="24" t="s">
        <v>237</v>
      </c>
      <c r="E361" s="7">
        <v>0</v>
      </c>
      <c r="F361" s="23">
        <v>0</v>
      </c>
      <c r="G361" s="19">
        <v>0</v>
      </c>
    </row>
    <row r="362" spans="4:7" x14ac:dyDescent="0.3">
      <c r="D362" s="24" t="s">
        <v>237</v>
      </c>
      <c r="E362" s="7">
        <v>0</v>
      </c>
      <c r="F362" s="23">
        <v>0</v>
      </c>
      <c r="G362" s="19">
        <v>0</v>
      </c>
    </row>
    <row r="363" spans="4:7" x14ac:dyDescent="0.3">
      <c r="D363" s="24" t="s">
        <v>237</v>
      </c>
      <c r="E363" s="7">
        <v>0</v>
      </c>
      <c r="F363" s="23">
        <v>0</v>
      </c>
      <c r="G363" s="19">
        <v>0</v>
      </c>
    </row>
    <row r="364" spans="4:7" x14ac:dyDescent="0.3">
      <c r="D364" s="24" t="s">
        <v>237</v>
      </c>
      <c r="E364" s="7">
        <v>0</v>
      </c>
      <c r="F364" s="23">
        <v>0</v>
      </c>
      <c r="G364" s="19">
        <v>0</v>
      </c>
    </row>
    <row r="365" spans="4:7" x14ac:dyDescent="0.3">
      <c r="D365" s="24" t="s">
        <v>237</v>
      </c>
      <c r="E365" s="7">
        <v>0</v>
      </c>
      <c r="F365" s="23">
        <v>0</v>
      </c>
      <c r="G365" s="19">
        <v>0</v>
      </c>
    </row>
    <row r="366" spans="4:7" x14ac:dyDescent="0.3">
      <c r="D366" s="24" t="s">
        <v>237</v>
      </c>
      <c r="E366" s="7">
        <v>0</v>
      </c>
      <c r="F366" s="23">
        <v>0</v>
      </c>
      <c r="G366" s="19">
        <v>0</v>
      </c>
    </row>
    <row r="367" spans="4:7" x14ac:dyDescent="0.3">
      <c r="D367" s="24" t="s">
        <v>237</v>
      </c>
      <c r="E367" s="7">
        <v>0</v>
      </c>
      <c r="F367" s="23">
        <v>0</v>
      </c>
      <c r="G367" s="19">
        <v>0</v>
      </c>
    </row>
    <row r="368" spans="4:7" x14ac:dyDescent="0.3">
      <c r="D368" s="24" t="s">
        <v>237</v>
      </c>
      <c r="E368" s="7">
        <v>0</v>
      </c>
      <c r="F368" s="23">
        <v>0</v>
      </c>
      <c r="G368" s="19">
        <v>0</v>
      </c>
    </row>
    <row r="369" spans="4:7" x14ac:dyDescent="0.3">
      <c r="D369" s="24" t="s">
        <v>237</v>
      </c>
      <c r="E369" s="7">
        <v>0</v>
      </c>
      <c r="F369" s="23">
        <v>0</v>
      </c>
      <c r="G369" s="19">
        <v>0</v>
      </c>
    </row>
    <row r="370" spans="4:7" x14ac:dyDescent="0.3">
      <c r="D370" s="24" t="s">
        <v>237</v>
      </c>
      <c r="E370" s="7">
        <v>0</v>
      </c>
      <c r="F370" s="23">
        <v>0</v>
      </c>
      <c r="G370" s="19">
        <v>0</v>
      </c>
    </row>
    <row r="371" spans="4:7" x14ac:dyDescent="0.3">
      <c r="D371" s="24" t="s">
        <v>237</v>
      </c>
      <c r="E371" s="7">
        <v>0</v>
      </c>
      <c r="F371" s="23">
        <v>0</v>
      </c>
      <c r="G371" s="19">
        <v>0</v>
      </c>
    </row>
    <row r="372" spans="4:7" x14ac:dyDescent="0.3">
      <c r="D372" s="24" t="s">
        <v>237</v>
      </c>
      <c r="E372" s="7">
        <v>0</v>
      </c>
      <c r="F372" s="23">
        <v>0</v>
      </c>
      <c r="G372" s="19">
        <v>0</v>
      </c>
    </row>
    <row r="373" spans="4:7" x14ac:dyDescent="0.3">
      <c r="D373" s="24" t="s">
        <v>237</v>
      </c>
      <c r="E373" s="7">
        <v>0</v>
      </c>
      <c r="F373" s="23">
        <v>0</v>
      </c>
      <c r="G373" s="19">
        <v>0</v>
      </c>
    </row>
    <row r="374" spans="4:7" x14ac:dyDescent="0.3">
      <c r="D374" s="24" t="s">
        <v>237</v>
      </c>
      <c r="E374" s="7">
        <v>0</v>
      </c>
      <c r="F374" s="23">
        <v>0</v>
      </c>
      <c r="G374" s="19">
        <v>0</v>
      </c>
    </row>
    <row r="375" spans="4:7" x14ac:dyDescent="0.3">
      <c r="D375" s="24" t="s">
        <v>237</v>
      </c>
      <c r="E375" s="7">
        <v>0</v>
      </c>
      <c r="F375" s="23">
        <v>0</v>
      </c>
      <c r="G375" s="19">
        <v>0</v>
      </c>
    </row>
    <row r="376" spans="4:7" x14ac:dyDescent="0.3">
      <c r="D376" s="24" t="s">
        <v>237</v>
      </c>
      <c r="E376" s="7">
        <v>0</v>
      </c>
      <c r="F376" s="23">
        <v>0</v>
      </c>
      <c r="G376" s="19">
        <v>0</v>
      </c>
    </row>
    <row r="377" spans="4:7" x14ac:dyDescent="0.3">
      <c r="D377" s="24" t="s">
        <v>237</v>
      </c>
      <c r="E377" s="7">
        <v>0</v>
      </c>
      <c r="F377" s="23">
        <v>0</v>
      </c>
      <c r="G377" s="19">
        <v>0</v>
      </c>
    </row>
    <row r="378" spans="4:7" x14ac:dyDescent="0.3">
      <c r="D378" s="24" t="s">
        <v>237</v>
      </c>
      <c r="E378" s="7">
        <v>0</v>
      </c>
      <c r="F378" s="23">
        <v>0</v>
      </c>
      <c r="G378" s="19">
        <v>0</v>
      </c>
    </row>
    <row r="379" spans="4:7" x14ac:dyDescent="0.3">
      <c r="D379" s="24" t="s">
        <v>237</v>
      </c>
      <c r="E379" s="7">
        <v>0</v>
      </c>
      <c r="F379" s="23">
        <v>0</v>
      </c>
      <c r="G379" s="19">
        <v>0</v>
      </c>
    </row>
    <row r="380" spans="4:7" x14ac:dyDescent="0.3">
      <c r="D380" s="24" t="s">
        <v>237</v>
      </c>
      <c r="E380" s="7">
        <v>0</v>
      </c>
      <c r="F380" s="23">
        <v>0</v>
      </c>
      <c r="G380" s="19">
        <v>0</v>
      </c>
    </row>
    <row r="381" spans="4:7" x14ac:dyDescent="0.3">
      <c r="D381" s="24" t="s">
        <v>237</v>
      </c>
      <c r="E381" s="7">
        <v>0</v>
      </c>
      <c r="F381" s="23">
        <v>0</v>
      </c>
      <c r="G381" s="19">
        <v>0</v>
      </c>
    </row>
    <row r="382" spans="4:7" x14ac:dyDescent="0.3">
      <c r="D382" s="24" t="s">
        <v>237</v>
      </c>
      <c r="E382" s="7">
        <v>0</v>
      </c>
      <c r="F382" s="23">
        <v>0</v>
      </c>
      <c r="G382" s="19">
        <v>0</v>
      </c>
    </row>
    <row r="383" spans="4:7" x14ac:dyDescent="0.3">
      <c r="D383" s="24" t="s">
        <v>237</v>
      </c>
      <c r="E383" s="7">
        <v>0</v>
      </c>
      <c r="F383" s="23">
        <v>0</v>
      </c>
      <c r="G383" s="19">
        <v>0</v>
      </c>
    </row>
    <row r="384" spans="4:7" x14ac:dyDescent="0.3">
      <c r="D384" s="24" t="s">
        <v>237</v>
      </c>
      <c r="E384" s="7">
        <v>0</v>
      </c>
      <c r="F384" s="23">
        <v>0</v>
      </c>
      <c r="G384" s="19">
        <v>0</v>
      </c>
    </row>
    <row r="385" spans="4:7" x14ac:dyDescent="0.3">
      <c r="D385" s="24" t="s">
        <v>237</v>
      </c>
      <c r="E385" s="7">
        <v>0</v>
      </c>
      <c r="F385" s="23">
        <v>0</v>
      </c>
      <c r="G385" s="19">
        <v>0</v>
      </c>
    </row>
    <row r="386" spans="4:7" x14ac:dyDescent="0.3">
      <c r="D386" s="24" t="s">
        <v>237</v>
      </c>
      <c r="E386" s="7">
        <v>0</v>
      </c>
      <c r="F386" s="23">
        <v>0</v>
      </c>
      <c r="G386" s="19">
        <v>0</v>
      </c>
    </row>
    <row r="387" spans="4:7" x14ac:dyDescent="0.3">
      <c r="D387" s="24" t="s">
        <v>237</v>
      </c>
      <c r="E387" s="7">
        <v>0</v>
      </c>
      <c r="F387" s="23">
        <v>0</v>
      </c>
      <c r="G387" s="19">
        <v>0</v>
      </c>
    </row>
    <row r="388" spans="4:7" x14ac:dyDescent="0.3">
      <c r="D388" s="24" t="s">
        <v>237</v>
      </c>
      <c r="E388" s="7">
        <v>0</v>
      </c>
      <c r="F388" s="23">
        <v>0</v>
      </c>
      <c r="G388" s="19">
        <v>0</v>
      </c>
    </row>
    <row r="389" spans="4:7" x14ac:dyDescent="0.3">
      <c r="D389" s="24" t="s">
        <v>237</v>
      </c>
      <c r="E389" s="7">
        <v>0</v>
      </c>
      <c r="F389" s="23">
        <v>0</v>
      </c>
      <c r="G389" s="19">
        <v>0</v>
      </c>
    </row>
    <row r="390" spans="4:7" x14ac:dyDescent="0.3">
      <c r="D390" s="24" t="s">
        <v>237</v>
      </c>
      <c r="E390" s="7">
        <v>0</v>
      </c>
      <c r="F390" s="23">
        <v>0</v>
      </c>
      <c r="G390" s="19">
        <v>0</v>
      </c>
    </row>
    <row r="391" spans="4:7" x14ac:dyDescent="0.3">
      <c r="D391" s="24" t="s">
        <v>237</v>
      </c>
      <c r="E391" s="7">
        <v>0</v>
      </c>
      <c r="F391" s="23">
        <v>0</v>
      </c>
      <c r="G391" s="19">
        <v>0</v>
      </c>
    </row>
    <row r="392" spans="4:7" x14ac:dyDescent="0.3">
      <c r="D392" s="24" t="s">
        <v>237</v>
      </c>
      <c r="E392" s="7">
        <v>0</v>
      </c>
      <c r="F392" s="23">
        <v>0</v>
      </c>
      <c r="G392" s="19">
        <v>0</v>
      </c>
    </row>
    <row r="393" spans="4:7" x14ac:dyDescent="0.3">
      <c r="D393" s="24" t="s">
        <v>237</v>
      </c>
      <c r="E393" s="7">
        <v>0</v>
      </c>
      <c r="F393" s="23">
        <v>0</v>
      </c>
      <c r="G393" s="19">
        <v>0</v>
      </c>
    </row>
    <row r="394" spans="4:7" x14ac:dyDescent="0.3">
      <c r="D394" s="24" t="s">
        <v>237</v>
      </c>
      <c r="E394" s="7">
        <v>0</v>
      </c>
      <c r="F394" s="23">
        <v>0</v>
      </c>
      <c r="G394" s="19">
        <v>0</v>
      </c>
    </row>
    <row r="395" spans="4:7" x14ac:dyDescent="0.3">
      <c r="D395" s="24" t="s">
        <v>237</v>
      </c>
      <c r="E395" s="7">
        <v>0</v>
      </c>
      <c r="F395" s="23">
        <v>0</v>
      </c>
      <c r="G395" s="19">
        <v>0</v>
      </c>
    </row>
    <row r="396" spans="4:7" x14ac:dyDescent="0.3">
      <c r="D396" s="24" t="s">
        <v>237</v>
      </c>
      <c r="E396" s="7">
        <v>0</v>
      </c>
      <c r="F396" s="23">
        <v>0</v>
      </c>
      <c r="G396" s="19">
        <v>0</v>
      </c>
    </row>
    <row r="397" spans="4:7" x14ac:dyDescent="0.3">
      <c r="D397" s="24" t="s">
        <v>237</v>
      </c>
      <c r="E397" s="7">
        <v>0</v>
      </c>
      <c r="F397" s="23">
        <v>0</v>
      </c>
      <c r="G397" s="19">
        <v>0</v>
      </c>
    </row>
    <row r="398" spans="4:7" x14ac:dyDescent="0.3">
      <c r="D398" s="24" t="s">
        <v>237</v>
      </c>
      <c r="E398" s="7">
        <v>0</v>
      </c>
      <c r="F398" s="23">
        <v>0</v>
      </c>
      <c r="G398" s="19">
        <v>0</v>
      </c>
    </row>
    <row r="399" spans="4:7" x14ac:dyDescent="0.3">
      <c r="D399" s="24" t="s">
        <v>237</v>
      </c>
      <c r="E399" s="7">
        <v>0</v>
      </c>
      <c r="F399" s="23">
        <v>0</v>
      </c>
      <c r="G399" s="19">
        <v>0</v>
      </c>
    </row>
    <row r="400" spans="4:7" x14ac:dyDescent="0.3">
      <c r="D400" s="24" t="s">
        <v>237</v>
      </c>
      <c r="E400" s="7">
        <v>0</v>
      </c>
      <c r="F400" s="23">
        <v>0</v>
      </c>
      <c r="G400" s="19">
        <v>0</v>
      </c>
    </row>
    <row r="401" spans="4:7" x14ac:dyDescent="0.3">
      <c r="D401" s="24" t="s">
        <v>237</v>
      </c>
      <c r="E401" s="7">
        <v>0</v>
      </c>
      <c r="F401" s="23">
        <v>0</v>
      </c>
      <c r="G401" s="19">
        <v>0</v>
      </c>
    </row>
    <row r="402" spans="4:7" x14ac:dyDescent="0.3">
      <c r="D402" s="24" t="s">
        <v>237</v>
      </c>
      <c r="E402" s="7">
        <v>0</v>
      </c>
      <c r="F402" s="23">
        <v>0</v>
      </c>
      <c r="G402" s="19">
        <v>0</v>
      </c>
    </row>
    <row r="403" spans="4:7" x14ac:dyDescent="0.3">
      <c r="D403" s="24" t="s">
        <v>237</v>
      </c>
      <c r="E403" s="7">
        <v>0</v>
      </c>
      <c r="F403" s="23">
        <v>0</v>
      </c>
      <c r="G403" s="19">
        <v>0</v>
      </c>
    </row>
    <row r="404" spans="4:7" x14ac:dyDescent="0.3">
      <c r="D404" s="24" t="s">
        <v>237</v>
      </c>
      <c r="E404" s="7">
        <v>0</v>
      </c>
      <c r="F404" s="23">
        <v>0</v>
      </c>
      <c r="G404" s="19">
        <v>0</v>
      </c>
    </row>
    <row r="405" spans="4:7" x14ac:dyDescent="0.3">
      <c r="D405" s="24" t="s">
        <v>237</v>
      </c>
      <c r="E405" s="7">
        <v>0</v>
      </c>
      <c r="F405" s="23">
        <v>0</v>
      </c>
      <c r="G405" s="19">
        <v>0</v>
      </c>
    </row>
    <row r="406" spans="4:7" x14ac:dyDescent="0.3">
      <c r="D406" s="24" t="s">
        <v>237</v>
      </c>
      <c r="E406" s="7">
        <v>0</v>
      </c>
      <c r="F406" s="23">
        <v>0</v>
      </c>
      <c r="G406" s="19">
        <v>0</v>
      </c>
    </row>
    <row r="407" spans="4:7" x14ac:dyDescent="0.3">
      <c r="D407" s="24" t="s">
        <v>237</v>
      </c>
      <c r="E407" s="7">
        <v>0</v>
      </c>
      <c r="F407" s="23">
        <v>0</v>
      </c>
      <c r="G407" s="19">
        <v>0</v>
      </c>
    </row>
    <row r="408" spans="4:7" x14ac:dyDescent="0.3">
      <c r="D408" s="24" t="s">
        <v>237</v>
      </c>
      <c r="E408" s="7">
        <v>0</v>
      </c>
      <c r="F408" s="23">
        <v>0</v>
      </c>
      <c r="G408" s="19">
        <v>0</v>
      </c>
    </row>
    <row r="409" spans="4:7" x14ac:dyDescent="0.3">
      <c r="D409" s="24" t="s">
        <v>237</v>
      </c>
      <c r="E409" s="7">
        <v>0</v>
      </c>
      <c r="F409" s="23">
        <v>0</v>
      </c>
      <c r="G409" s="19">
        <v>0</v>
      </c>
    </row>
    <row r="410" spans="4:7" x14ac:dyDescent="0.3">
      <c r="D410" s="24" t="s">
        <v>237</v>
      </c>
      <c r="E410" s="7">
        <v>0</v>
      </c>
      <c r="F410" s="23">
        <v>0</v>
      </c>
      <c r="G410" s="19">
        <v>0</v>
      </c>
    </row>
    <row r="411" spans="4:7" x14ac:dyDescent="0.3">
      <c r="D411" s="24" t="s">
        <v>237</v>
      </c>
      <c r="E411" s="7">
        <v>0</v>
      </c>
      <c r="F411" s="23">
        <v>0</v>
      </c>
      <c r="G411" s="19">
        <v>0</v>
      </c>
    </row>
    <row r="412" spans="4:7" x14ac:dyDescent="0.3">
      <c r="D412" s="24" t="s">
        <v>237</v>
      </c>
      <c r="E412" s="7">
        <v>0</v>
      </c>
      <c r="F412" s="23">
        <v>0</v>
      </c>
      <c r="G412" s="19">
        <v>0</v>
      </c>
    </row>
    <row r="413" spans="4:7" x14ac:dyDescent="0.3">
      <c r="D413" s="24" t="s">
        <v>237</v>
      </c>
      <c r="E413" s="7">
        <v>0</v>
      </c>
      <c r="F413" s="23">
        <v>0</v>
      </c>
      <c r="G413" s="19">
        <v>0</v>
      </c>
    </row>
    <row r="414" spans="4:7" x14ac:dyDescent="0.3">
      <c r="D414" s="24" t="s">
        <v>237</v>
      </c>
      <c r="E414" s="7">
        <v>0</v>
      </c>
      <c r="F414" s="23">
        <v>0</v>
      </c>
      <c r="G414" s="19">
        <v>0</v>
      </c>
    </row>
    <row r="415" spans="4:7" x14ac:dyDescent="0.3">
      <c r="D415" s="24" t="s">
        <v>237</v>
      </c>
      <c r="E415" s="7">
        <v>0</v>
      </c>
      <c r="F415" s="23">
        <v>0</v>
      </c>
      <c r="G415" s="19">
        <v>0</v>
      </c>
    </row>
    <row r="416" spans="4:7" x14ac:dyDescent="0.3">
      <c r="D416" s="24" t="s">
        <v>237</v>
      </c>
      <c r="E416" s="7">
        <v>0</v>
      </c>
      <c r="F416" s="23">
        <v>0</v>
      </c>
      <c r="G416" s="19">
        <v>0</v>
      </c>
    </row>
    <row r="417" spans="4:7" x14ac:dyDescent="0.3">
      <c r="D417" s="24" t="s">
        <v>237</v>
      </c>
      <c r="E417" s="7">
        <v>0</v>
      </c>
      <c r="F417" s="23">
        <v>0</v>
      </c>
      <c r="G417" s="19">
        <v>0</v>
      </c>
    </row>
    <row r="418" spans="4:7" x14ac:dyDescent="0.3">
      <c r="D418" s="24" t="s">
        <v>237</v>
      </c>
      <c r="E418" s="7">
        <v>0</v>
      </c>
      <c r="F418" s="23">
        <v>0</v>
      </c>
      <c r="G418" s="19">
        <v>0</v>
      </c>
    </row>
    <row r="419" spans="4:7" x14ac:dyDescent="0.3">
      <c r="D419" s="24" t="s">
        <v>237</v>
      </c>
      <c r="E419" s="7">
        <v>0</v>
      </c>
      <c r="F419" s="23">
        <v>0</v>
      </c>
      <c r="G419" s="19">
        <v>0</v>
      </c>
    </row>
    <row r="420" spans="4:7" x14ac:dyDescent="0.3">
      <c r="D420" s="24" t="s">
        <v>237</v>
      </c>
      <c r="E420" s="7">
        <v>0</v>
      </c>
      <c r="F420" s="23">
        <v>0</v>
      </c>
      <c r="G420" s="19">
        <v>0</v>
      </c>
    </row>
    <row r="421" spans="4:7" x14ac:dyDescent="0.3">
      <c r="D421" s="24" t="s">
        <v>237</v>
      </c>
      <c r="E421" s="7">
        <v>0</v>
      </c>
      <c r="F421" s="23">
        <v>0</v>
      </c>
      <c r="G421" s="19">
        <v>0</v>
      </c>
    </row>
    <row r="422" spans="4:7" x14ac:dyDescent="0.3">
      <c r="D422" s="24" t="s">
        <v>237</v>
      </c>
      <c r="E422" s="7">
        <v>0</v>
      </c>
      <c r="F422" s="23">
        <v>0</v>
      </c>
      <c r="G422" s="19">
        <v>0</v>
      </c>
    </row>
    <row r="423" spans="4:7" x14ac:dyDescent="0.3">
      <c r="D423" s="24" t="s">
        <v>237</v>
      </c>
      <c r="E423" s="7">
        <v>0</v>
      </c>
      <c r="F423" s="23">
        <v>0</v>
      </c>
      <c r="G423" s="19">
        <v>0</v>
      </c>
    </row>
    <row r="424" spans="4:7" x14ac:dyDescent="0.3">
      <c r="D424" s="24" t="s">
        <v>237</v>
      </c>
      <c r="E424" s="7">
        <v>0</v>
      </c>
      <c r="F424" s="23">
        <v>0</v>
      </c>
      <c r="G424" s="19">
        <v>0</v>
      </c>
    </row>
    <row r="425" spans="4:7" x14ac:dyDescent="0.3">
      <c r="D425" s="24" t="s">
        <v>237</v>
      </c>
      <c r="E425" s="7">
        <v>0</v>
      </c>
      <c r="F425" s="23">
        <v>0</v>
      </c>
      <c r="G425" s="19">
        <v>0</v>
      </c>
    </row>
    <row r="426" spans="4:7" x14ac:dyDescent="0.3">
      <c r="D426" s="24" t="s">
        <v>237</v>
      </c>
      <c r="E426" s="7">
        <v>0</v>
      </c>
      <c r="F426" s="23">
        <v>0</v>
      </c>
      <c r="G426" s="19">
        <v>0</v>
      </c>
    </row>
    <row r="427" spans="4:7" x14ac:dyDescent="0.3">
      <c r="D427" s="24" t="s">
        <v>237</v>
      </c>
      <c r="E427" s="7">
        <v>0</v>
      </c>
      <c r="F427" s="23">
        <v>0</v>
      </c>
      <c r="G427" s="19">
        <v>0</v>
      </c>
    </row>
    <row r="428" spans="4:7" x14ac:dyDescent="0.3">
      <c r="D428" s="24" t="s">
        <v>237</v>
      </c>
      <c r="E428" s="7">
        <v>0</v>
      </c>
      <c r="F428" s="23">
        <v>0</v>
      </c>
      <c r="G428" s="19">
        <v>0</v>
      </c>
    </row>
    <row r="429" spans="4:7" x14ac:dyDescent="0.3">
      <c r="D429" s="24" t="s">
        <v>237</v>
      </c>
      <c r="E429" s="7">
        <v>0</v>
      </c>
      <c r="F429" s="23">
        <v>0</v>
      </c>
      <c r="G429" s="19">
        <v>0</v>
      </c>
    </row>
    <row r="430" spans="4:7" x14ac:dyDescent="0.3">
      <c r="D430" s="24" t="s">
        <v>237</v>
      </c>
      <c r="E430" s="7">
        <v>0</v>
      </c>
      <c r="F430" s="23">
        <v>0</v>
      </c>
      <c r="G430" s="19">
        <v>0</v>
      </c>
    </row>
    <row r="431" spans="4:7" x14ac:dyDescent="0.3">
      <c r="D431" s="24" t="s">
        <v>237</v>
      </c>
      <c r="E431" s="7">
        <v>0</v>
      </c>
      <c r="F431" s="23">
        <v>0</v>
      </c>
      <c r="G431" s="19">
        <v>0</v>
      </c>
    </row>
    <row r="432" spans="4:7" x14ac:dyDescent="0.3">
      <c r="D432" s="24" t="s">
        <v>237</v>
      </c>
      <c r="E432" s="7">
        <v>0</v>
      </c>
      <c r="F432" s="23">
        <v>0</v>
      </c>
      <c r="G432" s="19">
        <v>0</v>
      </c>
    </row>
    <row r="433" spans="4:7" x14ac:dyDescent="0.3">
      <c r="D433" s="24" t="s">
        <v>237</v>
      </c>
      <c r="E433" s="7">
        <v>0</v>
      </c>
      <c r="F433" s="23">
        <v>0</v>
      </c>
      <c r="G433" s="19">
        <v>0</v>
      </c>
    </row>
    <row r="434" spans="4:7" x14ac:dyDescent="0.3">
      <c r="D434" s="24" t="s">
        <v>237</v>
      </c>
      <c r="E434" s="7">
        <v>0</v>
      </c>
      <c r="F434" s="23">
        <v>0</v>
      </c>
      <c r="G434" s="19">
        <v>0</v>
      </c>
    </row>
    <row r="435" spans="4:7" x14ac:dyDescent="0.3">
      <c r="D435" s="24" t="s">
        <v>237</v>
      </c>
      <c r="E435" s="7">
        <v>0</v>
      </c>
      <c r="F435" s="23">
        <v>0</v>
      </c>
      <c r="G435" s="19">
        <v>0</v>
      </c>
    </row>
    <row r="436" spans="4:7" x14ac:dyDescent="0.3">
      <c r="D436" s="24" t="s">
        <v>237</v>
      </c>
      <c r="E436" s="7">
        <v>0</v>
      </c>
      <c r="F436" s="23">
        <v>0</v>
      </c>
      <c r="G436" s="19">
        <v>0</v>
      </c>
    </row>
    <row r="437" spans="4:7" x14ac:dyDescent="0.3">
      <c r="D437" s="24" t="s">
        <v>237</v>
      </c>
      <c r="E437" s="7">
        <v>0</v>
      </c>
      <c r="F437" s="23">
        <v>0</v>
      </c>
      <c r="G437" s="19">
        <v>0</v>
      </c>
    </row>
    <row r="438" spans="4:7" x14ac:dyDescent="0.3">
      <c r="D438" s="24" t="s">
        <v>237</v>
      </c>
      <c r="E438" s="7">
        <v>0</v>
      </c>
      <c r="F438" s="23">
        <v>0</v>
      </c>
      <c r="G438" s="19">
        <v>0</v>
      </c>
    </row>
    <row r="439" spans="4:7" x14ac:dyDescent="0.3">
      <c r="D439" s="24" t="s">
        <v>237</v>
      </c>
      <c r="E439" s="7">
        <v>0</v>
      </c>
      <c r="F439" s="23">
        <v>0</v>
      </c>
      <c r="G439" s="19">
        <v>0</v>
      </c>
    </row>
    <row r="440" spans="4:7" x14ac:dyDescent="0.3">
      <c r="D440" s="24" t="s">
        <v>237</v>
      </c>
      <c r="E440" s="7">
        <v>0</v>
      </c>
      <c r="F440" s="23">
        <v>0</v>
      </c>
      <c r="G440" s="19">
        <v>0</v>
      </c>
    </row>
    <row r="441" spans="4:7" x14ac:dyDescent="0.3">
      <c r="D441" s="24" t="s">
        <v>237</v>
      </c>
      <c r="E441" s="7">
        <v>0</v>
      </c>
      <c r="F441" s="23">
        <v>0</v>
      </c>
      <c r="G441" s="19">
        <v>0</v>
      </c>
    </row>
    <row r="442" spans="4:7" x14ac:dyDescent="0.3">
      <c r="D442" s="24" t="s">
        <v>237</v>
      </c>
      <c r="E442" s="7">
        <v>0</v>
      </c>
      <c r="F442" s="23">
        <v>0</v>
      </c>
      <c r="G442" s="19">
        <v>0</v>
      </c>
    </row>
    <row r="443" spans="4:7" x14ac:dyDescent="0.3">
      <c r="D443" s="24" t="s">
        <v>237</v>
      </c>
      <c r="E443" s="7">
        <v>0</v>
      </c>
      <c r="F443" s="23">
        <v>0</v>
      </c>
      <c r="G443" s="19">
        <v>0</v>
      </c>
    </row>
    <row r="444" spans="4:7" x14ac:dyDescent="0.3">
      <c r="D444" s="24" t="s">
        <v>237</v>
      </c>
      <c r="E444" s="7">
        <v>0</v>
      </c>
      <c r="F444" s="23">
        <v>0</v>
      </c>
      <c r="G444" s="19">
        <v>0</v>
      </c>
    </row>
    <row r="445" spans="4:7" x14ac:dyDescent="0.3">
      <c r="D445" s="24" t="s">
        <v>237</v>
      </c>
      <c r="E445" s="7">
        <v>0</v>
      </c>
      <c r="F445" s="23">
        <v>0</v>
      </c>
      <c r="G445" s="19">
        <v>0</v>
      </c>
    </row>
    <row r="446" spans="4:7" x14ac:dyDescent="0.3">
      <c r="D446" s="24" t="s">
        <v>237</v>
      </c>
      <c r="E446" s="7">
        <v>0</v>
      </c>
      <c r="F446" s="23">
        <v>0</v>
      </c>
      <c r="G446" s="19">
        <v>0</v>
      </c>
    </row>
    <row r="447" spans="4:7" x14ac:dyDescent="0.3">
      <c r="D447" s="24" t="s">
        <v>237</v>
      </c>
      <c r="E447" s="7">
        <v>0</v>
      </c>
      <c r="F447" s="23">
        <v>0</v>
      </c>
      <c r="G447" s="19">
        <v>0</v>
      </c>
    </row>
    <row r="448" spans="4:7" x14ac:dyDescent="0.3">
      <c r="D448" s="24" t="s">
        <v>237</v>
      </c>
      <c r="E448" s="7">
        <v>0</v>
      </c>
      <c r="F448" s="23">
        <v>0</v>
      </c>
      <c r="G448" s="19">
        <v>0</v>
      </c>
    </row>
    <row r="449" spans="4:7" x14ac:dyDescent="0.3">
      <c r="D449" s="24" t="s">
        <v>237</v>
      </c>
      <c r="E449" s="7">
        <v>0</v>
      </c>
      <c r="F449" s="23">
        <v>0</v>
      </c>
      <c r="G449" s="19">
        <v>0</v>
      </c>
    </row>
    <row r="450" spans="4:7" x14ac:dyDescent="0.3">
      <c r="D450" s="24" t="s">
        <v>237</v>
      </c>
      <c r="E450" s="7">
        <v>0</v>
      </c>
      <c r="F450" s="23">
        <v>0</v>
      </c>
      <c r="G450" s="19">
        <v>0</v>
      </c>
    </row>
    <row r="451" spans="4:7" x14ac:dyDescent="0.3">
      <c r="D451" s="24" t="s">
        <v>237</v>
      </c>
      <c r="E451" s="7">
        <v>0</v>
      </c>
      <c r="F451" s="23">
        <v>0</v>
      </c>
      <c r="G451" s="19">
        <v>0</v>
      </c>
    </row>
    <row r="452" spans="4:7" x14ac:dyDescent="0.3">
      <c r="D452" s="24" t="s">
        <v>237</v>
      </c>
      <c r="E452" s="7">
        <v>0</v>
      </c>
      <c r="F452" s="23">
        <v>0</v>
      </c>
      <c r="G452" s="19">
        <v>0</v>
      </c>
    </row>
    <row r="453" spans="4:7" x14ac:dyDescent="0.3">
      <c r="D453" s="24" t="s">
        <v>237</v>
      </c>
      <c r="E453" s="7">
        <v>0</v>
      </c>
      <c r="F453" s="23">
        <v>0</v>
      </c>
      <c r="G453" s="19">
        <v>0</v>
      </c>
    </row>
    <row r="454" spans="4:7" x14ac:dyDescent="0.3">
      <c r="D454" s="24" t="s">
        <v>237</v>
      </c>
      <c r="E454" s="7">
        <v>0</v>
      </c>
      <c r="F454" s="23">
        <v>0</v>
      </c>
      <c r="G454" s="19">
        <v>0</v>
      </c>
    </row>
    <row r="455" spans="4:7" x14ac:dyDescent="0.3">
      <c r="D455" s="24" t="s">
        <v>237</v>
      </c>
      <c r="E455" s="7">
        <v>0</v>
      </c>
      <c r="F455" s="23">
        <v>0</v>
      </c>
      <c r="G455" s="19">
        <v>0</v>
      </c>
    </row>
    <row r="456" spans="4:7" x14ac:dyDescent="0.3">
      <c r="D456" s="24" t="s">
        <v>237</v>
      </c>
      <c r="E456" s="7">
        <v>0</v>
      </c>
      <c r="F456" s="23">
        <v>0</v>
      </c>
      <c r="G456" s="19">
        <v>0</v>
      </c>
    </row>
    <row r="457" spans="4:7" x14ac:dyDescent="0.3">
      <c r="D457" s="24" t="s">
        <v>237</v>
      </c>
      <c r="E457" s="7">
        <v>0</v>
      </c>
      <c r="F457" s="23">
        <v>0</v>
      </c>
      <c r="G457" s="19">
        <v>0</v>
      </c>
    </row>
    <row r="458" spans="4:7" x14ac:dyDescent="0.3">
      <c r="D458" s="24" t="s">
        <v>237</v>
      </c>
      <c r="E458" s="7">
        <v>0</v>
      </c>
      <c r="F458" s="23">
        <v>0</v>
      </c>
      <c r="G458" s="19">
        <v>0</v>
      </c>
    </row>
    <row r="459" spans="4:7" x14ac:dyDescent="0.3">
      <c r="D459" s="24" t="s">
        <v>237</v>
      </c>
      <c r="E459" s="7">
        <v>0</v>
      </c>
      <c r="F459" s="23">
        <v>0</v>
      </c>
      <c r="G459" s="19">
        <v>0</v>
      </c>
    </row>
    <row r="460" spans="4:7" x14ac:dyDescent="0.3">
      <c r="D460" s="24" t="s">
        <v>237</v>
      </c>
      <c r="E460" s="7">
        <v>0</v>
      </c>
      <c r="F460" s="23">
        <v>0</v>
      </c>
      <c r="G460" s="19">
        <v>0</v>
      </c>
    </row>
    <row r="461" spans="4:7" x14ac:dyDescent="0.3">
      <c r="D461" s="24" t="s">
        <v>237</v>
      </c>
      <c r="E461" s="7">
        <v>0</v>
      </c>
      <c r="F461" s="23">
        <v>0</v>
      </c>
      <c r="G461" s="19">
        <v>0</v>
      </c>
    </row>
    <row r="462" spans="4:7" x14ac:dyDescent="0.3">
      <c r="D462" s="24" t="s">
        <v>237</v>
      </c>
      <c r="E462" s="7">
        <v>0</v>
      </c>
      <c r="F462" s="23">
        <v>0</v>
      </c>
      <c r="G462" s="19">
        <v>0</v>
      </c>
    </row>
    <row r="463" spans="4:7" x14ac:dyDescent="0.3">
      <c r="D463" s="24" t="s">
        <v>237</v>
      </c>
      <c r="E463" s="7">
        <v>0</v>
      </c>
      <c r="F463" s="23">
        <v>0</v>
      </c>
      <c r="G463" s="19">
        <v>0</v>
      </c>
    </row>
    <row r="464" spans="4:7" x14ac:dyDescent="0.3">
      <c r="D464" s="24" t="s">
        <v>237</v>
      </c>
      <c r="E464" s="7">
        <v>0</v>
      </c>
      <c r="F464" s="23">
        <v>0</v>
      </c>
      <c r="G464" s="19">
        <v>0</v>
      </c>
    </row>
    <row r="465" spans="4:7" x14ac:dyDescent="0.3">
      <c r="D465" s="24" t="s">
        <v>237</v>
      </c>
      <c r="E465" s="7">
        <v>0</v>
      </c>
      <c r="F465" s="23">
        <v>0</v>
      </c>
      <c r="G465" s="19">
        <v>0</v>
      </c>
    </row>
    <row r="466" spans="4:7" x14ac:dyDescent="0.3">
      <c r="D466" s="24" t="s">
        <v>237</v>
      </c>
      <c r="E466" s="7">
        <v>0</v>
      </c>
      <c r="F466" s="23">
        <v>0</v>
      </c>
      <c r="G466" s="19">
        <v>0</v>
      </c>
    </row>
    <row r="467" spans="4:7" x14ac:dyDescent="0.3">
      <c r="D467" s="24" t="s">
        <v>237</v>
      </c>
      <c r="E467" s="7">
        <v>0</v>
      </c>
      <c r="F467" s="23">
        <v>0</v>
      </c>
      <c r="G467" s="19">
        <v>0</v>
      </c>
    </row>
    <row r="468" spans="4:7" x14ac:dyDescent="0.3">
      <c r="D468" s="24" t="s">
        <v>237</v>
      </c>
      <c r="E468" s="7">
        <v>0</v>
      </c>
      <c r="F468" s="23">
        <v>0</v>
      </c>
      <c r="G468" s="19">
        <v>0</v>
      </c>
    </row>
    <row r="469" spans="4:7" x14ac:dyDescent="0.3">
      <c r="D469" s="24" t="s">
        <v>237</v>
      </c>
      <c r="E469" s="7">
        <v>0</v>
      </c>
      <c r="F469" s="23">
        <v>0</v>
      </c>
      <c r="G469" s="19">
        <v>0</v>
      </c>
    </row>
    <row r="470" spans="4:7" x14ac:dyDescent="0.3">
      <c r="D470" s="24" t="s">
        <v>237</v>
      </c>
      <c r="E470" s="7">
        <v>0</v>
      </c>
      <c r="F470" s="23">
        <v>0</v>
      </c>
      <c r="G470" s="19">
        <v>0</v>
      </c>
    </row>
    <row r="471" spans="4:7" x14ac:dyDescent="0.3">
      <c r="D471" s="24" t="s">
        <v>237</v>
      </c>
      <c r="E471" s="7">
        <v>0</v>
      </c>
      <c r="F471" s="23">
        <v>0</v>
      </c>
      <c r="G471" s="19">
        <v>0</v>
      </c>
    </row>
    <row r="472" spans="4:7" x14ac:dyDescent="0.3">
      <c r="D472" s="24" t="s">
        <v>237</v>
      </c>
      <c r="E472" s="7">
        <v>0</v>
      </c>
      <c r="F472" s="23">
        <v>0</v>
      </c>
      <c r="G472" s="19">
        <v>0</v>
      </c>
    </row>
    <row r="473" spans="4:7" x14ac:dyDescent="0.3">
      <c r="D473" s="24" t="s">
        <v>237</v>
      </c>
      <c r="E473" s="7">
        <v>0</v>
      </c>
      <c r="F473" s="23">
        <v>0</v>
      </c>
      <c r="G473" s="19">
        <v>0</v>
      </c>
    </row>
    <row r="474" spans="4:7" x14ac:dyDescent="0.3">
      <c r="D474" s="24" t="s">
        <v>237</v>
      </c>
      <c r="E474" s="7">
        <v>0</v>
      </c>
      <c r="F474" s="23">
        <v>0</v>
      </c>
      <c r="G474" s="19">
        <v>0</v>
      </c>
    </row>
    <row r="475" spans="4:7" x14ac:dyDescent="0.3">
      <c r="D475" s="24" t="s">
        <v>237</v>
      </c>
      <c r="E475" s="7">
        <v>0</v>
      </c>
      <c r="F475" s="23">
        <v>0</v>
      </c>
      <c r="G475" s="19">
        <v>0</v>
      </c>
    </row>
    <row r="476" spans="4:7" x14ac:dyDescent="0.3">
      <c r="D476" s="24" t="s">
        <v>237</v>
      </c>
      <c r="E476" s="7">
        <v>0</v>
      </c>
      <c r="F476" s="23">
        <v>0</v>
      </c>
      <c r="G476" s="19">
        <v>0</v>
      </c>
    </row>
    <row r="477" spans="4:7" x14ac:dyDescent="0.3">
      <c r="D477" s="24" t="s">
        <v>237</v>
      </c>
      <c r="E477" s="7">
        <v>0</v>
      </c>
      <c r="F477" s="23">
        <v>0</v>
      </c>
      <c r="G477" s="19">
        <v>0</v>
      </c>
    </row>
    <row r="478" spans="4:7" x14ac:dyDescent="0.3">
      <c r="D478" s="24" t="s">
        <v>237</v>
      </c>
      <c r="E478" s="7">
        <v>0</v>
      </c>
      <c r="F478" s="23">
        <v>0</v>
      </c>
      <c r="G478" s="19">
        <v>0</v>
      </c>
    </row>
    <row r="479" spans="4:7" x14ac:dyDescent="0.3">
      <c r="D479" s="24" t="s">
        <v>237</v>
      </c>
      <c r="E479" s="7">
        <v>0</v>
      </c>
      <c r="F479" s="23">
        <v>0</v>
      </c>
      <c r="G479" s="19">
        <v>0</v>
      </c>
    </row>
    <row r="480" spans="4:7" x14ac:dyDescent="0.3">
      <c r="D480" s="24" t="s">
        <v>237</v>
      </c>
      <c r="E480" s="7">
        <v>0</v>
      </c>
      <c r="F480" s="23">
        <v>0</v>
      </c>
      <c r="G480" s="19">
        <v>0</v>
      </c>
    </row>
    <row r="481" spans="4:7" x14ac:dyDescent="0.3">
      <c r="D481" s="24" t="s">
        <v>237</v>
      </c>
      <c r="E481" s="7">
        <v>0</v>
      </c>
      <c r="F481" s="23">
        <v>0</v>
      </c>
      <c r="G481" s="19">
        <v>0</v>
      </c>
    </row>
    <row r="482" spans="4:7" x14ac:dyDescent="0.3">
      <c r="D482" s="24" t="s">
        <v>237</v>
      </c>
      <c r="E482" s="7">
        <v>0</v>
      </c>
      <c r="F482" s="23">
        <v>0</v>
      </c>
      <c r="G482" s="19">
        <v>0</v>
      </c>
    </row>
    <row r="483" spans="4:7" x14ac:dyDescent="0.3">
      <c r="D483" s="24" t="s">
        <v>237</v>
      </c>
      <c r="E483" s="7">
        <v>0</v>
      </c>
      <c r="F483" s="23">
        <v>0</v>
      </c>
      <c r="G483" s="19">
        <v>0</v>
      </c>
    </row>
    <row r="484" spans="4:7" x14ac:dyDescent="0.3">
      <c r="D484" s="24" t="s">
        <v>237</v>
      </c>
      <c r="E484" s="7">
        <v>0</v>
      </c>
      <c r="F484" s="23">
        <v>0</v>
      </c>
      <c r="G484" s="19">
        <v>0</v>
      </c>
    </row>
    <row r="485" spans="4:7" x14ac:dyDescent="0.3">
      <c r="D485" s="24" t="s">
        <v>237</v>
      </c>
      <c r="E485" s="7">
        <v>0</v>
      </c>
      <c r="F485" s="23">
        <v>0</v>
      </c>
      <c r="G485" s="19">
        <v>0</v>
      </c>
    </row>
    <row r="486" spans="4:7" x14ac:dyDescent="0.3">
      <c r="D486" s="24" t="s">
        <v>237</v>
      </c>
      <c r="E486" s="7">
        <v>0</v>
      </c>
      <c r="F486" s="23">
        <v>0</v>
      </c>
      <c r="G486" s="19">
        <v>0</v>
      </c>
    </row>
    <row r="487" spans="4:7" x14ac:dyDescent="0.3">
      <c r="D487" s="24" t="s">
        <v>237</v>
      </c>
      <c r="E487" s="7">
        <v>0</v>
      </c>
      <c r="F487" s="23">
        <v>0</v>
      </c>
      <c r="G487" s="19">
        <v>0</v>
      </c>
    </row>
    <row r="488" spans="4:7" x14ac:dyDescent="0.3">
      <c r="D488" s="24" t="s">
        <v>237</v>
      </c>
      <c r="E488" s="7">
        <v>0</v>
      </c>
      <c r="F488" s="23">
        <v>0</v>
      </c>
      <c r="G488" s="19">
        <v>0</v>
      </c>
    </row>
    <row r="489" spans="4:7" x14ac:dyDescent="0.3">
      <c r="D489" s="24" t="s">
        <v>237</v>
      </c>
      <c r="E489" s="7">
        <v>0</v>
      </c>
      <c r="F489" s="23">
        <v>0</v>
      </c>
      <c r="G489" s="19">
        <v>0</v>
      </c>
    </row>
    <row r="490" spans="4:7" x14ac:dyDescent="0.3">
      <c r="D490" s="24" t="s">
        <v>237</v>
      </c>
      <c r="E490" s="7">
        <v>0</v>
      </c>
      <c r="F490" s="23">
        <v>0</v>
      </c>
      <c r="G490" s="19">
        <v>0</v>
      </c>
    </row>
    <row r="491" spans="4:7" x14ac:dyDescent="0.3">
      <c r="D491" s="24" t="s">
        <v>237</v>
      </c>
      <c r="E491" s="7">
        <v>0</v>
      </c>
      <c r="F491" s="23">
        <v>0</v>
      </c>
      <c r="G491" s="19">
        <v>0</v>
      </c>
    </row>
    <row r="492" spans="4:7" x14ac:dyDescent="0.3">
      <c r="D492" s="24" t="s">
        <v>237</v>
      </c>
      <c r="E492" s="7">
        <v>0</v>
      </c>
      <c r="F492" s="23">
        <v>0</v>
      </c>
      <c r="G492" s="19">
        <v>0</v>
      </c>
    </row>
    <row r="493" spans="4:7" x14ac:dyDescent="0.3">
      <c r="D493" s="24" t="s">
        <v>237</v>
      </c>
      <c r="E493" s="7">
        <v>0</v>
      </c>
      <c r="F493" s="23">
        <v>0</v>
      </c>
      <c r="G493" s="19">
        <v>0</v>
      </c>
    </row>
    <row r="494" spans="4:7" x14ac:dyDescent="0.3">
      <c r="D494" s="24" t="s">
        <v>237</v>
      </c>
      <c r="E494" s="7">
        <v>0</v>
      </c>
      <c r="F494" s="23">
        <v>0</v>
      </c>
      <c r="G494" s="19">
        <v>0</v>
      </c>
    </row>
    <row r="495" spans="4:7" x14ac:dyDescent="0.3">
      <c r="D495" s="24" t="s">
        <v>237</v>
      </c>
      <c r="E495" s="7">
        <v>0</v>
      </c>
      <c r="F495" s="23">
        <v>0</v>
      </c>
      <c r="G495" s="19">
        <v>0</v>
      </c>
    </row>
    <row r="496" spans="4:7" x14ac:dyDescent="0.3">
      <c r="D496" s="24" t="s">
        <v>237</v>
      </c>
      <c r="E496" s="7">
        <v>0</v>
      </c>
      <c r="F496" s="23">
        <v>0</v>
      </c>
      <c r="G496" s="19">
        <v>0</v>
      </c>
    </row>
    <row r="497" spans="4:7" x14ac:dyDescent="0.3">
      <c r="D497" s="24" t="s">
        <v>237</v>
      </c>
      <c r="E497" s="7">
        <v>0</v>
      </c>
      <c r="F497" s="23">
        <v>0</v>
      </c>
      <c r="G497" s="19">
        <v>0</v>
      </c>
    </row>
    <row r="498" spans="4:7" x14ac:dyDescent="0.3">
      <c r="D498" s="24" t="s">
        <v>237</v>
      </c>
      <c r="E498" s="7">
        <v>0</v>
      </c>
      <c r="F498" s="23">
        <v>0</v>
      </c>
      <c r="G498" s="19">
        <v>0</v>
      </c>
    </row>
    <row r="499" spans="4:7" x14ac:dyDescent="0.3">
      <c r="D499" s="24" t="s">
        <v>237</v>
      </c>
      <c r="E499" s="7">
        <v>0</v>
      </c>
      <c r="F499" s="23">
        <v>0</v>
      </c>
      <c r="G499" s="19">
        <v>0</v>
      </c>
    </row>
    <row r="500" spans="4:7" x14ac:dyDescent="0.3">
      <c r="D500" s="24" t="s">
        <v>237</v>
      </c>
      <c r="E500" s="7">
        <v>0</v>
      </c>
      <c r="F500" s="23">
        <v>0</v>
      </c>
      <c r="G500" s="19">
        <v>0</v>
      </c>
    </row>
    <row r="501" spans="4:7" x14ac:dyDescent="0.3">
      <c r="D501" s="24" t="s">
        <v>237</v>
      </c>
      <c r="E501" s="7">
        <v>0</v>
      </c>
      <c r="F501" s="23">
        <v>0</v>
      </c>
      <c r="G501" s="19">
        <v>0</v>
      </c>
    </row>
    <row r="502" spans="4:7" x14ac:dyDescent="0.3">
      <c r="D502" s="24" t="s">
        <v>237</v>
      </c>
      <c r="E502" s="7">
        <v>0</v>
      </c>
      <c r="F502" s="23">
        <v>0</v>
      </c>
      <c r="G502" s="19">
        <v>0</v>
      </c>
    </row>
    <row r="503" spans="4:7" x14ac:dyDescent="0.3">
      <c r="D503" s="24" t="s">
        <v>237</v>
      </c>
      <c r="E503" s="7">
        <v>0</v>
      </c>
      <c r="F503" s="23">
        <v>0</v>
      </c>
      <c r="G503" s="19">
        <v>0</v>
      </c>
    </row>
    <row r="504" spans="4:7" x14ac:dyDescent="0.3">
      <c r="D504" s="24" t="s">
        <v>237</v>
      </c>
      <c r="E504" s="7">
        <v>0</v>
      </c>
      <c r="F504" s="23">
        <v>0</v>
      </c>
      <c r="G504" s="19">
        <v>0</v>
      </c>
    </row>
    <row r="505" spans="4:7" x14ac:dyDescent="0.3">
      <c r="D505" s="24" t="s">
        <v>237</v>
      </c>
      <c r="E505" s="7">
        <v>0</v>
      </c>
      <c r="F505" s="23">
        <v>0</v>
      </c>
      <c r="G505" s="19">
        <v>0</v>
      </c>
    </row>
    <row r="506" spans="4:7" x14ac:dyDescent="0.3">
      <c r="D506" s="24" t="s">
        <v>237</v>
      </c>
      <c r="E506" s="7">
        <v>0</v>
      </c>
      <c r="F506" s="23">
        <v>0</v>
      </c>
      <c r="G506" s="19">
        <v>0</v>
      </c>
    </row>
    <row r="507" spans="4:7" x14ac:dyDescent="0.3">
      <c r="D507" s="24" t="s">
        <v>237</v>
      </c>
      <c r="E507" s="7">
        <v>0</v>
      </c>
      <c r="F507" s="23">
        <v>0</v>
      </c>
      <c r="G507" s="19">
        <v>0</v>
      </c>
    </row>
    <row r="508" spans="4:7" x14ac:dyDescent="0.3">
      <c r="D508" s="24" t="s">
        <v>237</v>
      </c>
      <c r="E508" s="7">
        <v>0</v>
      </c>
      <c r="F508" s="23">
        <v>0</v>
      </c>
      <c r="G508" s="19">
        <v>0</v>
      </c>
    </row>
    <row r="509" spans="4:7" x14ac:dyDescent="0.3">
      <c r="D509" s="24" t="s">
        <v>237</v>
      </c>
      <c r="E509" s="7">
        <v>0</v>
      </c>
      <c r="F509" s="23">
        <v>0</v>
      </c>
      <c r="G509" s="19">
        <v>0</v>
      </c>
    </row>
    <row r="510" spans="4:7" x14ac:dyDescent="0.3">
      <c r="D510" s="24" t="s">
        <v>237</v>
      </c>
      <c r="E510" s="7">
        <v>0</v>
      </c>
      <c r="F510" s="23">
        <v>0</v>
      </c>
      <c r="G510" s="19">
        <v>0</v>
      </c>
    </row>
    <row r="511" spans="4:7" x14ac:dyDescent="0.3">
      <c r="D511" s="24" t="s">
        <v>237</v>
      </c>
      <c r="E511" s="7">
        <v>0</v>
      </c>
      <c r="F511" s="23">
        <v>0</v>
      </c>
      <c r="G511" s="19">
        <v>0</v>
      </c>
    </row>
    <row r="512" spans="4:7" x14ac:dyDescent="0.3">
      <c r="D512" s="24" t="s">
        <v>237</v>
      </c>
      <c r="E512" s="7">
        <v>0</v>
      </c>
      <c r="F512" s="23">
        <v>0</v>
      </c>
      <c r="G512" s="19">
        <v>0</v>
      </c>
    </row>
    <row r="513" spans="4:7" x14ac:dyDescent="0.3">
      <c r="D513" s="24" t="s">
        <v>237</v>
      </c>
      <c r="E513" s="7">
        <v>0</v>
      </c>
      <c r="F513" s="23">
        <v>0</v>
      </c>
      <c r="G513" s="19">
        <v>0</v>
      </c>
    </row>
    <row r="514" spans="4:7" x14ac:dyDescent="0.3">
      <c r="D514" s="24" t="s">
        <v>237</v>
      </c>
      <c r="E514" s="7">
        <v>0</v>
      </c>
      <c r="F514" s="23">
        <v>0</v>
      </c>
      <c r="G514" s="19">
        <v>0</v>
      </c>
    </row>
    <row r="515" spans="4:7" x14ac:dyDescent="0.3">
      <c r="D515" s="24" t="s">
        <v>237</v>
      </c>
      <c r="E515" s="7">
        <v>0</v>
      </c>
      <c r="F515" s="23">
        <v>0</v>
      </c>
      <c r="G515" s="19">
        <v>0</v>
      </c>
    </row>
    <row r="516" spans="4:7" x14ac:dyDescent="0.3">
      <c r="D516" s="24" t="s">
        <v>237</v>
      </c>
      <c r="E516" s="7">
        <v>0</v>
      </c>
      <c r="F516" s="23">
        <v>0</v>
      </c>
      <c r="G516" s="19">
        <v>0</v>
      </c>
    </row>
    <row r="517" spans="4:7" x14ac:dyDescent="0.3">
      <c r="D517" s="24" t="s">
        <v>237</v>
      </c>
      <c r="E517" s="7">
        <v>0</v>
      </c>
      <c r="F517" s="23">
        <v>0</v>
      </c>
      <c r="G517" s="19">
        <v>0</v>
      </c>
    </row>
    <row r="518" spans="4:7" x14ac:dyDescent="0.3">
      <c r="D518" s="24" t="s">
        <v>237</v>
      </c>
      <c r="E518" s="7">
        <v>0</v>
      </c>
      <c r="F518" s="23">
        <v>0</v>
      </c>
      <c r="G518" s="19">
        <v>0</v>
      </c>
    </row>
    <row r="519" spans="4:7" x14ac:dyDescent="0.3">
      <c r="D519" s="24" t="s">
        <v>237</v>
      </c>
      <c r="E519" s="7">
        <v>0</v>
      </c>
      <c r="F519" s="23">
        <v>0</v>
      </c>
      <c r="G519" s="19">
        <v>0</v>
      </c>
    </row>
    <row r="520" spans="4:7" x14ac:dyDescent="0.3">
      <c r="D520" s="24" t="s">
        <v>237</v>
      </c>
      <c r="E520" s="7">
        <v>0</v>
      </c>
      <c r="F520" s="23">
        <v>0</v>
      </c>
      <c r="G520" s="19">
        <v>0</v>
      </c>
    </row>
    <row r="521" spans="4:7" x14ac:dyDescent="0.3">
      <c r="D521" s="24" t="s">
        <v>237</v>
      </c>
      <c r="E521" s="7">
        <v>0</v>
      </c>
      <c r="F521" s="23">
        <v>0</v>
      </c>
      <c r="G521" s="19">
        <v>0</v>
      </c>
    </row>
    <row r="522" spans="4:7" x14ac:dyDescent="0.3">
      <c r="D522" s="24" t="s">
        <v>237</v>
      </c>
      <c r="E522" s="7">
        <v>0</v>
      </c>
      <c r="F522" s="23">
        <v>0</v>
      </c>
      <c r="G522" s="19">
        <v>0</v>
      </c>
    </row>
    <row r="523" spans="4:7" x14ac:dyDescent="0.3">
      <c r="D523" s="24" t="s">
        <v>237</v>
      </c>
      <c r="E523" s="7">
        <v>0</v>
      </c>
      <c r="F523" s="23">
        <v>0</v>
      </c>
      <c r="G523" s="19">
        <v>0</v>
      </c>
    </row>
    <row r="524" spans="4:7" x14ac:dyDescent="0.3">
      <c r="D524" s="24" t="s">
        <v>237</v>
      </c>
      <c r="E524" s="7">
        <v>0</v>
      </c>
      <c r="F524" s="23">
        <v>0</v>
      </c>
      <c r="G524" s="19">
        <v>0</v>
      </c>
    </row>
    <row r="525" spans="4:7" x14ac:dyDescent="0.3">
      <c r="D525" s="24" t="s">
        <v>237</v>
      </c>
      <c r="E525" s="7">
        <v>0</v>
      </c>
      <c r="F525" s="23">
        <v>0</v>
      </c>
      <c r="G525" s="19">
        <v>0</v>
      </c>
    </row>
    <row r="526" spans="4:7" x14ac:dyDescent="0.3">
      <c r="D526" s="24" t="s">
        <v>237</v>
      </c>
      <c r="E526" s="7">
        <v>0</v>
      </c>
      <c r="F526" s="23">
        <v>0</v>
      </c>
      <c r="G526" s="19">
        <v>0</v>
      </c>
    </row>
    <row r="527" spans="4:7" x14ac:dyDescent="0.3">
      <c r="D527" s="24" t="s">
        <v>237</v>
      </c>
      <c r="E527" s="7">
        <v>0</v>
      </c>
      <c r="F527" s="23">
        <v>0</v>
      </c>
      <c r="G527" s="19">
        <v>0</v>
      </c>
    </row>
    <row r="528" spans="4:7" x14ac:dyDescent="0.3">
      <c r="D528" s="24" t="s">
        <v>237</v>
      </c>
      <c r="E528" s="7">
        <v>0</v>
      </c>
      <c r="F528" s="23">
        <v>0</v>
      </c>
      <c r="G528" s="19">
        <v>0</v>
      </c>
    </row>
    <row r="529" spans="4:7" x14ac:dyDescent="0.3">
      <c r="D529" s="24" t="s">
        <v>237</v>
      </c>
      <c r="E529" s="7">
        <v>0</v>
      </c>
      <c r="F529" s="23">
        <v>0</v>
      </c>
      <c r="G529" s="19">
        <v>0</v>
      </c>
    </row>
    <row r="530" spans="4:7" x14ac:dyDescent="0.3">
      <c r="D530" s="24" t="s">
        <v>237</v>
      </c>
      <c r="E530" s="7">
        <v>0</v>
      </c>
      <c r="F530" s="23">
        <v>0</v>
      </c>
      <c r="G530" s="19">
        <v>0</v>
      </c>
    </row>
    <row r="531" spans="4:7" x14ac:dyDescent="0.3">
      <c r="D531" s="24" t="s">
        <v>237</v>
      </c>
      <c r="E531" s="7">
        <v>0</v>
      </c>
      <c r="F531" s="23">
        <v>0</v>
      </c>
      <c r="G531" s="19">
        <v>0</v>
      </c>
    </row>
    <row r="532" spans="4:7" x14ac:dyDescent="0.3">
      <c r="D532" s="24" t="s">
        <v>237</v>
      </c>
      <c r="E532" s="7">
        <v>0</v>
      </c>
      <c r="F532" s="23">
        <v>0</v>
      </c>
      <c r="G532" s="19">
        <v>0</v>
      </c>
    </row>
    <row r="533" spans="4:7" x14ac:dyDescent="0.3">
      <c r="D533" s="24" t="s">
        <v>237</v>
      </c>
      <c r="E533" s="7">
        <v>0</v>
      </c>
      <c r="F533" s="23">
        <v>0</v>
      </c>
      <c r="G533" s="19">
        <v>0</v>
      </c>
    </row>
    <row r="534" spans="4:7" x14ac:dyDescent="0.3">
      <c r="D534" s="24" t="s">
        <v>237</v>
      </c>
      <c r="E534" s="7">
        <v>0</v>
      </c>
      <c r="F534" s="23">
        <v>0</v>
      </c>
      <c r="G534" s="19">
        <v>0</v>
      </c>
    </row>
    <row r="535" spans="4:7" x14ac:dyDescent="0.3">
      <c r="D535" s="24" t="s">
        <v>237</v>
      </c>
      <c r="E535" s="7">
        <v>0</v>
      </c>
      <c r="F535" s="23">
        <v>0</v>
      </c>
      <c r="G535" s="19">
        <v>0</v>
      </c>
    </row>
    <row r="536" spans="4:7" x14ac:dyDescent="0.3">
      <c r="D536" s="24" t="s">
        <v>237</v>
      </c>
      <c r="E536" s="7">
        <v>0</v>
      </c>
      <c r="F536" s="23">
        <v>0</v>
      </c>
      <c r="G536" s="19">
        <v>0</v>
      </c>
    </row>
    <row r="537" spans="4:7" x14ac:dyDescent="0.3">
      <c r="D537" s="24" t="s">
        <v>237</v>
      </c>
      <c r="E537" s="7">
        <v>0</v>
      </c>
      <c r="F537" s="23">
        <v>0</v>
      </c>
      <c r="G537" s="19">
        <v>0</v>
      </c>
    </row>
    <row r="538" spans="4:7" x14ac:dyDescent="0.3">
      <c r="D538" s="24" t="s">
        <v>237</v>
      </c>
      <c r="E538" s="7">
        <v>0</v>
      </c>
      <c r="F538" s="23">
        <v>0</v>
      </c>
      <c r="G538" s="19">
        <v>0</v>
      </c>
    </row>
    <row r="539" spans="4:7" x14ac:dyDescent="0.3">
      <c r="D539" s="24" t="s">
        <v>237</v>
      </c>
      <c r="E539" s="7">
        <v>0</v>
      </c>
      <c r="F539" s="23">
        <v>0</v>
      </c>
      <c r="G539" s="19">
        <v>0</v>
      </c>
    </row>
    <row r="540" spans="4:7" x14ac:dyDescent="0.3">
      <c r="D540" s="24" t="s">
        <v>237</v>
      </c>
      <c r="E540" s="7">
        <v>0</v>
      </c>
      <c r="F540" s="23">
        <v>0</v>
      </c>
      <c r="G540" s="19">
        <v>0</v>
      </c>
    </row>
    <row r="541" spans="4:7" x14ac:dyDescent="0.3">
      <c r="D541" s="24" t="s">
        <v>237</v>
      </c>
      <c r="E541" s="7">
        <v>0</v>
      </c>
      <c r="F541" s="23">
        <v>0</v>
      </c>
      <c r="G541" s="19">
        <v>0</v>
      </c>
    </row>
    <row r="542" spans="4:7" x14ac:dyDescent="0.3">
      <c r="D542" s="24" t="s">
        <v>237</v>
      </c>
      <c r="E542" s="7">
        <v>0</v>
      </c>
      <c r="F542" s="23">
        <v>0</v>
      </c>
      <c r="G542" s="19">
        <v>0</v>
      </c>
    </row>
    <row r="543" spans="4:7" x14ac:dyDescent="0.3">
      <c r="D543" s="24" t="s">
        <v>237</v>
      </c>
      <c r="E543" s="7">
        <v>0</v>
      </c>
      <c r="F543" s="23">
        <v>0</v>
      </c>
      <c r="G543" s="19">
        <v>0</v>
      </c>
    </row>
    <row r="544" spans="4:7" x14ac:dyDescent="0.3">
      <c r="D544" s="24" t="s">
        <v>237</v>
      </c>
      <c r="E544" s="7">
        <v>0</v>
      </c>
      <c r="F544" s="23">
        <v>0</v>
      </c>
      <c r="G544" s="19">
        <v>0</v>
      </c>
    </row>
    <row r="545" spans="4:7" x14ac:dyDescent="0.3">
      <c r="D545" s="24" t="s">
        <v>237</v>
      </c>
      <c r="E545" s="7">
        <v>0</v>
      </c>
      <c r="F545" s="23">
        <v>0</v>
      </c>
      <c r="G545" s="19">
        <v>0</v>
      </c>
    </row>
    <row r="546" spans="4:7" x14ac:dyDescent="0.3">
      <c r="D546" s="24" t="s">
        <v>237</v>
      </c>
      <c r="E546" s="7">
        <v>0</v>
      </c>
      <c r="F546" s="23">
        <v>0</v>
      </c>
      <c r="G546" s="19">
        <v>0</v>
      </c>
    </row>
    <row r="547" spans="4:7" x14ac:dyDescent="0.3">
      <c r="D547" s="24" t="s">
        <v>237</v>
      </c>
      <c r="E547" s="7">
        <v>0</v>
      </c>
      <c r="F547" s="23">
        <v>0</v>
      </c>
      <c r="G547" s="19">
        <v>0</v>
      </c>
    </row>
    <row r="548" spans="4:7" x14ac:dyDescent="0.3">
      <c r="D548" s="24" t="s">
        <v>237</v>
      </c>
      <c r="E548" s="7">
        <v>0</v>
      </c>
      <c r="F548" s="23">
        <v>0</v>
      </c>
      <c r="G548" s="19">
        <v>0</v>
      </c>
    </row>
    <row r="549" spans="4:7" x14ac:dyDescent="0.3">
      <c r="D549" s="24" t="s">
        <v>237</v>
      </c>
      <c r="E549" s="7">
        <v>0</v>
      </c>
      <c r="F549" s="23">
        <v>0</v>
      </c>
      <c r="G549" s="19">
        <v>0</v>
      </c>
    </row>
    <row r="550" spans="4:7" x14ac:dyDescent="0.3">
      <c r="D550" s="24" t="s">
        <v>237</v>
      </c>
      <c r="E550" s="7">
        <v>0</v>
      </c>
      <c r="F550" s="23">
        <v>0</v>
      </c>
      <c r="G550" s="19">
        <v>0</v>
      </c>
    </row>
    <row r="551" spans="4:7" x14ac:dyDescent="0.3">
      <c r="D551" s="24" t="s">
        <v>237</v>
      </c>
      <c r="E551" s="7">
        <v>0</v>
      </c>
      <c r="F551" s="23">
        <v>0</v>
      </c>
      <c r="G551" s="19">
        <v>0</v>
      </c>
    </row>
    <row r="552" spans="4:7" x14ac:dyDescent="0.3">
      <c r="D552" s="24" t="s">
        <v>237</v>
      </c>
      <c r="E552" s="7">
        <v>0</v>
      </c>
      <c r="F552" s="23">
        <v>0</v>
      </c>
      <c r="G552" s="19">
        <v>0</v>
      </c>
    </row>
    <row r="553" spans="4:7" x14ac:dyDescent="0.3">
      <c r="D553" s="24" t="s">
        <v>237</v>
      </c>
      <c r="E553" s="7">
        <v>0</v>
      </c>
      <c r="F553" s="23">
        <v>0</v>
      </c>
      <c r="G553" s="19">
        <v>0</v>
      </c>
    </row>
    <row r="554" spans="4:7" x14ac:dyDescent="0.3">
      <c r="D554" s="24" t="s">
        <v>237</v>
      </c>
      <c r="E554" s="7">
        <v>0</v>
      </c>
      <c r="F554" s="23">
        <v>0</v>
      </c>
      <c r="G554" s="19">
        <v>0</v>
      </c>
    </row>
    <row r="555" spans="4:7" x14ac:dyDescent="0.3">
      <c r="D555" s="24" t="s">
        <v>237</v>
      </c>
      <c r="E555" s="7">
        <v>0</v>
      </c>
      <c r="F555" s="23">
        <v>0</v>
      </c>
      <c r="G555" s="19">
        <v>0</v>
      </c>
    </row>
    <row r="556" spans="4:7" x14ac:dyDescent="0.3">
      <c r="D556" s="24" t="s">
        <v>237</v>
      </c>
      <c r="E556" s="7">
        <v>0</v>
      </c>
      <c r="F556" s="23">
        <v>0</v>
      </c>
      <c r="G556" s="19">
        <v>0</v>
      </c>
    </row>
    <row r="557" spans="4:7" x14ac:dyDescent="0.3">
      <c r="D557" s="24" t="s">
        <v>237</v>
      </c>
      <c r="E557" s="7">
        <v>0</v>
      </c>
      <c r="F557" s="23">
        <v>0</v>
      </c>
      <c r="G557" s="19">
        <v>0</v>
      </c>
    </row>
    <row r="558" spans="4:7" x14ac:dyDescent="0.3">
      <c r="D558" s="24" t="s">
        <v>237</v>
      </c>
      <c r="E558" s="7">
        <v>0</v>
      </c>
      <c r="F558" s="23">
        <v>0</v>
      </c>
      <c r="G558" s="19">
        <v>0</v>
      </c>
    </row>
    <row r="559" spans="4:7" x14ac:dyDescent="0.3">
      <c r="D559" s="24" t="s">
        <v>237</v>
      </c>
      <c r="E559" s="7">
        <v>0</v>
      </c>
      <c r="F559" s="23">
        <v>0</v>
      </c>
      <c r="G559" s="19">
        <v>0</v>
      </c>
    </row>
    <row r="560" spans="4:7" x14ac:dyDescent="0.3">
      <c r="D560" s="24" t="s">
        <v>237</v>
      </c>
      <c r="E560" s="7">
        <v>0</v>
      </c>
      <c r="F560" s="23">
        <v>0</v>
      </c>
      <c r="G560" s="19">
        <v>0</v>
      </c>
    </row>
    <row r="561" spans="4:7" x14ac:dyDescent="0.3">
      <c r="D561" s="24" t="s">
        <v>237</v>
      </c>
      <c r="E561" s="7">
        <v>0</v>
      </c>
      <c r="F561" s="23">
        <v>0</v>
      </c>
      <c r="G561" s="19">
        <v>0</v>
      </c>
    </row>
    <row r="562" spans="4:7" x14ac:dyDescent="0.3">
      <c r="D562" s="24" t="s">
        <v>237</v>
      </c>
      <c r="E562" s="7">
        <v>0</v>
      </c>
      <c r="F562" s="23">
        <v>0</v>
      </c>
      <c r="G562" s="19">
        <v>0</v>
      </c>
    </row>
    <row r="563" spans="4:7" x14ac:dyDescent="0.3">
      <c r="D563" s="24" t="s">
        <v>237</v>
      </c>
      <c r="E563" s="7">
        <v>0</v>
      </c>
      <c r="F563" s="23">
        <v>0</v>
      </c>
      <c r="G563" s="19">
        <v>0</v>
      </c>
    </row>
    <row r="564" spans="4:7" x14ac:dyDescent="0.3">
      <c r="D564" s="24" t="s">
        <v>237</v>
      </c>
      <c r="E564" s="7">
        <v>0</v>
      </c>
      <c r="F564" s="23">
        <v>0</v>
      </c>
      <c r="G564" s="19">
        <v>0</v>
      </c>
    </row>
    <row r="565" spans="4:7" x14ac:dyDescent="0.3">
      <c r="D565" s="24" t="s">
        <v>237</v>
      </c>
      <c r="E565" s="7">
        <v>0</v>
      </c>
      <c r="F565" s="23">
        <v>0</v>
      </c>
      <c r="G565" s="19">
        <v>0</v>
      </c>
    </row>
    <row r="566" spans="4:7" x14ac:dyDescent="0.3">
      <c r="D566" s="24" t="s">
        <v>237</v>
      </c>
      <c r="E566" s="7">
        <v>0</v>
      </c>
      <c r="F566" s="23">
        <v>0</v>
      </c>
      <c r="G566" s="19">
        <v>0</v>
      </c>
    </row>
    <row r="567" spans="4:7" x14ac:dyDescent="0.3">
      <c r="D567" s="24" t="s">
        <v>237</v>
      </c>
      <c r="E567" s="7">
        <v>0</v>
      </c>
      <c r="F567" s="23">
        <v>0</v>
      </c>
      <c r="G567" s="19">
        <v>0</v>
      </c>
    </row>
    <row r="568" spans="4:7" x14ac:dyDescent="0.3">
      <c r="D568" s="24" t="s">
        <v>237</v>
      </c>
      <c r="E568" s="7">
        <v>0</v>
      </c>
      <c r="F568" s="23">
        <v>0</v>
      </c>
      <c r="G568" s="19">
        <v>0</v>
      </c>
    </row>
    <row r="569" spans="4:7" x14ac:dyDescent="0.3">
      <c r="D569" s="24" t="s">
        <v>237</v>
      </c>
      <c r="E569" s="7">
        <v>0</v>
      </c>
      <c r="F569" s="23">
        <v>0</v>
      </c>
      <c r="G569" s="19">
        <v>0</v>
      </c>
    </row>
    <row r="570" spans="4:7" x14ac:dyDescent="0.3">
      <c r="D570" s="24" t="s">
        <v>237</v>
      </c>
      <c r="E570" s="7">
        <v>0</v>
      </c>
      <c r="F570" s="23">
        <v>0</v>
      </c>
      <c r="G570" s="19">
        <v>0</v>
      </c>
    </row>
    <row r="571" spans="4:7" x14ac:dyDescent="0.3">
      <c r="D571" s="24" t="s">
        <v>237</v>
      </c>
      <c r="E571" s="7">
        <v>0</v>
      </c>
      <c r="F571" s="23">
        <v>0</v>
      </c>
      <c r="G571" s="19">
        <v>0</v>
      </c>
    </row>
    <row r="572" spans="4:7" x14ac:dyDescent="0.3">
      <c r="D572" s="24" t="s">
        <v>237</v>
      </c>
      <c r="E572" s="7">
        <v>0</v>
      </c>
      <c r="F572" s="23">
        <v>0</v>
      </c>
      <c r="G572" s="19">
        <v>0</v>
      </c>
    </row>
    <row r="573" spans="4:7" x14ac:dyDescent="0.3">
      <c r="D573" s="24" t="s">
        <v>237</v>
      </c>
      <c r="E573" s="7">
        <v>0</v>
      </c>
      <c r="F573" s="23">
        <v>0</v>
      </c>
      <c r="G573" s="19">
        <v>0</v>
      </c>
    </row>
    <row r="574" spans="4:7" x14ac:dyDescent="0.3">
      <c r="D574" s="24" t="s">
        <v>237</v>
      </c>
      <c r="E574" s="7">
        <v>0</v>
      </c>
      <c r="F574" s="23">
        <v>0</v>
      </c>
      <c r="G574" s="19">
        <v>0</v>
      </c>
    </row>
    <row r="575" spans="4:7" x14ac:dyDescent="0.3">
      <c r="D575" s="24" t="s">
        <v>237</v>
      </c>
      <c r="E575" s="7">
        <v>0</v>
      </c>
      <c r="F575" s="23">
        <v>0</v>
      </c>
      <c r="G575" s="19">
        <v>0</v>
      </c>
    </row>
    <row r="576" spans="4:7" x14ac:dyDescent="0.3">
      <c r="D576" s="24" t="s">
        <v>237</v>
      </c>
      <c r="E576" s="7">
        <v>0</v>
      </c>
      <c r="F576" s="23">
        <v>0</v>
      </c>
      <c r="G576" s="19">
        <v>0</v>
      </c>
    </row>
    <row r="577" spans="4:7" x14ac:dyDescent="0.3">
      <c r="D577" s="24" t="s">
        <v>237</v>
      </c>
      <c r="E577" s="7">
        <v>0</v>
      </c>
      <c r="F577" s="23">
        <v>0</v>
      </c>
      <c r="G577" s="19">
        <v>0</v>
      </c>
    </row>
    <row r="578" spans="4:7" x14ac:dyDescent="0.3">
      <c r="D578" s="24" t="s">
        <v>237</v>
      </c>
      <c r="E578" s="7">
        <v>0</v>
      </c>
      <c r="F578" s="23">
        <v>0</v>
      </c>
      <c r="G578" s="19">
        <v>0</v>
      </c>
    </row>
    <row r="579" spans="4:7" x14ac:dyDescent="0.3">
      <c r="D579" s="24" t="s">
        <v>237</v>
      </c>
      <c r="E579" s="7">
        <v>0</v>
      </c>
      <c r="F579" s="23">
        <v>0</v>
      </c>
      <c r="G579" s="19">
        <v>0</v>
      </c>
    </row>
    <row r="580" spans="4:7" x14ac:dyDescent="0.3">
      <c r="D580" s="24" t="s">
        <v>237</v>
      </c>
      <c r="E580" s="7">
        <v>0</v>
      </c>
      <c r="F580" s="23">
        <v>0</v>
      </c>
      <c r="G580" s="19">
        <v>0</v>
      </c>
    </row>
    <row r="581" spans="4:7" x14ac:dyDescent="0.3">
      <c r="D581" s="24" t="s">
        <v>237</v>
      </c>
      <c r="E581" s="7">
        <v>0</v>
      </c>
      <c r="F581" s="23">
        <v>0</v>
      </c>
      <c r="G581" s="19">
        <v>0</v>
      </c>
    </row>
    <row r="582" spans="4:7" x14ac:dyDescent="0.3">
      <c r="D582" s="24" t="s">
        <v>237</v>
      </c>
      <c r="E582" s="7">
        <v>0</v>
      </c>
      <c r="F582" s="23">
        <v>0</v>
      </c>
      <c r="G582" s="19">
        <v>0</v>
      </c>
    </row>
    <row r="583" spans="4:7" x14ac:dyDescent="0.3">
      <c r="D583" s="24" t="s">
        <v>237</v>
      </c>
      <c r="E583" s="7">
        <v>0</v>
      </c>
      <c r="F583" s="23">
        <v>0</v>
      </c>
      <c r="G583" s="19">
        <v>0</v>
      </c>
    </row>
    <row r="584" spans="4:7" x14ac:dyDescent="0.3">
      <c r="D584" s="24" t="s">
        <v>237</v>
      </c>
      <c r="E584" s="7">
        <v>0</v>
      </c>
      <c r="F584" s="23">
        <v>0</v>
      </c>
      <c r="G584" s="19">
        <v>0</v>
      </c>
    </row>
    <row r="585" spans="4:7" x14ac:dyDescent="0.3">
      <c r="D585" s="24" t="s">
        <v>237</v>
      </c>
      <c r="E585" s="7">
        <v>0</v>
      </c>
      <c r="F585" s="23">
        <v>0</v>
      </c>
      <c r="G585" s="19">
        <v>0</v>
      </c>
    </row>
    <row r="586" spans="4:7" x14ac:dyDescent="0.3">
      <c r="D586" s="24" t="s">
        <v>237</v>
      </c>
      <c r="E586" s="7">
        <v>0</v>
      </c>
      <c r="F586" s="23">
        <v>0</v>
      </c>
      <c r="G586" s="19">
        <v>0</v>
      </c>
    </row>
    <row r="587" spans="4:7" x14ac:dyDescent="0.3">
      <c r="D587" s="24" t="s">
        <v>237</v>
      </c>
      <c r="E587" s="7">
        <v>0</v>
      </c>
      <c r="F587" s="23">
        <v>0</v>
      </c>
      <c r="G587" s="19">
        <v>0</v>
      </c>
    </row>
    <row r="588" spans="4:7" x14ac:dyDescent="0.3">
      <c r="D588" s="24" t="s">
        <v>237</v>
      </c>
      <c r="E588" s="7">
        <v>0</v>
      </c>
      <c r="F588" s="23">
        <v>0</v>
      </c>
      <c r="G588" s="19">
        <v>0</v>
      </c>
    </row>
    <row r="589" spans="4:7" x14ac:dyDescent="0.3">
      <c r="D589" s="24" t="s">
        <v>237</v>
      </c>
      <c r="E589" s="7">
        <v>0</v>
      </c>
      <c r="F589" s="23">
        <v>0</v>
      </c>
      <c r="G589" s="19">
        <v>0</v>
      </c>
    </row>
    <row r="590" spans="4:7" x14ac:dyDescent="0.3">
      <c r="D590" s="24" t="s">
        <v>237</v>
      </c>
      <c r="E590" s="7">
        <v>0</v>
      </c>
      <c r="F590" s="23">
        <v>0</v>
      </c>
      <c r="G590" s="19">
        <v>0</v>
      </c>
    </row>
    <row r="591" spans="4:7" x14ac:dyDescent="0.3">
      <c r="D591" s="24" t="s">
        <v>237</v>
      </c>
      <c r="E591" s="7">
        <v>0</v>
      </c>
      <c r="F591" s="23">
        <v>0</v>
      </c>
      <c r="G591" s="19">
        <v>0</v>
      </c>
    </row>
    <row r="592" spans="4:7" x14ac:dyDescent="0.3">
      <c r="D592" s="24" t="s">
        <v>237</v>
      </c>
      <c r="E592" s="7">
        <v>0</v>
      </c>
      <c r="F592" s="23">
        <v>0</v>
      </c>
      <c r="G592" s="19">
        <v>0</v>
      </c>
    </row>
    <row r="593" spans="4:7" x14ac:dyDescent="0.3">
      <c r="D593" s="24" t="s">
        <v>237</v>
      </c>
      <c r="E593" s="7">
        <v>0</v>
      </c>
      <c r="F593" s="23">
        <v>0</v>
      </c>
      <c r="G593" s="19">
        <v>0</v>
      </c>
    </row>
    <row r="594" spans="4:7" x14ac:dyDescent="0.3">
      <c r="D594" s="24" t="s">
        <v>237</v>
      </c>
      <c r="E594" s="7">
        <v>0</v>
      </c>
      <c r="F594" s="23">
        <v>0</v>
      </c>
      <c r="G594" s="19">
        <v>0</v>
      </c>
    </row>
    <row r="595" spans="4:7" x14ac:dyDescent="0.3">
      <c r="D595" s="24" t="s">
        <v>237</v>
      </c>
      <c r="E595" s="7">
        <v>0</v>
      </c>
      <c r="F595" s="23">
        <v>0</v>
      </c>
      <c r="G595" s="19">
        <v>0</v>
      </c>
    </row>
    <row r="596" spans="4:7" x14ac:dyDescent="0.3">
      <c r="D596" s="24" t="s">
        <v>237</v>
      </c>
      <c r="E596" s="7">
        <v>0</v>
      </c>
      <c r="F596" s="23">
        <v>0</v>
      </c>
      <c r="G596" s="19">
        <v>0</v>
      </c>
    </row>
    <row r="597" spans="4:7" x14ac:dyDescent="0.3">
      <c r="D597" s="24" t="s">
        <v>237</v>
      </c>
      <c r="E597" s="7">
        <v>0</v>
      </c>
      <c r="F597" s="23">
        <v>0</v>
      </c>
      <c r="G597" s="19">
        <v>0</v>
      </c>
    </row>
    <row r="598" spans="4:7" x14ac:dyDescent="0.3">
      <c r="D598" s="24" t="s">
        <v>237</v>
      </c>
      <c r="E598" s="7">
        <v>0</v>
      </c>
      <c r="F598" s="23">
        <v>0</v>
      </c>
      <c r="G598" s="19">
        <v>0</v>
      </c>
    </row>
    <row r="599" spans="4:7" x14ac:dyDescent="0.3">
      <c r="D599" s="24" t="s">
        <v>237</v>
      </c>
      <c r="E599" s="7">
        <v>0</v>
      </c>
      <c r="F599" s="23">
        <v>0</v>
      </c>
      <c r="G599" s="19">
        <v>0</v>
      </c>
    </row>
    <row r="600" spans="4:7" x14ac:dyDescent="0.3">
      <c r="D600" s="24" t="s">
        <v>237</v>
      </c>
      <c r="E600" s="7">
        <v>0</v>
      </c>
      <c r="F600" s="23">
        <v>0</v>
      </c>
      <c r="G600" s="19">
        <v>0</v>
      </c>
    </row>
    <row r="601" spans="4:7" x14ac:dyDescent="0.3">
      <c r="D601" s="24" t="s">
        <v>237</v>
      </c>
      <c r="E601" s="7">
        <v>0</v>
      </c>
      <c r="F601" s="23">
        <v>0</v>
      </c>
      <c r="G601" s="19">
        <v>0</v>
      </c>
    </row>
    <row r="602" spans="4:7" x14ac:dyDescent="0.3">
      <c r="D602" s="24" t="s">
        <v>237</v>
      </c>
      <c r="E602" s="7">
        <v>0</v>
      </c>
      <c r="F602" s="23">
        <v>0</v>
      </c>
      <c r="G602" s="19">
        <v>0</v>
      </c>
    </row>
    <row r="603" spans="4:7" x14ac:dyDescent="0.3">
      <c r="D603" s="24" t="s">
        <v>237</v>
      </c>
      <c r="E603" s="7">
        <v>0</v>
      </c>
      <c r="F603" s="23">
        <v>0</v>
      </c>
      <c r="G603" s="19">
        <v>0</v>
      </c>
    </row>
    <row r="604" spans="4:7" x14ac:dyDescent="0.3">
      <c r="D604" s="24" t="s">
        <v>237</v>
      </c>
      <c r="E604" s="7">
        <v>0</v>
      </c>
      <c r="F604" s="23">
        <v>0</v>
      </c>
      <c r="G604" s="19">
        <v>0</v>
      </c>
    </row>
    <row r="605" spans="4:7" x14ac:dyDescent="0.3">
      <c r="D605" s="24" t="s">
        <v>237</v>
      </c>
      <c r="E605" s="7">
        <v>0</v>
      </c>
      <c r="F605" s="23">
        <v>0</v>
      </c>
      <c r="G605" s="19">
        <v>0</v>
      </c>
    </row>
    <row r="606" spans="4:7" x14ac:dyDescent="0.3">
      <c r="D606" s="24" t="s">
        <v>237</v>
      </c>
      <c r="E606" s="7">
        <v>0</v>
      </c>
      <c r="F606" s="23">
        <v>0</v>
      </c>
      <c r="G606" s="19">
        <v>0</v>
      </c>
    </row>
    <row r="607" spans="4:7" x14ac:dyDescent="0.3">
      <c r="D607" s="24" t="s">
        <v>237</v>
      </c>
      <c r="E607" s="7">
        <v>0</v>
      </c>
      <c r="F607" s="23">
        <v>0</v>
      </c>
      <c r="G607" s="19">
        <v>0</v>
      </c>
    </row>
    <row r="608" spans="4:7" x14ac:dyDescent="0.3">
      <c r="D608" s="24" t="s">
        <v>237</v>
      </c>
      <c r="E608" s="7">
        <v>0</v>
      </c>
      <c r="F608" s="23">
        <v>0</v>
      </c>
      <c r="G608" s="19">
        <v>0</v>
      </c>
    </row>
    <row r="609" spans="4:7" x14ac:dyDescent="0.3">
      <c r="D609" s="24" t="s">
        <v>237</v>
      </c>
      <c r="E609" s="7">
        <v>0</v>
      </c>
      <c r="F609" s="23">
        <v>0</v>
      </c>
      <c r="G609" s="19">
        <v>0</v>
      </c>
    </row>
    <row r="610" spans="4:7" x14ac:dyDescent="0.3">
      <c r="D610" s="24" t="s">
        <v>237</v>
      </c>
      <c r="E610" s="7">
        <v>0</v>
      </c>
      <c r="F610" s="23">
        <v>0</v>
      </c>
      <c r="G610" s="19">
        <v>0</v>
      </c>
    </row>
    <row r="611" spans="4:7" x14ac:dyDescent="0.3">
      <c r="D611" s="24" t="s">
        <v>237</v>
      </c>
      <c r="E611" s="7">
        <v>0</v>
      </c>
      <c r="F611" s="23">
        <v>0</v>
      </c>
      <c r="G611" s="19">
        <v>0</v>
      </c>
    </row>
    <row r="612" spans="4:7" x14ac:dyDescent="0.3">
      <c r="D612" s="24" t="s">
        <v>237</v>
      </c>
      <c r="E612" s="7">
        <v>0</v>
      </c>
      <c r="F612" s="23">
        <v>0</v>
      </c>
      <c r="G612" s="19">
        <v>0</v>
      </c>
    </row>
    <row r="613" spans="4:7" x14ac:dyDescent="0.3">
      <c r="D613" s="24" t="s">
        <v>237</v>
      </c>
      <c r="E613" s="7">
        <v>0</v>
      </c>
      <c r="F613" s="23">
        <v>0</v>
      </c>
      <c r="G613" s="19">
        <v>0</v>
      </c>
    </row>
    <row r="614" spans="4:7" x14ac:dyDescent="0.3">
      <c r="D614" s="24" t="s">
        <v>237</v>
      </c>
      <c r="E614" s="7">
        <v>0</v>
      </c>
      <c r="F614" s="23">
        <v>0</v>
      </c>
      <c r="G614" s="19">
        <v>0</v>
      </c>
    </row>
    <row r="615" spans="4:7" x14ac:dyDescent="0.3">
      <c r="D615" s="24" t="s">
        <v>237</v>
      </c>
      <c r="E615" s="7">
        <v>0</v>
      </c>
      <c r="F615" s="23">
        <v>0</v>
      </c>
      <c r="G615" s="19">
        <v>0</v>
      </c>
    </row>
    <row r="616" spans="4:7" x14ac:dyDescent="0.3">
      <c r="D616" s="24" t="s">
        <v>237</v>
      </c>
      <c r="E616" s="7">
        <v>0</v>
      </c>
      <c r="F616" s="23">
        <v>0</v>
      </c>
      <c r="G616" s="19">
        <v>0</v>
      </c>
    </row>
    <row r="617" spans="4:7" x14ac:dyDescent="0.3">
      <c r="D617" s="24" t="s">
        <v>237</v>
      </c>
      <c r="E617" s="7">
        <v>0</v>
      </c>
      <c r="F617" s="23">
        <v>0</v>
      </c>
      <c r="G617" s="19">
        <v>0</v>
      </c>
    </row>
    <row r="618" spans="4:7" x14ac:dyDescent="0.3">
      <c r="D618" s="24" t="s">
        <v>237</v>
      </c>
      <c r="E618" s="7">
        <v>0</v>
      </c>
      <c r="F618" s="23">
        <v>0</v>
      </c>
      <c r="G618" s="19">
        <v>0</v>
      </c>
    </row>
    <row r="619" spans="4:7" x14ac:dyDescent="0.3">
      <c r="D619" s="24" t="s">
        <v>237</v>
      </c>
      <c r="E619" s="7">
        <v>0</v>
      </c>
      <c r="F619" s="23">
        <v>0</v>
      </c>
      <c r="G619" s="19">
        <v>0</v>
      </c>
    </row>
    <row r="620" spans="4:7" x14ac:dyDescent="0.3">
      <c r="D620" s="24" t="s">
        <v>237</v>
      </c>
      <c r="E620" s="7">
        <v>0</v>
      </c>
      <c r="F620" s="23">
        <v>0</v>
      </c>
      <c r="G620" s="19">
        <v>0</v>
      </c>
    </row>
    <row r="621" spans="4:7" x14ac:dyDescent="0.3">
      <c r="D621" s="24" t="s">
        <v>237</v>
      </c>
      <c r="E621" s="7">
        <v>0</v>
      </c>
      <c r="F621" s="23">
        <v>0</v>
      </c>
      <c r="G621" s="19">
        <v>0</v>
      </c>
    </row>
    <row r="622" spans="4:7" x14ac:dyDescent="0.3">
      <c r="D622" s="24" t="s">
        <v>237</v>
      </c>
      <c r="E622" s="7">
        <v>0</v>
      </c>
      <c r="F622" s="23">
        <v>0</v>
      </c>
      <c r="G622" s="19">
        <v>0</v>
      </c>
    </row>
    <row r="623" spans="4:7" x14ac:dyDescent="0.3">
      <c r="D623" s="24" t="s">
        <v>237</v>
      </c>
      <c r="E623" s="7">
        <v>0</v>
      </c>
      <c r="F623" s="23">
        <v>0</v>
      </c>
      <c r="G623" s="19">
        <v>0</v>
      </c>
    </row>
    <row r="624" spans="4:7" x14ac:dyDescent="0.3">
      <c r="D624" s="24" t="s">
        <v>237</v>
      </c>
      <c r="E624" s="7">
        <v>0</v>
      </c>
      <c r="F624" s="23">
        <v>0</v>
      </c>
      <c r="G624" s="19">
        <v>0</v>
      </c>
    </row>
    <row r="625" spans="4:7" x14ac:dyDescent="0.3">
      <c r="D625" s="24" t="s">
        <v>237</v>
      </c>
      <c r="E625" s="7">
        <v>0</v>
      </c>
      <c r="F625" s="23">
        <v>0</v>
      </c>
      <c r="G625" s="19">
        <v>0</v>
      </c>
    </row>
    <row r="626" spans="4:7" x14ac:dyDescent="0.3">
      <c r="D626" s="24" t="s">
        <v>237</v>
      </c>
      <c r="E626" s="7">
        <v>0</v>
      </c>
      <c r="F626" s="23">
        <v>0</v>
      </c>
      <c r="G626" s="19">
        <v>0</v>
      </c>
    </row>
    <row r="627" spans="4:7" x14ac:dyDescent="0.3">
      <c r="D627" s="24" t="s">
        <v>237</v>
      </c>
      <c r="E627" s="7">
        <v>0</v>
      </c>
      <c r="F627" s="23">
        <v>0</v>
      </c>
      <c r="G627" s="19">
        <v>0</v>
      </c>
    </row>
    <row r="628" spans="4:7" x14ac:dyDescent="0.3">
      <c r="D628" s="24" t="s">
        <v>237</v>
      </c>
      <c r="E628" s="7">
        <v>0</v>
      </c>
      <c r="F628" s="23">
        <v>0</v>
      </c>
      <c r="G628" s="19">
        <v>0</v>
      </c>
    </row>
    <row r="629" spans="4:7" x14ac:dyDescent="0.3">
      <c r="D629" s="24" t="s">
        <v>237</v>
      </c>
      <c r="E629" s="7">
        <v>0</v>
      </c>
      <c r="F629" s="23">
        <v>0</v>
      </c>
      <c r="G629" s="19">
        <v>0</v>
      </c>
    </row>
    <row r="630" spans="4:7" x14ac:dyDescent="0.3">
      <c r="D630" s="24" t="s">
        <v>237</v>
      </c>
      <c r="E630" s="7">
        <v>0</v>
      </c>
      <c r="F630" s="23">
        <v>0</v>
      </c>
      <c r="G630" s="19">
        <v>0</v>
      </c>
    </row>
    <row r="631" spans="4:7" x14ac:dyDescent="0.3">
      <c r="D631" s="24" t="s">
        <v>237</v>
      </c>
      <c r="E631" s="7">
        <v>0</v>
      </c>
      <c r="F631" s="23">
        <v>0</v>
      </c>
      <c r="G631" s="19">
        <v>0</v>
      </c>
    </row>
    <row r="632" spans="4:7" x14ac:dyDescent="0.3">
      <c r="D632" s="24" t="s">
        <v>237</v>
      </c>
      <c r="E632" s="7">
        <v>0</v>
      </c>
      <c r="F632" s="23">
        <v>0</v>
      </c>
      <c r="G632" s="19">
        <v>0</v>
      </c>
    </row>
    <row r="633" spans="4:7" x14ac:dyDescent="0.3">
      <c r="D633" s="24" t="s">
        <v>237</v>
      </c>
      <c r="E633" s="7">
        <v>0</v>
      </c>
      <c r="F633" s="23">
        <v>0</v>
      </c>
      <c r="G633" s="19">
        <v>0</v>
      </c>
    </row>
    <row r="634" spans="4:7" x14ac:dyDescent="0.3">
      <c r="D634" s="24" t="s">
        <v>237</v>
      </c>
      <c r="E634" s="7">
        <v>0</v>
      </c>
      <c r="F634" s="23">
        <v>0</v>
      </c>
      <c r="G634" s="19">
        <v>0</v>
      </c>
    </row>
    <row r="635" spans="4:7" x14ac:dyDescent="0.3">
      <c r="D635" s="24" t="s">
        <v>237</v>
      </c>
      <c r="E635" s="7">
        <v>0</v>
      </c>
      <c r="F635" s="23">
        <v>0</v>
      </c>
      <c r="G635" s="19">
        <v>0</v>
      </c>
    </row>
    <row r="636" spans="4:7" x14ac:dyDescent="0.3">
      <c r="D636" s="24" t="s">
        <v>237</v>
      </c>
      <c r="E636" s="7">
        <v>0</v>
      </c>
      <c r="F636" s="23">
        <v>0</v>
      </c>
      <c r="G636" s="19">
        <v>0</v>
      </c>
    </row>
    <row r="637" spans="4:7" x14ac:dyDescent="0.3">
      <c r="D637" s="24" t="s">
        <v>237</v>
      </c>
      <c r="E637" s="7">
        <v>0</v>
      </c>
      <c r="F637" s="23">
        <v>0</v>
      </c>
      <c r="G637" s="19">
        <v>0</v>
      </c>
    </row>
    <row r="638" spans="4:7" x14ac:dyDescent="0.3">
      <c r="D638" s="24" t="s">
        <v>237</v>
      </c>
      <c r="E638" s="7">
        <v>0</v>
      </c>
      <c r="F638" s="23">
        <v>0</v>
      </c>
      <c r="G638" s="19">
        <v>0</v>
      </c>
    </row>
    <row r="639" spans="4:7" x14ac:dyDescent="0.3">
      <c r="D639" s="24" t="s">
        <v>237</v>
      </c>
      <c r="E639" s="7">
        <v>0</v>
      </c>
      <c r="F639" s="23">
        <v>0</v>
      </c>
      <c r="G639" s="19">
        <v>0</v>
      </c>
    </row>
    <row r="640" spans="4:7" x14ac:dyDescent="0.3">
      <c r="D640" s="24" t="s">
        <v>237</v>
      </c>
      <c r="E640" s="7">
        <v>0</v>
      </c>
      <c r="F640" s="23">
        <v>0</v>
      </c>
      <c r="G640" s="19">
        <v>0</v>
      </c>
    </row>
    <row r="641" spans="4:7" x14ac:dyDescent="0.3">
      <c r="D641" s="24" t="s">
        <v>237</v>
      </c>
      <c r="E641" s="7">
        <v>0</v>
      </c>
      <c r="F641" s="23">
        <v>0</v>
      </c>
      <c r="G641" s="19">
        <v>0</v>
      </c>
    </row>
    <row r="642" spans="4:7" x14ac:dyDescent="0.3">
      <c r="D642" s="24" t="s">
        <v>237</v>
      </c>
      <c r="E642" s="7">
        <v>0</v>
      </c>
      <c r="F642" s="23">
        <v>0</v>
      </c>
      <c r="G642" s="19">
        <v>0</v>
      </c>
    </row>
    <row r="643" spans="4:7" x14ac:dyDescent="0.3">
      <c r="D643" s="24" t="s">
        <v>237</v>
      </c>
      <c r="E643" s="7">
        <v>0</v>
      </c>
      <c r="F643" s="23">
        <v>0</v>
      </c>
      <c r="G643" s="19">
        <v>0</v>
      </c>
    </row>
    <row r="644" spans="4:7" x14ac:dyDescent="0.3">
      <c r="D644" s="24" t="s">
        <v>237</v>
      </c>
      <c r="E644" s="7">
        <v>0</v>
      </c>
      <c r="F644" s="23">
        <v>0</v>
      </c>
      <c r="G644" s="19">
        <v>0</v>
      </c>
    </row>
    <row r="645" spans="4:7" x14ac:dyDescent="0.3">
      <c r="D645" s="24" t="s">
        <v>237</v>
      </c>
      <c r="E645" s="7">
        <v>0</v>
      </c>
      <c r="F645" s="23">
        <v>0</v>
      </c>
      <c r="G645" s="19">
        <v>0</v>
      </c>
    </row>
    <row r="646" spans="4:7" x14ac:dyDescent="0.3">
      <c r="D646" s="24" t="s">
        <v>237</v>
      </c>
      <c r="E646" s="7">
        <v>0</v>
      </c>
      <c r="F646" s="23">
        <v>0</v>
      </c>
      <c r="G646" s="19">
        <v>0</v>
      </c>
    </row>
    <row r="647" spans="4:7" x14ac:dyDescent="0.3">
      <c r="D647" s="24" t="s">
        <v>237</v>
      </c>
      <c r="E647" s="7">
        <v>0</v>
      </c>
      <c r="F647" s="23">
        <v>0</v>
      </c>
      <c r="G647" s="19">
        <v>0</v>
      </c>
    </row>
    <row r="648" spans="4:7" x14ac:dyDescent="0.3">
      <c r="D648" s="24" t="s">
        <v>237</v>
      </c>
      <c r="E648" s="7">
        <v>0</v>
      </c>
      <c r="F648" s="23">
        <v>0</v>
      </c>
      <c r="G648" s="19">
        <v>0</v>
      </c>
    </row>
    <row r="649" spans="4:7" x14ac:dyDescent="0.3">
      <c r="D649" s="24" t="s">
        <v>237</v>
      </c>
      <c r="E649" s="7">
        <v>0</v>
      </c>
      <c r="F649" s="23">
        <v>0</v>
      </c>
      <c r="G649" s="19">
        <v>0</v>
      </c>
    </row>
    <row r="650" spans="4:7" x14ac:dyDescent="0.3">
      <c r="D650" s="24" t="s">
        <v>237</v>
      </c>
      <c r="E650" s="7">
        <v>0</v>
      </c>
      <c r="F650" s="23">
        <v>0</v>
      </c>
      <c r="G650" s="19">
        <v>0</v>
      </c>
    </row>
    <row r="651" spans="4:7" x14ac:dyDescent="0.3">
      <c r="D651" s="24" t="s">
        <v>237</v>
      </c>
      <c r="E651" s="7">
        <v>0</v>
      </c>
      <c r="F651" s="23">
        <v>0</v>
      </c>
      <c r="G651" s="19">
        <v>0</v>
      </c>
    </row>
    <row r="652" spans="4:7" x14ac:dyDescent="0.3">
      <c r="D652" s="24" t="s">
        <v>237</v>
      </c>
      <c r="E652" s="7">
        <v>0</v>
      </c>
      <c r="F652" s="23">
        <v>0</v>
      </c>
      <c r="G652" s="19">
        <v>0</v>
      </c>
    </row>
    <row r="653" spans="4:7" x14ac:dyDescent="0.3">
      <c r="D653" s="24" t="s">
        <v>237</v>
      </c>
      <c r="E653" s="7">
        <v>0</v>
      </c>
      <c r="F653" s="23">
        <v>0</v>
      </c>
      <c r="G653" s="19">
        <v>0</v>
      </c>
    </row>
    <row r="654" spans="4:7" x14ac:dyDescent="0.3">
      <c r="D654" s="24" t="s">
        <v>237</v>
      </c>
      <c r="E654" s="7">
        <v>0</v>
      </c>
      <c r="F654" s="23">
        <v>0</v>
      </c>
      <c r="G654" s="19">
        <v>0</v>
      </c>
    </row>
    <row r="655" spans="4:7" x14ac:dyDescent="0.3">
      <c r="D655" s="24" t="s">
        <v>237</v>
      </c>
      <c r="E655" s="7">
        <v>0</v>
      </c>
      <c r="F655" s="23">
        <v>0</v>
      </c>
      <c r="G655" s="19">
        <v>0</v>
      </c>
    </row>
    <row r="656" spans="4:7" x14ac:dyDescent="0.3">
      <c r="D656" s="24" t="s">
        <v>237</v>
      </c>
      <c r="E656" s="7">
        <v>0</v>
      </c>
      <c r="F656" s="23">
        <v>0</v>
      </c>
      <c r="G656" s="19">
        <v>0</v>
      </c>
    </row>
    <row r="657" spans="4:7" x14ac:dyDescent="0.3">
      <c r="D657" s="24" t="s">
        <v>237</v>
      </c>
      <c r="E657" s="7">
        <v>0</v>
      </c>
      <c r="F657" s="23">
        <v>0</v>
      </c>
      <c r="G657" s="19">
        <v>0</v>
      </c>
    </row>
    <row r="658" spans="4:7" x14ac:dyDescent="0.3">
      <c r="D658" s="24" t="s">
        <v>237</v>
      </c>
      <c r="E658" s="7">
        <v>0</v>
      </c>
      <c r="F658" s="23">
        <v>0</v>
      </c>
      <c r="G658" s="19">
        <v>0</v>
      </c>
    </row>
    <row r="659" spans="4:7" x14ac:dyDescent="0.3">
      <c r="D659" s="24" t="s">
        <v>237</v>
      </c>
      <c r="E659" s="7">
        <v>0</v>
      </c>
      <c r="F659" s="23">
        <v>0</v>
      </c>
      <c r="G659" s="19">
        <v>0</v>
      </c>
    </row>
    <row r="660" spans="4:7" x14ac:dyDescent="0.3">
      <c r="D660" s="24" t="s">
        <v>237</v>
      </c>
      <c r="E660" s="7">
        <v>0</v>
      </c>
      <c r="F660" s="23">
        <v>0</v>
      </c>
      <c r="G660" s="19">
        <v>0</v>
      </c>
    </row>
    <row r="661" spans="4:7" x14ac:dyDescent="0.3">
      <c r="D661" s="24" t="s">
        <v>237</v>
      </c>
      <c r="E661" s="7">
        <v>0</v>
      </c>
      <c r="F661" s="23">
        <v>0</v>
      </c>
      <c r="G661" s="19">
        <v>0</v>
      </c>
    </row>
    <row r="662" spans="4:7" x14ac:dyDescent="0.3">
      <c r="D662" s="24" t="s">
        <v>237</v>
      </c>
      <c r="E662" s="7">
        <v>0</v>
      </c>
      <c r="F662" s="23">
        <v>0</v>
      </c>
      <c r="G662" s="19">
        <v>0</v>
      </c>
    </row>
    <row r="663" spans="4:7" x14ac:dyDescent="0.3">
      <c r="D663" s="24" t="s">
        <v>237</v>
      </c>
      <c r="E663" s="7">
        <v>0</v>
      </c>
      <c r="F663" s="23">
        <v>0</v>
      </c>
      <c r="G663" s="19">
        <v>0</v>
      </c>
    </row>
    <row r="664" spans="4:7" x14ac:dyDescent="0.3">
      <c r="D664" s="24" t="s">
        <v>237</v>
      </c>
      <c r="E664" s="7">
        <v>0</v>
      </c>
      <c r="F664" s="23">
        <v>0</v>
      </c>
      <c r="G664" s="19">
        <v>0</v>
      </c>
    </row>
    <row r="665" spans="4:7" x14ac:dyDescent="0.3">
      <c r="D665" s="24" t="s">
        <v>237</v>
      </c>
      <c r="E665" s="7">
        <v>0</v>
      </c>
      <c r="F665" s="23">
        <v>0</v>
      </c>
      <c r="G665" s="19">
        <v>0</v>
      </c>
    </row>
    <row r="666" spans="4:7" x14ac:dyDescent="0.3">
      <c r="D666" s="24" t="s">
        <v>237</v>
      </c>
      <c r="E666" s="7">
        <v>0</v>
      </c>
      <c r="F666" s="23">
        <v>0</v>
      </c>
      <c r="G666" s="19">
        <v>0</v>
      </c>
    </row>
    <row r="667" spans="4:7" x14ac:dyDescent="0.3">
      <c r="D667" s="24" t="s">
        <v>237</v>
      </c>
      <c r="E667" s="7">
        <v>0</v>
      </c>
      <c r="F667" s="23">
        <v>0</v>
      </c>
      <c r="G667" s="19">
        <v>0</v>
      </c>
    </row>
    <row r="668" spans="4:7" x14ac:dyDescent="0.3">
      <c r="D668" s="24" t="s">
        <v>237</v>
      </c>
      <c r="E668" s="7">
        <v>0</v>
      </c>
      <c r="F668" s="23">
        <v>0</v>
      </c>
      <c r="G668" s="19">
        <v>0</v>
      </c>
    </row>
    <row r="669" spans="4:7" x14ac:dyDescent="0.3">
      <c r="D669" s="24" t="s">
        <v>237</v>
      </c>
      <c r="E669" s="7">
        <v>0</v>
      </c>
      <c r="F669" s="23">
        <v>0</v>
      </c>
      <c r="G669" s="19">
        <v>0</v>
      </c>
    </row>
    <row r="670" spans="4:7" x14ac:dyDescent="0.3">
      <c r="D670" s="24" t="s">
        <v>237</v>
      </c>
      <c r="E670" s="7">
        <v>0</v>
      </c>
      <c r="F670" s="23">
        <v>0</v>
      </c>
      <c r="G670" s="19">
        <v>0</v>
      </c>
    </row>
    <row r="671" spans="4:7" x14ac:dyDescent="0.3">
      <c r="D671" s="24" t="s">
        <v>237</v>
      </c>
      <c r="E671" s="7">
        <v>0</v>
      </c>
      <c r="F671" s="23">
        <v>0</v>
      </c>
      <c r="G671" s="19">
        <v>0</v>
      </c>
    </row>
    <row r="672" spans="4:7" x14ac:dyDescent="0.3">
      <c r="D672" s="24" t="s">
        <v>237</v>
      </c>
      <c r="E672" s="7">
        <v>0</v>
      </c>
      <c r="F672" s="23">
        <v>0</v>
      </c>
      <c r="G672" s="19">
        <v>0</v>
      </c>
    </row>
    <row r="673" spans="4:7" x14ac:dyDescent="0.3">
      <c r="D673" s="24" t="s">
        <v>237</v>
      </c>
      <c r="E673" s="7">
        <v>0</v>
      </c>
      <c r="F673" s="23">
        <v>0</v>
      </c>
      <c r="G673" s="19">
        <v>0</v>
      </c>
    </row>
    <row r="674" spans="4:7" x14ac:dyDescent="0.3">
      <c r="D674" s="24" t="s">
        <v>237</v>
      </c>
      <c r="E674" s="7">
        <v>0</v>
      </c>
      <c r="F674" s="23">
        <v>0</v>
      </c>
      <c r="G674" s="19">
        <v>0</v>
      </c>
    </row>
    <row r="675" spans="4:7" x14ac:dyDescent="0.3">
      <c r="D675" s="24" t="s">
        <v>237</v>
      </c>
      <c r="E675" s="7">
        <v>0</v>
      </c>
      <c r="F675" s="23">
        <v>0</v>
      </c>
      <c r="G675" s="19">
        <v>0</v>
      </c>
    </row>
    <row r="676" spans="4:7" x14ac:dyDescent="0.3">
      <c r="D676" s="24" t="s">
        <v>237</v>
      </c>
      <c r="E676" s="7">
        <v>0</v>
      </c>
      <c r="F676" s="23">
        <v>0</v>
      </c>
      <c r="G676" s="19">
        <v>0</v>
      </c>
    </row>
    <row r="677" spans="4:7" x14ac:dyDescent="0.3">
      <c r="D677" s="24" t="s">
        <v>237</v>
      </c>
      <c r="E677" s="7">
        <v>0</v>
      </c>
      <c r="F677" s="23">
        <v>0</v>
      </c>
      <c r="G677" s="19">
        <v>0</v>
      </c>
    </row>
    <row r="678" spans="4:7" x14ac:dyDescent="0.3">
      <c r="D678" s="24" t="s">
        <v>237</v>
      </c>
      <c r="E678" s="7">
        <v>0</v>
      </c>
      <c r="F678" s="23">
        <v>0</v>
      </c>
      <c r="G678" s="19">
        <v>0</v>
      </c>
    </row>
    <row r="679" spans="4:7" x14ac:dyDescent="0.3">
      <c r="D679" s="24" t="s">
        <v>237</v>
      </c>
      <c r="E679" s="7">
        <v>0</v>
      </c>
      <c r="F679" s="23">
        <v>0</v>
      </c>
      <c r="G679" s="19">
        <v>0</v>
      </c>
    </row>
    <row r="680" spans="4:7" x14ac:dyDescent="0.3">
      <c r="D680" s="24" t="s">
        <v>237</v>
      </c>
      <c r="E680" s="7">
        <v>0</v>
      </c>
      <c r="F680" s="23">
        <v>0</v>
      </c>
      <c r="G680" s="19">
        <v>0</v>
      </c>
    </row>
    <row r="681" spans="4:7" x14ac:dyDescent="0.3">
      <c r="D681" s="24" t="s">
        <v>237</v>
      </c>
      <c r="E681" s="7">
        <v>0</v>
      </c>
      <c r="F681" s="23">
        <v>0</v>
      </c>
      <c r="G681" s="19">
        <v>0</v>
      </c>
    </row>
    <row r="682" spans="4:7" x14ac:dyDescent="0.3">
      <c r="D682" s="24" t="s">
        <v>237</v>
      </c>
      <c r="E682" s="7">
        <v>0</v>
      </c>
      <c r="F682" s="23">
        <v>0</v>
      </c>
      <c r="G682" s="19">
        <v>0</v>
      </c>
    </row>
    <row r="683" spans="4:7" x14ac:dyDescent="0.3">
      <c r="D683" s="24" t="s">
        <v>237</v>
      </c>
      <c r="E683" s="7">
        <v>0</v>
      </c>
      <c r="F683" s="23">
        <v>0</v>
      </c>
      <c r="G683" s="19">
        <v>0</v>
      </c>
    </row>
    <row r="684" spans="4:7" x14ac:dyDescent="0.3">
      <c r="D684" s="24" t="s">
        <v>237</v>
      </c>
      <c r="E684" s="7">
        <v>0</v>
      </c>
      <c r="F684" s="23">
        <v>0</v>
      </c>
      <c r="G684" s="19">
        <v>0</v>
      </c>
    </row>
    <row r="685" spans="4:7" x14ac:dyDescent="0.3">
      <c r="D685" s="24" t="s">
        <v>237</v>
      </c>
      <c r="E685" s="7">
        <v>0</v>
      </c>
      <c r="F685" s="23">
        <v>0</v>
      </c>
      <c r="G685" s="19">
        <v>0</v>
      </c>
    </row>
    <row r="686" spans="4:7" x14ac:dyDescent="0.3">
      <c r="D686" s="24" t="s">
        <v>237</v>
      </c>
      <c r="E686" s="7">
        <v>0</v>
      </c>
      <c r="F686" s="23">
        <v>0</v>
      </c>
      <c r="G686" s="19">
        <v>0</v>
      </c>
    </row>
    <row r="687" spans="4:7" x14ac:dyDescent="0.3">
      <c r="D687" s="24" t="s">
        <v>237</v>
      </c>
      <c r="E687" s="7">
        <v>0</v>
      </c>
      <c r="F687" s="23">
        <v>0</v>
      </c>
      <c r="G687" s="19">
        <v>0</v>
      </c>
    </row>
    <row r="688" spans="4:7" x14ac:dyDescent="0.3">
      <c r="D688" s="24" t="s">
        <v>237</v>
      </c>
      <c r="E688" s="7">
        <v>0</v>
      </c>
      <c r="F688" s="23">
        <v>0</v>
      </c>
      <c r="G688" s="19">
        <v>0</v>
      </c>
    </row>
    <row r="689" spans="4:7" x14ac:dyDescent="0.3">
      <c r="D689" s="24" t="s">
        <v>237</v>
      </c>
      <c r="E689" s="7">
        <v>0</v>
      </c>
      <c r="F689" s="23">
        <v>0</v>
      </c>
      <c r="G689" s="19">
        <v>0</v>
      </c>
    </row>
    <row r="690" spans="4:7" x14ac:dyDescent="0.3">
      <c r="D690" s="24" t="s">
        <v>237</v>
      </c>
      <c r="E690" s="7">
        <v>0</v>
      </c>
      <c r="F690" s="23">
        <v>0</v>
      </c>
      <c r="G690" s="19">
        <v>0</v>
      </c>
    </row>
    <row r="691" spans="4:7" x14ac:dyDescent="0.3">
      <c r="D691" s="24" t="s">
        <v>237</v>
      </c>
      <c r="E691" s="7">
        <v>0</v>
      </c>
      <c r="F691" s="23">
        <v>0</v>
      </c>
      <c r="G691" s="19">
        <v>0</v>
      </c>
    </row>
    <row r="692" spans="4:7" x14ac:dyDescent="0.3">
      <c r="D692" s="24" t="s">
        <v>237</v>
      </c>
      <c r="E692" s="7">
        <v>0</v>
      </c>
      <c r="F692" s="23">
        <v>0</v>
      </c>
      <c r="G692" s="19">
        <v>0</v>
      </c>
    </row>
    <row r="693" spans="4:7" x14ac:dyDescent="0.3">
      <c r="D693" s="24" t="s">
        <v>237</v>
      </c>
      <c r="E693" s="7">
        <v>0</v>
      </c>
      <c r="F693" s="23">
        <v>0</v>
      </c>
      <c r="G693" s="19">
        <v>0</v>
      </c>
    </row>
    <row r="694" spans="4:7" x14ac:dyDescent="0.3">
      <c r="D694" s="24" t="s">
        <v>237</v>
      </c>
      <c r="E694" s="7">
        <v>0</v>
      </c>
      <c r="F694" s="23">
        <v>0</v>
      </c>
      <c r="G694" s="19">
        <v>0</v>
      </c>
    </row>
    <row r="695" spans="4:7" x14ac:dyDescent="0.3">
      <c r="D695" s="24" t="s">
        <v>237</v>
      </c>
      <c r="E695" s="7">
        <v>0</v>
      </c>
      <c r="F695" s="23">
        <v>0</v>
      </c>
      <c r="G695" s="19">
        <v>0</v>
      </c>
    </row>
    <row r="696" spans="4:7" x14ac:dyDescent="0.3">
      <c r="D696" s="24" t="s">
        <v>237</v>
      </c>
      <c r="E696" s="7">
        <v>0</v>
      </c>
      <c r="F696" s="23">
        <v>0</v>
      </c>
      <c r="G696" s="19">
        <v>0</v>
      </c>
    </row>
    <row r="697" spans="4:7" x14ac:dyDescent="0.3">
      <c r="D697" s="24" t="s">
        <v>237</v>
      </c>
      <c r="E697" s="7">
        <v>0</v>
      </c>
      <c r="F697" s="23">
        <v>0</v>
      </c>
      <c r="G697" s="19">
        <v>0</v>
      </c>
    </row>
    <row r="698" spans="4:7" x14ac:dyDescent="0.3">
      <c r="D698" s="24" t="s">
        <v>237</v>
      </c>
      <c r="E698" s="7">
        <v>0</v>
      </c>
      <c r="F698" s="23">
        <v>0</v>
      </c>
      <c r="G698" s="19">
        <v>0</v>
      </c>
    </row>
    <row r="699" spans="4:7" x14ac:dyDescent="0.3">
      <c r="D699" s="24" t="s">
        <v>237</v>
      </c>
      <c r="E699" s="7">
        <v>0</v>
      </c>
      <c r="F699" s="23">
        <v>0</v>
      </c>
      <c r="G699" s="19">
        <v>0</v>
      </c>
    </row>
    <row r="700" spans="4:7" x14ac:dyDescent="0.3">
      <c r="D700" s="24" t="s">
        <v>237</v>
      </c>
      <c r="E700" s="7">
        <v>0</v>
      </c>
      <c r="F700" s="23">
        <v>0</v>
      </c>
      <c r="G700" s="19">
        <v>0</v>
      </c>
    </row>
    <row r="701" spans="4:7" x14ac:dyDescent="0.3">
      <c r="D701" s="24" t="s">
        <v>237</v>
      </c>
      <c r="E701" s="7">
        <v>0</v>
      </c>
      <c r="F701" s="23">
        <v>0</v>
      </c>
      <c r="G701" s="19">
        <v>0</v>
      </c>
    </row>
    <row r="702" spans="4:7" x14ac:dyDescent="0.3">
      <c r="D702" s="24" t="s">
        <v>237</v>
      </c>
      <c r="E702" s="7">
        <v>0</v>
      </c>
      <c r="F702" s="23">
        <v>0</v>
      </c>
      <c r="G702" s="19">
        <v>0</v>
      </c>
    </row>
    <row r="703" spans="4:7" x14ac:dyDescent="0.3">
      <c r="D703" s="24" t="s">
        <v>237</v>
      </c>
      <c r="E703" s="7">
        <v>0</v>
      </c>
      <c r="F703" s="23">
        <v>0</v>
      </c>
      <c r="G703" s="19">
        <v>0</v>
      </c>
    </row>
    <row r="704" spans="4:7" x14ac:dyDescent="0.3">
      <c r="D704" s="24" t="s">
        <v>237</v>
      </c>
      <c r="E704" s="7">
        <v>0</v>
      </c>
      <c r="F704" s="23">
        <v>0</v>
      </c>
      <c r="G704" s="19">
        <v>0</v>
      </c>
    </row>
    <row r="705" spans="4:7" x14ac:dyDescent="0.3">
      <c r="D705" s="24" t="s">
        <v>237</v>
      </c>
      <c r="E705" s="7">
        <v>0</v>
      </c>
      <c r="F705" s="23">
        <v>0</v>
      </c>
      <c r="G705" s="19">
        <v>0</v>
      </c>
    </row>
    <row r="706" spans="4:7" x14ac:dyDescent="0.3">
      <c r="D706" s="24" t="s">
        <v>237</v>
      </c>
      <c r="E706" s="7">
        <v>0</v>
      </c>
      <c r="F706" s="23">
        <v>0</v>
      </c>
      <c r="G706" s="19">
        <v>0</v>
      </c>
    </row>
    <row r="707" spans="4:7" x14ac:dyDescent="0.3">
      <c r="D707" s="24" t="s">
        <v>237</v>
      </c>
      <c r="E707" s="7">
        <v>0</v>
      </c>
      <c r="F707" s="23">
        <v>0</v>
      </c>
      <c r="G707" s="19">
        <v>0</v>
      </c>
    </row>
    <row r="708" spans="4:7" x14ac:dyDescent="0.3">
      <c r="D708" s="24" t="s">
        <v>237</v>
      </c>
      <c r="E708" s="7">
        <v>0</v>
      </c>
      <c r="F708" s="23">
        <v>0</v>
      </c>
      <c r="G708" s="19">
        <v>0</v>
      </c>
    </row>
    <row r="709" spans="4:7" x14ac:dyDescent="0.3">
      <c r="D709" s="24" t="s">
        <v>237</v>
      </c>
      <c r="E709" s="7">
        <v>0</v>
      </c>
      <c r="F709" s="23">
        <v>0</v>
      </c>
      <c r="G709" s="19">
        <v>0</v>
      </c>
    </row>
    <row r="710" spans="4:7" x14ac:dyDescent="0.3">
      <c r="D710" s="24" t="s">
        <v>237</v>
      </c>
      <c r="E710" s="7">
        <v>0</v>
      </c>
      <c r="F710" s="23">
        <v>0</v>
      </c>
      <c r="G710" s="19">
        <v>0</v>
      </c>
    </row>
    <row r="711" spans="4:7" x14ac:dyDescent="0.3">
      <c r="D711" s="24" t="s">
        <v>237</v>
      </c>
      <c r="E711" s="7">
        <v>0</v>
      </c>
      <c r="F711" s="23">
        <v>0</v>
      </c>
      <c r="G711" s="19">
        <v>0</v>
      </c>
    </row>
    <row r="712" spans="4:7" x14ac:dyDescent="0.3">
      <c r="D712" s="24" t="s">
        <v>237</v>
      </c>
      <c r="E712" s="7">
        <v>0</v>
      </c>
      <c r="F712" s="23">
        <v>0</v>
      </c>
      <c r="G712" s="19">
        <v>0</v>
      </c>
    </row>
    <row r="713" spans="4:7" x14ac:dyDescent="0.3">
      <c r="D713" s="24" t="s">
        <v>237</v>
      </c>
      <c r="E713" s="7">
        <v>0</v>
      </c>
      <c r="F713" s="23">
        <v>0</v>
      </c>
      <c r="G713" s="19">
        <v>0</v>
      </c>
    </row>
    <row r="714" spans="4:7" x14ac:dyDescent="0.3">
      <c r="D714" s="24" t="s">
        <v>237</v>
      </c>
      <c r="E714" s="7">
        <v>0</v>
      </c>
      <c r="F714" s="23">
        <v>0</v>
      </c>
      <c r="G714" s="19">
        <v>0</v>
      </c>
    </row>
    <row r="715" spans="4:7" x14ac:dyDescent="0.3">
      <c r="D715" s="24" t="s">
        <v>237</v>
      </c>
      <c r="E715" s="7">
        <v>0</v>
      </c>
      <c r="F715" s="23">
        <v>0</v>
      </c>
      <c r="G715" s="19">
        <v>0</v>
      </c>
    </row>
    <row r="716" spans="4:7" x14ac:dyDescent="0.3">
      <c r="D716" s="24" t="s">
        <v>237</v>
      </c>
      <c r="E716" s="7">
        <v>0</v>
      </c>
      <c r="F716" s="23">
        <v>0</v>
      </c>
      <c r="G716" s="19">
        <v>0</v>
      </c>
    </row>
    <row r="717" spans="4:7" x14ac:dyDescent="0.3">
      <c r="D717" s="24" t="s">
        <v>237</v>
      </c>
      <c r="E717" s="7">
        <v>0</v>
      </c>
      <c r="F717" s="23">
        <v>0</v>
      </c>
      <c r="G717" s="19">
        <v>0</v>
      </c>
    </row>
    <row r="718" spans="4:7" x14ac:dyDescent="0.3">
      <c r="D718" s="24" t="s">
        <v>237</v>
      </c>
      <c r="E718" s="7">
        <v>0</v>
      </c>
      <c r="F718" s="23">
        <v>0</v>
      </c>
      <c r="G718" s="19">
        <v>0</v>
      </c>
    </row>
    <row r="719" spans="4:7" x14ac:dyDescent="0.3">
      <c r="D719" s="24" t="s">
        <v>237</v>
      </c>
      <c r="E719" s="7">
        <v>0</v>
      </c>
      <c r="F719" s="23">
        <v>0</v>
      </c>
      <c r="G719" s="19">
        <v>0</v>
      </c>
    </row>
    <row r="720" spans="4:7" x14ac:dyDescent="0.3">
      <c r="D720" s="24" t="s">
        <v>237</v>
      </c>
      <c r="E720" s="7">
        <v>0</v>
      </c>
      <c r="F720" s="23">
        <v>0</v>
      </c>
      <c r="G720" s="19">
        <v>0</v>
      </c>
    </row>
    <row r="721" spans="4:7" x14ac:dyDescent="0.3">
      <c r="D721" s="24" t="s">
        <v>237</v>
      </c>
      <c r="E721" s="7">
        <v>0</v>
      </c>
      <c r="F721" s="23">
        <v>0</v>
      </c>
      <c r="G721" s="19">
        <v>0</v>
      </c>
    </row>
    <row r="722" spans="4:7" x14ac:dyDescent="0.3">
      <c r="D722" s="24" t="s">
        <v>237</v>
      </c>
      <c r="E722" s="7">
        <v>0</v>
      </c>
      <c r="F722" s="23">
        <v>0</v>
      </c>
      <c r="G722" s="19">
        <v>0</v>
      </c>
    </row>
    <row r="723" spans="4:7" x14ac:dyDescent="0.3">
      <c r="D723" s="24" t="s">
        <v>237</v>
      </c>
      <c r="E723" s="7">
        <v>0</v>
      </c>
      <c r="F723" s="23">
        <v>0</v>
      </c>
      <c r="G723" s="19">
        <v>0</v>
      </c>
    </row>
    <row r="724" spans="4:7" x14ac:dyDescent="0.3">
      <c r="D724" s="24" t="s">
        <v>237</v>
      </c>
      <c r="E724" s="7">
        <v>0</v>
      </c>
      <c r="F724" s="23">
        <v>0</v>
      </c>
      <c r="G724" s="19">
        <v>0</v>
      </c>
    </row>
    <row r="725" spans="4:7" x14ac:dyDescent="0.3">
      <c r="D725" s="24" t="s">
        <v>237</v>
      </c>
      <c r="E725" s="7">
        <v>0</v>
      </c>
      <c r="F725" s="23">
        <v>0</v>
      </c>
      <c r="G725" s="19">
        <v>0</v>
      </c>
    </row>
    <row r="726" spans="4:7" x14ac:dyDescent="0.3">
      <c r="D726" s="24" t="s">
        <v>237</v>
      </c>
      <c r="E726" s="7">
        <v>0</v>
      </c>
      <c r="F726" s="23">
        <v>0</v>
      </c>
      <c r="G726" s="19">
        <v>0</v>
      </c>
    </row>
    <row r="727" spans="4:7" x14ac:dyDescent="0.3">
      <c r="D727" s="24" t="s">
        <v>237</v>
      </c>
      <c r="E727" s="7">
        <v>0</v>
      </c>
      <c r="F727" s="23">
        <v>0</v>
      </c>
      <c r="G727" s="19">
        <v>0</v>
      </c>
    </row>
    <row r="728" spans="4:7" x14ac:dyDescent="0.3">
      <c r="D728" s="24" t="s">
        <v>237</v>
      </c>
      <c r="E728" s="7">
        <v>0</v>
      </c>
      <c r="F728" s="23">
        <v>0</v>
      </c>
      <c r="G728" s="19">
        <v>0</v>
      </c>
    </row>
    <row r="729" spans="4:7" x14ac:dyDescent="0.3">
      <c r="D729" s="24" t="s">
        <v>237</v>
      </c>
      <c r="E729" s="7">
        <v>0</v>
      </c>
      <c r="F729" s="23">
        <v>0</v>
      </c>
      <c r="G729" s="19">
        <v>0</v>
      </c>
    </row>
    <row r="730" spans="4:7" x14ac:dyDescent="0.3">
      <c r="D730" s="24" t="s">
        <v>237</v>
      </c>
      <c r="E730" s="7">
        <v>0</v>
      </c>
      <c r="F730" s="23">
        <v>0</v>
      </c>
      <c r="G730" s="19">
        <v>0</v>
      </c>
    </row>
    <row r="731" spans="4:7" x14ac:dyDescent="0.3">
      <c r="D731" s="24" t="s">
        <v>237</v>
      </c>
      <c r="E731" s="7">
        <v>0</v>
      </c>
      <c r="F731" s="23">
        <v>0</v>
      </c>
      <c r="G731" s="19">
        <v>0</v>
      </c>
    </row>
    <row r="732" spans="4:7" x14ac:dyDescent="0.3">
      <c r="D732" s="24" t="s">
        <v>237</v>
      </c>
      <c r="E732" s="7">
        <v>0</v>
      </c>
      <c r="F732" s="23">
        <v>0</v>
      </c>
      <c r="G732" s="19">
        <v>0</v>
      </c>
    </row>
    <row r="733" spans="4:7" x14ac:dyDescent="0.3">
      <c r="D733" s="24" t="s">
        <v>237</v>
      </c>
      <c r="E733" s="7">
        <v>0</v>
      </c>
      <c r="F733" s="23">
        <v>0</v>
      </c>
      <c r="G733" s="19">
        <v>0</v>
      </c>
    </row>
    <row r="734" spans="4:7" x14ac:dyDescent="0.3">
      <c r="D734" s="24" t="s">
        <v>237</v>
      </c>
      <c r="E734" s="7">
        <v>0</v>
      </c>
      <c r="F734" s="23">
        <v>0</v>
      </c>
      <c r="G734" s="19">
        <v>0</v>
      </c>
    </row>
    <row r="735" spans="4:7" x14ac:dyDescent="0.3">
      <c r="D735" s="24" t="s">
        <v>237</v>
      </c>
      <c r="E735" s="7">
        <v>0</v>
      </c>
      <c r="F735" s="23">
        <v>0</v>
      </c>
      <c r="G735" s="19">
        <v>0</v>
      </c>
    </row>
    <row r="736" spans="4:7" x14ac:dyDescent="0.3">
      <c r="D736" s="24" t="s">
        <v>237</v>
      </c>
      <c r="E736" s="7">
        <v>0</v>
      </c>
      <c r="F736" s="23">
        <v>0</v>
      </c>
      <c r="G736" s="19">
        <v>0</v>
      </c>
    </row>
    <row r="737" spans="4:7" x14ac:dyDescent="0.3">
      <c r="D737" s="24" t="s">
        <v>237</v>
      </c>
      <c r="E737" s="7">
        <v>0</v>
      </c>
      <c r="F737" s="23">
        <v>0</v>
      </c>
      <c r="G737" s="19">
        <v>0</v>
      </c>
    </row>
    <row r="738" spans="4:7" x14ac:dyDescent="0.3">
      <c r="D738" s="24" t="s">
        <v>237</v>
      </c>
      <c r="E738" s="7">
        <v>0</v>
      </c>
      <c r="F738" s="23">
        <v>0</v>
      </c>
      <c r="G738" s="19">
        <v>0</v>
      </c>
    </row>
    <row r="739" spans="4:7" x14ac:dyDescent="0.3">
      <c r="D739" s="24" t="s">
        <v>237</v>
      </c>
      <c r="E739" s="7">
        <v>0</v>
      </c>
      <c r="F739" s="23">
        <v>0</v>
      </c>
      <c r="G739" s="19">
        <v>0</v>
      </c>
    </row>
    <row r="740" spans="4:7" x14ac:dyDescent="0.3">
      <c r="D740" s="24" t="s">
        <v>237</v>
      </c>
      <c r="E740" s="7">
        <v>0</v>
      </c>
      <c r="F740" s="23">
        <v>0</v>
      </c>
      <c r="G740" s="19">
        <v>0</v>
      </c>
    </row>
    <row r="741" spans="4:7" x14ac:dyDescent="0.3">
      <c r="D741" s="24" t="s">
        <v>237</v>
      </c>
      <c r="E741" s="7">
        <v>0</v>
      </c>
      <c r="F741" s="23">
        <v>0</v>
      </c>
      <c r="G741" s="19">
        <v>0</v>
      </c>
    </row>
    <row r="742" spans="4:7" x14ac:dyDescent="0.3">
      <c r="D742" s="24" t="s">
        <v>237</v>
      </c>
      <c r="E742" s="7">
        <v>0</v>
      </c>
      <c r="F742" s="23">
        <v>0</v>
      </c>
      <c r="G742" s="19">
        <v>0</v>
      </c>
    </row>
    <row r="743" spans="4:7" x14ac:dyDescent="0.3">
      <c r="D743" s="24" t="s">
        <v>237</v>
      </c>
      <c r="E743" s="7">
        <v>0</v>
      </c>
      <c r="F743" s="23">
        <v>0</v>
      </c>
      <c r="G743" s="19">
        <v>0</v>
      </c>
    </row>
    <row r="744" spans="4:7" x14ac:dyDescent="0.3">
      <c r="D744" s="24" t="s">
        <v>237</v>
      </c>
      <c r="E744" s="7">
        <v>0</v>
      </c>
      <c r="F744" s="23">
        <v>0</v>
      </c>
      <c r="G744" s="19">
        <v>0</v>
      </c>
    </row>
    <row r="745" spans="4:7" x14ac:dyDescent="0.3">
      <c r="D745" s="24" t="s">
        <v>237</v>
      </c>
      <c r="E745" s="7">
        <v>0</v>
      </c>
      <c r="F745" s="23">
        <v>0</v>
      </c>
      <c r="G745" s="19">
        <v>0</v>
      </c>
    </row>
    <row r="746" spans="4:7" x14ac:dyDescent="0.3">
      <c r="D746" s="24" t="s">
        <v>237</v>
      </c>
      <c r="E746" s="7">
        <v>0</v>
      </c>
      <c r="F746" s="23">
        <v>0</v>
      </c>
      <c r="G746" s="19">
        <v>0</v>
      </c>
    </row>
    <row r="747" spans="4:7" x14ac:dyDescent="0.3">
      <c r="D747" s="24" t="s">
        <v>237</v>
      </c>
      <c r="E747" s="7">
        <v>0</v>
      </c>
      <c r="F747" s="23">
        <v>0</v>
      </c>
      <c r="G747" s="19">
        <v>0</v>
      </c>
    </row>
    <row r="748" spans="4:7" x14ac:dyDescent="0.3">
      <c r="D748" s="24" t="s">
        <v>237</v>
      </c>
      <c r="E748" s="7">
        <v>0</v>
      </c>
      <c r="F748" s="23">
        <v>0</v>
      </c>
      <c r="G748" s="19">
        <v>0</v>
      </c>
    </row>
    <row r="749" spans="4:7" x14ac:dyDescent="0.3">
      <c r="D749" s="24" t="s">
        <v>237</v>
      </c>
      <c r="E749" s="7">
        <v>0</v>
      </c>
      <c r="F749" s="23">
        <v>0</v>
      </c>
      <c r="G749" s="19">
        <v>0</v>
      </c>
    </row>
    <row r="750" spans="4:7" x14ac:dyDescent="0.3">
      <c r="D750" s="24" t="s">
        <v>237</v>
      </c>
      <c r="E750" s="7">
        <v>0</v>
      </c>
      <c r="F750" s="23">
        <v>0</v>
      </c>
      <c r="G750" s="19">
        <v>0</v>
      </c>
    </row>
    <row r="751" spans="4:7" x14ac:dyDescent="0.3">
      <c r="D751" s="24" t="s">
        <v>237</v>
      </c>
      <c r="E751" s="7">
        <v>0</v>
      </c>
      <c r="F751" s="23">
        <v>0</v>
      </c>
      <c r="G751" s="19">
        <v>0</v>
      </c>
    </row>
    <row r="752" spans="4:7" x14ac:dyDescent="0.3">
      <c r="D752" s="24" t="s">
        <v>237</v>
      </c>
      <c r="E752" s="7">
        <v>0</v>
      </c>
      <c r="F752" s="23">
        <v>0</v>
      </c>
      <c r="G752" s="19">
        <v>0</v>
      </c>
    </row>
    <row r="753" spans="4:7" x14ac:dyDescent="0.3">
      <c r="D753" s="24" t="s">
        <v>237</v>
      </c>
      <c r="E753" s="7">
        <v>0</v>
      </c>
      <c r="F753" s="23">
        <v>0</v>
      </c>
      <c r="G753" s="19">
        <v>0</v>
      </c>
    </row>
    <row r="754" spans="4:7" x14ac:dyDescent="0.3">
      <c r="D754" s="24" t="s">
        <v>237</v>
      </c>
      <c r="E754" s="7">
        <v>0</v>
      </c>
      <c r="F754" s="23">
        <v>0</v>
      </c>
      <c r="G754" s="19">
        <v>0</v>
      </c>
    </row>
    <row r="755" spans="4:7" x14ac:dyDescent="0.3">
      <c r="D755" s="24" t="s">
        <v>237</v>
      </c>
      <c r="E755" s="7">
        <v>0</v>
      </c>
      <c r="F755" s="23">
        <v>0</v>
      </c>
      <c r="G755" s="19">
        <v>0</v>
      </c>
    </row>
    <row r="756" spans="4:7" x14ac:dyDescent="0.3">
      <c r="D756" s="24" t="s">
        <v>237</v>
      </c>
      <c r="E756" s="7">
        <v>0</v>
      </c>
      <c r="F756" s="23">
        <v>0</v>
      </c>
      <c r="G756" s="19">
        <v>0</v>
      </c>
    </row>
    <row r="757" spans="4:7" x14ac:dyDescent="0.3">
      <c r="D757" s="24" t="s">
        <v>237</v>
      </c>
      <c r="E757" s="7">
        <v>0</v>
      </c>
      <c r="F757" s="23">
        <v>0</v>
      </c>
      <c r="G757" s="19">
        <v>0</v>
      </c>
    </row>
    <row r="758" spans="4:7" x14ac:dyDescent="0.3">
      <c r="D758" s="24" t="s">
        <v>237</v>
      </c>
      <c r="E758" s="7">
        <v>0</v>
      </c>
      <c r="F758" s="23">
        <v>0</v>
      </c>
      <c r="G758" s="19">
        <v>0</v>
      </c>
    </row>
    <row r="759" spans="4:7" x14ac:dyDescent="0.3">
      <c r="D759" s="24" t="s">
        <v>237</v>
      </c>
      <c r="E759" s="7">
        <v>0</v>
      </c>
      <c r="F759" s="23">
        <v>0</v>
      </c>
      <c r="G759" s="19">
        <v>0</v>
      </c>
    </row>
    <row r="760" spans="4:7" x14ac:dyDescent="0.3">
      <c r="D760" s="24" t="s">
        <v>237</v>
      </c>
      <c r="E760" s="7">
        <v>0</v>
      </c>
      <c r="F760" s="23">
        <v>0</v>
      </c>
      <c r="G760" s="19">
        <v>0</v>
      </c>
    </row>
    <row r="761" spans="4:7" x14ac:dyDescent="0.3">
      <c r="D761" s="24" t="s">
        <v>237</v>
      </c>
      <c r="E761" s="7">
        <v>0</v>
      </c>
      <c r="F761" s="23">
        <v>0</v>
      </c>
      <c r="G761" s="19">
        <v>0</v>
      </c>
    </row>
    <row r="762" spans="4:7" x14ac:dyDescent="0.3">
      <c r="D762" s="24" t="s">
        <v>237</v>
      </c>
      <c r="E762" s="7">
        <v>0</v>
      </c>
      <c r="F762" s="23">
        <v>0</v>
      </c>
      <c r="G762" s="19">
        <v>0</v>
      </c>
    </row>
    <row r="763" spans="4:7" x14ac:dyDescent="0.3">
      <c r="D763" s="24" t="s">
        <v>237</v>
      </c>
      <c r="E763" s="7">
        <v>0</v>
      </c>
      <c r="F763" s="23">
        <v>0</v>
      </c>
      <c r="G763" s="19">
        <v>0</v>
      </c>
    </row>
    <row r="764" spans="4:7" x14ac:dyDescent="0.3">
      <c r="D764" s="24" t="s">
        <v>237</v>
      </c>
      <c r="E764" s="7">
        <v>0</v>
      </c>
      <c r="F764" s="23">
        <v>0</v>
      </c>
      <c r="G764" s="19">
        <v>0</v>
      </c>
    </row>
    <row r="765" spans="4:7" x14ac:dyDescent="0.3">
      <c r="D765" s="24" t="s">
        <v>237</v>
      </c>
      <c r="E765" s="7">
        <v>0</v>
      </c>
      <c r="F765" s="23">
        <v>0</v>
      </c>
      <c r="G765" s="19">
        <v>0</v>
      </c>
    </row>
    <row r="766" spans="4:7" x14ac:dyDescent="0.3">
      <c r="D766" s="24" t="s">
        <v>237</v>
      </c>
      <c r="E766" s="7">
        <v>0</v>
      </c>
      <c r="F766" s="23">
        <v>0</v>
      </c>
      <c r="G766" s="19">
        <v>0</v>
      </c>
    </row>
    <row r="767" spans="4:7" x14ac:dyDescent="0.3">
      <c r="D767" s="24" t="s">
        <v>237</v>
      </c>
      <c r="E767" s="7">
        <v>0</v>
      </c>
      <c r="F767" s="23">
        <v>0</v>
      </c>
      <c r="G767" s="19">
        <v>0</v>
      </c>
    </row>
    <row r="768" spans="4:7" x14ac:dyDescent="0.3">
      <c r="D768" s="24" t="s">
        <v>237</v>
      </c>
      <c r="E768" s="7">
        <v>0</v>
      </c>
      <c r="F768" s="23">
        <v>0</v>
      </c>
      <c r="G768" s="19">
        <v>0</v>
      </c>
    </row>
    <row r="769" spans="4:7" x14ac:dyDescent="0.3">
      <c r="D769" s="24" t="s">
        <v>237</v>
      </c>
      <c r="E769" s="7">
        <v>0</v>
      </c>
      <c r="F769" s="23">
        <v>0</v>
      </c>
      <c r="G769" s="19">
        <v>0</v>
      </c>
    </row>
    <row r="770" spans="4:7" x14ac:dyDescent="0.3">
      <c r="D770" s="24" t="s">
        <v>237</v>
      </c>
      <c r="E770" s="7">
        <v>0</v>
      </c>
      <c r="F770" s="23">
        <v>0</v>
      </c>
      <c r="G770" s="19">
        <v>0</v>
      </c>
    </row>
    <row r="771" spans="4:7" x14ac:dyDescent="0.3">
      <c r="D771" s="24" t="s">
        <v>237</v>
      </c>
      <c r="E771" s="7">
        <v>0</v>
      </c>
      <c r="F771" s="23">
        <v>0</v>
      </c>
      <c r="G771" s="19">
        <v>0</v>
      </c>
    </row>
    <row r="772" spans="4:7" x14ac:dyDescent="0.3">
      <c r="D772" s="24" t="s">
        <v>237</v>
      </c>
      <c r="E772" s="7">
        <v>0</v>
      </c>
      <c r="F772" s="23">
        <v>0</v>
      </c>
      <c r="G772" s="19">
        <v>0</v>
      </c>
    </row>
    <row r="773" spans="4:7" x14ac:dyDescent="0.3">
      <c r="D773" s="24" t="s">
        <v>237</v>
      </c>
      <c r="E773" s="7">
        <v>0</v>
      </c>
      <c r="F773" s="23">
        <v>0</v>
      </c>
      <c r="G773" s="19">
        <v>0</v>
      </c>
    </row>
    <row r="774" spans="4:7" x14ac:dyDescent="0.3">
      <c r="D774" s="24" t="s">
        <v>237</v>
      </c>
      <c r="E774" s="7">
        <v>0</v>
      </c>
      <c r="F774" s="23">
        <v>0</v>
      </c>
      <c r="G774" s="19">
        <v>0</v>
      </c>
    </row>
    <row r="775" spans="4:7" x14ac:dyDescent="0.3">
      <c r="D775" s="24" t="s">
        <v>237</v>
      </c>
      <c r="E775" s="7">
        <v>0</v>
      </c>
      <c r="F775" s="23">
        <v>0</v>
      </c>
      <c r="G775" s="19">
        <v>0</v>
      </c>
    </row>
    <row r="776" spans="4:7" x14ac:dyDescent="0.3">
      <c r="D776" s="24" t="s">
        <v>237</v>
      </c>
      <c r="E776" s="7">
        <v>0</v>
      </c>
      <c r="F776" s="23">
        <v>0</v>
      </c>
      <c r="G776" s="19">
        <v>0</v>
      </c>
    </row>
    <row r="777" spans="4:7" x14ac:dyDescent="0.3">
      <c r="D777" s="24" t="s">
        <v>237</v>
      </c>
      <c r="E777" s="7">
        <v>0</v>
      </c>
      <c r="F777" s="23">
        <v>0</v>
      </c>
      <c r="G777" s="19">
        <v>0</v>
      </c>
    </row>
    <row r="778" spans="4:7" x14ac:dyDescent="0.3">
      <c r="D778" s="24" t="s">
        <v>237</v>
      </c>
      <c r="E778" s="7">
        <v>0</v>
      </c>
      <c r="F778" s="23">
        <v>0</v>
      </c>
      <c r="G778" s="19">
        <v>0</v>
      </c>
    </row>
    <row r="779" spans="4:7" x14ac:dyDescent="0.3">
      <c r="D779" s="24" t="s">
        <v>237</v>
      </c>
      <c r="E779" s="7">
        <v>0</v>
      </c>
      <c r="F779" s="23">
        <v>0</v>
      </c>
      <c r="G779" s="19">
        <v>0</v>
      </c>
    </row>
    <row r="780" spans="4:7" x14ac:dyDescent="0.3">
      <c r="D780" s="24" t="s">
        <v>237</v>
      </c>
      <c r="E780" s="7">
        <v>0</v>
      </c>
      <c r="F780" s="23">
        <v>0</v>
      </c>
      <c r="G780" s="19">
        <v>0</v>
      </c>
    </row>
    <row r="781" spans="4:7" x14ac:dyDescent="0.3">
      <c r="D781" s="24" t="s">
        <v>237</v>
      </c>
      <c r="E781" s="7">
        <v>0</v>
      </c>
      <c r="F781" s="23">
        <v>0</v>
      </c>
      <c r="G781" s="19">
        <v>0</v>
      </c>
    </row>
    <row r="782" spans="4:7" x14ac:dyDescent="0.3">
      <c r="D782" s="24" t="s">
        <v>237</v>
      </c>
      <c r="E782" s="7">
        <v>0</v>
      </c>
      <c r="F782" s="23">
        <v>0</v>
      </c>
      <c r="G782" s="19">
        <v>0</v>
      </c>
    </row>
    <row r="783" spans="4:7" x14ac:dyDescent="0.3">
      <c r="D783" s="24" t="s">
        <v>237</v>
      </c>
      <c r="E783" s="7">
        <v>0</v>
      </c>
      <c r="F783" s="23">
        <v>0</v>
      </c>
      <c r="G783" s="19">
        <v>0</v>
      </c>
    </row>
    <row r="784" spans="4:7" x14ac:dyDescent="0.3">
      <c r="D784" s="24" t="s">
        <v>237</v>
      </c>
      <c r="E784" s="7">
        <v>0</v>
      </c>
      <c r="F784" s="23">
        <v>0</v>
      </c>
      <c r="G784" s="19">
        <v>0</v>
      </c>
    </row>
    <row r="785" spans="4:7" x14ac:dyDescent="0.3">
      <c r="D785" s="24" t="s">
        <v>237</v>
      </c>
      <c r="E785" s="7">
        <v>0</v>
      </c>
      <c r="F785" s="23">
        <v>0</v>
      </c>
      <c r="G785" s="19">
        <v>0</v>
      </c>
    </row>
    <row r="786" spans="4:7" x14ac:dyDescent="0.3">
      <c r="D786" s="24" t="s">
        <v>237</v>
      </c>
      <c r="E786" s="7">
        <v>0</v>
      </c>
      <c r="F786" s="23">
        <v>0</v>
      </c>
      <c r="G786" s="19">
        <v>0</v>
      </c>
    </row>
    <row r="787" spans="4:7" x14ac:dyDescent="0.3">
      <c r="D787" s="24" t="s">
        <v>237</v>
      </c>
      <c r="E787" s="7">
        <v>0</v>
      </c>
      <c r="F787" s="23">
        <v>0</v>
      </c>
      <c r="G787" s="19">
        <v>0</v>
      </c>
    </row>
    <row r="788" spans="4:7" x14ac:dyDescent="0.3">
      <c r="D788" s="24" t="s">
        <v>237</v>
      </c>
      <c r="E788" s="7">
        <v>0</v>
      </c>
      <c r="F788" s="23">
        <v>0</v>
      </c>
      <c r="G788" s="19">
        <v>0</v>
      </c>
    </row>
    <row r="789" spans="4:7" x14ac:dyDescent="0.3">
      <c r="D789" s="24" t="s">
        <v>237</v>
      </c>
      <c r="E789" s="7">
        <v>0</v>
      </c>
      <c r="F789" s="23">
        <v>0</v>
      </c>
      <c r="G789" s="19">
        <v>0</v>
      </c>
    </row>
    <row r="790" spans="4:7" x14ac:dyDescent="0.3">
      <c r="D790" s="24" t="s">
        <v>237</v>
      </c>
      <c r="E790" s="7">
        <v>0</v>
      </c>
      <c r="F790" s="23">
        <v>0</v>
      </c>
      <c r="G790" s="19">
        <v>0</v>
      </c>
    </row>
    <row r="791" spans="4:7" x14ac:dyDescent="0.3">
      <c r="D791" s="24" t="s">
        <v>237</v>
      </c>
      <c r="E791" s="7">
        <v>0</v>
      </c>
      <c r="F791" s="23">
        <v>0</v>
      </c>
      <c r="G791" s="19">
        <v>0</v>
      </c>
    </row>
    <row r="792" spans="4:7" x14ac:dyDescent="0.3">
      <c r="D792" s="24" t="s">
        <v>237</v>
      </c>
      <c r="E792" s="7">
        <v>0</v>
      </c>
      <c r="F792" s="23">
        <v>0</v>
      </c>
      <c r="G792" s="19">
        <v>0</v>
      </c>
    </row>
    <row r="793" spans="4:7" x14ac:dyDescent="0.3">
      <c r="D793" s="24" t="s">
        <v>237</v>
      </c>
      <c r="E793" s="7">
        <v>0</v>
      </c>
      <c r="F793" s="23">
        <v>0</v>
      </c>
      <c r="G793" s="19">
        <v>0</v>
      </c>
    </row>
    <row r="794" spans="4:7" x14ac:dyDescent="0.3">
      <c r="D794" s="24" t="s">
        <v>237</v>
      </c>
      <c r="E794" s="7">
        <v>0</v>
      </c>
      <c r="F794" s="23">
        <v>0</v>
      </c>
      <c r="G794" s="19">
        <v>0</v>
      </c>
    </row>
    <row r="795" spans="4:7" x14ac:dyDescent="0.3">
      <c r="D795" s="24" t="s">
        <v>237</v>
      </c>
      <c r="E795" s="7">
        <v>0</v>
      </c>
      <c r="F795" s="23">
        <v>0</v>
      </c>
      <c r="G795" s="19">
        <v>0</v>
      </c>
    </row>
    <row r="796" spans="4:7" x14ac:dyDescent="0.3">
      <c r="D796" s="24" t="s">
        <v>237</v>
      </c>
      <c r="E796" s="7">
        <v>0</v>
      </c>
      <c r="F796" s="23">
        <v>0</v>
      </c>
      <c r="G796" s="19">
        <v>0</v>
      </c>
    </row>
    <row r="797" spans="4:7" x14ac:dyDescent="0.3">
      <c r="D797" s="24" t="s">
        <v>237</v>
      </c>
      <c r="E797" s="7">
        <v>0</v>
      </c>
      <c r="F797" s="23">
        <v>0</v>
      </c>
      <c r="G797" s="19">
        <v>0</v>
      </c>
    </row>
    <row r="798" spans="4:7" x14ac:dyDescent="0.3">
      <c r="D798" s="24" t="s">
        <v>237</v>
      </c>
      <c r="E798" s="7">
        <v>0</v>
      </c>
      <c r="F798" s="23">
        <v>0</v>
      </c>
      <c r="G798" s="19">
        <v>0</v>
      </c>
    </row>
    <row r="799" spans="4:7" x14ac:dyDescent="0.3">
      <c r="D799" s="24" t="s">
        <v>237</v>
      </c>
      <c r="E799" s="7">
        <v>0</v>
      </c>
      <c r="F799" s="23">
        <v>0</v>
      </c>
      <c r="G799" s="19">
        <v>0</v>
      </c>
    </row>
    <row r="800" spans="4:7" x14ac:dyDescent="0.3">
      <c r="D800" s="24" t="s">
        <v>237</v>
      </c>
      <c r="E800" s="7">
        <v>0</v>
      </c>
      <c r="F800" s="23">
        <v>0</v>
      </c>
      <c r="G800" s="19">
        <v>0</v>
      </c>
    </row>
    <row r="801" spans="4:7" x14ac:dyDescent="0.3">
      <c r="D801" s="24" t="s">
        <v>237</v>
      </c>
      <c r="E801" s="7">
        <v>0</v>
      </c>
      <c r="F801" s="23">
        <v>0</v>
      </c>
      <c r="G801" s="19">
        <v>0</v>
      </c>
    </row>
    <row r="802" spans="4:7" x14ac:dyDescent="0.3">
      <c r="D802" s="24" t="s">
        <v>237</v>
      </c>
      <c r="E802" s="7">
        <v>0</v>
      </c>
      <c r="F802" s="23">
        <v>0</v>
      </c>
      <c r="G802" s="19">
        <v>0</v>
      </c>
    </row>
    <row r="803" spans="4:7" x14ac:dyDescent="0.3">
      <c r="D803" s="24" t="s">
        <v>237</v>
      </c>
      <c r="E803" s="7">
        <v>0</v>
      </c>
      <c r="F803" s="23">
        <v>0</v>
      </c>
      <c r="G803" s="19">
        <v>0</v>
      </c>
    </row>
    <row r="804" spans="4:7" x14ac:dyDescent="0.3">
      <c r="D804" s="24" t="s">
        <v>237</v>
      </c>
      <c r="E804" s="7">
        <v>0</v>
      </c>
      <c r="F804" s="23">
        <v>0</v>
      </c>
      <c r="G804" s="19">
        <v>0</v>
      </c>
    </row>
    <row r="805" spans="4:7" x14ac:dyDescent="0.3">
      <c r="D805" s="24" t="s">
        <v>237</v>
      </c>
      <c r="E805" s="7">
        <v>0</v>
      </c>
      <c r="F805" s="23">
        <v>0</v>
      </c>
      <c r="G805" s="19">
        <v>0</v>
      </c>
    </row>
    <row r="806" spans="4:7" x14ac:dyDescent="0.3">
      <c r="D806" s="24" t="s">
        <v>237</v>
      </c>
      <c r="E806" s="7">
        <v>0</v>
      </c>
      <c r="F806" s="23">
        <v>0</v>
      </c>
      <c r="G806" s="19">
        <v>0</v>
      </c>
    </row>
    <row r="807" spans="4:7" x14ac:dyDescent="0.3">
      <c r="D807" s="24" t="s">
        <v>237</v>
      </c>
      <c r="E807" s="7">
        <v>0</v>
      </c>
      <c r="F807" s="23">
        <v>0</v>
      </c>
      <c r="G807" s="19">
        <v>0</v>
      </c>
    </row>
    <row r="808" spans="4:7" x14ac:dyDescent="0.3">
      <c r="D808" s="24" t="s">
        <v>237</v>
      </c>
      <c r="E808" s="7">
        <v>0</v>
      </c>
      <c r="F808" s="23">
        <v>0</v>
      </c>
      <c r="G808" s="19">
        <v>0</v>
      </c>
    </row>
    <row r="809" spans="4:7" x14ac:dyDescent="0.3">
      <c r="D809" s="24" t="s">
        <v>237</v>
      </c>
      <c r="E809" s="7">
        <v>0</v>
      </c>
      <c r="F809" s="23">
        <v>0</v>
      </c>
      <c r="G809" s="19">
        <v>0</v>
      </c>
    </row>
    <row r="810" spans="4:7" x14ac:dyDescent="0.3">
      <c r="D810" s="24" t="s">
        <v>237</v>
      </c>
      <c r="E810" s="7">
        <v>0</v>
      </c>
      <c r="F810" s="23">
        <v>0</v>
      </c>
      <c r="G810" s="19">
        <v>0</v>
      </c>
    </row>
    <row r="811" spans="4:7" x14ac:dyDescent="0.3">
      <c r="D811" s="24" t="s">
        <v>237</v>
      </c>
      <c r="E811" s="7">
        <v>0</v>
      </c>
      <c r="F811" s="23">
        <v>0</v>
      </c>
      <c r="G811" s="19">
        <v>0</v>
      </c>
    </row>
    <row r="812" spans="4:7" x14ac:dyDescent="0.3">
      <c r="D812" s="24" t="s">
        <v>237</v>
      </c>
      <c r="E812" s="7">
        <v>0</v>
      </c>
      <c r="F812" s="23">
        <v>0</v>
      </c>
      <c r="G812" s="19">
        <v>0</v>
      </c>
    </row>
    <row r="813" spans="4:7" x14ac:dyDescent="0.3">
      <c r="D813" s="24" t="s">
        <v>237</v>
      </c>
      <c r="E813" s="7">
        <v>0</v>
      </c>
      <c r="F813" s="23">
        <v>0</v>
      </c>
      <c r="G813" s="19">
        <v>0</v>
      </c>
    </row>
    <row r="814" spans="4:7" x14ac:dyDescent="0.3">
      <c r="D814" s="24" t="s">
        <v>237</v>
      </c>
      <c r="E814" s="7">
        <v>0</v>
      </c>
      <c r="F814" s="23">
        <v>0</v>
      </c>
      <c r="G814" s="19">
        <v>0</v>
      </c>
    </row>
    <row r="815" spans="4:7" x14ac:dyDescent="0.3">
      <c r="D815" s="24" t="s">
        <v>237</v>
      </c>
      <c r="E815" s="7">
        <v>0</v>
      </c>
      <c r="F815" s="23">
        <v>0</v>
      </c>
      <c r="G815" s="19">
        <v>0</v>
      </c>
    </row>
    <row r="816" spans="4:7" x14ac:dyDescent="0.3">
      <c r="D816" s="24" t="s">
        <v>237</v>
      </c>
      <c r="E816" s="7">
        <v>0</v>
      </c>
      <c r="F816" s="23">
        <v>0</v>
      </c>
      <c r="G816" s="19">
        <v>0</v>
      </c>
    </row>
    <row r="817" spans="4:7" x14ac:dyDescent="0.3">
      <c r="D817" s="24" t="s">
        <v>237</v>
      </c>
      <c r="E817" s="7">
        <v>0</v>
      </c>
      <c r="F817" s="23">
        <v>0</v>
      </c>
      <c r="G817" s="19">
        <v>0</v>
      </c>
    </row>
    <row r="818" spans="4:7" x14ac:dyDescent="0.3">
      <c r="D818" s="24" t="s">
        <v>237</v>
      </c>
      <c r="E818" s="7">
        <v>0</v>
      </c>
      <c r="F818" s="23">
        <v>0</v>
      </c>
      <c r="G818" s="19">
        <v>0</v>
      </c>
    </row>
    <row r="819" spans="4:7" x14ac:dyDescent="0.3">
      <c r="D819" s="24" t="s">
        <v>237</v>
      </c>
      <c r="E819" s="7">
        <v>0</v>
      </c>
      <c r="F819" s="23">
        <v>0</v>
      </c>
      <c r="G819" s="19">
        <v>0</v>
      </c>
    </row>
    <row r="820" spans="4:7" x14ac:dyDescent="0.3">
      <c r="D820" s="24" t="s">
        <v>237</v>
      </c>
      <c r="E820" s="7">
        <v>0</v>
      </c>
      <c r="F820" s="23">
        <v>0</v>
      </c>
      <c r="G820" s="19">
        <v>0</v>
      </c>
    </row>
    <row r="821" spans="4:7" x14ac:dyDescent="0.3">
      <c r="D821" s="24" t="s">
        <v>237</v>
      </c>
      <c r="E821" s="7">
        <v>0</v>
      </c>
      <c r="F821" s="23">
        <v>0</v>
      </c>
      <c r="G821" s="19">
        <v>0</v>
      </c>
    </row>
    <row r="822" spans="4:7" x14ac:dyDescent="0.3">
      <c r="D822" s="24" t="s">
        <v>237</v>
      </c>
      <c r="E822" s="7">
        <v>0</v>
      </c>
      <c r="F822" s="23">
        <v>0</v>
      </c>
      <c r="G822" s="19">
        <v>0</v>
      </c>
    </row>
    <row r="823" spans="4:7" x14ac:dyDescent="0.3">
      <c r="D823" s="24" t="s">
        <v>237</v>
      </c>
      <c r="E823" s="7">
        <v>0</v>
      </c>
      <c r="F823" s="23">
        <v>0</v>
      </c>
      <c r="G823" s="19">
        <v>0</v>
      </c>
    </row>
    <row r="824" spans="4:7" x14ac:dyDescent="0.3">
      <c r="D824" s="24" t="s">
        <v>237</v>
      </c>
      <c r="E824" s="7">
        <v>0</v>
      </c>
      <c r="F824" s="23">
        <v>0</v>
      </c>
      <c r="G824" s="19">
        <v>0</v>
      </c>
    </row>
    <row r="825" spans="4:7" x14ac:dyDescent="0.3">
      <c r="D825" s="24" t="s">
        <v>237</v>
      </c>
      <c r="E825" s="7">
        <v>0</v>
      </c>
      <c r="F825" s="23">
        <v>0</v>
      </c>
      <c r="G825" s="19">
        <v>0</v>
      </c>
    </row>
    <row r="826" spans="4:7" x14ac:dyDescent="0.3">
      <c r="D826" s="24" t="s">
        <v>237</v>
      </c>
      <c r="E826" s="7">
        <v>0</v>
      </c>
      <c r="F826" s="23">
        <v>0</v>
      </c>
      <c r="G826" s="19">
        <v>0</v>
      </c>
    </row>
    <row r="827" spans="4:7" x14ac:dyDescent="0.3">
      <c r="D827" s="24" t="s">
        <v>237</v>
      </c>
      <c r="E827" s="7">
        <v>0</v>
      </c>
      <c r="F827" s="23">
        <v>0</v>
      </c>
      <c r="G827" s="19">
        <v>0</v>
      </c>
    </row>
    <row r="828" spans="4:7" x14ac:dyDescent="0.3">
      <c r="D828" s="24" t="s">
        <v>237</v>
      </c>
      <c r="E828" s="7">
        <v>0</v>
      </c>
      <c r="F828" s="23">
        <v>0</v>
      </c>
      <c r="G828" s="19">
        <v>0</v>
      </c>
    </row>
    <row r="829" spans="4:7" x14ac:dyDescent="0.3">
      <c r="D829" s="24" t="s">
        <v>237</v>
      </c>
      <c r="E829" s="7">
        <v>0</v>
      </c>
      <c r="F829" s="23">
        <v>0</v>
      </c>
      <c r="G829" s="19">
        <v>0</v>
      </c>
    </row>
    <row r="830" spans="4:7" x14ac:dyDescent="0.3">
      <c r="D830" s="24" t="s">
        <v>237</v>
      </c>
      <c r="E830" s="7">
        <v>0</v>
      </c>
      <c r="F830" s="23">
        <v>0</v>
      </c>
      <c r="G830" s="19">
        <v>0</v>
      </c>
    </row>
    <row r="831" spans="4:7" x14ac:dyDescent="0.3">
      <c r="D831" s="24" t="s">
        <v>237</v>
      </c>
      <c r="E831" s="7">
        <v>0</v>
      </c>
      <c r="F831" s="23">
        <v>0</v>
      </c>
      <c r="G831" s="19">
        <v>0</v>
      </c>
    </row>
    <row r="832" spans="4:7" x14ac:dyDescent="0.3">
      <c r="D832" s="24" t="s">
        <v>237</v>
      </c>
      <c r="E832" s="7">
        <v>0</v>
      </c>
      <c r="F832" s="23">
        <v>0</v>
      </c>
      <c r="G832" s="19">
        <v>0</v>
      </c>
    </row>
    <row r="833" spans="4:7" x14ac:dyDescent="0.3">
      <c r="D833" s="24" t="s">
        <v>237</v>
      </c>
      <c r="E833" s="7">
        <v>0</v>
      </c>
      <c r="F833" s="23">
        <v>0</v>
      </c>
      <c r="G833" s="19">
        <v>0</v>
      </c>
    </row>
    <row r="834" spans="4:7" x14ac:dyDescent="0.3">
      <c r="D834" s="24" t="s">
        <v>237</v>
      </c>
      <c r="E834" s="7">
        <v>0</v>
      </c>
      <c r="F834" s="23">
        <v>0</v>
      </c>
      <c r="G834" s="19">
        <v>0</v>
      </c>
    </row>
    <row r="835" spans="4:7" x14ac:dyDescent="0.3">
      <c r="D835" s="24" t="s">
        <v>237</v>
      </c>
      <c r="E835" s="7">
        <v>0</v>
      </c>
      <c r="F835" s="23">
        <v>0</v>
      </c>
      <c r="G835" s="19">
        <v>0</v>
      </c>
    </row>
    <row r="836" spans="4:7" x14ac:dyDescent="0.3">
      <c r="D836" s="24" t="s">
        <v>237</v>
      </c>
      <c r="E836" s="7">
        <v>0</v>
      </c>
      <c r="F836" s="23">
        <v>0</v>
      </c>
      <c r="G836" s="19">
        <v>0</v>
      </c>
    </row>
    <row r="837" spans="4:7" x14ac:dyDescent="0.3">
      <c r="D837" s="24" t="s">
        <v>237</v>
      </c>
      <c r="E837" s="7">
        <v>0</v>
      </c>
      <c r="F837" s="23">
        <v>0</v>
      </c>
      <c r="G837" s="19">
        <v>0</v>
      </c>
    </row>
    <row r="838" spans="4:7" x14ac:dyDescent="0.3">
      <c r="D838" s="24" t="s">
        <v>237</v>
      </c>
      <c r="E838" s="7">
        <v>0</v>
      </c>
      <c r="F838" s="23">
        <v>0</v>
      </c>
      <c r="G838" s="19">
        <v>0</v>
      </c>
    </row>
    <row r="839" spans="4:7" x14ac:dyDescent="0.3">
      <c r="D839" s="24" t="s">
        <v>237</v>
      </c>
      <c r="E839" s="7">
        <v>0</v>
      </c>
      <c r="F839" s="23">
        <v>0</v>
      </c>
      <c r="G839" s="19">
        <v>0</v>
      </c>
    </row>
    <row r="840" spans="4:7" x14ac:dyDescent="0.3">
      <c r="D840" s="24" t="s">
        <v>237</v>
      </c>
      <c r="E840" s="7">
        <v>0</v>
      </c>
      <c r="F840" s="23">
        <v>0</v>
      </c>
      <c r="G840" s="19">
        <v>0</v>
      </c>
    </row>
    <row r="841" spans="4:7" x14ac:dyDescent="0.3">
      <c r="D841" s="24" t="s">
        <v>237</v>
      </c>
      <c r="E841" s="7">
        <v>0</v>
      </c>
      <c r="F841" s="23">
        <v>0</v>
      </c>
      <c r="G841" s="19">
        <v>0</v>
      </c>
    </row>
    <row r="842" spans="4:7" x14ac:dyDescent="0.3">
      <c r="D842" s="24" t="s">
        <v>237</v>
      </c>
      <c r="E842" s="7">
        <v>0</v>
      </c>
      <c r="F842" s="23">
        <v>0</v>
      </c>
      <c r="G842" s="19">
        <v>0</v>
      </c>
    </row>
    <row r="843" spans="4:7" x14ac:dyDescent="0.3">
      <c r="D843" s="24" t="s">
        <v>237</v>
      </c>
      <c r="E843" s="7">
        <v>0</v>
      </c>
      <c r="F843" s="23">
        <v>0</v>
      </c>
      <c r="G843" s="19">
        <v>0</v>
      </c>
    </row>
    <row r="844" spans="4:7" x14ac:dyDescent="0.3">
      <c r="D844" s="24" t="s">
        <v>237</v>
      </c>
      <c r="E844" s="7">
        <v>0</v>
      </c>
      <c r="F844" s="23">
        <v>0</v>
      </c>
      <c r="G844" s="19">
        <v>0</v>
      </c>
    </row>
    <row r="845" spans="4:7" x14ac:dyDescent="0.3">
      <c r="D845" s="24" t="s">
        <v>237</v>
      </c>
      <c r="E845" s="7">
        <v>0</v>
      </c>
      <c r="F845" s="23">
        <v>0</v>
      </c>
      <c r="G845" s="19">
        <v>0</v>
      </c>
    </row>
    <row r="846" spans="4:7" x14ac:dyDescent="0.3">
      <c r="D846" s="24" t="s">
        <v>237</v>
      </c>
      <c r="E846" s="7">
        <v>0</v>
      </c>
      <c r="F846" s="23">
        <v>0</v>
      </c>
      <c r="G846" s="19">
        <v>0</v>
      </c>
    </row>
    <row r="847" spans="4:7" x14ac:dyDescent="0.3">
      <c r="D847" s="24" t="s">
        <v>237</v>
      </c>
      <c r="E847" s="7">
        <v>0</v>
      </c>
      <c r="F847" s="23">
        <v>0</v>
      </c>
      <c r="G847" s="19">
        <v>0</v>
      </c>
    </row>
    <row r="848" spans="4:7" x14ac:dyDescent="0.3">
      <c r="D848" s="24" t="s">
        <v>237</v>
      </c>
      <c r="E848" s="7">
        <v>0</v>
      </c>
      <c r="F848" s="23">
        <v>0</v>
      </c>
      <c r="G848" s="19">
        <v>0</v>
      </c>
    </row>
    <row r="849" spans="4:7" x14ac:dyDescent="0.3">
      <c r="D849" s="24" t="s">
        <v>237</v>
      </c>
      <c r="E849" s="7">
        <v>0</v>
      </c>
      <c r="F849" s="23">
        <v>0</v>
      </c>
      <c r="G849" s="19">
        <v>0</v>
      </c>
    </row>
    <row r="850" spans="4:7" x14ac:dyDescent="0.3">
      <c r="D850" s="24" t="s">
        <v>237</v>
      </c>
      <c r="E850" s="7">
        <v>0</v>
      </c>
      <c r="F850" s="23">
        <v>0</v>
      </c>
      <c r="G850" s="19">
        <v>0</v>
      </c>
    </row>
    <row r="851" spans="4:7" x14ac:dyDescent="0.3">
      <c r="D851" s="24" t="s">
        <v>237</v>
      </c>
      <c r="E851" s="7">
        <v>0</v>
      </c>
      <c r="F851" s="23">
        <v>0</v>
      </c>
      <c r="G851" s="19">
        <v>0</v>
      </c>
    </row>
    <row r="852" spans="4:7" x14ac:dyDescent="0.3">
      <c r="D852" s="24" t="s">
        <v>237</v>
      </c>
      <c r="E852" s="7">
        <v>0</v>
      </c>
      <c r="F852" s="23">
        <v>0</v>
      </c>
      <c r="G852" s="19">
        <v>0</v>
      </c>
    </row>
    <row r="853" spans="4:7" x14ac:dyDescent="0.3">
      <c r="D853" s="24" t="s">
        <v>237</v>
      </c>
      <c r="E853" s="7">
        <v>0</v>
      </c>
      <c r="F853" s="23">
        <v>0</v>
      </c>
      <c r="G853" s="19">
        <v>0</v>
      </c>
    </row>
    <row r="854" spans="4:7" x14ac:dyDescent="0.3">
      <c r="D854" s="24" t="s">
        <v>237</v>
      </c>
      <c r="E854" s="7">
        <v>0</v>
      </c>
      <c r="F854" s="23">
        <v>0</v>
      </c>
      <c r="G854" s="19">
        <v>0</v>
      </c>
    </row>
    <row r="855" spans="4:7" x14ac:dyDescent="0.3">
      <c r="D855" s="24" t="s">
        <v>237</v>
      </c>
      <c r="E855" s="7">
        <v>0</v>
      </c>
      <c r="F855" s="23">
        <v>0</v>
      </c>
      <c r="G855" s="19">
        <v>0</v>
      </c>
    </row>
    <row r="856" spans="4:7" x14ac:dyDescent="0.3">
      <c r="D856" s="24" t="s">
        <v>237</v>
      </c>
      <c r="E856" s="7">
        <v>0</v>
      </c>
      <c r="F856" s="23">
        <v>0</v>
      </c>
      <c r="G856" s="19">
        <v>0</v>
      </c>
    </row>
    <row r="857" spans="4:7" x14ac:dyDescent="0.3">
      <c r="D857" s="24" t="s">
        <v>237</v>
      </c>
      <c r="E857" s="7">
        <v>0</v>
      </c>
      <c r="F857" s="23">
        <v>0</v>
      </c>
      <c r="G857" s="19">
        <v>0</v>
      </c>
    </row>
    <row r="858" spans="4:7" x14ac:dyDescent="0.3">
      <c r="D858" s="24" t="s">
        <v>237</v>
      </c>
      <c r="E858" s="7">
        <v>0</v>
      </c>
      <c r="F858" s="23">
        <v>0</v>
      </c>
      <c r="G858" s="19">
        <v>0</v>
      </c>
    </row>
    <row r="859" spans="4:7" x14ac:dyDescent="0.3">
      <c r="D859" s="24" t="s">
        <v>237</v>
      </c>
      <c r="E859" s="7">
        <v>0</v>
      </c>
      <c r="F859" s="23">
        <v>0</v>
      </c>
      <c r="G859" s="19">
        <v>0</v>
      </c>
    </row>
    <row r="860" spans="4:7" x14ac:dyDescent="0.3">
      <c r="D860" s="24" t="s">
        <v>237</v>
      </c>
      <c r="E860" s="7">
        <v>0</v>
      </c>
      <c r="F860" s="23">
        <v>0</v>
      </c>
      <c r="G860" s="19">
        <v>0</v>
      </c>
    </row>
    <row r="861" spans="4:7" x14ac:dyDescent="0.3">
      <c r="D861" s="24" t="s">
        <v>237</v>
      </c>
      <c r="E861" s="7">
        <v>0</v>
      </c>
      <c r="F861" s="23">
        <v>0</v>
      </c>
      <c r="G861" s="19">
        <v>0</v>
      </c>
    </row>
    <row r="862" spans="4:7" x14ac:dyDescent="0.3">
      <c r="D862" s="24" t="s">
        <v>237</v>
      </c>
      <c r="E862" s="7">
        <v>0</v>
      </c>
      <c r="F862" s="23">
        <v>0</v>
      </c>
      <c r="G862" s="19">
        <v>0</v>
      </c>
    </row>
    <row r="863" spans="4:7" x14ac:dyDescent="0.3">
      <c r="D863" s="24" t="s">
        <v>237</v>
      </c>
      <c r="E863" s="7">
        <v>0</v>
      </c>
      <c r="F863" s="23">
        <v>0</v>
      </c>
      <c r="G863" s="19">
        <v>0</v>
      </c>
    </row>
    <row r="864" spans="4:7" x14ac:dyDescent="0.3">
      <c r="D864" s="24" t="s">
        <v>237</v>
      </c>
      <c r="E864" s="7">
        <v>0</v>
      </c>
      <c r="F864" s="23">
        <v>0</v>
      </c>
      <c r="G864" s="19">
        <v>0</v>
      </c>
    </row>
    <row r="865" spans="4:7" x14ac:dyDescent="0.3">
      <c r="D865" s="24" t="s">
        <v>237</v>
      </c>
      <c r="E865" s="7">
        <v>0</v>
      </c>
      <c r="F865" s="23">
        <v>0</v>
      </c>
      <c r="G865" s="19">
        <v>0</v>
      </c>
    </row>
    <row r="866" spans="4:7" x14ac:dyDescent="0.3">
      <c r="D866" s="24" t="s">
        <v>237</v>
      </c>
      <c r="E866" s="7">
        <v>0</v>
      </c>
      <c r="F866" s="23">
        <v>0</v>
      </c>
      <c r="G866" s="19">
        <v>0</v>
      </c>
    </row>
    <row r="867" spans="4:7" x14ac:dyDescent="0.3">
      <c r="D867" s="24" t="s">
        <v>237</v>
      </c>
      <c r="E867" s="7">
        <v>0</v>
      </c>
      <c r="F867" s="23">
        <v>0</v>
      </c>
      <c r="G867" s="19">
        <v>0</v>
      </c>
    </row>
    <row r="868" spans="4:7" x14ac:dyDescent="0.3">
      <c r="D868" s="24" t="s">
        <v>237</v>
      </c>
      <c r="E868" s="7">
        <v>0</v>
      </c>
      <c r="F868" s="23">
        <v>0</v>
      </c>
      <c r="G868" s="19">
        <v>0</v>
      </c>
    </row>
    <row r="869" spans="4:7" x14ac:dyDescent="0.3">
      <c r="D869" s="24" t="s">
        <v>237</v>
      </c>
      <c r="E869" s="7">
        <v>0</v>
      </c>
      <c r="F869" s="23">
        <v>0</v>
      </c>
      <c r="G869" s="19">
        <v>0</v>
      </c>
    </row>
    <row r="870" spans="4:7" x14ac:dyDescent="0.3">
      <c r="D870" s="24" t="s">
        <v>237</v>
      </c>
      <c r="E870" s="7">
        <v>0</v>
      </c>
      <c r="F870" s="23">
        <v>0</v>
      </c>
      <c r="G870" s="19">
        <v>0</v>
      </c>
    </row>
    <row r="871" spans="4:7" x14ac:dyDescent="0.3">
      <c r="D871" s="24" t="s">
        <v>237</v>
      </c>
      <c r="E871" s="7">
        <v>0</v>
      </c>
      <c r="F871" s="23">
        <v>0</v>
      </c>
      <c r="G871" s="19">
        <v>0</v>
      </c>
    </row>
    <row r="872" spans="4:7" x14ac:dyDescent="0.3">
      <c r="D872" s="24" t="s">
        <v>237</v>
      </c>
      <c r="E872" s="7">
        <v>0</v>
      </c>
      <c r="F872" s="23">
        <v>0</v>
      </c>
      <c r="G872" s="19">
        <v>0</v>
      </c>
    </row>
    <row r="873" spans="4:7" x14ac:dyDescent="0.3">
      <c r="D873" s="24" t="s">
        <v>237</v>
      </c>
      <c r="E873" s="7">
        <v>0</v>
      </c>
      <c r="F873" s="23">
        <v>0</v>
      </c>
      <c r="G873" s="19">
        <v>0</v>
      </c>
    </row>
    <row r="874" spans="4:7" x14ac:dyDescent="0.3">
      <c r="D874" s="24" t="s">
        <v>237</v>
      </c>
      <c r="E874" s="7">
        <v>0</v>
      </c>
      <c r="F874" s="23">
        <v>0</v>
      </c>
      <c r="G874" s="19">
        <v>0</v>
      </c>
    </row>
    <row r="875" spans="4:7" x14ac:dyDescent="0.3">
      <c r="D875" s="24" t="s">
        <v>237</v>
      </c>
      <c r="E875" s="7">
        <v>0</v>
      </c>
      <c r="F875" s="23">
        <v>0</v>
      </c>
      <c r="G875" s="19">
        <v>0</v>
      </c>
    </row>
    <row r="876" spans="4:7" x14ac:dyDescent="0.3">
      <c r="D876" s="24" t="s">
        <v>237</v>
      </c>
      <c r="E876" s="7">
        <v>0</v>
      </c>
      <c r="F876" s="23">
        <v>0</v>
      </c>
      <c r="G876" s="1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08EC-08D0-4C25-B0AF-52CB08DAC3E0}">
  <sheetPr>
    <tabColor rgb="FFFF0000"/>
  </sheetPr>
  <dimension ref="A1:H21"/>
  <sheetViews>
    <sheetView zoomScale="85" zoomScaleNormal="85" workbookViewId="0">
      <pane xSplit="6" ySplit="2" topLeftCell="G3" activePane="bottomRight" state="frozen"/>
      <selection pane="topRight" activeCell="H1" sqref="H1"/>
      <selection pane="bottomLeft" activeCell="A3" sqref="A3"/>
      <selection pane="bottomRight" activeCell="I4" sqref="I4"/>
    </sheetView>
  </sheetViews>
  <sheetFormatPr baseColWidth="10" defaultColWidth="11.5546875" defaultRowHeight="14.4" x14ac:dyDescent="0.3"/>
  <cols>
    <col min="1" max="1" width="6.109375" style="55" bestFit="1" customWidth="1"/>
    <col min="2" max="2" width="23.5546875" style="55" customWidth="1"/>
    <col min="3" max="5" width="8.6640625" style="55" customWidth="1"/>
    <col min="6" max="6" width="8.6640625" style="56" customWidth="1"/>
    <col min="7" max="7" width="15.6640625" style="57" customWidth="1"/>
    <col min="8" max="8" width="24.44140625" style="57" customWidth="1"/>
    <col min="9" max="16384" width="11.5546875" style="57"/>
  </cols>
  <sheetData>
    <row r="1" spans="1:8" s="51" customFormat="1" ht="39.6" customHeight="1" x14ac:dyDescent="0.3">
      <c r="A1" s="278" t="s">
        <v>360</v>
      </c>
      <c r="B1" s="279"/>
      <c r="C1" s="279"/>
      <c r="D1" s="279"/>
      <c r="E1" s="279"/>
      <c r="F1" s="279"/>
      <c r="G1" s="280"/>
      <c r="H1" s="66" t="s">
        <v>361</v>
      </c>
    </row>
    <row r="2" spans="1:8" s="54" customFormat="1" ht="37.950000000000003" customHeight="1" x14ac:dyDescent="0.3">
      <c r="A2" s="52" t="s">
        <v>9</v>
      </c>
      <c r="B2" s="52" t="s">
        <v>349</v>
      </c>
      <c r="C2" s="281" t="s">
        <v>348</v>
      </c>
      <c r="D2" s="281"/>
      <c r="E2" s="281"/>
      <c r="F2" s="53" t="s">
        <v>5</v>
      </c>
      <c r="G2" s="52" t="s">
        <v>362</v>
      </c>
      <c r="H2" s="52" t="s">
        <v>363</v>
      </c>
    </row>
    <row r="3" spans="1:8" s="15" customFormat="1" ht="37.200000000000003" customHeight="1" x14ac:dyDescent="0.3">
      <c r="A3" s="12">
        <v>1</v>
      </c>
      <c r="B3" s="12"/>
      <c r="C3" s="12"/>
      <c r="D3" s="12"/>
      <c r="E3" s="12"/>
      <c r="F3" s="3"/>
      <c r="G3" s="13"/>
      <c r="H3" s="13"/>
    </row>
    <row r="4" spans="1:8" s="15" customFormat="1" ht="37.200000000000003" customHeight="1" x14ac:dyDescent="0.3">
      <c r="A4" s="12">
        <f>+A3+1</f>
        <v>2</v>
      </c>
      <c r="B4" s="12"/>
      <c r="C4" s="12"/>
      <c r="D4" s="12"/>
      <c r="E4" s="12"/>
      <c r="F4" s="3"/>
      <c r="G4" s="13"/>
      <c r="H4" s="13"/>
    </row>
    <row r="5" spans="1:8" s="15" customFormat="1" ht="37.200000000000003" customHeight="1" x14ac:dyDescent="0.3">
      <c r="A5" s="12">
        <f t="shared" ref="A5:A21" si="0">+A4+1</f>
        <v>3</v>
      </c>
      <c r="B5" s="12"/>
      <c r="C5" s="12"/>
      <c r="D5" s="12"/>
      <c r="E5" s="12"/>
      <c r="F5" s="3"/>
      <c r="G5" s="13"/>
      <c r="H5" s="13"/>
    </row>
    <row r="6" spans="1:8" s="15" customFormat="1" ht="37.200000000000003" customHeight="1" x14ac:dyDescent="0.3">
      <c r="A6" s="12">
        <f t="shared" si="0"/>
        <v>4</v>
      </c>
      <c r="B6" s="12"/>
      <c r="C6" s="12"/>
      <c r="D6" s="12"/>
      <c r="E6" s="12"/>
      <c r="F6" s="3"/>
      <c r="G6" s="13"/>
      <c r="H6" s="13"/>
    </row>
    <row r="7" spans="1:8" s="15" customFormat="1" ht="37.200000000000003" customHeight="1" x14ac:dyDescent="0.3">
      <c r="A7" s="12">
        <f t="shared" si="0"/>
        <v>5</v>
      </c>
      <c r="B7" s="12"/>
      <c r="C7" s="12"/>
      <c r="D7" s="12"/>
      <c r="E7" s="12"/>
      <c r="F7" s="3"/>
      <c r="G7" s="13"/>
      <c r="H7" s="13"/>
    </row>
    <row r="8" spans="1:8" s="15" customFormat="1" ht="37.200000000000003" customHeight="1" x14ac:dyDescent="0.3">
      <c r="A8" s="12">
        <f t="shared" si="0"/>
        <v>6</v>
      </c>
      <c r="B8" s="12"/>
      <c r="C8" s="12"/>
      <c r="D8" s="12"/>
      <c r="E8" s="12"/>
      <c r="F8" s="3"/>
      <c r="G8" s="13"/>
      <c r="H8" s="13"/>
    </row>
    <row r="9" spans="1:8" s="15" customFormat="1" ht="37.200000000000003" customHeight="1" x14ac:dyDescent="0.3">
      <c r="A9" s="12">
        <f t="shared" si="0"/>
        <v>7</v>
      </c>
      <c r="B9" s="12"/>
      <c r="C9" s="12"/>
      <c r="D9" s="12"/>
      <c r="E9" s="12"/>
      <c r="F9" s="3"/>
      <c r="G9" s="13"/>
      <c r="H9" s="13"/>
    </row>
    <row r="10" spans="1:8" s="15" customFormat="1" ht="37.200000000000003" customHeight="1" x14ac:dyDescent="0.3">
      <c r="A10" s="12">
        <f t="shared" si="0"/>
        <v>8</v>
      </c>
      <c r="B10" s="12"/>
      <c r="C10" s="12"/>
      <c r="D10" s="12"/>
      <c r="E10" s="12"/>
      <c r="F10" s="3"/>
      <c r="G10" s="13"/>
      <c r="H10" s="13"/>
    </row>
    <row r="11" spans="1:8" s="15" customFormat="1" ht="37.200000000000003" customHeight="1" x14ac:dyDescent="0.3">
      <c r="A11" s="12">
        <f t="shared" si="0"/>
        <v>9</v>
      </c>
      <c r="B11" s="12"/>
      <c r="C11" s="12"/>
      <c r="D11" s="12"/>
      <c r="E11" s="12"/>
      <c r="F11" s="3"/>
      <c r="G11" s="13"/>
      <c r="H11" s="13"/>
    </row>
    <row r="12" spans="1:8" s="15" customFormat="1" ht="37.200000000000003" customHeight="1" x14ac:dyDescent="0.3">
      <c r="A12" s="12">
        <f t="shared" si="0"/>
        <v>10</v>
      </c>
      <c r="B12" s="12"/>
      <c r="C12" s="12"/>
      <c r="D12" s="12"/>
      <c r="E12" s="12"/>
      <c r="F12" s="3"/>
      <c r="G12" s="13"/>
      <c r="H12" s="13"/>
    </row>
    <row r="13" spans="1:8" s="15" customFormat="1" ht="37.200000000000003" customHeight="1" x14ac:dyDescent="0.3">
      <c r="A13" s="12">
        <f t="shared" si="0"/>
        <v>11</v>
      </c>
      <c r="B13" s="12"/>
      <c r="C13" s="12"/>
      <c r="D13" s="12"/>
      <c r="E13" s="12"/>
      <c r="F13" s="3"/>
      <c r="G13" s="13"/>
      <c r="H13" s="13"/>
    </row>
    <row r="14" spans="1:8" s="15" customFormat="1" ht="37.200000000000003" customHeight="1" x14ac:dyDescent="0.3">
      <c r="A14" s="12">
        <f t="shared" si="0"/>
        <v>12</v>
      </c>
      <c r="B14" s="12"/>
      <c r="C14" s="12"/>
      <c r="D14" s="12"/>
      <c r="E14" s="12"/>
      <c r="F14" s="3"/>
      <c r="G14" s="13"/>
      <c r="H14" s="13"/>
    </row>
    <row r="15" spans="1:8" s="15" customFormat="1" ht="37.200000000000003" customHeight="1" x14ac:dyDescent="0.3">
      <c r="A15" s="12">
        <f t="shared" si="0"/>
        <v>13</v>
      </c>
      <c r="B15" s="12"/>
      <c r="C15" s="12"/>
      <c r="D15" s="12"/>
      <c r="E15" s="12"/>
      <c r="F15" s="3"/>
      <c r="G15" s="13"/>
      <c r="H15" s="13"/>
    </row>
    <row r="16" spans="1:8" s="15" customFormat="1" ht="37.200000000000003" customHeight="1" x14ac:dyDescent="0.3">
      <c r="A16" s="12">
        <f t="shared" si="0"/>
        <v>14</v>
      </c>
      <c r="B16" s="12"/>
      <c r="C16" s="12"/>
      <c r="D16" s="12"/>
      <c r="E16" s="12"/>
      <c r="F16" s="3"/>
      <c r="G16" s="13"/>
      <c r="H16" s="13"/>
    </row>
    <row r="17" spans="1:8" s="15" customFormat="1" ht="37.200000000000003" customHeight="1" x14ac:dyDescent="0.3">
      <c r="A17" s="12">
        <f t="shared" si="0"/>
        <v>15</v>
      </c>
      <c r="B17" s="12"/>
      <c r="C17" s="12"/>
      <c r="D17" s="12"/>
      <c r="E17" s="12"/>
      <c r="F17" s="3"/>
      <c r="G17" s="13"/>
      <c r="H17" s="13"/>
    </row>
    <row r="18" spans="1:8" s="15" customFormat="1" ht="37.200000000000003" customHeight="1" x14ac:dyDescent="0.3">
      <c r="A18" s="12">
        <f t="shared" si="0"/>
        <v>16</v>
      </c>
      <c r="B18" s="12"/>
      <c r="C18" s="12"/>
      <c r="D18" s="12"/>
      <c r="E18" s="12"/>
      <c r="F18" s="3"/>
      <c r="G18" s="13"/>
      <c r="H18" s="13"/>
    </row>
    <row r="19" spans="1:8" s="15" customFormat="1" ht="37.200000000000003" customHeight="1" x14ac:dyDescent="0.3">
      <c r="A19" s="12">
        <f t="shared" si="0"/>
        <v>17</v>
      </c>
      <c r="B19" s="12"/>
      <c r="C19" s="12"/>
      <c r="D19" s="12"/>
      <c r="E19" s="12"/>
      <c r="F19" s="3"/>
      <c r="G19" s="13"/>
      <c r="H19" s="13"/>
    </row>
    <row r="20" spans="1:8" s="15" customFormat="1" ht="37.200000000000003" customHeight="1" x14ac:dyDescent="0.3">
      <c r="A20" s="12">
        <f t="shared" si="0"/>
        <v>18</v>
      </c>
      <c r="B20" s="12"/>
      <c r="C20" s="12"/>
      <c r="D20" s="12"/>
      <c r="E20" s="12"/>
      <c r="F20" s="3"/>
      <c r="G20" s="13"/>
      <c r="H20" s="13"/>
    </row>
    <row r="21" spans="1:8" s="15" customFormat="1" ht="37.200000000000003" customHeight="1" x14ac:dyDescent="0.3">
      <c r="A21" s="12">
        <f t="shared" si="0"/>
        <v>19</v>
      </c>
      <c r="B21" s="12"/>
      <c r="C21" s="12"/>
      <c r="D21" s="12"/>
      <c r="E21" s="12"/>
      <c r="F21" s="3"/>
      <c r="G21" s="13"/>
      <c r="H21" s="13"/>
    </row>
  </sheetData>
  <mergeCells count="2">
    <mergeCell ref="A1:G1"/>
    <mergeCell ref="C2:E2"/>
  </mergeCells>
  <printOptions horizontalCentered="1"/>
  <pageMargins left="0.11811023622047245" right="0.11811023622047245" top="1.0418110236220472" bottom="0.35433070866141736" header="0.31496062992125984" footer="0.31496062992125984"/>
  <pageSetup paperSize="9" scale="9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6E86-982E-4184-9DE9-285AB1052842}">
  <sheetPr>
    <tabColor rgb="FFFFFF00"/>
  </sheetPr>
  <dimension ref="A1:H36"/>
  <sheetViews>
    <sheetView zoomScale="85" zoomScaleNormal="85" workbookViewId="0">
      <selection activeCell="J7" sqref="J7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46.5546875" style="55" customWidth="1"/>
    <col min="6" max="6" width="7.6640625" style="56" bestFit="1" customWidth="1"/>
    <col min="7" max="7" width="8.88671875" style="55" customWidth="1"/>
    <col min="8" max="16384" width="11.5546875" style="57"/>
  </cols>
  <sheetData>
    <row r="1" spans="1:8" s="51" customFormat="1" ht="39.6" customHeight="1" x14ac:dyDescent="0.3">
      <c r="A1" s="285" t="s">
        <v>347</v>
      </c>
      <c r="B1" s="286"/>
      <c r="C1" s="287" t="s">
        <v>346</v>
      </c>
      <c r="D1" s="288"/>
      <c r="E1" s="289"/>
      <c r="F1" s="290" t="s">
        <v>354</v>
      </c>
      <c r="G1" s="290"/>
      <c r="H1" s="62"/>
    </row>
    <row r="2" spans="1:8" s="51" customFormat="1" ht="39.6" customHeight="1" x14ac:dyDescent="0.3">
      <c r="A2" s="278" t="s">
        <v>349</v>
      </c>
      <c r="B2" s="280"/>
      <c r="C2" s="282"/>
      <c r="D2" s="283"/>
      <c r="E2" s="291"/>
      <c r="F2" s="292" t="s">
        <v>355</v>
      </c>
      <c r="G2" s="290"/>
      <c r="H2" s="62"/>
    </row>
    <row r="3" spans="1:8" s="51" customFormat="1" ht="39.6" customHeight="1" x14ac:dyDescent="0.3">
      <c r="A3" s="278" t="s">
        <v>258</v>
      </c>
      <c r="B3" s="280"/>
      <c r="C3" s="282"/>
      <c r="D3" s="283"/>
      <c r="E3" s="61" t="s">
        <v>358</v>
      </c>
      <c r="F3" s="284" t="s">
        <v>359</v>
      </c>
      <c r="G3" s="284"/>
      <c r="H3" s="284"/>
    </row>
    <row r="4" spans="1:8" s="54" customFormat="1" ht="37.950000000000003" customHeight="1" x14ac:dyDescent="0.3">
      <c r="A4" s="67" t="s">
        <v>9</v>
      </c>
      <c r="B4" s="281" t="s">
        <v>348</v>
      </c>
      <c r="C4" s="281"/>
      <c r="D4" s="281"/>
      <c r="E4" s="52" t="s">
        <v>4</v>
      </c>
      <c r="F4" s="53" t="s">
        <v>351</v>
      </c>
      <c r="G4" s="52" t="s">
        <v>265</v>
      </c>
      <c r="H4" s="58" t="s">
        <v>352</v>
      </c>
    </row>
    <row r="5" spans="1:8" s="15" customFormat="1" ht="31.95" customHeight="1" x14ac:dyDescent="0.3">
      <c r="A5" s="12">
        <v>1</v>
      </c>
      <c r="B5" s="12"/>
      <c r="C5" s="12"/>
      <c r="D5" s="12"/>
      <c r="E5" s="64"/>
      <c r="F5" s="3"/>
      <c r="G5" s="59"/>
      <c r="H5" s="12"/>
    </row>
    <row r="6" spans="1:8" s="15" customFormat="1" ht="31.95" customHeight="1" x14ac:dyDescent="0.3">
      <c r="A6" s="12">
        <v>2</v>
      </c>
      <c r="B6" s="12"/>
      <c r="C6" s="12"/>
      <c r="D6" s="12"/>
      <c r="E6" s="64"/>
      <c r="F6" s="3"/>
      <c r="G6" s="59"/>
      <c r="H6" s="12"/>
    </row>
    <row r="7" spans="1:8" s="15" customFormat="1" ht="31.95" customHeight="1" x14ac:dyDescent="0.3">
      <c r="A7" s="12">
        <v>3</v>
      </c>
      <c r="B7" s="12"/>
      <c r="C7" s="12"/>
      <c r="D7" s="12"/>
      <c r="E7" s="64"/>
      <c r="F7" s="3"/>
      <c r="G7" s="59"/>
      <c r="H7" s="12"/>
    </row>
    <row r="8" spans="1:8" s="15" customFormat="1" ht="31.95" customHeight="1" x14ac:dyDescent="0.3">
      <c r="A8" s="12">
        <v>4</v>
      </c>
      <c r="B8" s="12"/>
      <c r="C8" s="12"/>
      <c r="D8" s="12"/>
      <c r="E8" s="64"/>
      <c r="F8" s="3"/>
      <c r="G8" s="59"/>
      <c r="H8" s="12"/>
    </row>
    <row r="9" spans="1:8" s="15" customFormat="1" ht="31.95" customHeight="1" x14ac:dyDescent="0.3">
      <c r="A9" s="12">
        <v>5</v>
      </c>
      <c r="B9" s="12"/>
      <c r="C9" s="12"/>
      <c r="D9" s="12"/>
      <c r="E9" s="64"/>
      <c r="F9" s="3"/>
      <c r="G9" s="59"/>
      <c r="H9" s="12"/>
    </row>
    <row r="10" spans="1:8" s="15" customFormat="1" ht="31.95" customHeight="1" x14ac:dyDescent="0.3">
      <c r="A10" s="12">
        <v>6</v>
      </c>
      <c r="B10" s="12"/>
      <c r="C10" s="12"/>
      <c r="D10" s="12"/>
      <c r="E10" s="64"/>
      <c r="F10" s="3"/>
      <c r="G10" s="59"/>
      <c r="H10" s="12"/>
    </row>
    <row r="11" spans="1:8" s="15" customFormat="1" ht="31.95" customHeight="1" x14ac:dyDescent="0.3">
      <c r="A11" s="12">
        <v>7</v>
      </c>
      <c r="B11" s="12"/>
      <c r="C11" s="12"/>
      <c r="D11" s="12"/>
      <c r="E11" s="64"/>
      <c r="F11" s="3"/>
      <c r="G11" s="59"/>
      <c r="H11" s="12"/>
    </row>
    <row r="12" spans="1:8" s="15" customFormat="1" ht="31.95" customHeight="1" x14ac:dyDescent="0.3">
      <c r="A12" s="12">
        <v>8</v>
      </c>
      <c r="B12" s="12"/>
      <c r="C12" s="12"/>
      <c r="D12" s="12"/>
      <c r="E12" s="64"/>
      <c r="F12" s="3"/>
      <c r="G12" s="59"/>
      <c r="H12" s="12"/>
    </row>
    <row r="13" spans="1:8" s="15" customFormat="1" ht="31.95" customHeight="1" x14ac:dyDescent="0.3">
      <c r="A13" s="12">
        <v>9</v>
      </c>
      <c r="B13" s="12"/>
      <c r="C13" s="12"/>
      <c r="D13" s="12"/>
      <c r="E13" s="64"/>
      <c r="F13" s="3"/>
      <c r="G13" s="59"/>
      <c r="H13" s="12"/>
    </row>
    <row r="14" spans="1:8" s="15" customFormat="1" ht="31.95" customHeight="1" x14ac:dyDescent="0.3">
      <c r="A14" s="12">
        <v>10</v>
      </c>
      <c r="B14" s="12"/>
      <c r="C14" s="12"/>
      <c r="D14" s="12"/>
      <c r="E14" s="64"/>
      <c r="F14" s="3"/>
      <c r="G14" s="59"/>
      <c r="H14" s="12"/>
    </row>
    <row r="15" spans="1:8" s="15" customFormat="1" ht="31.95" customHeight="1" x14ac:dyDescent="0.3">
      <c r="A15" s="12">
        <v>11</v>
      </c>
      <c r="B15" s="12"/>
      <c r="C15" s="12"/>
      <c r="D15" s="12"/>
      <c r="E15" s="64"/>
      <c r="F15" s="3"/>
      <c r="G15" s="59"/>
      <c r="H15" s="12"/>
    </row>
    <row r="16" spans="1:8" s="15" customFormat="1" ht="31.95" customHeight="1" x14ac:dyDescent="0.3">
      <c r="A16" s="12">
        <v>12</v>
      </c>
      <c r="B16" s="12"/>
      <c r="C16" s="12"/>
      <c r="D16" s="12"/>
      <c r="E16" s="64"/>
      <c r="F16" s="3"/>
      <c r="G16" s="59"/>
      <c r="H16" s="12"/>
    </row>
    <row r="17" spans="1:8" s="15" customFormat="1" ht="31.95" customHeight="1" x14ac:dyDescent="0.3">
      <c r="A17" s="12">
        <v>13</v>
      </c>
      <c r="B17" s="12"/>
      <c r="C17" s="12"/>
      <c r="D17" s="12"/>
      <c r="E17" s="64"/>
      <c r="F17" s="3"/>
      <c r="G17" s="59"/>
      <c r="H17" s="12"/>
    </row>
    <row r="18" spans="1:8" s="15" customFormat="1" ht="31.95" customHeight="1" x14ac:dyDescent="0.3">
      <c r="A18" s="12">
        <v>14</v>
      </c>
      <c r="B18" s="12"/>
      <c r="C18" s="12"/>
      <c r="D18" s="12"/>
      <c r="E18" s="64"/>
      <c r="F18" s="3"/>
      <c r="G18" s="59"/>
      <c r="H18" s="12"/>
    </row>
    <row r="19" spans="1:8" s="15" customFormat="1" ht="31.95" customHeight="1" x14ac:dyDescent="0.3">
      <c r="A19" s="12">
        <v>15</v>
      </c>
      <c r="B19" s="12"/>
      <c r="C19" s="12"/>
      <c r="D19" s="12"/>
      <c r="E19" s="64"/>
      <c r="F19" s="3"/>
      <c r="G19" s="59"/>
      <c r="H19" s="12"/>
    </row>
    <row r="20" spans="1:8" s="15" customFormat="1" ht="31.95" customHeight="1" x14ac:dyDescent="0.3">
      <c r="A20" s="12">
        <v>16</v>
      </c>
      <c r="B20" s="12"/>
      <c r="C20" s="12"/>
      <c r="D20" s="12"/>
      <c r="E20" s="64"/>
      <c r="F20" s="3"/>
      <c r="G20" s="59"/>
      <c r="H20" s="12"/>
    </row>
    <row r="21" spans="1:8" s="15" customFormat="1" ht="31.95" customHeight="1" x14ac:dyDescent="0.3">
      <c r="A21" s="12">
        <v>17</v>
      </c>
      <c r="B21" s="12"/>
      <c r="C21" s="12"/>
      <c r="D21" s="12"/>
      <c r="E21" s="64"/>
      <c r="F21" s="3"/>
      <c r="G21" s="59"/>
      <c r="H21" s="12"/>
    </row>
    <row r="22" spans="1:8" s="15" customFormat="1" ht="31.95" customHeight="1" x14ac:dyDescent="0.3">
      <c r="A22" s="12">
        <v>18</v>
      </c>
      <c r="B22" s="12"/>
      <c r="C22" s="12"/>
      <c r="D22" s="12"/>
      <c r="E22" s="64"/>
      <c r="F22" s="3"/>
      <c r="G22" s="59"/>
      <c r="H22" s="12"/>
    </row>
    <row r="23" spans="1:8" s="15" customFormat="1" ht="31.95" customHeight="1" x14ac:dyDescent="0.3">
      <c r="A23" s="12">
        <v>19</v>
      </c>
      <c r="B23" s="12"/>
      <c r="C23" s="12"/>
      <c r="D23" s="12"/>
      <c r="E23" s="64"/>
      <c r="F23" s="3"/>
      <c r="G23" s="59"/>
      <c r="H23" s="12"/>
    </row>
    <row r="24" spans="1:8" s="15" customFormat="1" ht="31.95" customHeight="1" x14ac:dyDescent="0.3">
      <c r="A24" s="12">
        <v>20</v>
      </c>
      <c r="B24" s="12"/>
      <c r="C24" s="12"/>
      <c r="D24" s="12"/>
      <c r="E24" s="64"/>
      <c r="F24" s="3"/>
      <c r="G24" s="59"/>
      <c r="H24" s="12"/>
    </row>
    <row r="25" spans="1:8" s="15" customFormat="1" ht="31.95" customHeight="1" x14ac:dyDescent="0.3">
      <c r="A25" s="12">
        <v>21</v>
      </c>
      <c r="B25" s="12"/>
      <c r="C25" s="12"/>
      <c r="D25" s="12"/>
      <c r="E25" s="64"/>
      <c r="F25" s="3"/>
      <c r="G25" s="59"/>
      <c r="H25" s="12"/>
    </row>
    <row r="26" spans="1:8" s="15" customFormat="1" ht="31.95" customHeight="1" x14ac:dyDescent="0.3">
      <c r="A26" s="12">
        <v>22</v>
      </c>
      <c r="B26" s="12"/>
      <c r="C26" s="12"/>
      <c r="D26" s="12"/>
      <c r="E26" s="64"/>
      <c r="F26" s="3"/>
      <c r="G26" s="59"/>
      <c r="H26" s="12"/>
    </row>
    <row r="27" spans="1:8" s="15" customFormat="1" ht="31.95" customHeight="1" x14ac:dyDescent="0.3">
      <c r="A27" s="12">
        <v>23</v>
      </c>
      <c r="B27" s="12"/>
      <c r="C27" s="12"/>
      <c r="D27" s="12"/>
      <c r="E27" s="64"/>
      <c r="F27" s="3"/>
      <c r="G27" s="59"/>
      <c r="H27" s="12"/>
    </row>
    <row r="28" spans="1:8" s="15" customFormat="1" ht="31.95" customHeight="1" x14ac:dyDescent="0.3">
      <c r="A28" s="12">
        <v>24</v>
      </c>
      <c r="B28" s="12"/>
      <c r="C28" s="12"/>
      <c r="D28" s="12"/>
      <c r="E28" s="64"/>
      <c r="F28" s="3"/>
      <c r="G28" s="59"/>
      <c r="H28" s="12"/>
    </row>
    <row r="29" spans="1:8" s="15" customFormat="1" ht="31.95" customHeight="1" x14ac:dyDescent="0.3">
      <c r="A29" s="12">
        <v>25</v>
      </c>
      <c r="B29" s="12"/>
      <c r="C29" s="12"/>
      <c r="D29" s="12"/>
      <c r="E29" s="64"/>
      <c r="F29" s="3"/>
      <c r="G29" s="59"/>
      <c r="H29" s="12"/>
    </row>
    <row r="30" spans="1:8" s="15" customFormat="1" ht="31.95" customHeight="1" x14ac:dyDescent="0.3">
      <c r="A30" s="12">
        <v>26</v>
      </c>
      <c r="B30" s="12"/>
      <c r="C30" s="12"/>
      <c r="D30" s="12"/>
      <c r="E30" s="64"/>
      <c r="F30" s="3"/>
      <c r="G30" s="59"/>
      <c r="H30" s="12"/>
    </row>
    <row r="31" spans="1:8" s="15" customFormat="1" ht="31.95" customHeight="1" x14ac:dyDescent="0.3">
      <c r="A31" s="12">
        <v>27</v>
      </c>
      <c r="B31" s="12"/>
      <c r="C31" s="12"/>
      <c r="D31" s="12"/>
      <c r="E31" s="64"/>
      <c r="F31" s="3"/>
      <c r="G31" s="59"/>
      <c r="H31" s="12"/>
    </row>
    <row r="32" spans="1:8" s="15" customFormat="1" ht="31.95" customHeight="1" x14ac:dyDescent="0.3">
      <c r="A32" s="12">
        <v>28</v>
      </c>
      <c r="B32" s="12"/>
      <c r="C32" s="12"/>
      <c r="D32" s="12"/>
      <c r="E32" s="64"/>
      <c r="F32" s="3"/>
      <c r="G32" s="59"/>
      <c r="H32" s="12"/>
    </row>
    <row r="33" spans="1:8" s="15" customFormat="1" ht="31.95" customHeight="1" x14ac:dyDescent="0.3">
      <c r="A33" s="12">
        <v>29</v>
      </c>
      <c r="B33" s="12"/>
      <c r="C33" s="12"/>
      <c r="D33" s="12"/>
      <c r="E33" s="64"/>
      <c r="F33" s="3"/>
      <c r="G33" s="59"/>
      <c r="H33" s="12"/>
    </row>
    <row r="34" spans="1:8" s="15" customFormat="1" ht="31.95" customHeight="1" x14ac:dyDescent="0.3">
      <c r="A34" s="12">
        <v>30</v>
      </c>
      <c r="B34" s="12"/>
      <c r="C34" s="12"/>
      <c r="D34" s="12"/>
      <c r="E34" s="64"/>
      <c r="F34" s="3"/>
      <c r="G34" s="59"/>
      <c r="H34" s="12"/>
    </row>
    <row r="35" spans="1:8" s="15" customFormat="1" ht="31.95" customHeight="1" x14ac:dyDescent="0.3">
      <c r="A35" s="12">
        <v>31</v>
      </c>
      <c r="B35" s="12"/>
      <c r="C35" s="12"/>
      <c r="D35" s="12"/>
      <c r="E35" s="64"/>
      <c r="F35" s="3"/>
      <c r="G35" s="59"/>
      <c r="H35" s="12"/>
    </row>
    <row r="36" spans="1:8" s="15" customFormat="1" ht="31.95" customHeight="1" x14ac:dyDescent="0.3">
      <c r="A36" s="12">
        <v>32</v>
      </c>
      <c r="B36" s="12"/>
      <c r="C36" s="12"/>
      <c r="D36" s="12"/>
      <c r="E36" s="64"/>
      <c r="F36" s="3"/>
      <c r="G36" s="59"/>
      <c r="H36" s="12"/>
    </row>
  </sheetData>
  <mergeCells count="10">
    <mergeCell ref="A3:B3"/>
    <mergeCell ref="C3:D3"/>
    <mergeCell ref="F3:H3"/>
    <mergeCell ref="B4:D4"/>
    <mergeCell ref="A1:B1"/>
    <mergeCell ref="C1:E1"/>
    <mergeCell ref="F1:G1"/>
    <mergeCell ref="A2:B2"/>
    <mergeCell ref="C2:E2"/>
    <mergeCell ref="F2:G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8A36-EE94-464A-82EC-E5E9AF26AC83}">
  <sheetPr>
    <tabColor rgb="FF92D050"/>
  </sheetPr>
  <dimension ref="A1:K36"/>
  <sheetViews>
    <sheetView zoomScale="85" zoomScaleNormal="85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N4" sqref="N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46.5546875" style="55" customWidth="1"/>
    <col min="6" max="6" width="7.6640625" style="56" bestFit="1" customWidth="1"/>
    <col min="7" max="7" width="8.88671875" style="55" customWidth="1"/>
    <col min="8" max="9" width="11.5546875" style="57"/>
    <col min="10" max="10" width="13.77734375" style="55" customWidth="1"/>
    <col min="11" max="11" width="11.5546875" style="55"/>
    <col min="12" max="16384" width="11.5546875" style="57"/>
  </cols>
  <sheetData>
    <row r="1" spans="1:11" s="51" customFormat="1" ht="39.6" customHeight="1" x14ac:dyDescent="0.3">
      <c r="A1" s="285" t="s">
        <v>347</v>
      </c>
      <c r="B1" s="286"/>
      <c r="C1" s="287" t="s">
        <v>346</v>
      </c>
      <c r="D1" s="288"/>
      <c r="E1" s="289"/>
      <c r="F1" s="290" t="s">
        <v>354</v>
      </c>
      <c r="G1" s="290"/>
      <c r="H1" s="62">
        <v>1</v>
      </c>
      <c r="I1" s="69"/>
      <c r="J1" s="87" t="s">
        <v>468</v>
      </c>
      <c r="K1" s="87" t="s">
        <v>469</v>
      </c>
    </row>
    <row r="2" spans="1:11" s="51" customFormat="1" ht="39.6" customHeight="1" x14ac:dyDescent="0.3">
      <c r="A2" s="278" t="s">
        <v>349</v>
      </c>
      <c r="B2" s="280"/>
      <c r="C2" s="282" t="s">
        <v>260</v>
      </c>
      <c r="D2" s="283"/>
      <c r="E2" s="291"/>
      <c r="F2" s="292" t="s">
        <v>355</v>
      </c>
      <c r="G2" s="290"/>
      <c r="H2" s="62">
        <v>2</v>
      </c>
      <c r="I2" s="69"/>
      <c r="J2" s="110" t="s">
        <v>554</v>
      </c>
      <c r="K2" s="110" t="s">
        <v>469</v>
      </c>
    </row>
    <row r="3" spans="1:11" s="51" customFormat="1" ht="39.6" customHeight="1" x14ac:dyDescent="0.3">
      <c r="A3" s="278" t="s">
        <v>258</v>
      </c>
      <c r="B3" s="280"/>
      <c r="C3" s="282" t="s">
        <v>261</v>
      </c>
      <c r="D3" s="283"/>
      <c r="E3" s="61" t="s">
        <v>353</v>
      </c>
      <c r="F3" s="284" t="s">
        <v>357</v>
      </c>
      <c r="G3" s="284"/>
      <c r="H3" s="284"/>
      <c r="I3" s="70"/>
      <c r="J3" s="74"/>
      <c r="K3" s="74"/>
    </row>
    <row r="4" spans="1:11" s="54" customFormat="1" ht="37.950000000000003" customHeight="1" x14ac:dyDescent="0.3">
      <c r="A4" s="63" t="s">
        <v>9</v>
      </c>
      <c r="B4" s="281" t="s">
        <v>348</v>
      </c>
      <c r="C4" s="281"/>
      <c r="D4" s="281"/>
      <c r="E4" s="52" t="s">
        <v>4</v>
      </c>
      <c r="F4" s="53" t="s">
        <v>351</v>
      </c>
      <c r="G4" s="52" t="s">
        <v>265</v>
      </c>
      <c r="H4" s="58" t="s">
        <v>352</v>
      </c>
      <c r="I4" s="71" t="s">
        <v>365</v>
      </c>
      <c r="J4" s="65" t="s">
        <v>367</v>
      </c>
      <c r="K4" s="73" t="s">
        <v>366</v>
      </c>
    </row>
    <row r="5" spans="1:11" s="15" customFormat="1" ht="31.95" customHeight="1" x14ac:dyDescent="0.3">
      <c r="A5" s="12">
        <v>1</v>
      </c>
      <c r="B5" s="12">
        <v>13</v>
      </c>
      <c r="C5" s="12">
        <v>22</v>
      </c>
      <c r="D5" s="12">
        <v>184</v>
      </c>
      <c r="E5" s="64" t="s">
        <v>60</v>
      </c>
      <c r="F5" s="3" t="s">
        <v>8</v>
      </c>
      <c r="G5" s="59">
        <v>100</v>
      </c>
      <c r="H5" s="12" t="s">
        <v>356</v>
      </c>
      <c r="I5" s="76">
        <v>46058</v>
      </c>
      <c r="J5" s="72">
        <v>50</v>
      </c>
      <c r="K5" s="75">
        <f>+G5-J5</f>
        <v>50</v>
      </c>
    </row>
    <row r="6" spans="1:11" s="15" customFormat="1" ht="31.95" customHeight="1" x14ac:dyDescent="0.3">
      <c r="A6" s="12">
        <v>2</v>
      </c>
      <c r="B6" s="12">
        <v>6</v>
      </c>
      <c r="C6" s="12">
        <v>23</v>
      </c>
      <c r="D6" s="12">
        <v>192</v>
      </c>
      <c r="E6" s="64" t="s">
        <v>69</v>
      </c>
      <c r="F6" s="3" t="s">
        <v>8</v>
      </c>
      <c r="G6" s="59">
        <v>2</v>
      </c>
      <c r="H6" s="12" t="s">
        <v>356</v>
      </c>
      <c r="I6" s="76">
        <v>46058</v>
      </c>
      <c r="J6" s="72">
        <v>2</v>
      </c>
      <c r="K6" s="75">
        <f t="shared" ref="K6:K36" si="0">+G6-J6</f>
        <v>0</v>
      </c>
    </row>
    <row r="7" spans="1:11" s="15" customFormat="1" ht="31.95" customHeight="1" x14ac:dyDescent="0.3">
      <c r="A7" s="12">
        <v>3</v>
      </c>
      <c r="B7" s="12">
        <v>14</v>
      </c>
      <c r="C7" s="12">
        <v>24</v>
      </c>
      <c r="D7" s="12">
        <v>193</v>
      </c>
      <c r="E7" s="64" t="s">
        <v>72</v>
      </c>
      <c r="F7" s="3" t="s">
        <v>8</v>
      </c>
      <c r="G7" s="59">
        <v>1</v>
      </c>
      <c r="H7" s="12" t="s">
        <v>356</v>
      </c>
      <c r="I7" s="76">
        <v>46058</v>
      </c>
      <c r="J7" s="72">
        <v>1</v>
      </c>
      <c r="K7" s="75">
        <f t="shared" si="0"/>
        <v>0</v>
      </c>
    </row>
    <row r="8" spans="1:11" s="15" customFormat="1" ht="31.95" customHeight="1" x14ac:dyDescent="0.3">
      <c r="A8" s="12">
        <v>4</v>
      </c>
      <c r="B8" s="12">
        <v>3</v>
      </c>
      <c r="C8" s="12">
        <v>31</v>
      </c>
      <c r="D8" s="12">
        <v>209</v>
      </c>
      <c r="E8" s="64" t="s">
        <v>312</v>
      </c>
      <c r="F8" s="3" t="s">
        <v>108</v>
      </c>
      <c r="G8" s="59">
        <v>100</v>
      </c>
      <c r="H8" s="12" t="s">
        <v>356</v>
      </c>
      <c r="I8" s="76">
        <v>46058</v>
      </c>
      <c r="J8" s="72">
        <v>100</v>
      </c>
      <c r="K8" s="75">
        <f t="shared" si="0"/>
        <v>0</v>
      </c>
    </row>
    <row r="9" spans="1:11" s="15" customFormat="1" ht="31.95" customHeight="1" x14ac:dyDescent="0.3">
      <c r="A9" s="12">
        <v>5</v>
      </c>
      <c r="B9" s="12">
        <v>3</v>
      </c>
      <c r="C9" s="12">
        <v>31</v>
      </c>
      <c r="D9" s="12">
        <v>210</v>
      </c>
      <c r="E9" s="64" t="s">
        <v>313</v>
      </c>
      <c r="F9" s="3" t="s">
        <v>108</v>
      </c>
      <c r="G9" s="59">
        <v>100</v>
      </c>
      <c r="H9" s="12" t="s">
        <v>356</v>
      </c>
      <c r="I9" s="76">
        <v>46058</v>
      </c>
      <c r="J9" s="72">
        <v>100</v>
      </c>
      <c r="K9" s="75">
        <f t="shared" si="0"/>
        <v>0</v>
      </c>
    </row>
    <row r="10" spans="1:11" s="15" customFormat="1" ht="31.95" customHeight="1" x14ac:dyDescent="0.3">
      <c r="A10" s="12">
        <v>6</v>
      </c>
      <c r="B10" s="12">
        <v>3</v>
      </c>
      <c r="C10" s="12">
        <v>31</v>
      </c>
      <c r="D10" s="12">
        <v>212</v>
      </c>
      <c r="E10" s="64" t="s">
        <v>315</v>
      </c>
      <c r="F10" s="3" t="s">
        <v>108</v>
      </c>
      <c r="G10" s="59">
        <v>100</v>
      </c>
      <c r="H10" s="12" t="s">
        <v>356</v>
      </c>
      <c r="I10" s="76">
        <v>46058</v>
      </c>
      <c r="J10" s="72">
        <v>100</v>
      </c>
      <c r="K10" s="75">
        <f t="shared" si="0"/>
        <v>0</v>
      </c>
    </row>
    <row r="11" spans="1:11" s="15" customFormat="1" ht="31.95" customHeight="1" x14ac:dyDescent="0.3">
      <c r="A11" s="12">
        <v>7</v>
      </c>
      <c r="B11" s="12">
        <v>3</v>
      </c>
      <c r="C11" s="12">
        <v>31</v>
      </c>
      <c r="D11" s="12">
        <v>213</v>
      </c>
      <c r="E11" s="64" t="s">
        <v>316</v>
      </c>
      <c r="F11" s="3" t="s">
        <v>108</v>
      </c>
      <c r="G11" s="59">
        <v>100</v>
      </c>
      <c r="H11" s="12" t="s">
        <v>356</v>
      </c>
      <c r="I11" s="76">
        <v>46058</v>
      </c>
      <c r="J11" s="72">
        <v>100</v>
      </c>
      <c r="K11" s="75">
        <f t="shared" si="0"/>
        <v>0</v>
      </c>
    </row>
    <row r="12" spans="1:11" s="15" customFormat="1" ht="31.95" customHeight="1" x14ac:dyDescent="0.3">
      <c r="A12" s="12">
        <v>8</v>
      </c>
      <c r="B12" s="12">
        <v>9</v>
      </c>
      <c r="C12" s="12">
        <v>32</v>
      </c>
      <c r="D12" s="12">
        <v>223</v>
      </c>
      <c r="E12" s="64" t="s">
        <v>119</v>
      </c>
      <c r="F12" s="3" t="s">
        <v>8</v>
      </c>
      <c r="G12" s="59">
        <v>30</v>
      </c>
      <c r="H12" s="12" t="s">
        <v>356</v>
      </c>
      <c r="I12" s="76">
        <v>46058</v>
      </c>
      <c r="J12" s="72">
        <v>22</v>
      </c>
      <c r="K12" s="75">
        <f t="shared" si="0"/>
        <v>8</v>
      </c>
    </row>
    <row r="13" spans="1:11" s="15" customFormat="1" ht="31.95" customHeight="1" x14ac:dyDescent="0.3">
      <c r="A13" s="12">
        <v>9</v>
      </c>
      <c r="B13" s="12">
        <v>4</v>
      </c>
      <c r="C13" s="12">
        <v>15</v>
      </c>
      <c r="D13" s="12">
        <v>267</v>
      </c>
      <c r="E13" s="64" t="s">
        <v>267</v>
      </c>
      <c r="F13" s="3" t="s">
        <v>8</v>
      </c>
      <c r="G13" s="59">
        <v>30</v>
      </c>
      <c r="H13" s="12" t="s">
        <v>356</v>
      </c>
      <c r="I13" s="72"/>
      <c r="J13" s="72"/>
      <c r="K13" s="75">
        <f t="shared" si="0"/>
        <v>30</v>
      </c>
    </row>
    <row r="14" spans="1:11" s="15" customFormat="1" ht="31.95" customHeight="1" x14ac:dyDescent="0.3">
      <c r="A14" s="12">
        <v>10</v>
      </c>
      <c r="B14" s="12">
        <v>10</v>
      </c>
      <c r="C14" s="12">
        <v>42</v>
      </c>
      <c r="D14" s="12">
        <v>268</v>
      </c>
      <c r="E14" s="64" t="s">
        <v>269</v>
      </c>
      <c r="F14" s="3" t="s">
        <v>8</v>
      </c>
      <c r="G14" s="59">
        <v>20</v>
      </c>
      <c r="H14" s="12" t="s">
        <v>356</v>
      </c>
      <c r="I14" s="76">
        <v>46058</v>
      </c>
      <c r="J14" s="72">
        <v>10</v>
      </c>
      <c r="K14" s="75">
        <f t="shared" si="0"/>
        <v>10</v>
      </c>
    </row>
    <row r="15" spans="1:11" s="15" customFormat="1" ht="31.95" customHeight="1" x14ac:dyDescent="0.3">
      <c r="A15" s="12">
        <v>11</v>
      </c>
      <c r="B15" s="12">
        <v>10</v>
      </c>
      <c r="C15" s="12">
        <v>15</v>
      </c>
      <c r="D15" s="12">
        <v>269</v>
      </c>
      <c r="E15" s="64" t="s">
        <v>296</v>
      </c>
      <c r="F15" s="3" t="s">
        <v>8</v>
      </c>
      <c r="G15" s="59">
        <v>19</v>
      </c>
      <c r="H15" s="12" t="s">
        <v>356</v>
      </c>
      <c r="I15" s="72"/>
      <c r="J15" s="72"/>
      <c r="K15" s="75">
        <f t="shared" si="0"/>
        <v>19</v>
      </c>
    </row>
    <row r="16" spans="1:11" s="15" customFormat="1" ht="31.95" customHeight="1" x14ac:dyDescent="0.3">
      <c r="A16" s="12">
        <v>12</v>
      </c>
      <c r="B16" s="12">
        <v>13</v>
      </c>
      <c r="C16" s="12">
        <v>25</v>
      </c>
      <c r="D16" s="12">
        <v>255</v>
      </c>
      <c r="E16" s="64" t="s">
        <v>243</v>
      </c>
      <c r="F16" s="3" t="s">
        <v>8</v>
      </c>
      <c r="G16" s="59">
        <v>50</v>
      </c>
      <c r="H16" s="12" t="s">
        <v>356</v>
      </c>
      <c r="I16" s="76">
        <v>46058</v>
      </c>
      <c r="J16" s="72">
        <v>50</v>
      </c>
      <c r="K16" s="75">
        <f t="shared" si="0"/>
        <v>0</v>
      </c>
    </row>
    <row r="17" spans="1:11" s="15" customFormat="1" ht="31.95" customHeight="1" x14ac:dyDescent="0.3">
      <c r="A17" s="12">
        <v>13</v>
      </c>
      <c r="B17" s="12">
        <v>10</v>
      </c>
      <c r="C17" s="12">
        <v>43</v>
      </c>
      <c r="D17" s="12">
        <v>270</v>
      </c>
      <c r="E17" s="64" t="s">
        <v>298</v>
      </c>
      <c r="F17" s="3" t="s">
        <v>8</v>
      </c>
      <c r="G17" s="59">
        <v>15</v>
      </c>
      <c r="H17" s="12" t="s">
        <v>356</v>
      </c>
      <c r="I17" s="76">
        <v>46058</v>
      </c>
      <c r="J17" s="72">
        <v>15</v>
      </c>
      <c r="K17" s="75">
        <f t="shared" si="0"/>
        <v>0</v>
      </c>
    </row>
    <row r="18" spans="1:11" s="15" customFormat="1" ht="31.95" customHeight="1" x14ac:dyDescent="0.3">
      <c r="A18" s="12">
        <v>14</v>
      </c>
      <c r="B18" s="12">
        <v>17</v>
      </c>
      <c r="C18" s="12">
        <v>44</v>
      </c>
      <c r="D18" s="12">
        <v>271</v>
      </c>
      <c r="E18" s="64" t="s">
        <v>300</v>
      </c>
      <c r="F18" s="3" t="s">
        <v>8</v>
      </c>
      <c r="G18" s="59">
        <v>2</v>
      </c>
      <c r="H18" s="12" t="s">
        <v>356</v>
      </c>
      <c r="I18" s="76">
        <v>46058</v>
      </c>
      <c r="J18" s="72">
        <v>2</v>
      </c>
      <c r="K18" s="75">
        <f t="shared" si="0"/>
        <v>0</v>
      </c>
    </row>
    <row r="19" spans="1:11" s="15" customFormat="1" ht="31.95" customHeight="1" x14ac:dyDescent="0.3">
      <c r="A19" s="12">
        <v>15</v>
      </c>
      <c r="B19" s="12">
        <v>17</v>
      </c>
      <c r="C19" s="12">
        <v>44</v>
      </c>
      <c r="D19" s="12">
        <v>272</v>
      </c>
      <c r="E19" s="64" t="s">
        <v>302</v>
      </c>
      <c r="F19" s="3" t="s">
        <v>8</v>
      </c>
      <c r="G19" s="59">
        <v>1</v>
      </c>
      <c r="H19" s="12" t="s">
        <v>356</v>
      </c>
      <c r="I19" s="76">
        <v>46058</v>
      </c>
      <c r="J19" s="72">
        <v>0.5</v>
      </c>
      <c r="K19" s="75">
        <f t="shared" si="0"/>
        <v>0.5</v>
      </c>
    </row>
    <row r="20" spans="1:11" s="15" customFormat="1" ht="31.95" customHeight="1" x14ac:dyDescent="0.3">
      <c r="A20" s="12">
        <v>16</v>
      </c>
      <c r="B20" s="12">
        <v>7</v>
      </c>
      <c r="C20" s="12">
        <v>35</v>
      </c>
      <c r="D20" s="12">
        <v>274</v>
      </c>
      <c r="E20" s="64" t="s">
        <v>306</v>
      </c>
      <c r="F20" s="3" t="s">
        <v>8</v>
      </c>
      <c r="G20" s="59">
        <v>1</v>
      </c>
      <c r="H20" s="12" t="s">
        <v>356</v>
      </c>
      <c r="I20" s="72"/>
      <c r="J20" s="72" t="s">
        <v>364</v>
      </c>
      <c r="K20" s="75">
        <v>1</v>
      </c>
    </row>
    <row r="21" spans="1:11" s="15" customFormat="1" ht="31.95" customHeight="1" x14ac:dyDescent="0.3">
      <c r="A21" s="12">
        <v>17</v>
      </c>
      <c r="B21" s="12">
        <v>16</v>
      </c>
      <c r="C21" s="12">
        <v>45</v>
      </c>
      <c r="D21" s="12">
        <v>275</v>
      </c>
      <c r="E21" s="64" t="s">
        <v>309</v>
      </c>
      <c r="F21" s="3" t="s">
        <v>8</v>
      </c>
      <c r="G21" s="59">
        <v>1</v>
      </c>
      <c r="H21" s="12" t="s">
        <v>356</v>
      </c>
      <c r="I21" s="72"/>
      <c r="J21" s="72"/>
      <c r="K21" s="75">
        <f t="shared" si="0"/>
        <v>1</v>
      </c>
    </row>
    <row r="22" spans="1:11" s="15" customFormat="1" ht="31.95" customHeight="1" x14ac:dyDescent="0.3">
      <c r="A22" s="12">
        <v>18</v>
      </c>
      <c r="B22" s="12">
        <v>16</v>
      </c>
      <c r="C22" s="12">
        <v>45</v>
      </c>
      <c r="D22" s="12">
        <v>276</v>
      </c>
      <c r="E22" s="64" t="s">
        <v>311</v>
      </c>
      <c r="F22" s="3" t="s">
        <v>8</v>
      </c>
      <c r="G22" s="59">
        <v>1</v>
      </c>
      <c r="H22" s="12" t="s">
        <v>356</v>
      </c>
      <c r="I22" s="72"/>
      <c r="J22" s="72"/>
      <c r="K22" s="75">
        <f t="shared" si="0"/>
        <v>1</v>
      </c>
    </row>
    <row r="23" spans="1:11" s="15" customFormat="1" ht="31.95" customHeight="1" x14ac:dyDescent="0.3">
      <c r="A23" s="12">
        <v>19</v>
      </c>
      <c r="B23" s="12">
        <v>3</v>
      </c>
      <c r="C23" s="12">
        <v>31</v>
      </c>
      <c r="D23" s="12">
        <v>277</v>
      </c>
      <c r="E23" s="64" t="s">
        <v>328</v>
      </c>
      <c r="F23" s="3" t="s">
        <v>108</v>
      </c>
      <c r="G23" s="59">
        <v>30</v>
      </c>
      <c r="H23" s="12" t="s">
        <v>356</v>
      </c>
      <c r="I23" s="72"/>
      <c r="J23" s="72"/>
      <c r="K23" s="75">
        <f t="shared" si="0"/>
        <v>30</v>
      </c>
    </row>
    <row r="24" spans="1:11" s="15" customFormat="1" ht="31.95" customHeight="1" x14ac:dyDescent="0.3">
      <c r="A24" s="12">
        <v>20</v>
      </c>
      <c r="B24" s="12">
        <v>3</v>
      </c>
      <c r="C24" s="12">
        <v>31</v>
      </c>
      <c r="D24" s="12">
        <v>278</v>
      </c>
      <c r="E24" s="64" t="s">
        <v>330</v>
      </c>
      <c r="F24" s="3" t="s">
        <v>108</v>
      </c>
      <c r="G24" s="59">
        <v>30</v>
      </c>
      <c r="H24" s="12" t="s">
        <v>356</v>
      </c>
      <c r="I24" s="72"/>
      <c r="J24" s="72"/>
      <c r="K24" s="75">
        <f t="shared" si="0"/>
        <v>30</v>
      </c>
    </row>
    <row r="25" spans="1:11" s="15" customFormat="1" ht="31.95" customHeight="1" x14ac:dyDescent="0.3">
      <c r="A25" s="12">
        <v>21</v>
      </c>
      <c r="B25" s="12">
        <v>16</v>
      </c>
      <c r="C25" s="12">
        <v>46</v>
      </c>
      <c r="D25" s="12">
        <v>279</v>
      </c>
      <c r="E25" s="64" t="s">
        <v>332</v>
      </c>
      <c r="F25" s="3" t="s">
        <v>108</v>
      </c>
      <c r="G25" s="59">
        <v>2</v>
      </c>
      <c r="H25" s="12" t="s">
        <v>356</v>
      </c>
      <c r="I25" s="76">
        <v>46058</v>
      </c>
      <c r="J25" s="72">
        <v>1</v>
      </c>
      <c r="K25" s="75">
        <f t="shared" si="0"/>
        <v>1</v>
      </c>
    </row>
    <row r="26" spans="1:11" s="15" customFormat="1" ht="31.95" customHeight="1" x14ac:dyDescent="0.3">
      <c r="A26" s="12">
        <v>22</v>
      </c>
      <c r="B26" s="12">
        <v>3</v>
      </c>
      <c r="C26" s="12">
        <v>31</v>
      </c>
      <c r="D26" s="12">
        <v>222</v>
      </c>
      <c r="E26" s="64" t="s">
        <v>321</v>
      </c>
      <c r="F26" s="3" t="s">
        <v>108</v>
      </c>
      <c r="G26" s="59">
        <v>100</v>
      </c>
      <c r="H26" s="12" t="s">
        <v>356</v>
      </c>
      <c r="I26" s="76">
        <v>46058</v>
      </c>
      <c r="J26" s="72">
        <v>88</v>
      </c>
      <c r="K26" s="75">
        <f t="shared" si="0"/>
        <v>12</v>
      </c>
    </row>
    <row r="27" spans="1:11" s="15" customFormat="1" ht="31.95" customHeight="1" x14ac:dyDescent="0.3">
      <c r="A27" s="12">
        <v>23</v>
      </c>
      <c r="B27" s="12">
        <v>3</v>
      </c>
      <c r="C27" s="12">
        <v>31</v>
      </c>
      <c r="D27" s="12">
        <v>221</v>
      </c>
      <c r="E27" s="64" t="s">
        <v>320</v>
      </c>
      <c r="F27" s="3" t="s">
        <v>108</v>
      </c>
      <c r="G27" s="59">
        <v>100</v>
      </c>
      <c r="H27" s="12" t="s">
        <v>356</v>
      </c>
      <c r="I27" s="76">
        <v>46058</v>
      </c>
      <c r="J27" s="72">
        <v>88</v>
      </c>
      <c r="K27" s="75">
        <f t="shared" si="0"/>
        <v>12</v>
      </c>
    </row>
    <row r="28" spans="1:11" s="15" customFormat="1" ht="31.95" customHeight="1" x14ac:dyDescent="0.3">
      <c r="A28" s="12">
        <v>24</v>
      </c>
      <c r="B28" s="12">
        <v>3</v>
      </c>
      <c r="C28" s="12">
        <v>31</v>
      </c>
      <c r="D28" s="12">
        <v>220</v>
      </c>
      <c r="E28" s="64" t="s">
        <v>319</v>
      </c>
      <c r="F28" s="3" t="s">
        <v>108</v>
      </c>
      <c r="G28" s="59">
        <v>100</v>
      </c>
      <c r="H28" s="12" t="s">
        <v>356</v>
      </c>
      <c r="I28" s="76">
        <v>46058</v>
      </c>
      <c r="J28" s="72">
        <v>88</v>
      </c>
      <c r="K28" s="75">
        <f t="shared" si="0"/>
        <v>12</v>
      </c>
    </row>
    <row r="29" spans="1:11" s="15" customFormat="1" ht="31.95" customHeight="1" x14ac:dyDescent="0.3">
      <c r="A29" s="12">
        <v>25</v>
      </c>
      <c r="B29" s="12">
        <v>3</v>
      </c>
      <c r="C29" s="12">
        <v>31</v>
      </c>
      <c r="D29" s="12">
        <v>219</v>
      </c>
      <c r="E29" s="64" t="s">
        <v>318</v>
      </c>
      <c r="F29" s="3" t="s">
        <v>108</v>
      </c>
      <c r="G29" s="59">
        <v>100</v>
      </c>
      <c r="H29" s="12" t="s">
        <v>356</v>
      </c>
      <c r="I29" s="76">
        <v>46058</v>
      </c>
      <c r="J29" s="72">
        <v>88</v>
      </c>
      <c r="K29" s="75">
        <f t="shared" si="0"/>
        <v>12</v>
      </c>
    </row>
    <row r="30" spans="1:11" s="15" customFormat="1" ht="31.95" customHeight="1" x14ac:dyDescent="0.3">
      <c r="A30" s="12">
        <v>26</v>
      </c>
      <c r="B30" s="12">
        <v>3</v>
      </c>
      <c r="C30" s="12">
        <v>31</v>
      </c>
      <c r="D30" s="12">
        <v>218</v>
      </c>
      <c r="E30" s="64" t="s">
        <v>317</v>
      </c>
      <c r="F30" s="3" t="s">
        <v>108</v>
      </c>
      <c r="G30" s="59">
        <v>60</v>
      </c>
      <c r="H30" s="12" t="s">
        <v>356</v>
      </c>
      <c r="I30" s="76">
        <v>46058</v>
      </c>
      <c r="J30" s="72">
        <v>88</v>
      </c>
      <c r="K30" s="75">
        <f t="shared" si="0"/>
        <v>-28</v>
      </c>
    </row>
    <row r="31" spans="1:11" s="15" customFormat="1" ht="31.95" customHeight="1" x14ac:dyDescent="0.3">
      <c r="A31" s="12">
        <v>27</v>
      </c>
      <c r="B31" s="12">
        <v>16</v>
      </c>
      <c r="C31" s="12">
        <v>47</v>
      </c>
      <c r="D31" s="12">
        <v>280</v>
      </c>
      <c r="E31" s="64" t="s">
        <v>334</v>
      </c>
      <c r="F31" s="3" t="s">
        <v>8</v>
      </c>
      <c r="G31" s="59">
        <v>2</v>
      </c>
      <c r="H31" s="12" t="s">
        <v>356</v>
      </c>
      <c r="I31" s="76">
        <v>46058</v>
      </c>
      <c r="J31" s="72">
        <v>1</v>
      </c>
      <c r="K31" s="75">
        <f t="shared" si="0"/>
        <v>1</v>
      </c>
    </row>
    <row r="32" spans="1:11" s="15" customFormat="1" ht="31.95" customHeight="1" x14ac:dyDescent="0.3">
      <c r="A32" s="12">
        <v>28</v>
      </c>
      <c r="B32" s="12">
        <v>16</v>
      </c>
      <c r="C32" s="12">
        <v>48</v>
      </c>
      <c r="D32" s="12">
        <v>281</v>
      </c>
      <c r="E32" s="64" t="s">
        <v>336</v>
      </c>
      <c r="F32" s="3" t="s">
        <v>8</v>
      </c>
      <c r="G32" s="59">
        <v>4</v>
      </c>
      <c r="H32" s="12" t="s">
        <v>356</v>
      </c>
      <c r="I32" s="72"/>
      <c r="J32" s="72"/>
      <c r="K32" s="75">
        <f t="shared" si="0"/>
        <v>4</v>
      </c>
    </row>
    <row r="33" spans="1:11" s="15" customFormat="1" ht="31.95" customHeight="1" x14ac:dyDescent="0.3">
      <c r="A33" s="12">
        <v>29</v>
      </c>
      <c r="B33" s="12">
        <v>16</v>
      </c>
      <c r="C33" s="12">
        <v>49</v>
      </c>
      <c r="D33" s="12">
        <v>282</v>
      </c>
      <c r="E33" s="64" t="s">
        <v>338</v>
      </c>
      <c r="F33" s="3" t="s">
        <v>8</v>
      </c>
      <c r="G33" s="59">
        <v>1</v>
      </c>
      <c r="H33" s="12" t="s">
        <v>356</v>
      </c>
      <c r="I33" s="72"/>
      <c r="J33" s="72"/>
      <c r="K33" s="75">
        <f t="shared" si="0"/>
        <v>1</v>
      </c>
    </row>
    <row r="34" spans="1:11" s="15" customFormat="1" ht="31.95" customHeight="1" x14ac:dyDescent="0.3">
      <c r="A34" s="12">
        <v>30</v>
      </c>
      <c r="B34" s="12">
        <v>16</v>
      </c>
      <c r="C34" s="12">
        <v>50</v>
      </c>
      <c r="D34" s="12">
        <v>283</v>
      </c>
      <c r="E34" s="64" t="s">
        <v>341</v>
      </c>
      <c r="F34" s="3" t="s">
        <v>8</v>
      </c>
      <c r="G34" s="59">
        <v>10</v>
      </c>
      <c r="H34" s="12" t="s">
        <v>356</v>
      </c>
      <c r="I34" s="76">
        <v>46058</v>
      </c>
      <c r="J34" s="72">
        <v>6</v>
      </c>
      <c r="K34" s="75">
        <f t="shared" si="0"/>
        <v>4</v>
      </c>
    </row>
    <row r="35" spans="1:11" s="15" customFormat="1" ht="31.95" customHeight="1" x14ac:dyDescent="0.3">
      <c r="A35" s="12">
        <v>31</v>
      </c>
      <c r="B35" s="12">
        <v>16</v>
      </c>
      <c r="C35" s="12">
        <v>51</v>
      </c>
      <c r="D35" s="12">
        <v>284</v>
      </c>
      <c r="E35" s="64" t="s">
        <v>343</v>
      </c>
      <c r="F35" s="3" t="s">
        <v>8</v>
      </c>
      <c r="G35" s="59">
        <v>1</v>
      </c>
      <c r="H35" s="12" t="s">
        <v>356</v>
      </c>
      <c r="I35" s="72"/>
      <c r="J35" s="72"/>
      <c r="K35" s="75">
        <f t="shared" si="0"/>
        <v>1</v>
      </c>
    </row>
    <row r="36" spans="1:11" s="15" customFormat="1" ht="31.95" customHeight="1" x14ac:dyDescent="0.3">
      <c r="A36" s="12">
        <v>32</v>
      </c>
      <c r="B36" s="12">
        <v>16</v>
      </c>
      <c r="C36" s="12">
        <v>52</v>
      </c>
      <c r="D36" s="12">
        <v>285</v>
      </c>
      <c r="E36" s="64" t="s">
        <v>345</v>
      </c>
      <c r="F36" s="3" t="s">
        <v>8</v>
      </c>
      <c r="G36" s="59">
        <v>2</v>
      </c>
      <c r="H36" s="12" t="s">
        <v>356</v>
      </c>
      <c r="I36" s="76">
        <v>46058</v>
      </c>
      <c r="J36" s="72">
        <v>1</v>
      </c>
      <c r="K36" s="75">
        <f t="shared" si="0"/>
        <v>1</v>
      </c>
    </row>
  </sheetData>
  <mergeCells count="10">
    <mergeCell ref="A3:B3"/>
    <mergeCell ref="C3:D3"/>
    <mergeCell ref="F3:H3"/>
    <mergeCell ref="B4:D4"/>
    <mergeCell ref="A1:B1"/>
    <mergeCell ref="C1:E1"/>
    <mergeCell ref="F1:G1"/>
    <mergeCell ref="A2:B2"/>
    <mergeCell ref="C2:E2"/>
    <mergeCell ref="F2:G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3AFE-1A97-4706-A034-DB622BCE97E9}">
  <sheetPr>
    <tabColor rgb="FF92D050"/>
  </sheetPr>
  <dimension ref="A1:M40"/>
  <sheetViews>
    <sheetView zoomScale="70" zoomScaleNormal="70" workbookViewId="0">
      <pane xSplit="1" ySplit="5" topLeftCell="B30" activePane="bottomRight" state="frozen"/>
      <selection pane="topRight" activeCell="B1" sqref="B1"/>
      <selection pane="bottomLeft" activeCell="A5" sqref="A5"/>
      <selection pane="bottomRight" activeCell="L3" sqref="L3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6.5546875" style="55" customWidth="1"/>
    <col min="7" max="7" width="7.6640625" style="56" bestFit="1" customWidth="1"/>
    <col min="8" max="8" width="8.88671875" style="55" customWidth="1"/>
    <col min="9" max="10" width="11.5546875" style="57"/>
    <col min="11" max="11" width="13.6640625" style="55" customWidth="1"/>
    <col min="12" max="12" width="11.5546875" style="55"/>
    <col min="13" max="13" width="20.3320312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470</v>
      </c>
      <c r="D2" s="283"/>
      <c r="E2" s="283"/>
      <c r="F2" s="291"/>
      <c r="G2" s="292" t="s">
        <v>355</v>
      </c>
      <c r="H2" s="290"/>
      <c r="I2" s="62">
        <v>4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293" t="s">
        <v>368</v>
      </c>
      <c r="D3" s="294"/>
      <c r="E3" s="68"/>
      <c r="F3" s="61" t="s">
        <v>353</v>
      </c>
      <c r="G3" s="295" t="s">
        <v>369</v>
      </c>
      <c r="H3" s="296"/>
      <c r="I3" s="77">
        <v>46059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548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13</v>
      </c>
      <c r="C6" s="12">
        <v>21</v>
      </c>
      <c r="D6" s="12">
        <v>181</v>
      </c>
      <c r="E6" s="12" t="str">
        <f>CONCATENATE(B6,"-",C6,"-",D6)</f>
        <v>13-21-181</v>
      </c>
      <c r="F6" s="64" t="str">
        <f>IFERROR(VLOOKUP(E6,'LISTA ITEMS (2)'!$E$2:$G$910,2,FALSE)," ")</f>
        <v>TACO P/BRIDA NEGRO</v>
      </c>
      <c r="G6" s="79" t="str">
        <f>IFERROR(VLOOKUP(E6,'LISTA ITEMS (2)'!$E$2:$G$910,3,FALSE)," ")</f>
        <v>UND</v>
      </c>
      <c r="H6" s="59">
        <v>100</v>
      </c>
      <c r="I6" s="12" t="s">
        <v>356</v>
      </c>
      <c r="J6" s="76">
        <v>46062</v>
      </c>
      <c r="K6" s="72">
        <v>100</v>
      </c>
      <c r="L6" s="75">
        <f>+H6-K6</f>
        <v>0</v>
      </c>
      <c r="M6" s="12"/>
    </row>
    <row r="7" spans="1:13" s="15" customFormat="1" ht="31.95" customHeight="1" x14ac:dyDescent="0.3">
      <c r="A7" s="12">
        <v>2</v>
      </c>
      <c r="B7" s="12">
        <v>13</v>
      </c>
      <c r="C7" s="12">
        <v>22</v>
      </c>
      <c r="D7" s="12">
        <v>183</v>
      </c>
      <c r="E7" s="12" t="str">
        <f t="shared" ref="E7:E38" si="0">CONCATENATE(B7,"-",C7,"-",D7)</f>
        <v>13-22-183</v>
      </c>
      <c r="F7" s="64" t="str">
        <f>IFERROR(VLOOKUP(E7,'LISTA ITEMS (2)'!$E$2:$G$910,2,FALSE)," ")</f>
        <v>BRIDA P/INTERIOR NEGRA</v>
      </c>
      <c r="G7" s="79" t="str">
        <f>IFERROR(VLOOKUP(E7,'LISTA ITEMS (2)'!$E$2:$G$910,3,FALSE)," ")</f>
        <v>UND</v>
      </c>
      <c r="H7" s="59">
        <v>100</v>
      </c>
      <c r="I7" s="12" t="s">
        <v>356</v>
      </c>
      <c r="J7" s="76">
        <v>46062</v>
      </c>
      <c r="K7" s="72">
        <v>100</v>
      </c>
      <c r="L7" s="75">
        <f t="shared" ref="L7:L37" si="1">+H7-K7</f>
        <v>0</v>
      </c>
      <c r="M7" s="12"/>
    </row>
    <row r="8" spans="1:13" s="15" customFormat="1" ht="31.95" customHeight="1" x14ac:dyDescent="0.3">
      <c r="A8" s="12">
        <v>3</v>
      </c>
      <c r="B8" s="12">
        <v>13</v>
      </c>
      <c r="C8" s="12">
        <v>22</v>
      </c>
      <c r="D8" s="12">
        <v>184</v>
      </c>
      <c r="E8" s="12" t="str">
        <f t="shared" si="0"/>
        <v>13-22-184</v>
      </c>
      <c r="F8" s="64" t="str">
        <f>IFERROR(VLOOKUP(E8,'LISTA ITEMS (2)'!$E$2:$G$910,2,FALSE)," ")</f>
        <v>BRIDA P/EXTERIOR NEGRA</v>
      </c>
      <c r="G8" s="79" t="str">
        <f>IFERROR(VLOOKUP(E8,'LISTA ITEMS (2)'!$E$2:$G$910,3,FALSE)," ")</f>
        <v>UND</v>
      </c>
      <c r="H8" s="59">
        <v>50</v>
      </c>
      <c r="I8" s="12" t="s">
        <v>356</v>
      </c>
      <c r="J8" s="76">
        <v>46062</v>
      </c>
      <c r="K8" s="72">
        <v>50</v>
      </c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232</v>
      </c>
      <c r="E9" s="12" t="str">
        <f t="shared" si="0"/>
        <v>10-37-232</v>
      </c>
      <c r="F9" s="64" t="str">
        <f>IFERROR(VLOOKUP(E9,'LISTA ITEMS (2)'!$E$2:$G$910,2,FALSE)," ")</f>
        <v>SOPORTE CENTRAL NEGRO</v>
      </c>
      <c r="G9" s="79" t="str">
        <f>IFERROR(VLOOKUP(E9,'LISTA ITEMS (2)'!$E$2:$G$910,3,FALSE)," ")</f>
        <v>UND</v>
      </c>
      <c r="H9" s="59">
        <v>25</v>
      </c>
      <c r="I9" s="12" t="s">
        <v>356</v>
      </c>
      <c r="J9" s="76">
        <v>46062</v>
      </c>
      <c r="K9" s="72">
        <v>25</v>
      </c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37</v>
      </c>
      <c r="D10" s="12">
        <v>315</v>
      </c>
      <c r="E10" s="12" t="str">
        <f t="shared" si="0"/>
        <v>10-37-315</v>
      </c>
      <c r="F10" s="64" t="str">
        <f>IFERROR(VLOOKUP(E10,'LISTA ITEMS (2)'!$E$2:$G$910,2,FALSE)," ")</f>
        <v>SOPORTE FINAL NEGRO</v>
      </c>
      <c r="G10" s="79" t="str">
        <f>IFERROR(VLOOKUP(E10,'LISTA ITEMS (2)'!$E$2:$G$910,3,FALSE)," ")</f>
        <v>UND</v>
      </c>
      <c r="H10" s="59">
        <v>25</v>
      </c>
      <c r="I10" s="12" t="s">
        <v>356</v>
      </c>
      <c r="J10" s="76">
        <v>46062</v>
      </c>
      <c r="K10" s="72">
        <v>25</v>
      </c>
      <c r="L10" s="75">
        <f t="shared" si="1"/>
        <v>0</v>
      </c>
      <c r="M10" s="12"/>
    </row>
    <row r="11" spans="1:13" s="15" customFormat="1" ht="31.95" customHeight="1" x14ac:dyDescent="0.3">
      <c r="A11" s="12">
        <v>6</v>
      </c>
      <c r="B11" s="12">
        <v>6</v>
      </c>
      <c r="C11" s="12">
        <v>23</v>
      </c>
      <c r="D11" s="12">
        <v>192</v>
      </c>
      <c r="E11" s="12" t="str">
        <f t="shared" si="0"/>
        <v>6-23-192</v>
      </c>
      <c r="F11" s="64" t="str">
        <f>IFERROR(VLOOKUP(E11,'LISTA ITEMS (2)'!$E$2:$G$910,2,FALSE)," ")</f>
        <v xml:space="preserve">CINTA ACERO PERFORADA PARA MONTAJE </v>
      </c>
      <c r="G11" s="79" t="str">
        <f>IFERROR(VLOOKUP(E11,'LISTA ITEMS (2)'!$E$2:$G$910,3,FALSE)," ")</f>
        <v>UND</v>
      </c>
      <c r="H11" s="59">
        <v>3</v>
      </c>
      <c r="I11" s="12" t="s">
        <v>356</v>
      </c>
      <c r="J11" s="76">
        <v>46062</v>
      </c>
      <c r="K11" s="72">
        <v>1.5</v>
      </c>
      <c r="L11" s="75">
        <f t="shared" si="1"/>
        <v>1.5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45</v>
      </c>
      <c r="D12" s="12">
        <v>294</v>
      </c>
      <c r="E12" s="12" t="str">
        <f t="shared" si="0"/>
        <v>16-45-294</v>
      </c>
      <c r="F12" s="64" t="str">
        <f>IFERROR(VLOOKUP(E12,'LISTA ITEMS (2)'!$E$2:$G$910,2,FALSE)," ")</f>
        <v>CAJA DE ESTANCA 133X180X80 EV161 (IDE)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10</v>
      </c>
      <c r="C13" s="12">
        <v>43</v>
      </c>
      <c r="D13" s="12">
        <v>270</v>
      </c>
      <c r="E13" s="12" t="str">
        <f t="shared" si="0"/>
        <v>10-43-270</v>
      </c>
      <c r="F13" s="64" t="str">
        <f>IFERROR(VLOOKUP(E13,'LISTA ITEMS (2)'!$E$2:$G$910,2,FALSE)," ")</f>
        <v>EMPALME ALUMINIO P/BARRA</v>
      </c>
      <c r="G13" s="79" t="str">
        <f>IFERROR(VLOOKUP(E13,'LISTA ITEMS (2)'!$E$2:$G$910,3,FALSE)," ")</f>
        <v>UND</v>
      </c>
      <c r="H13" s="59">
        <v>8</v>
      </c>
      <c r="I13" s="12" t="s">
        <v>356</v>
      </c>
      <c r="J13" s="76">
        <v>46062</v>
      </c>
      <c r="K13" s="72">
        <v>8</v>
      </c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45</v>
      </c>
      <c r="D14" s="12">
        <v>276</v>
      </c>
      <c r="E14" s="12" t="str">
        <f t="shared" si="0"/>
        <v>16-45-276</v>
      </c>
      <c r="F14" s="64" t="str">
        <f>IFERROR(VLOOKUP(E14,'LISTA ITEMS (2)'!$E$2:$G$910,2,FALSE)," ")</f>
        <v>CAJA ESTANCA (COCHERA) EXTERIOR 18PT (IDE)</v>
      </c>
      <c r="G14" s="79" t="str">
        <f>IFERROR(VLOOKUP(E14,'LISTA ITEMS (2)'!$E$2:$G$910,3,FALSE)," ")</f>
        <v>UND</v>
      </c>
      <c r="H14" s="59">
        <v>1</v>
      </c>
      <c r="I14" s="12" t="s">
        <v>356</v>
      </c>
      <c r="J14" s="76">
        <v>46062</v>
      </c>
      <c r="K14" s="72">
        <v>1</v>
      </c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>
        <v>16</v>
      </c>
      <c r="C15" s="12">
        <v>45</v>
      </c>
      <c r="D15" s="12">
        <v>317</v>
      </c>
      <c r="E15" s="12" t="str">
        <f t="shared" si="0"/>
        <v>16-45-317</v>
      </c>
      <c r="F15" s="64" t="str">
        <f>IFERROR(VLOOKUP(E15,'LISTA ITEMS (2)'!$E$2:$G$910,2,FALSE)," ")</f>
        <v>CAJA DISTRIBUCION INTERIOR 8 ELEM. (SOLERA)</v>
      </c>
      <c r="G15" s="79" t="str">
        <f>IFERROR(VLOOKUP(E15,'LISTA ITEMS (2)'!$E$2:$G$910,3,FALSE)," ")</f>
        <v>UND</v>
      </c>
      <c r="H15" s="59">
        <v>1</v>
      </c>
      <c r="I15" s="12" t="s">
        <v>356</v>
      </c>
      <c r="J15" s="76">
        <v>46062</v>
      </c>
      <c r="K15" s="72">
        <v>1</v>
      </c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>
        <v>16</v>
      </c>
      <c r="C16" s="12">
        <v>47</v>
      </c>
      <c r="D16" s="12">
        <v>318</v>
      </c>
      <c r="E16" s="12" t="str">
        <f t="shared" si="0"/>
        <v>16-47-318</v>
      </c>
      <c r="F16" s="64" t="str">
        <f>IFERROR(VLOOKUP(E16,'LISTA ITEMS (2)'!$E$2:$G$910,2,FALSE)," ")</f>
        <v>DIFERENCIAL EPR2A040030 2P-40A-30mA (MAXGE)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2"/>
      <c r="K16" s="72"/>
      <c r="L16" s="75">
        <f t="shared" si="1"/>
        <v>1</v>
      </c>
      <c r="M16" s="12"/>
    </row>
    <row r="17" spans="1:13" s="15" customFormat="1" ht="31.95" customHeight="1" x14ac:dyDescent="0.3">
      <c r="A17" s="12">
        <v>12</v>
      </c>
      <c r="B17" s="12">
        <v>16</v>
      </c>
      <c r="C17" s="12">
        <v>52</v>
      </c>
      <c r="D17" s="12">
        <v>319</v>
      </c>
      <c r="E17" s="12" t="str">
        <f t="shared" si="0"/>
        <v>16-52-319</v>
      </c>
      <c r="F17" s="64" t="str">
        <f>IFERROR(VLOOKUP(E17,'LISTA ITEMS (2)'!$E$2:$G$910,2,FALSE)," ")</f>
        <v>TERMICO EPBE63M1NC25 1P+N C25 (MAXGE)</v>
      </c>
      <c r="G17" s="79" t="str">
        <f>IFERROR(VLOOKUP(E17,'LISTA ITEMS (2)'!$E$2:$G$910,3,FALSE)," ")</f>
        <v>UND</v>
      </c>
      <c r="H17" s="59">
        <v>1</v>
      </c>
      <c r="I17" s="12" t="s">
        <v>356</v>
      </c>
      <c r="J17" s="76"/>
      <c r="K17" s="72"/>
      <c r="L17" s="75">
        <f t="shared" si="1"/>
        <v>1</v>
      </c>
      <c r="M17" s="12"/>
    </row>
    <row r="18" spans="1:13" s="15" customFormat="1" ht="31.95" customHeight="1" x14ac:dyDescent="0.3">
      <c r="A18" s="12">
        <v>13</v>
      </c>
      <c r="B18" s="12">
        <v>16</v>
      </c>
      <c r="C18" s="12">
        <v>45</v>
      </c>
      <c r="D18" s="12">
        <v>275</v>
      </c>
      <c r="E18" s="12" t="str">
        <f t="shared" si="0"/>
        <v>16-45-275</v>
      </c>
      <c r="F18" s="64" t="str">
        <f>IFERROR(VLOOKUP(E18,'LISTA ITEMS (2)'!$E$2:$G$910,2,FALSE)," ")</f>
        <v>CAJA DISTRIBUCION INTERIOR 18 ELEM. (SOLERA)</v>
      </c>
      <c r="G18" s="79" t="str">
        <f>IFERROR(VLOOKUP(E18,'LISTA ITEMS (2)'!$E$2:$G$910,3,FALSE)," ")</f>
        <v>UND</v>
      </c>
      <c r="H18" s="59">
        <v>1</v>
      </c>
      <c r="I18" s="12" t="s">
        <v>356</v>
      </c>
      <c r="J18" s="76">
        <v>46062</v>
      </c>
      <c r="K18" s="72">
        <v>1</v>
      </c>
      <c r="L18" s="75">
        <f t="shared" si="1"/>
        <v>0</v>
      </c>
      <c r="M18" s="12"/>
    </row>
    <row r="19" spans="1:13" s="15" customFormat="1" ht="31.95" customHeight="1" x14ac:dyDescent="0.3">
      <c r="A19" s="12">
        <v>14</v>
      </c>
      <c r="B19" s="12">
        <v>16</v>
      </c>
      <c r="C19" s="12">
        <v>45</v>
      </c>
      <c r="D19" s="12">
        <v>299</v>
      </c>
      <c r="E19" s="12" t="str">
        <f t="shared" si="0"/>
        <v>16-45-299</v>
      </c>
      <c r="F19" s="64" t="str">
        <f>IFERROR(VLOOKUP(E19,'LISTA ITEMS (2)'!$E$2:$G$910,2,FALSE)," ")</f>
        <v>CAJA ESTANCA (COCHERA) EXTERIOR 8PT (IDE)</v>
      </c>
      <c r="G19" s="79" t="str">
        <f>IFERROR(VLOOKUP(E19,'LISTA ITEMS (2)'!$E$2:$G$910,3,FALSE)," ")</f>
        <v>UND</v>
      </c>
      <c r="H19" s="59">
        <v>1</v>
      </c>
      <c r="I19" s="12" t="s">
        <v>356</v>
      </c>
      <c r="J19" s="76"/>
      <c r="K19" s="72"/>
      <c r="L19" s="75">
        <f t="shared" si="1"/>
        <v>1</v>
      </c>
      <c r="M19" s="12"/>
    </row>
    <row r="20" spans="1:13" s="15" customFormat="1" ht="31.95" customHeight="1" x14ac:dyDescent="0.3">
      <c r="A20" s="12">
        <v>15</v>
      </c>
      <c r="B20" s="12">
        <v>10</v>
      </c>
      <c r="C20" s="12">
        <v>42</v>
      </c>
      <c r="D20" s="12">
        <v>268</v>
      </c>
      <c r="E20" s="12" t="str">
        <f t="shared" si="0"/>
        <v>10-42-268</v>
      </c>
      <c r="F20" s="64" t="str">
        <f>IFERROR(VLOOKUP(E20,'LISTA ITEMS (2)'!$E$2:$G$910,2,FALSE)," ")</f>
        <v>PATA ALUMINIO PARA ESTRUCTURA PLACA SOLAR ANGULO 30º</v>
      </c>
      <c r="G20" s="79" t="str">
        <f>IFERROR(VLOOKUP(E20,'LISTA ITEMS (2)'!$E$2:$G$910,3,FALSE)," ")</f>
        <v>UND</v>
      </c>
      <c r="H20" s="59">
        <v>8</v>
      </c>
      <c r="I20" s="12" t="s">
        <v>356</v>
      </c>
      <c r="J20" s="76">
        <v>46062</v>
      </c>
      <c r="K20" s="72">
        <v>8</v>
      </c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12">
        <v>16</v>
      </c>
      <c r="C21" s="12">
        <v>31</v>
      </c>
      <c r="D21" s="12">
        <v>320</v>
      </c>
      <c r="E21" s="12" t="str">
        <f t="shared" si="0"/>
        <v>16-31-320</v>
      </c>
      <c r="F21" s="64" t="str">
        <f>IFERROR(VLOOKUP(E21,'LISTA ITEMS (2)'!$E$2:$G$910,2,FALSE)," ")</f>
        <v xml:space="preserve">JUEGO CABLE PARA BATERIA DE LITIO B4850 </v>
      </c>
      <c r="G21" s="79" t="str">
        <f>IFERROR(VLOOKUP(E21,'LISTA ITEMS (2)'!$E$2:$G$910,3,FALSE)," ")</f>
        <v>UND</v>
      </c>
      <c r="H21" s="59">
        <v>1</v>
      </c>
      <c r="I21" s="12" t="s">
        <v>356</v>
      </c>
      <c r="J21" s="72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17</v>
      </c>
      <c r="C22" s="12">
        <v>44</v>
      </c>
      <c r="D22" s="12">
        <v>271</v>
      </c>
      <c r="E22" s="12" t="str">
        <f t="shared" si="0"/>
        <v>17-44-271</v>
      </c>
      <c r="F22" s="64" t="str">
        <f>IFERROR(VLOOKUP(E22,'LISTA ITEMS (2)'!$E$2:$G$910,2,FALSE)," ")</f>
        <v>SELLANTE QUIMICO BLANCO</v>
      </c>
      <c r="G22" s="79" t="str">
        <f>IFERROR(VLOOKUP(E22,'LISTA ITEMS (2)'!$E$2:$G$910,3,FALSE)," ")</f>
        <v>UND</v>
      </c>
      <c r="H22" s="59">
        <v>1</v>
      </c>
      <c r="I22" s="12" t="s">
        <v>356</v>
      </c>
      <c r="J22" s="76">
        <v>46062</v>
      </c>
      <c r="K22" s="72">
        <v>1</v>
      </c>
      <c r="L22" s="75">
        <f t="shared" si="1"/>
        <v>0</v>
      </c>
      <c r="M22" s="12"/>
    </row>
    <row r="23" spans="1:13" s="15" customFormat="1" ht="31.95" customHeight="1" x14ac:dyDescent="0.3">
      <c r="A23" s="12">
        <v>18</v>
      </c>
      <c r="B23" s="12">
        <v>17</v>
      </c>
      <c r="C23" s="12">
        <v>44</v>
      </c>
      <c r="D23" s="12">
        <v>272</v>
      </c>
      <c r="E23" s="12" t="str">
        <f t="shared" si="0"/>
        <v>17-44-272</v>
      </c>
      <c r="F23" s="64" t="str">
        <f>IFERROR(VLOOKUP(E23,'LISTA ITEMS (2)'!$E$2:$G$910,2,FALSE)," ")</f>
        <v>SELLANTE QUIMICO GRIS</v>
      </c>
      <c r="G23" s="79" t="str">
        <f>IFERROR(VLOOKUP(E23,'LISTA ITEMS (2)'!$E$2:$G$910,3,FALSE)," ")</f>
        <v>UND</v>
      </c>
      <c r="H23" s="59">
        <v>1</v>
      </c>
      <c r="I23" s="12" t="s">
        <v>356</v>
      </c>
      <c r="J23" s="76">
        <v>46062</v>
      </c>
      <c r="K23" s="72">
        <v>1</v>
      </c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>
        <v>8</v>
      </c>
      <c r="C24" s="12">
        <v>27</v>
      </c>
      <c r="D24" s="12">
        <v>321</v>
      </c>
      <c r="E24" s="12" t="str">
        <f t="shared" si="0"/>
        <v>8-27-321</v>
      </c>
      <c r="F24" s="64" t="str">
        <f>IFERROR(VLOOKUP(E24,'LISTA ITEMS (2)'!$E$2:$G$910,2,FALSE)," ")</f>
        <v>TORNILLO AUTOTALADRANTE CON C/HEXAGONAL - R/PARCIAL - ARANDELA CAUCHO 6X120mm  A/GALV.</v>
      </c>
      <c r="G24" s="79" t="str">
        <f>IFERROR(VLOOKUP(E24,'LISTA ITEMS (2)'!$E$2:$G$910,3,FALSE)," ")</f>
        <v>UND</v>
      </c>
      <c r="H24" s="59">
        <v>20</v>
      </c>
      <c r="I24" s="12" t="s">
        <v>356</v>
      </c>
      <c r="J24" s="76">
        <v>46062</v>
      </c>
      <c r="K24" s="72">
        <v>20</v>
      </c>
      <c r="L24" s="75">
        <f t="shared" si="1"/>
        <v>0</v>
      </c>
      <c r="M24" s="12"/>
    </row>
    <row r="25" spans="1:13" s="15" customFormat="1" ht="31.95" customHeight="1" x14ac:dyDescent="0.3">
      <c r="A25" s="12">
        <v>20</v>
      </c>
      <c r="B25" s="12">
        <v>16</v>
      </c>
      <c r="C25" s="12">
        <v>59</v>
      </c>
      <c r="D25" s="12">
        <v>322</v>
      </c>
      <c r="E25" s="12" t="str">
        <f t="shared" si="0"/>
        <v>16-59-322</v>
      </c>
      <c r="F25" s="64" t="str">
        <f>IFERROR(VLOOKUP(E25,'LISTA ITEMS (2)'!$E$2:$G$910,2,FALSE)," ")</f>
        <v>CLAVIJA CAUCHO NEGRA 10/16A</v>
      </c>
      <c r="G25" s="79" t="str">
        <f>IFERROR(VLOOKUP(E25,'LISTA ITEMS (2)'!$E$2:$G$910,3,FALSE)," ")</f>
        <v>UND</v>
      </c>
      <c r="H25" s="59">
        <v>1</v>
      </c>
      <c r="I25" s="12" t="s">
        <v>356</v>
      </c>
      <c r="J25" s="72"/>
      <c r="K25" s="72"/>
      <c r="L25" s="75">
        <f t="shared" si="1"/>
        <v>1</v>
      </c>
      <c r="M25" s="12"/>
    </row>
    <row r="26" spans="1:13" s="15" customFormat="1" ht="31.95" customHeight="1" x14ac:dyDescent="0.3">
      <c r="A26" s="12">
        <v>21</v>
      </c>
      <c r="B26" s="12">
        <v>9</v>
      </c>
      <c r="C26" s="12">
        <v>2</v>
      </c>
      <c r="D26" s="12">
        <v>291</v>
      </c>
      <c r="E26" s="12" t="str">
        <f t="shared" si="0"/>
        <v>9-2-291</v>
      </c>
      <c r="F26" s="64" t="str">
        <f>IFERROR(VLOOKUP(E26,'LISTA ITEMS (2)'!$E$2:$G$910,2,FALSE)," ")</f>
        <v>TUBO ELECTRICO PVC 25mm - 3mt(AISCAN)</v>
      </c>
      <c r="G26" s="79" t="str">
        <f>IFERROR(VLOOKUP(E26,'LISTA ITEMS (2)'!$E$2:$G$910,3,FALSE)," ")</f>
        <v>UND</v>
      </c>
      <c r="H26" s="59">
        <v>8</v>
      </c>
      <c r="I26" s="12" t="s">
        <v>356</v>
      </c>
      <c r="J26" s="76">
        <v>46062</v>
      </c>
      <c r="K26" s="72">
        <v>6</v>
      </c>
      <c r="L26" s="75">
        <f t="shared" si="1"/>
        <v>2</v>
      </c>
      <c r="M26" s="12"/>
    </row>
    <row r="27" spans="1:13" s="15" customFormat="1" ht="31.95" customHeight="1" x14ac:dyDescent="0.3">
      <c r="A27" s="12">
        <v>22</v>
      </c>
      <c r="B27" s="12">
        <v>10</v>
      </c>
      <c r="C27" s="12">
        <v>15</v>
      </c>
      <c r="D27" s="12">
        <v>269</v>
      </c>
      <c r="E27" s="12" t="str">
        <f t="shared" si="0"/>
        <v>10-15-269</v>
      </c>
      <c r="F27" s="64" t="str">
        <f>IFERROR(VLOOKUP(E27,'LISTA ITEMS (2)'!$E$2:$G$910,2,FALSE)," ")</f>
        <v>BARRA ALUMINIO PARA ESTRUCTURA  3.60mt</v>
      </c>
      <c r="G27" s="79" t="str">
        <f>IFERROR(VLOOKUP(E27,'LISTA ITEMS (2)'!$E$2:$G$910,3,FALSE)," ")</f>
        <v>UND</v>
      </c>
      <c r="H27" s="59">
        <v>10</v>
      </c>
      <c r="I27" s="12" t="s">
        <v>356</v>
      </c>
      <c r="J27" s="76"/>
      <c r="K27" s="72"/>
      <c r="L27" s="75">
        <f t="shared" si="1"/>
        <v>10</v>
      </c>
      <c r="M27" s="12"/>
    </row>
    <row r="28" spans="1:13" s="15" customFormat="1" ht="31.95" customHeight="1" x14ac:dyDescent="0.3">
      <c r="A28" s="12">
        <v>23</v>
      </c>
      <c r="B28" s="12">
        <v>7</v>
      </c>
      <c r="C28" s="12">
        <v>38</v>
      </c>
      <c r="D28" s="12">
        <v>247</v>
      </c>
      <c r="E28" s="12" t="str">
        <f t="shared" si="0"/>
        <v>7-38-247</v>
      </c>
      <c r="F28" s="64" t="str">
        <f>IFERROR(VLOOKUP(E28,'LISTA ITEMS (2)'!$E$2:$G$910,2,FALSE)," ")</f>
        <v>PLACA SOLAR JAM60D42-535LB 535W / 44.13V</v>
      </c>
      <c r="G28" s="79" t="str">
        <f>IFERROR(VLOOKUP(E28,'LISTA ITEMS (2)'!$E$2:$G$910,3,FALSE)," ")</f>
        <v>UND</v>
      </c>
      <c r="H28" s="59">
        <v>8</v>
      </c>
      <c r="I28" s="12" t="s">
        <v>356</v>
      </c>
      <c r="J28" s="76">
        <v>46062</v>
      </c>
      <c r="K28" s="72">
        <v>8</v>
      </c>
      <c r="L28" s="75">
        <f t="shared" si="1"/>
        <v>0</v>
      </c>
      <c r="M28" s="12"/>
    </row>
    <row r="29" spans="1:13" s="15" customFormat="1" ht="43.2" x14ac:dyDescent="0.3">
      <c r="A29" s="12">
        <v>24</v>
      </c>
      <c r="B29" s="12">
        <v>7</v>
      </c>
      <c r="C29" s="12">
        <v>54</v>
      </c>
      <c r="D29" s="12">
        <v>323</v>
      </c>
      <c r="E29" s="12" t="str">
        <f t="shared" si="0"/>
        <v>7-54-323</v>
      </c>
      <c r="F29" s="64" t="str">
        <f>IFERROR(VLOOKUP(E29,'LISTA ITEMS (2)'!$E$2:$G$910,2,FALSE)," ")</f>
        <v>BATERIA LPF LITHIUM B3 (DYNESS)</v>
      </c>
      <c r="G29" s="79" t="str">
        <f>IFERROR(VLOOKUP(E29,'LISTA ITEMS (2)'!$E$2:$G$910,3,FALSE)," ")</f>
        <v>UND</v>
      </c>
      <c r="H29" s="59">
        <v>3</v>
      </c>
      <c r="I29" s="12" t="s">
        <v>356</v>
      </c>
      <c r="J29" s="76"/>
      <c r="K29" s="72"/>
      <c r="L29" s="75">
        <f t="shared" si="1"/>
        <v>3</v>
      </c>
      <c r="M29" s="84" t="s">
        <v>376</v>
      </c>
    </row>
    <row r="30" spans="1:13" s="15" customFormat="1" ht="31.95" customHeight="1" x14ac:dyDescent="0.3">
      <c r="A30" s="12">
        <v>25</v>
      </c>
      <c r="B30" s="12">
        <v>14</v>
      </c>
      <c r="C30" s="12">
        <v>24</v>
      </c>
      <c r="D30" s="12">
        <v>193</v>
      </c>
      <c r="E30" s="12" t="str">
        <f t="shared" si="0"/>
        <v>14-24-193</v>
      </c>
      <c r="F30" s="64" t="str">
        <f>IFERROR(VLOOKUP(E30,'LISTA ITEMS (2)'!$E$2:$G$910,2,FALSE)," ")</f>
        <v>DISCO CORTE ACERO/INOX A1 2EN1</v>
      </c>
      <c r="G30" s="79" t="str">
        <f>IFERROR(VLOOKUP(E30,'LISTA ITEMS (2)'!$E$2:$G$910,3,FALSE)," ")</f>
        <v>UND</v>
      </c>
      <c r="H30" s="59">
        <v>3</v>
      </c>
      <c r="I30" s="12" t="s">
        <v>356</v>
      </c>
      <c r="J30" s="76">
        <v>46062</v>
      </c>
      <c r="K30" s="72">
        <v>1</v>
      </c>
      <c r="L30" s="75">
        <f t="shared" si="1"/>
        <v>2</v>
      </c>
      <c r="M30" s="12"/>
    </row>
    <row r="31" spans="1:13" s="15" customFormat="1" ht="31.95" customHeight="1" x14ac:dyDescent="0.3">
      <c r="A31" s="12">
        <v>26</v>
      </c>
      <c r="B31" s="12">
        <v>16</v>
      </c>
      <c r="C31" s="12">
        <v>60</v>
      </c>
      <c r="D31" s="12">
        <v>324</v>
      </c>
      <c r="E31" s="12" t="str">
        <f t="shared" si="0"/>
        <v>16-60-324</v>
      </c>
      <c r="F31" s="64" t="str">
        <f>IFERROR(VLOOKUP(E31,'LISTA ITEMS (2)'!$E$2:$G$910,2,FALSE)," ")</f>
        <v>REGLETA CONEXIÓN ELECTRICA 35mm NEGRA 12Puntos</v>
      </c>
      <c r="G31" s="79" t="str">
        <f>IFERROR(VLOOKUP(E31,'LISTA ITEMS (2)'!$E$2:$G$910,3,FALSE)," ")</f>
        <v>UND</v>
      </c>
      <c r="H31" s="59">
        <v>1</v>
      </c>
      <c r="I31" s="12" t="s">
        <v>356</v>
      </c>
      <c r="J31" s="76"/>
      <c r="K31" s="72"/>
      <c r="L31" s="75">
        <f t="shared" si="1"/>
        <v>1</v>
      </c>
      <c r="M31" s="12"/>
    </row>
    <row r="32" spans="1:13" s="15" customFormat="1" ht="31.95" customHeight="1" x14ac:dyDescent="0.3">
      <c r="A32" s="12">
        <v>27</v>
      </c>
      <c r="B32" s="12">
        <v>16</v>
      </c>
      <c r="C32" s="12">
        <v>60</v>
      </c>
      <c r="D32" s="12">
        <v>325</v>
      </c>
      <c r="E32" s="12" t="str">
        <f t="shared" si="0"/>
        <v>16-60-325</v>
      </c>
      <c r="F32" s="64" t="str">
        <f>IFERROR(VLOOKUP(E32,'LISTA ITEMS (2)'!$E$2:$G$910,2,FALSE)," ")</f>
        <v>REGLETA CONEXIÓN ELECTRICA 16mm NEGRA</v>
      </c>
      <c r="G32" s="79" t="str">
        <f>IFERROR(VLOOKUP(E32,'LISTA ITEMS (2)'!$E$2:$G$910,3,FALSE)," ")</f>
        <v>UND</v>
      </c>
      <c r="H32" s="59">
        <v>1</v>
      </c>
      <c r="I32" s="12" t="s">
        <v>356</v>
      </c>
      <c r="J32" s="76"/>
      <c r="K32" s="72"/>
      <c r="L32" s="75">
        <f t="shared" si="1"/>
        <v>1</v>
      </c>
      <c r="M32" s="12"/>
    </row>
    <row r="33" spans="1:13" s="15" customFormat="1" ht="31.95" customHeight="1" x14ac:dyDescent="0.3">
      <c r="A33" s="12">
        <v>28</v>
      </c>
      <c r="B33" s="12">
        <v>3</v>
      </c>
      <c r="C33" s="12">
        <v>31</v>
      </c>
      <c r="D33" s="12">
        <v>277</v>
      </c>
      <c r="E33" s="12" t="str">
        <f t="shared" si="0"/>
        <v>3-31-277</v>
      </c>
      <c r="F33" s="64" t="str">
        <f>IFERROR(VLOOKUP(E33,'LISTA ITEMS (2)'!$E$2:$G$910,2,FALSE)," ")</f>
        <v>CABLE Nª 6 P/PLACA SOLAR NEGRO</v>
      </c>
      <c r="G33" s="79" t="str">
        <f>IFERROR(VLOOKUP(E33,'LISTA ITEMS (2)'!$E$2:$G$910,3,FALSE)," ")</f>
        <v>MT</v>
      </c>
      <c r="H33" s="59">
        <v>15</v>
      </c>
      <c r="I33" s="12" t="s">
        <v>356</v>
      </c>
      <c r="J33" s="76">
        <v>46062</v>
      </c>
      <c r="K33" s="72">
        <v>15</v>
      </c>
      <c r="L33" s="75">
        <f t="shared" si="1"/>
        <v>0</v>
      </c>
      <c r="M33" s="12"/>
    </row>
    <row r="34" spans="1:13" s="15" customFormat="1" ht="31.95" customHeight="1" x14ac:dyDescent="0.3">
      <c r="A34" s="12">
        <v>29</v>
      </c>
      <c r="B34" s="12">
        <v>3</v>
      </c>
      <c r="C34" s="12">
        <v>31</v>
      </c>
      <c r="D34" s="12">
        <v>278</v>
      </c>
      <c r="E34" s="12" t="str">
        <f t="shared" si="0"/>
        <v>3-31-278</v>
      </c>
      <c r="F34" s="64" t="str">
        <f>IFERROR(VLOOKUP(E34,'LISTA ITEMS (2)'!$E$2:$G$910,2,FALSE)," ")</f>
        <v>CABLE Nª 6 P/PLACA SOLAR ROJO</v>
      </c>
      <c r="G34" s="79" t="str">
        <f>IFERROR(VLOOKUP(E34,'LISTA ITEMS (2)'!$E$2:$G$910,3,FALSE)," ")</f>
        <v>MT</v>
      </c>
      <c r="H34" s="59">
        <v>15</v>
      </c>
      <c r="I34" s="12" t="s">
        <v>356</v>
      </c>
      <c r="J34" s="76">
        <v>46062</v>
      </c>
      <c r="K34" s="72">
        <v>15</v>
      </c>
      <c r="L34" s="75">
        <f t="shared" si="1"/>
        <v>0</v>
      </c>
      <c r="M34" s="12"/>
    </row>
    <row r="35" spans="1:13" s="15" customFormat="1" ht="31.95" customHeight="1" x14ac:dyDescent="0.3">
      <c r="A35" s="12">
        <v>30</v>
      </c>
      <c r="B35" s="12">
        <v>4</v>
      </c>
      <c r="C35" s="12">
        <v>15</v>
      </c>
      <c r="D35" s="12">
        <v>326</v>
      </c>
      <c r="E35" s="12" t="str">
        <f t="shared" si="0"/>
        <v>4-15-326</v>
      </c>
      <c r="F35" s="64" t="str">
        <f>IFERROR(VLOOKUP(E35,'LISTA ITEMS (2)'!$E$2:$G$910,2,FALSE)," ")</f>
        <v>BARRA PERFORADA PARA REFUERZO 27x18x2MT GALV.</v>
      </c>
      <c r="G35" s="79" t="str">
        <f>IFERROR(VLOOKUP(E35,'LISTA ITEMS (2)'!$E$2:$G$910,3,FALSE)," ")</f>
        <v>UND</v>
      </c>
      <c r="H35" s="59">
        <v>6</v>
      </c>
      <c r="I35" s="12" t="s">
        <v>356</v>
      </c>
      <c r="J35" s="76">
        <v>46062</v>
      </c>
      <c r="K35" s="72">
        <v>6</v>
      </c>
      <c r="L35" s="75">
        <f t="shared" si="1"/>
        <v>0</v>
      </c>
      <c r="M35" s="12"/>
    </row>
    <row r="36" spans="1:13" s="15" customFormat="1" ht="31.95" customHeight="1" x14ac:dyDescent="0.3">
      <c r="A36" s="12">
        <v>31</v>
      </c>
      <c r="B36" s="12">
        <v>7</v>
      </c>
      <c r="C36" s="12">
        <v>35</v>
      </c>
      <c r="D36" s="12">
        <v>327</v>
      </c>
      <c r="E36" s="12" t="str">
        <f t="shared" si="0"/>
        <v>7-35-327</v>
      </c>
      <c r="F36" s="64" t="str">
        <f>IFERROR(VLOOKUP(E36,'LISTA ITEMS (2)'!$E$2:$G$910,2,FALSE)," ")</f>
        <v xml:space="preserve">INVERSOR 48/5000/70-50-230V MULTIPLUS (VICTROM ENERGY)  </v>
      </c>
      <c r="G36" s="79" t="str">
        <f>IFERROR(VLOOKUP(E36,'LISTA ITEMS (2)'!$E$2:$G$910,3,FALSE)," ")</f>
        <v>UND</v>
      </c>
      <c r="H36" s="59">
        <v>1</v>
      </c>
      <c r="I36" s="12" t="s">
        <v>356</v>
      </c>
      <c r="J36" s="76">
        <v>46062</v>
      </c>
      <c r="K36" s="72">
        <v>1</v>
      </c>
      <c r="L36" s="75">
        <f t="shared" si="1"/>
        <v>0</v>
      </c>
      <c r="M36" s="12" t="s">
        <v>458</v>
      </c>
    </row>
    <row r="37" spans="1:13" s="15" customFormat="1" ht="31.95" customHeight="1" x14ac:dyDescent="0.3">
      <c r="A37" s="12">
        <v>32</v>
      </c>
      <c r="B37" s="12">
        <v>7</v>
      </c>
      <c r="C37" s="12">
        <v>36</v>
      </c>
      <c r="D37" s="12">
        <v>231</v>
      </c>
      <c r="E37" s="12" t="str">
        <f t="shared" si="0"/>
        <v>7-36-231</v>
      </c>
      <c r="F37" s="64" t="str">
        <f>IFERROR(VLOOKUP(E37,'LISTA ITEMS (2)'!$E$2:$G$910,2,FALSE)," ")</f>
        <v>CONTROLADOR SMART SOLAR MPPT 250/100-TR VICTROM ENERGY</v>
      </c>
      <c r="G37" s="79" t="str">
        <f>IFERROR(VLOOKUP(E37,'LISTA ITEMS (2)'!$E$2:$G$910,3,FALSE)," ")</f>
        <v>UND</v>
      </c>
      <c r="H37" s="59">
        <v>1</v>
      </c>
      <c r="I37" s="12" t="s">
        <v>356</v>
      </c>
      <c r="J37" s="76"/>
      <c r="K37" s="72"/>
      <c r="L37" s="75">
        <f t="shared" si="1"/>
        <v>1</v>
      </c>
      <c r="M37" s="12" t="s">
        <v>459</v>
      </c>
    </row>
    <row r="38" spans="1:13" s="15" customFormat="1" ht="31.95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45" customHeight="1" x14ac:dyDescent="0.3">
      <c r="A40" s="297" t="s">
        <v>460</v>
      </c>
      <c r="B40" s="297"/>
      <c r="C40" s="297"/>
      <c r="D40" s="297"/>
      <c r="E40" s="297"/>
      <c r="F40" s="297"/>
      <c r="G40" s="297"/>
      <c r="H40" s="297"/>
      <c r="I40" s="297"/>
    </row>
  </sheetData>
  <autoFilter ref="A5:M38" xr:uid="{1B913AFE-1A97-4706-A034-DB622BCE97E9}">
    <filterColumn colId="1" showButton="0"/>
    <filterColumn colId="2" showButton="0"/>
  </autoFilter>
  <mergeCells count="13">
    <mergeCell ref="A1:B1"/>
    <mergeCell ref="C1:F1"/>
    <mergeCell ref="G1:H1"/>
    <mergeCell ref="A2:B2"/>
    <mergeCell ref="C2:F2"/>
    <mergeCell ref="G2:H2"/>
    <mergeCell ref="A3:B3"/>
    <mergeCell ref="C3:D3"/>
    <mergeCell ref="G3:H3"/>
    <mergeCell ref="B5:D5"/>
    <mergeCell ref="A40:I40"/>
    <mergeCell ref="A4:D4"/>
    <mergeCell ref="F4:I4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2E2-4451-48F6-A8D0-B6F0BE6F016E}">
  <sheetPr>
    <tabColor rgb="FF00B0F0"/>
  </sheetPr>
  <dimension ref="A1:S558"/>
  <sheetViews>
    <sheetView zoomScale="85" zoomScaleNormal="85" workbookViewId="0">
      <pane xSplit="1" ySplit="2" topLeftCell="B541" activePane="bottomRight" state="frozen"/>
      <selection activeCell="R483" sqref="R483"/>
      <selection pane="topRight" activeCell="R483" sqref="R483"/>
      <selection pane="bottomLeft" activeCell="R483" sqref="R483"/>
      <selection pane="bottomRight" activeCell="G528" sqref="G528:G556"/>
    </sheetView>
  </sheetViews>
  <sheetFormatPr baseColWidth="10" defaultColWidth="11.5546875" defaultRowHeight="15.6" x14ac:dyDescent="0.3"/>
  <cols>
    <col min="1" max="1" width="6.5546875" style="9" customWidth="1"/>
    <col min="2" max="2" width="9.88671875" style="9" customWidth="1"/>
    <col min="3" max="3" width="9.109375" style="95" customWidth="1"/>
    <col min="4" max="4" width="12" style="227" customWidth="1"/>
    <col min="5" max="5" width="11.109375" style="227" customWidth="1"/>
    <col min="6" max="6" width="13.77734375" style="26" customWidth="1"/>
    <col min="7" max="7" width="11.21875" style="26" customWidth="1"/>
    <col min="8" max="8" width="11.33203125" style="26" customWidth="1"/>
    <col min="9" max="9" width="11.88671875" style="29" customWidth="1"/>
    <col min="10" max="10" width="7.44140625" style="23" customWidth="1"/>
    <col min="11" max="11" width="7.33203125" style="23" customWidth="1"/>
    <col min="12" max="12" width="6.5546875" style="23" customWidth="1"/>
    <col min="13" max="13" width="14" style="24" customWidth="1"/>
    <col min="14" max="14" width="37.21875" style="1" customWidth="1"/>
    <col min="15" max="15" width="8.33203125" style="25" bestFit="1" customWidth="1"/>
    <col min="16" max="16" width="11.109375" style="177" customWidth="1"/>
    <col min="17" max="17" width="19.77734375" style="263" customWidth="1"/>
    <col min="18" max="18" width="22.44140625" style="1" customWidth="1"/>
    <col min="19" max="19" width="11.6640625" style="23" customWidth="1"/>
    <col min="20" max="16384" width="11.5546875" style="7"/>
  </cols>
  <sheetData>
    <row r="1" spans="1:19" s="22" customFormat="1" ht="28.95" customHeight="1" x14ac:dyDescent="0.3">
      <c r="A1" s="303" t="s">
        <v>255</v>
      </c>
      <c r="B1" s="303"/>
      <c r="C1" s="303"/>
      <c r="D1" s="303"/>
      <c r="E1" s="303"/>
      <c r="F1" s="303"/>
      <c r="G1" s="301" t="s">
        <v>256</v>
      </c>
      <c r="H1" s="301"/>
      <c r="I1" s="301"/>
      <c r="J1" s="301"/>
      <c r="K1" s="301"/>
      <c r="L1" s="301"/>
      <c r="M1" s="301"/>
      <c r="N1" s="301"/>
      <c r="O1" s="301"/>
      <c r="P1" s="301"/>
      <c r="Q1" s="302"/>
      <c r="R1" s="80"/>
      <c r="S1" s="9"/>
    </row>
    <row r="2" spans="1:19" s="9" customFormat="1" ht="41.4" x14ac:dyDescent="0.3">
      <c r="A2" s="43" t="s">
        <v>9</v>
      </c>
      <c r="B2" s="60" t="s">
        <v>350</v>
      </c>
      <c r="C2" s="96" t="s">
        <v>264</v>
      </c>
      <c r="D2" s="96" t="s">
        <v>830</v>
      </c>
      <c r="E2" s="96" t="s">
        <v>827</v>
      </c>
      <c r="F2" s="45" t="s">
        <v>257</v>
      </c>
      <c r="G2" s="45" t="s">
        <v>258</v>
      </c>
      <c r="H2" s="46" t="s">
        <v>556</v>
      </c>
      <c r="I2" s="47" t="s">
        <v>266</v>
      </c>
      <c r="J2" s="43" t="s">
        <v>0</v>
      </c>
      <c r="K2" s="43" t="s">
        <v>473</v>
      </c>
      <c r="L2" s="43" t="s">
        <v>2</v>
      </c>
      <c r="M2" s="48" t="s">
        <v>348</v>
      </c>
      <c r="N2" s="49" t="s">
        <v>4</v>
      </c>
      <c r="O2" s="44" t="s">
        <v>5</v>
      </c>
      <c r="P2" s="169" t="s">
        <v>560</v>
      </c>
      <c r="Q2" s="258" t="s">
        <v>259</v>
      </c>
      <c r="R2" s="258" t="s">
        <v>475</v>
      </c>
      <c r="S2" s="154" t="s">
        <v>561</v>
      </c>
    </row>
    <row r="3" spans="1:19" ht="43.2" x14ac:dyDescent="0.3">
      <c r="A3" s="27">
        <v>1</v>
      </c>
      <c r="B3" s="65">
        <v>1</v>
      </c>
      <c r="C3" s="50">
        <v>2</v>
      </c>
      <c r="D3" s="220"/>
      <c r="E3" s="220"/>
      <c r="F3" s="41" t="s">
        <v>260</v>
      </c>
      <c r="G3" s="42" t="s">
        <v>261</v>
      </c>
      <c r="H3" s="41" t="s">
        <v>262</v>
      </c>
      <c r="I3" s="88">
        <v>46055</v>
      </c>
      <c r="J3" s="72">
        <v>13</v>
      </c>
      <c r="K3" s="72">
        <v>22</v>
      </c>
      <c r="L3" s="72">
        <v>184</v>
      </c>
      <c r="M3" s="89" t="str">
        <f t="shared" ref="M3:M34" si="0">CONCATENATE(J3,"-",K3,"-",L3)</f>
        <v>13-22-184</v>
      </c>
      <c r="N3" s="90" t="str">
        <f>IFERROR(VLOOKUP(M3,'LISTA ITEMS (2)'!$E$2:$G$910,2,FALSE)," ")</f>
        <v>BRIDA P/EXTERIOR NEGRA</v>
      </c>
      <c r="O3" s="91" t="str">
        <f>IFERROR(VLOOKUP(M3,'LISTA ITEMS (2)'!$E$2:$G$910,3,FALSE)," ")</f>
        <v>UND</v>
      </c>
      <c r="P3" s="170">
        <v>100</v>
      </c>
      <c r="Q3" s="92" t="s">
        <v>263</v>
      </c>
      <c r="R3" s="90"/>
      <c r="S3" s="156">
        <v>50</v>
      </c>
    </row>
    <row r="4" spans="1:19" ht="43.2" x14ac:dyDescent="0.3">
      <c r="A4" s="27">
        <v>2</v>
      </c>
      <c r="B4" s="65">
        <v>1</v>
      </c>
      <c r="C4" s="50">
        <v>2</v>
      </c>
      <c r="D4" s="220"/>
      <c r="E4" s="220"/>
      <c r="F4" s="41" t="s">
        <v>260</v>
      </c>
      <c r="G4" s="42" t="s">
        <v>261</v>
      </c>
      <c r="H4" s="41" t="s">
        <v>262</v>
      </c>
      <c r="I4" s="88">
        <v>46055</v>
      </c>
      <c r="J4" s="72">
        <v>6</v>
      </c>
      <c r="K4" s="72">
        <v>23</v>
      </c>
      <c r="L4" s="72">
        <v>192</v>
      </c>
      <c r="M4" s="89" t="str">
        <f t="shared" si="0"/>
        <v>6-23-192</v>
      </c>
      <c r="N4" s="90" t="str">
        <f>IFERROR(VLOOKUP(M4,'LISTA ITEMS (2)'!$E$2:$G$910,2,FALSE)," ")</f>
        <v xml:space="preserve">CINTA ACERO PERFORADA PARA MONTAJE </v>
      </c>
      <c r="O4" s="91" t="str">
        <f>IFERROR(VLOOKUP(M4,'LISTA ITEMS (2)'!$E$2:$G$910,3,FALSE)," ")</f>
        <v>UND</v>
      </c>
      <c r="P4" s="170">
        <v>2</v>
      </c>
      <c r="Q4" s="92" t="s">
        <v>263</v>
      </c>
      <c r="R4" s="90"/>
      <c r="S4" s="156">
        <v>2</v>
      </c>
    </row>
    <row r="5" spans="1:19" ht="43.2" x14ac:dyDescent="0.3">
      <c r="A5" s="27">
        <v>3</v>
      </c>
      <c r="B5" s="65">
        <v>1</v>
      </c>
      <c r="C5" s="50">
        <v>2</v>
      </c>
      <c r="D5" s="220"/>
      <c r="E5" s="220"/>
      <c r="F5" s="41" t="s">
        <v>260</v>
      </c>
      <c r="G5" s="42" t="s">
        <v>261</v>
      </c>
      <c r="H5" s="41" t="s">
        <v>262</v>
      </c>
      <c r="I5" s="88">
        <v>46055</v>
      </c>
      <c r="J5" s="72">
        <v>14</v>
      </c>
      <c r="K5" s="72">
        <v>24</v>
      </c>
      <c r="L5" s="72">
        <v>193</v>
      </c>
      <c r="M5" s="89" t="str">
        <f t="shared" si="0"/>
        <v>14-24-193</v>
      </c>
      <c r="N5" s="90" t="str">
        <f>IFERROR(VLOOKUP(M5,'LISTA ITEMS (2)'!$E$2:$G$910,2,FALSE)," ")</f>
        <v>DISCO CORTE ACERO/INOX A1 2EN1</v>
      </c>
      <c r="O5" s="91" t="str">
        <f>IFERROR(VLOOKUP(M5,'LISTA ITEMS (2)'!$E$2:$G$910,3,FALSE)," ")</f>
        <v>UND</v>
      </c>
      <c r="P5" s="170">
        <v>1</v>
      </c>
      <c r="Q5" s="92" t="s">
        <v>263</v>
      </c>
      <c r="R5" s="90"/>
      <c r="S5" s="156">
        <v>1</v>
      </c>
    </row>
    <row r="6" spans="1:19" ht="43.2" x14ac:dyDescent="0.3">
      <c r="A6" s="27">
        <v>4</v>
      </c>
      <c r="B6" s="65">
        <v>1</v>
      </c>
      <c r="C6" s="50">
        <v>2</v>
      </c>
      <c r="D6" s="220"/>
      <c r="E6" s="220"/>
      <c r="F6" s="41" t="s">
        <v>260</v>
      </c>
      <c r="G6" s="42" t="s">
        <v>261</v>
      </c>
      <c r="H6" s="41" t="s">
        <v>262</v>
      </c>
      <c r="I6" s="88">
        <v>46055</v>
      </c>
      <c r="J6" s="72">
        <v>3</v>
      </c>
      <c r="K6" s="72">
        <v>31</v>
      </c>
      <c r="L6" s="72">
        <v>209</v>
      </c>
      <c r="M6" s="89" t="str">
        <f t="shared" si="0"/>
        <v>3-31-209</v>
      </c>
      <c r="N6" s="90" t="str">
        <f>IFERROR(VLOOKUP(M6,'LISTA ITEMS (2)'!$E$2:$G$910,2,FALSE)," ")</f>
        <v>CABLE Nª 6 C/ALTERNA MARRON</v>
      </c>
      <c r="O6" s="91" t="str">
        <f>IFERROR(VLOOKUP(M6,'LISTA ITEMS (2)'!$E$2:$G$910,3,FALSE)," ")</f>
        <v>MT</v>
      </c>
      <c r="P6" s="171">
        <v>100</v>
      </c>
      <c r="Q6" s="92" t="s">
        <v>263</v>
      </c>
      <c r="R6" s="90"/>
      <c r="S6" s="156">
        <v>100</v>
      </c>
    </row>
    <row r="7" spans="1:19" ht="43.2" x14ac:dyDescent="0.3">
      <c r="A7" s="27">
        <v>5</v>
      </c>
      <c r="B7" s="65">
        <v>1</v>
      </c>
      <c r="C7" s="50">
        <v>2</v>
      </c>
      <c r="D7" s="220"/>
      <c r="E7" s="220"/>
      <c r="F7" s="41" t="s">
        <v>260</v>
      </c>
      <c r="G7" s="42" t="s">
        <v>261</v>
      </c>
      <c r="H7" s="41" t="s">
        <v>262</v>
      </c>
      <c r="I7" s="88">
        <v>46055</v>
      </c>
      <c r="J7" s="72">
        <v>3</v>
      </c>
      <c r="K7" s="72">
        <v>31</v>
      </c>
      <c r="L7" s="72">
        <v>210</v>
      </c>
      <c r="M7" s="89" t="str">
        <f t="shared" si="0"/>
        <v>3-31-210</v>
      </c>
      <c r="N7" s="90" t="str">
        <f>IFERROR(VLOOKUP(M7,'LISTA ITEMS (2)'!$E$2:$G$910,2,FALSE)," ")</f>
        <v>CABLE Nª 6 C/ALTERNA GRIS</v>
      </c>
      <c r="O7" s="91" t="str">
        <f>IFERROR(VLOOKUP(M7,'LISTA ITEMS (2)'!$E$2:$G$910,3,FALSE)," ")</f>
        <v>MT</v>
      </c>
      <c r="P7" s="171">
        <v>100</v>
      </c>
      <c r="Q7" s="92" t="s">
        <v>263</v>
      </c>
      <c r="R7" s="90"/>
      <c r="S7" s="156">
        <v>100</v>
      </c>
    </row>
    <row r="8" spans="1:19" ht="43.2" x14ac:dyDescent="0.3">
      <c r="A8" s="27">
        <v>6</v>
      </c>
      <c r="B8" s="65">
        <v>1</v>
      </c>
      <c r="C8" s="50">
        <v>2</v>
      </c>
      <c r="D8" s="220"/>
      <c r="E8" s="220"/>
      <c r="F8" s="41" t="s">
        <v>260</v>
      </c>
      <c r="G8" s="42" t="s">
        <v>261</v>
      </c>
      <c r="H8" s="41" t="s">
        <v>262</v>
      </c>
      <c r="I8" s="88">
        <v>46055</v>
      </c>
      <c r="J8" s="72">
        <v>3</v>
      </c>
      <c r="K8" s="72">
        <v>31</v>
      </c>
      <c r="L8" s="72">
        <v>212</v>
      </c>
      <c r="M8" s="89" t="str">
        <f t="shared" si="0"/>
        <v>3-31-212</v>
      </c>
      <c r="N8" s="90" t="str">
        <f>IFERROR(VLOOKUP(M8,'LISTA ITEMS (2)'!$E$2:$G$910,2,FALSE)," ")</f>
        <v>CABLE Nª 6 C/ALTERNA AZUL</v>
      </c>
      <c r="O8" s="91" t="str">
        <f>IFERROR(VLOOKUP(M8,'LISTA ITEMS (2)'!$E$2:$G$910,3,FALSE)," ")</f>
        <v>MT</v>
      </c>
      <c r="P8" s="171">
        <v>100</v>
      </c>
      <c r="Q8" s="92" t="s">
        <v>263</v>
      </c>
      <c r="R8" s="90"/>
      <c r="S8" s="156">
        <v>100</v>
      </c>
    </row>
    <row r="9" spans="1:19" ht="43.2" x14ac:dyDescent="0.3">
      <c r="A9" s="27">
        <v>7</v>
      </c>
      <c r="B9" s="65">
        <v>1</v>
      </c>
      <c r="C9" s="50">
        <v>2</v>
      </c>
      <c r="D9" s="220"/>
      <c r="E9" s="220"/>
      <c r="F9" s="41" t="s">
        <v>260</v>
      </c>
      <c r="G9" s="42" t="s">
        <v>261</v>
      </c>
      <c r="H9" s="41" t="s">
        <v>262</v>
      </c>
      <c r="I9" s="88">
        <v>46055</v>
      </c>
      <c r="J9" s="72">
        <v>3</v>
      </c>
      <c r="K9" s="72">
        <v>31</v>
      </c>
      <c r="L9" s="72">
        <v>213</v>
      </c>
      <c r="M9" s="89" t="str">
        <f t="shared" si="0"/>
        <v>3-31-213</v>
      </c>
      <c r="N9" s="90" t="str">
        <f>IFERROR(VLOOKUP(M9,'LISTA ITEMS (2)'!$E$2:$G$910,2,FALSE)," ")</f>
        <v>CABLE Nª 6 C/ALTERNA NEGRO</v>
      </c>
      <c r="O9" s="91" t="str">
        <f>IFERROR(VLOOKUP(M9,'LISTA ITEMS (2)'!$E$2:$G$910,3,FALSE)," ")</f>
        <v>MT</v>
      </c>
      <c r="P9" s="171">
        <v>100</v>
      </c>
      <c r="Q9" s="92" t="s">
        <v>263</v>
      </c>
      <c r="R9" s="90"/>
      <c r="S9" s="156">
        <v>100</v>
      </c>
    </row>
    <row r="10" spans="1:19" ht="43.2" x14ac:dyDescent="0.3">
      <c r="A10" s="27">
        <v>8</v>
      </c>
      <c r="B10" s="65">
        <v>1</v>
      </c>
      <c r="C10" s="50">
        <v>2</v>
      </c>
      <c r="D10" s="220"/>
      <c r="E10" s="220"/>
      <c r="F10" s="41" t="s">
        <v>260</v>
      </c>
      <c r="G10" s="42" t="s">
        <v>261</v>
      </c>
      <c r="H10" s="41" t="s">
        <v>262</v>
      </c>
      <c r="I10" s="88">
        <v>46055</v>
      </c>
      <c r="J10" s="72">
        <v>9</v>
      </c>
      <c r="K10" s="72">
        <v>32</v>
      </c>
      <c r="L10" s="72">
        <v>223</v>
      </c>
      <c r="M10" s="89" t="str">
        <f t="shared" si="0"/>
        <v>9-32-223</v>
      </c>
      <c r="N10" s="90" t="str">
        <f>IFERROR(VLOOKUP(M10,'LISTA ITEMS (2)'!$E$2:$G$910,2,FALSE)," ")</f>
        <v>CURVA PVC M-25 GRIS TIPO A</v>
      </c>
      <c r="O10" s="91" t="str">
        <f>IFERROR(VLOOKUP(M10,'LISTA ITEMS (2)'!$E$2:$G$910,3,FALSE)," ")</f>
        <v>UND</v>
      </c>
      <c r="P10" s="170">
        <f>20*3</f>
        <v>60</v>
      </c>
      <c r="Q10" s="92" t="s">
        <v>263</v>
      </c>
      <c r="R10" s="90"/>
      <c r="S10" s="156">
        <v>22</v>
      </c>
    </row>
    <row r="11" spans="1:19" ht="43.2" x14ac:dyDescent="0.3">
      <c r="A11" s="27">
        <v>9</v>
      </c>
      <c r="B11" s="65">
        <v>1</v>
      </c>
      <c r="C11" s="50">
        <v>2</v>
      </c>
      <c r="D11" s="220"/>
      <c r="E11" s="220"/>
      <c r="F11" s="41" t="s">
        <v>260</v>
      </c>
      <c r="G11" s="42" t="s">
        <v>261</v>
      </c>
      <c r="H11" s="41" t="s">
        <v>262</v>
      </c>
      <c r="I11" s="88">
        <v>46055</v>
      </c>
      <c r="J11" s="72">
        <v>4</v>
      </c>
      <c r="K11" s="72">
        <v>15</v>
      </c>
      <c r="L11" s="72">
        <v>267</v>
      </c>
      <c r="M11" s="89" t="str">
        <f t="shared" si="0"/>
        <v>4-15-267</v>
      </c>
      <c r="N11" s="90" t="str">
        <f>IFERROR(VLOOKUP(M11,'LISTA ITEMS (2)'!$E$2:$G$910,2,FALSE)," ")</f>
        <v>BARRA PERFORADA PARA REFUERZO 20X10X2MT GALV.</v>
      </c>
      <c r="O11" s="91" t="str">
        <f>IFERROR(VLOOKUP(M11,'LISTA ITEMS (2)'!$E$2:$G$910,3,FALSE)," ")</f>
        <v>UND</v>
      </c>
      <c r="P11" s="170">
        <v>30</v>
      </c>
      <c r="Q11" s="92" t="s">
        <v>263</v>
      </c>
      <c r="R11" s="90"/>
      <c r="S11" s="156"/>
    </row>
    <row r="12" spans="1:19" ht="43.2" x14ac:dyDescent="0.3">
      <c r="A12" s="27">
        <v>10</v>
      </c>
      <c r="B12" s="65">
        <v>1</v>
      </c>
      <c r="C12" s="50">
        <v>2</v>
      </c>
      <c r="D12" s="220"/>
      <c r="E12" s="220"/>
      <c r="F12" s="41" t="s">
        <v>260</v>
      </c>
      <c r="G12" s="42" t="s">
        <v>261</v>
      </c>
      <c r="H12" s="41" t="s">
        <v>262</v>
      </c>
      <c r="I12" s="88">
        <v>46055</v>
      </c>
      <c r="J12" s="72">
        <v>10</v>
      </c>
      <c r="K12" s="72">
        <v>42</v>
      </c>
      <c r="L12" s="72">
        <v>268</v>
      </c>
      <c r="M12" s="89" t="str">
        <f t="shared" si="0"/>
        <v>10-42-268</v>
      </c>
      <c r="N12" s="90" t="str">
        <f>IFERROR(VLOOKUP(M12,'LISTA ITEMS (2)'!$E$2:$G$910,2,FALSE)," ")</f>
        <v>PATA ALUMINIO PARA ESTRUCTURA PLACA SOLAR ANGULO 30º</v>
      </c>
      <c r="O12" s="91" t="str">
        <f>IFERROR(VLOOKUP(M12,'LISTA ITEMS (2)'!$E$2:$G$910,3,FALSE)," ")</f>
        <v>UND</v>
      </c>
      <c r="P12" s="170">
        <v>20</v>
      </c>
      <c r="Q12" s="92" t="s">
        <v>263</v>
      </c>
      <c r="R12" s="90"/>
      <c r="S12" s="156">
        <v>10</v>
      </c>
    </row>
    <row r="13" spans="1:19" ht="43.2" x14ac:dyDescent="0.3">
      <c r="A13" s="27">
        <v>11</v>
      </c>
      <c r="B13" s="65">
        <v>1</v>
      </c>
      <c r="C13" s="50">
        <v>2</v>
      </c>
      <c r="D13" s="220"/>
      <c r="E13" s="220"/>
      <c r="F13" s="41" t="s">
        <v>260</v>
      </c>
      <c r="G13" s="42" t="s">
        <v>261</v>
      </c>
      <c r="H13" s="41" t="s">
        <v>262</v>
      </c>
      <c r="I13" s="88">
        <v>46055</v>
      </c>
      <c r="J13" s="72">
        <v>10</v>
      </c>
      <c r="K13" s="72">
        <v>15</v>
      </c>
      <c r="L13" s="72">
        <v>269</v>
      </c>
      <c r="M13" s="89" t="str">
        <f t="shared" si="0"/>
        <v>10-15-269</v>
      </c>
      <c r="N13" s="90" t="str">
        <f>IFERROR(VLOOKUP(M13,'LISTA ITEMS (2)'!$E$2:$G$910,2,FALSE)," ")</f>
        <v>BARRA ALUMINIO PARA ESTRUCTURA  3.60mt</v>
      </c>
      <c r="O13" s="91" t="str">
        <f>IFERROR(VLOOKUP(M13,'LISTA ITEMS (2)'!$E$2:$G$910,3,FALSE)," ")</f>
        <v>UND</v>
      </c>
      <c r="P13" s="170">
        <v>20</v>
      </c>
      <c r="Q13" s="92" t="s">
        <v>263</v>
      </c>
      <c r="R13" s="90"/>
      <c r="S13" s="156"/>
    </row>
    <row r="14" spans="1:19" ht="43.2" x14ac:dyDescent="0.3">
      <c r="A14" s="27">
        <v>12</v>
      </c>
      <c r="B14" s="65">
        <v>1</v>
      </c>
      <c r="C14" s="50">
        <v>2</v>
      </c>
      <c r="D14" s="220"/>
      <c r="E14" s="220"/>
      <c r="F14" s="41" t="s">
        <v>260</v>
      </c>
      <c r="G14" s="42" t="s">
        <v>261</v>
      </c>
      <c r="H14" s="41" t="s">
        <v>262</v>
      </c>
      <c r="I14" s="88">
        <v>46055</v>
      </c>
      <c r="J14" s="72">
        <v>13</v>
      </c>
      <c r="K14" s="72">
        <v>25</v>
      </c>
      <c r="L14" s="72">
        <v>255</v>
      </c>
      <c r="M14" s="89" t="str">
        <f t="shared" si="0"/>
        <v>13-25-255</v>
      </c>
      <c r="N14" s="90" t="str">
        <f>IFERROR(VLOOKUP(M14,'LISTA ITEMS (2)'!$E$2:$G$910,2,FALSE)," ")</f>
        <v>ANCLAJE PLASTICO MULTIUSO C/COLLARIN 10X61MM</v>
      </c>
      <c r="O14" s="91" t="str">
        <f>IFERROR(VLOOKUP(M14,'LISTA ITEMS (2)'!$E$2:$G$910,3,FALSE)," ")</f>
        <v>UND</v>
      </c>
      <c r="P14" s="170">
        <v>50</v>
      </c>
      <c r="Q14" s="92" t="s">
        <v>263</v>
      </c>
      <c r="R14" s="90"/>
      <c r="S14" s="156">
        <v>50</v>
      </c>
    </row>
    <row r="15" spans="1:19" ht="43.2" x14ac:dyDescent="0.3">
      <c r="A15" s="27">
        <v>13</v>
      </c>
      <c r="B15" s="65">
        <v>1</v>
      </c>
      <c r="C15" s="50">
        <v>2</v>
      </c>
      <c r="D15" s="220"/>
      <c r="E15" s="220"/>
      <c r="F15" s="41" t="s">
        <v>260</v>
      </c>
      <c r="G15" s="42" t="s">
        <v>261</v>
      </c>
      <c r="H15" s="41" t="s">
        <v>262</v>
      </c>
      <c r="I15" s="88">
        <v>46055</v>
      </c>
      <c r="J15" s="72">
        <v>10</v>
      </c>
      <c r="K15" s="72">
        <v>43</v>
      </c>
      <c r="L15" s="72">
        <v>270</v>
      </c>
      <c r="M15" s="89" t="str">
        <f t="shared" si="0"/>
        <v>10-43-270</v>
      </c>
      <c r="N15" s="90" t="str">
        <f>IFERROR(VLOOKUP(M15,'LISTA ITEMS (2)'!$E$2:$G$910,2,FALSE)," ")</f>
        <v>EMPALME ALUMINIO P/BARRA</v>
      </c>
      <c r="O15" s="91" t="str">
        <f>IFERROR(VLOOKUP(M15,'LISTA ITEMS (2)'!$E$2:$G$910,3,FALSE)," ")</f>
        <v>UND</v>
      </c>
      <c r="P15" s="170">
        <v>15</v>
      </c>
      <c r="Q15" s="92" t="s">
        <v>263</v>
      </c>
      <c r="R15" s="90"/>
      <c r="S15" s="156">
        <v>15</v>
      </c>
    </row>
    <row r="16" spans="1:19" ht="43.2" x14ac:dyDescent="0.3">
      <c r="A16" s="27">
        <v>14</v>
      </c>
      <c r="B16" s="65">
        <v>1</v>
      </c>
      <c r="C16" s="50">
        <v>2</v>
      </c>
      <c r="D16" s="220"/>
      <c r="E16" s="220"/>
      <c r="F16" s="41" t="s">
        <v>260</v>
      </c>
      <c r="G16" s="42" t="s">
        <v>261</v>
      </c>
      <c r="H16" s="41" t="s">
        <v>262</v>
      </c>
      <c r="I16" s="88">
        <v>46055</v>
      </c>
      <c r="J16" s="72">
        <v>17</v>
      </c>
      <c r="K16" s="72">
        <v>44</v>
      </c>
      <c r="L16" s="72">
        <v>271</v>
      </c>
      <c r="M16" s="89" t="str">
        <f t="shared" si="0"/>
        <v>17-44-271</v>
      </c>
      <c r="N16" s="90" t="str">
        <f>IFERROR(VLOOKUP(M16,'LISTA ITEMS (2)'!$E$2:$G$910,2,FALSE)," ")</f>
        <v>SELLANTE QUIMICO BLANCO</v>
      </c>
      <c r="O16" s="91" t="str">
        <f>IFERROR(VLOOKUP(M16,'LISTA ITEMS (2)'!$E$2:$G$910,3,FALSE)," ")</f>
        <v>UND</v>
      </c>
      <c r="P16" s="170">
        <v>1</v>
      </c>
      <c r="Q16" s="92" t="s">
        <v>263</v>
      </c>
      <c r="R16" s="90"/>
      <c r="S16" s="156">
        <v>2</v>
      </c>
    </row>
    <row r="17" spans="1:19" ht="43.2" x14ac:dyDescent="0.3">
      <c r="A17" s="27">
        <v>15</v>
      </c>
      <c r="B17" s="65">
        <v>1</v>
      </c>
      <c r="C17" s="50">
        <v>2</v>
      </c>
      <c r="D17" s="220"/>
      <c r="E17" s="220"/>
      <c r="F17" s="41" t="s">
        <v>260</v>
      </c>
      <c r="G17" s="42" t="s">
        <v>261</v>
      </c>
      <c r="H17" s="41" t="s">
        <v>262</v>
      </c>
      <c r="I17" s="88">
        <v>46055</v>
      </c>
      <c r="J17" s="72">
        <v>17</v>
      </c>
      <c r="K17" s="72">
        <v>44</v>
      </c>
      <c r="L17" s="72">
        <v>272</v>
      </c>
      <c r="M17" s="89" t="str">
        <f t="shared" si="0"/>
        <v>17-44-272</v>
      </c>
      <c r="N17" s="90" t="str">
        <f>IFERROR(VLOOKUP(M17,'LISTA ITEMS (2)'!$E$2:$G$910,2,FALSE)," ")</f>
        <v>SELLANTE QUIMICO GRIS</v>
      </c>
      <c r="O17" s="91" t="str">
        <f>IFERROR(VLOOKUP(M17,'LISTA ITEMS (2)'!$E$2:$G$910,3,FALSE)," ")</f>
        <v>UND</v>
      </c>
      <c r="P17" s="170">
        <v>1</v>
      </c>
      <c r="Q17" s="92" t="s">
        <v>263</v>
      </c>
      <c r="R17" s="90"/>
      <c r="S17" s="156">
        <v>0.5</v>
      </c>
    </row>
    <row r="18" spans="1:19" ht="57.6" x14ac:dyDescent="0.3">
      <c r="A18" s="27">
        <v>16</v>
      </c>
      <c r="B18" s="65">
        <v>1</v>
      </c>
      <c r="C18" s="50">
        <v>2</v>
      </c>
      <c r="D18" s="220"/>
      <c r="E18" s="220"/>
      <c r="F18" s="41" t="s">
        <v>260</v>
      </c>
      <c r="G18" s="42" t="s">
        <v>261</v>
      </c>
      <c r="H18" s="41" t="s">
        <v>262</v>
      </c>
      <c r="I18" s="88">
        <v>46055</v>
      </c>
      <c r="J18" s="72">
        <v>7</v>
      </c>
      <c r="K18" s="72">
        <v>35</v>
      </c>
      <c r="L18" s="72">
        <v>274</v>
      </c>
      <c r="M18" s="89" t="str">
        <f t="shared" si="0"/>
        <v>7-35-274</v>
      </c>
      <c r="N18" s="90" t="str">
        <f>IFERROR(VLOOKUP(M18,'LISTA ITEMS (2)'!$E$2:$G$910,2,FALSE)," ")</f>
        <v>INVERSOR HIBRIDO MONOFASICO SPE 10000ES 10KW BATER. BAJO VOLTAJE Y BACKUP INCORP. (GROWATT)</v>
      </c>
      <c r="O18" s="91" t="str">
        <f>IFERROR(VLOOKUP(M18,'LISTA ITEMS (2)'!$E$2:$G$910,3,FALSE)," ")</f>
        <v>UND</v>
      </c>
      <c r="P18" s="170">
        <v>1</v>
      </c>
      <c r="Q18" s="92" t="s">
        <v>307</v>
      </c>
      <c r="R18" s="90"/>
      <c r="S18" s="156"/>
    </row>
    <row r="19" spans="1:19" ht="57.6" x14ac:dyDescent="0.3">
      <c r="A19" s="27">
        <v>17</v>
      </c>
      <c r="B19" s="65">
        <v>1</v>
      </c>
      <c r="C19" s="50">
        <v>2</v>
      </c>
      <c r="D19" s="220"/>
      <c r="E19" s="220"/>
      <c r="F19" s="41" t="s">
        <v>260</v>
      </c>
      <c r="G19" s="42" t="s">
        <v>261</v>
      </c>
      <c r="H19" s="41" t="s">
        <v>262</v>
      </c>
      <c r="I19" s="88">
        <v>46055</v>
      </c>
      <c r="J19" s="72">
        <v>16</v>
      </c>
      <c r="K19" s="72">
        <v>45</v>
      </c>
      <c r="L19" s="72">
        <v>275</v>
      </c>
      <c r="M19" s="89" t="str">
        <f t="shared" si="0"/>
        <v>16-45-275</v>
      </c>
      <c r="N19" s="90" t="str">
        <f>IFERROR(VLOOKUP(M19,'LISTA ITEMS (2)'!$E$2:$G$910,2,FALSE)," ")</f>
        <v>CAJA DISTRIBUCION INTERIOR 18 ELEM. (SOLERA)</v>
      </c>
      <c r="O19" s="91" t="str">
        <f>IFERROR(VLOOKUP(M19,'LISTA ITEMS (2)'!$E$2:$G$910,3,FALSE)," ")</f>
        <v>UND</v>
      </c>
      <c r="P19" s="170">
        <v>1</v>
      </c>
      <c r="Q19" s="92" t="s">
        <v>307</v>
      </c>
      <c r="R19" s="90"/>
      <c r="S19" s="156"/>
    </row>
    <row r="20" spans="1:19" ht="57.6" x14ac:dyDescent="0.3">
      <c r="A20" s="27">
        <v>18</v>
      </c>
      <c r="B20" s="65">
        <v>1</v>
      </c>
      <c r="C20" s="50">
        <v>2</v>
      </c>
      <c r="D20" s="220"/>
      <c r="E20" s="220"/>
      <c r="F20" s="41" t="s">
        <v>260</v>
      </c>
      <c r="G20" s="42" t="s">
        <v>261</v>
      </c>
      <c r="H20" s="41" t="s">
        <v>262</v>
      </c>
      <c r="I20" s="88">
        <v>46055</v>
      </c>
      <c r="J20" s="72">
        <v>16</v>
      </c>
      <c r="K20" s="72">
        <v>45</v>
      </c>
      <c r="L20" s="72">
        <v>276</v>
      </c>
      <c r="M20" s="89" t="str">
        <f t="shared" si="0"/>
        <v>16-45-276</v>
      </c>
      <c r="N20" s="90" t="str">
        <f>IFERROR(VLOOKUP(M20,'LISTA ITEMS (2)'!$E$2:$G$910,2,FALSE)," ")</f>
        <v>CAJA ESTANCA (COCHERA) EXTERIOR 18PT (IDE)</v>
      </c>
      <c r="O20" s="91" t="str">
        <f>IFERROR(VLOOKUP(M20,'LISTA ITEMS (2)'!$E$2:$G$910,3,FALSE)," ")</f>
        <v>UND</v>
      </c>
      <c r="P20" s="170">
        <v>1</v>
      </c>
      <c r="Q20" s="92" t="s">
        <v>307</v>
      </c>
      <c r="R20" s="90"/>
      <c r="S20" s="156"/>
    </row>
    <row r="21" spans="1:19" ht="57.6" x14ac:dyDescent="0.3">
      <c r="A21" s="27">
        <v>19</v>
      </c>
      <c r="B21" s="65">
        <v>1</v>
      </c>
      <c r="C21" s="50">
        <v>2</v>
      </c>
      <c r="D21" s="220"/>
      <c r="E21" s="220"/>
      <c r="F21" s="41" t="s">
        <v>260</v>
      </c>
      <c r="G21" s="42" t="s">
        <v>261</v>
      </c>
      <c r="H21" s="41" t="s">
        <v>262</v>
      </c>
      <c r="I21" s="88">
        <v>46055</v>
      </c>
      <c r="J21" s="72">
        <v>3</v>
      </c>
      <c r="K21" s="72">
        <v>31</v>
      </c>
      <c r="L21" s="72">
        <v>277</v>
      </c>
      <c r="M21" s="89" t="str">
        <f t="shared" si="0"/>
        <v>3-31-277</v>
      </c>
      <c r="N21" s="90" t="str">
        <f>IFERROR(VLOOKUP(M21,'LISTA ITEMS (2)'!$E$2:$G$910,2,FALSE)," ")</f>
        <v>CABLE Nª 6 P/PLACA SOLAR NEGRO</v>
      </c>
      <c r="O21" s="91" t="str">
        <f>IFERROR(VLOOKUP(M21,'LISTA ITEMS (2)'!$E$2:$G$910,3,FALSE)," ")</f>
        <v>MT</v>
      </c>
      <c r="P21" s="170">
        <v>30</v>
      </c>
      <c r="Q21" s="92" t="s">
        <v>307</v>
      </c>
      <c r="R21" s="90"/>
      <c r="S21" s="156"/>
    </row>
    <row r="22" spans="1:19" ht="57.6" x14ac:dyDescent="0.3">
      <c r="A22" s="27">
        <v>20</v>
      </c>
      <c r="B22" s="65">
        <v>1</v>
      </c>
      <c r="C22" s="50">
        <v>2</v>
      </c>
      <c r="D22" s="220"/>
      <c r="E22" s="220"/>
      <c r="F22" s="41" t="s">
        <v>260</v>
      </c>
      <c r="G22" s="42" t="s">
        <v>261</v>
      </c>
      <c r="H22" s="41" t="s">
        <v>262</v>
      </c>
      <c r="I22" s="88">
        <v>46055</v>
      </c>
      <c r="J22" s="72">
        <v>3</v>
      </c>
      <c r="K22" s="72">
        <v>31</v>
      </c>
      <c r="L22" s="72">
        <v>278</v>
      </c>
      <c r="M22" s="89" t="str">
        <f t="shared" si="0"/>
        <v>3-31-278</v>
      </c>
      <c r="N22" s="90" t="str">
        <f>IFERROR(VLOOKUP(M22,'LISTA ITEMS (2)'!$E$2:$G$910,2,FALSE)," ")</f>
        <v>CABLE Nª 6 P/PLACA SOLAR ROJO</v>
      </c>
      <c r="O22" s="91" t="str">
        <f>IFERROR(VLOOKUP(M22,'LISTA ITEMS (2)'!$E$2:$G$910,3,FALSE)," ")</f>
        <v>MT</v>
      </c>
      <c r="P22" s="170">
        <v>30</v>
      </c>
      <c r="Q22" s="92" t="s">
        <v>307</v>
      </c>
      <c r="R22" s="90"/>
      <c r="S22" s="156"/>
    </row>
    <row r="23" spans="1:19" ht="57.6" x14ac:dyDescent="0.3">
      <c r="A23" s="27">
        <v>21</v>
      </c>
      <c r="B23" s="65">
        <v>1</v>
      </c>
      <c r="C23" s="50">
        <v>2</v>
      </c>
      <c r="D23" s="220"/>
      <c r="E23" s="220"/>
      <c r="F23" s="41" t="s">
        <v>260</v>
      </c>
      <c r="G23" s="42" t="s">
        <v>261</v>
      </c>
      <c r="H23" s="41" t="s">
        <v>262</v>
      </c>
      <c r="I23" s="88">
        <v>46055</v>
      </c>
      <c r="J23" s="72">
        <v>16</v>
      </c>
      <c r="K23" s="72">
        <v>46</v>
      </c>
      <c r="L23" s="72">
        <v>279</v>
      </c>
      <c r="M23" s="89" t="str">
        <f t="shared" si="0"/>
        <v>16-46-279</v>
      </c>
      <c r="N23" s="90" t="str">
        <f>IFERROR(VLOOKUP(M23,'LISTA ITEMS (2)'!$E$2:$G$910,2,FALSE)," ")</f>
        <v>MANGUERA CORRUGADA 25mm NEGRA</v>
      </c>
      <c r="O23" s="91" t="str">
        <f>IFERROR(VLOOKUP(M23,'LISTA ITEMS (2)'!$E$2:$G$910,3,FALSE)," ")</f>
        <v>MT</v>
      </c>
      <c r="P23" s="170">
        <v>1</v>
      </c>
      <c r="Q23" s="92" t="s">
        <v>307</v>
      </c>
      <c r="R23" s="90"/>
      <c r="S23" s="156">
        <v>1</v>
      </c>
    </row>
    <row r="24" spans="1:19" ht="57.6" x14ac:dyDescent="0.3">
      <c r="A24" s="27">
        <v>22</v>
      </c>
      <c r="B24" s="65">
        <v>1</v>
      </c>
      <c r="C24" s="50">
        <v>2</v>
      </c>
      <c r="D24" s="220"/>
      <c r="E24" s="220"/>
      <c r="F24" s="41" t="s">
        <v>260</v>
      </c>
      <c r="G24" s="42" t="s">
        <v>261</v>
      </c>
      <c r="H24" s="41" t="s">
        <v>262</v>
      </c>
      <c r="I24" s="88">
        <v>46055</v>
      </c>
      <c r="J24" s="72">
        <v>3</v>
      </c>
      <c r="K24" s="72">
        <v>31</v>
      </c>
      <c r="L24" s="72">
        <v>222</v>
      </c>
      <c r="M24" s="89" t="str">
        <f t="shared" si="0"/>
        <v>3-31-222</v>
      </c>
      <c r="N24" s="90" t="str">
        <f>IFERROR(VLOOKUP(M24,'LISTA ITEMS (2)'!$E$2:$G$910,2,FALSE)," ")</f>
        <v>CABLE Nª 10 C/ALTERNA NEGRO</v>
      </c>
      <c r="O24" s="91" t="str">
        <f>IFERROR(VLOOKUP(M24,'LISTA ITEMS (2)'!$E$2:$G$910,3,FALSE)," ")</f>
        <v>MT</v>
      </c>
      <c r="P24" s="170">
        <v>100</v>
      </c>
      <c r="Q24" s="92" t="s">
        <v>307</v>
      </c>
      <c r="R24" s="90"/>
      <c r="S24" s="156">
        <v>88</v>
      </c>
    </row>
    <row r="25" spans="1:19" ht="57.6" x14ac:dyDescent="0.3">
      <c r="A25" s="27">
        <v>23</v>
      </c>
      <c r="B25" s="65">
        <v>1</v>
      </c>
      <c r="C25" s="50">
        <v>2</v>
      </c>
      <c r="D25" s="220"/>
      <c r="E25" s="220"/>
      <c r="F25" s="41" t="s">
        <v>260</v>
      </c>
      <c r="G25" s="42" t="s">
        <v>261</v>
      </c>
      <c r="H25" s="41" t="s">
        <v>262</v>
      </c>
      <c r="I25" s="88">
        <v>46055</v>
      </c>
      <c r="J25" s="72">
        <v>3</v>
      </c>
      <c r="K25" s="72">
        <v>31</v>
      </c>
      <c r="L25" s="72">
        <v>221</v>
      </c>
      <c r="M25" s="89" t="str">
        <f t="shared" si="0"/>
        <v>3-31-221</v>
      </c>
      <c r="N25" s="90" t="str">
        <f>IFERROR(VLOOKUP(M25,'LISTA ITEMS (2)'!$E$2:$G$910,2,FALSE)," ")</f>
        <v>CABLE Nª 10 C/ALTERNA AZUL</v>
      </c>
      <c r="O25" s="91" t="str">
        <f>IFERROR(VLOOKUP(M25,'LISTA ITEMS (2)'!$E$2:$G$910,3,FALSE)," ")</f>
        <v>MT</v>
      </c>
      <c r="P25" s="170">
        <v>100</v>
      </c>
      <c r="Q25" s="92" t="s">
        <v>307</v>
      </c>
      <c r="R25" s="90"/>
      <c r="S25" s="156">
        <v>88</v>
      </c>
    </row>
    <row r="26" spans="1:19" ht="57.6" x14ac:dyDescent="0.3">
      <c r="A26" s="27">
        <v>24</v>
      </c>
      <c r="B26" s="65">
        <v>1</v>
      </c>
      <c r="C26" s="50">
        <v>2</v>
      </c>
      <c r="D26" s="220"/>
      <c r="E26" s="220"/>
      <c r="F26" s="41" t="s">
        <v>260</v>
      </c>
      <c r="G26" s="42" t="s">
        <v>261</v>
      </c>
      <c r="H26" s="41" t="s">
        <v>262</v>
      </c>
      <c r="I26" s="88">
        <v>46055</v>
      </c>
      <c r="J26" s="72">
        <v>3</v>
      </c>
      <c r="K26" s="72">
        <v>31</v>
      </c>
      <c r="L26" s="72">
        <v>220</v>
      </c>
      <c r="M26" s="89" t="str">
        <f t="shared" si="0"/>
        <v>3-31-220</v>
      </c>
      <c r="N26" s="90" t="str">
        <f>IFERROR(VLOOKUP(M26,'LISTA ITEMS (2)'!$E$2:$G$910,2,FALSE)," ")</f>
        <v>CABLE Nª 10 C/ALTERNA GRIS</v>
      </c>
      <c r="O26" s="91" t="str">
        <f>IFERROR(VLOOKUP(M26,'LISTA ITEMS (2)'!$E$2:$G$910,3,FALSE)," ")</f>
        <v>MT</v>
      </c>
      <c r="P26" s="170">
        <v>100</v>
      </c>
      <c r="Q26" s="92" t="s">
        <v>307</v>
      </c>
      <c r="R26" s="90"/>
      <c r="S26" s="156">
        <v>88</v>
      </c>
    </row>
    <row r="27" spans="1:19" ht="57.6" x14ac:dyDescent="0.3">
      <c r="A27" s="27">
        <v>25</v>
      </c>
      <c r="B27" s="65">
        <v>1</v>
      </c>
      <c r="C27" s="50">
        <v>2</v>
      </c>
      <c r="D27" s="220"/>
      <c r="E27" s="220"/>
      <c r="F27" s="41" t="s">
        <v>260</v>
      </c>
      <c r="G27" s="42" t="s">
        <v>261</v>
      </c>
      <c r="H27" s="41" t="s">
        <v>262</v>
      </c>
      <c r="I27" s="88">
        <v>46055</v>
      </c>
      <c r="J27" s="72">
        <v>3</v>
      </c>
      <c r="K27" s="72">
        <v>31</v>
      </c>
      <c r="L27" s="72">
        <v>219</v>
      </c>
      <c r="M27" s="89" t="str">
        <f t="shared" si="0"/>
        <v>3-31-219</v>
      </c>
      <c r="N27" s="90" t="str">
        <f>IFERROR(VLOOKUP(M27,'LISTA ITEMS (2)'!$E$2:$G$910,2,FALSE)," ")</f>
        <v>CABLE Nª 10 C/ALTERNA MARRON</v>
      </c>
      <c r="O27" s="91" t="str">
        <f>IFERROR(VLOOKUP(M27,'LISTA ITEMS (2)'!$E$2:$G$910,3,FALSE)," ")</f>
        <v>MT</v>
      </c>
      <c r="P27" s="170">
        <v>100</v>
      </c>
      <c r="Q27" s="92" t="s">
        <v>307</v>
      </c>
      <c r="R27" s="90"/>
      <c r="S27" s="156">
        <v>88</v>
      </c>
    </row>
    <row r="28" spans="1:19" ht="57.6" x14ac:dyDescent="0.3">
      <c r="A28" s="27">
        <v>26</v>
      </c>
      <c r="B28" s="65">
        <v>1</v>
      </c>
      <c r="C28" s="50">
        <v>2</v>
      </c>
      <c r="D28" s="220"/>
      <c r="E28" s="220"/>
      <c r="F28" s="41" t="s">
        <v>260</v>
      </c>
      <c r="G28" s="42" t="s">
        <v>261</v>
      </c>
      <c r="H28" s="41" t="s">
        <v>262</v>
      </c>
      <c r="I28" s="88">
        <v>46055</v>
      </c>
      <c r="J28" s="72">
        <v>3</v>
      </c>
      <c r="K28" s="72">
        <v>31</v>
      </c>
      <c r="L28" s="72">
        <v>218</v>
      </c>
      <c r="M28" s="89" t="str">
        <f t="shared" si="0"/>
        <v>3-31-218</v>
      </c>
      <c r="N28" s="90" t="str">
        <f>IFERROR(VLOOKUP(M28,'LISTA ITEMS (2)'!$E$2:$G$910,2,FALSE)," ")</f>
        <v>CABLE Nª 10 C/ALTERNA VERDE/AMARILLO</v>
      </c>
      <c r="O28" s="91" t="str">
        <f>IFERROR(VLOOKUP(M28,'LISTA ITEMS (2)'!$E$2:$G$910,3,FALSE)," ")</f>
        <v>MT</v>
      </c>
      <c r="P28" s="170">
        <v>60</v>
      </c>
      <c r="Q28" s="92" t="s">
        <v>307</v>
      </c>
      <c r="R28" s="90"/>
      <c r="S28" s="156">
        <v>88</v>
      </c>
    </row>
    <row r="29" spans="1:19" ht="57.6" x14ac:dyDescent="0.3">
      <c r="A29" s="27">
        <v>27</v>
      </c>
      <c r="B29" s="65">
        <v>1</v>
      </c>
      <c r="C29" s="50">
        <v>2</v>
      </c>
      <c r="D29" s="220"/>
      <c r="E29" s="220"/>
      <c r="F29" s="41" t="s">
        <v>260</v>
      </c>
      <c r="G29" s="42" t="s">
        <v>261</v>
      </c>
      <c r="H29" s="41" t="s">
        <v>262</v>
      </c>
      <c r="I29" s="88">
        <v>46055</v>
      </c>
      <c r="J29" s="72">
        <v>16</v>
      </c>
      <c r="K29" s="72">
        <v>47</v>
      </c>
      <c r="L29" s="72">
        <v>280</v>
      </c>
      <c r="M29" s="89" t="str">
        <f t="shared" si="0"/>
        <v>16-47-280</v>
      </c>
      <c r="N29" s="90" t="str">
        <f>IFERROR(VLOOKUP(M29,'LISTA ITEMS (2)'!$E$2:$G$910,2,FALSE)," ")</f>
        <v>DIFERENCIAL EPR2A063030 2P-63A-30mA (MAXGE)</v>
      </c>
      <c r="O29" s="91" t="str">
        <f>IFERROR(VLOOKUP(M29,'LISTA ITEMS (2)'!$E$2:$G$910,3,FALSE)," ")</f>
        <v>UND</v>
      </c>
      <c r="P29" s="170">
        <v>2</v>
      </c>
      <c r="Q29" s="92" t="s">
        <v>307</v>
      </c>
      <c r="R29" s="90"/>
      <c r="S29" s="156">
        <v>1</v>
      </c>
    </row>
    <row r="30" spans="1:19" ht="57.6" x14ac:dyDescent="0.3">
      <c r="A30" s="27">
        <v>28</v>
      </c>
      <c r="B30" s="65">
        <v>1</v>
      </c>
      <c r="C30" s="50">
        <v>2</v>
      </c>
      <c r="D30" s="220"/>
      <c r="E30" s="220"/>
      <c r="F30" s="41" t="s">
        <v>260</v>
      </c>
      <c r="G30" s="42" t="s">
        <v>261</v>
      </c>
      <c r="H30" s="41" t="s">
        <v>262</v>
      </c>
      <c r="I30" s="88">
        <v>46055</v>
      </c>
      <c r="J30" s="72">
        <v>16</v>
      </c>
      <c r="K30" s="72">
        <v>48</v>
      </c>
      <c r="L30" s="72">
        <v>281</v>
      </c>
      <c r="M30" s="89" t="str">
        <f t="shared" si="0"/>
        <v>16-48-281</v>
      </c>
      <c r="N30" s="90" t="str">
        <f>IFERROR(VLOOKUP(M30,'LISTA ITEMS (2)'!$E$2:$G$910,2,FALSE)," ")</f>
        <v>PORTA FUSIBLE SGF-32-DC (MAXGE)</v>
      </c>
      <c r="O30" s="91" t="str">
        <f>IFERROR(VLOOKUP(M30,'LISTA ITEMS (2)'!$E$2:$G$910,3,FALSE)," ")</f>
        <v>UND</v>
      </c>
      <c r="P30" s="170">
        <v>4</v>
      </c>
      <c r="Q30" s="92" t="s">
        <v>307</v>
      </c>
      <c r="R30" s="90"/>
      <c r="S30" s="156"/>
    </row>
    <row r="31" spans="1:19" ht="57.6" x14ac:dyDescent="0.3">
      <c r="A31" s="27">
        <v>29</v>
      </c>
      <c r="B31" s="65">
        <v>1</v>
      </c>
      <c r="C31" s="50">
        <v>2</v>
      </c>
      <c r="D31" s="220"/>
      <c r="E31" s="220"/>
      <c r="F31" s="41" t="s">
        <v>260</v>
      </c>
      <c r="G31" s="42" t="s">
        <v>261</v>
      </c>
      <c r="H31" s="41" t="s">
        <v>262</v>
      </c>
      <c r="I31" s="88">
        <v>46055</v>
      </c>
      <c r="J31" s="72">
        <v>16</v>
      </c>
      <c r="K31" s="72">
        <v>49</v>
      </c>
      <c r="L31" s="72">
        <v>282</v>
      </c>
      <c r="M31" s="89" t="str">
        <f t="shared" si="0"/>
        <v>16-49-282</v>
      </c>
      <c r="N31" s="90" t="str">
        <f>IFERROR(VLOOKUP(M31,'LISTA ITEMS (2)'!$E$2:$G$910,2,FALSE)," ")</f>
        <v>CONTACTOR MODULAR RV32 (REVALCO)</v>
      </c>
      <c r="O31" s="91" t="str">
        <f>IFERROR(VLOOKUP(M31,'LISTA ITEMS (2)'!$E$2:$G$910,3,FALSE)," ")</f>
        <v>UND</v>
      </c>
      <c r="P31" s="170">
        <v>1</v>
      </c>
      <c r="Q31" s="92" t="s">
        <v>307</v>
      </c>
      <c r="R31" s="90"/>
      <c r="S31" s="156"/>
    </row>
    <row r="32" spans="1:19" ht="54.6" customHeight="1" x14ac:dyDescent="0.3">
      <c r="A32" s="27">
        <v>30</v>
      </c>
      <c r="B32" s="65">
        <v>1</v>
      </c>
      <c r="C32" s="50">
        <v>2</v>
      </c>
      <c r="D32" s="220"/>
      <c r="E32" s="220"/>
      <c r="F32" s="41" t="s">
        <v>260</v>
      </c>
      <c r="G32" s="42" t="s">
        <v>261</v>
      </c>
      <c r="H32" s="41" t="s">
        <v>262</v>
      </c>
      <c r="I32" s="88">
        <v>46055</v>
      </c>
      <c r="J32" s="72">
        <v>16</v>
      </c>
      <c r="K32" s="72">
        <v>50</v>
      </c>
      <c r="L32" s="72">
        <v>283</v>
      </c>
      <c r="M32" s="89" t="str">
        <f t="shared" si="0"/>
        <v>16-50-283</v>
      </c>
      <c r="N32" s="90" t="str">
        <f>IFERROR(VLOOKUP(M32,'LISTA ITEMS (2)'!$E$2:$G$910,2,FALSE)," ")</f>
        <v>FUSIBLE 32A-1000VDC (SASSIN)</v>
      </c>
      <c r="O32" s="91" t="str">
        <f>IFERROR(VLOOKUP(M32,'LISTA ITEMS (2)'!$E$2:$G$910,3,FALSE)," ")</f>
        <v>UND</v>
      </c>
      <c r="P32" s="170">
        <v>10</v>
      </c>
      <c r="Q32" s="92" t="s">
        <v>307</v>
      </c>
      <c r="R32" s="90"/>
      <c r="S32" s="156">
        <v>6</v>
      </c>
    </row>
    <row r="33" spans="1:19" ht="57.6" x14ac:dyDescent="0.3">
      <c r="A33" s="27">
        <v>31</v>
      </c>
      <c r="B33" s="65">
        <v>1</v>
      </c>
      <c r="C33" s="50">
        <v>2</v>
      </c>
      <c r="D33" s="220"/>
      <c r="E33" s="220"/>
      <c r="F33" s="41" t="s">
        <v>260</v>
      </c>
      <c r="G33" s="42" t="s">
        <v>261</v>
      </c>
      <c r="H33" s="41" t="s">
        <v>262</v>
      </c>
      <c r="I33" s="88">
        <v>46055</v>
      </c>
      <c r="J33" s="72">
        <v>16</v>
      </c>
      <c r="K33" s="72">
        <v>51</v>
      </c>
      <c r="L33" s="72">
        <v>284</v>
      </c>
      <c r="M33" s="89" t="str">
        <f t="shared" si="0"/>
        <v>16-51-284</v>
      </c>
      <c r="N33" s="90" t="str">
        <f>IFERROR(VLOOKUP(M33,'LISTA ITEMS (2)'!$E$2:$G$910,2,FALSE)," ")</f>
        <v>LIMITADOR MONOFASICO 3SU1 15/30kA-275V (SASSIN)</v>
      </c>
      <c r="O33" s="91" t="str">
        <f>IFERROR(VLOOKUP(M33,'LISTA ITEMS (2)'!$E$2:$G$910,3,FALSE)," ")</f>
        <v>UND</v>
      </c>
      <c r="P33" s="170">
        <v>1</v>
      </c>
      <c r="Q33" s="92" t="s">
        <v>307</v>
      </c>
      <c r="R33" s="90"/>
      <c r="S33" s="156"/>
    </row>
    <row r="34" spans="1:19" ht="57.6" x14ac:dyDescent="0.3">
      <c r="A34" s="27">
        <v>32</v>
      </c>
      <c r="B34" s="65">
        <v>1</v>
      </c>
      <c r="C34" s="50">
        <v>2</v>
      </c>
      <c r="D34" s="220"/>
      <c r="E34" s="220"/>
      <c r="F34" s="41" t="s">
        <v>260</v>
      </c>
      <c r="G34" s="42" t="s">
        <v>261</v>
      </c>
      <c r="H34" s="41" t="s">
        <v>262</v>
      </c>
      <c r="I34" s="88">
        <v>46055</v>
      </c>
      <c r="J34" s="72">
        <v>16</v>
      </c>
      <c r="K34" s="72">
        <v>52</v>
      </c>
      <c r="L34" s="72">
        <v>285</v>
      </c>
      <c r="M34" s="89" t="str">
        <f t="shared" si="0"/>
        <v>16-52-285</v>
      </c>
      <c r="N34" s="90" t="str">
        <f>IFERROR(VLOOKUP(M34,'LISTA ITEMS (2)'!$E$2:$G$910,2,FALSE)," ")</f>
        <v>TERMICO EPBE63M1NC63 1P+N C63 (MAXGE)</v>
      </c>
      <c r="O34" s="91" t="str">
        <f>IFERROR(VLOOKUP(M34,'LISTA ITEMS (2)'!$E$2:$G$910,3,FALSE)," ")</f>
        <v>UND</v>
      </c>
      <c r="P34" s="170">
        <v>2</v>
      </c>
      <c r="Q34" s="92" t="s">
        <v>307</v>
      </c>
      <c r="R34" s="90"/>
      <c r="S34" s="156">
        <v>1</v>
      </c>
    </row>
    <row r="35" spans="1:19" s="93" customFormat="1" ht="41.4" x14ac:dyDescent="0.3">
      <c r="A35" s="27">
        <v>33</v>
      </c>
      <c r="B35" s="122">
        <v>2</v>
      </c>
      <c r="C35" s="94">
        <v>4</v>
      </c>
      <c r="D35" s="246"/>
      <c r="E35" s="246"/>
      <c r="F35" s="182" t="s">
        <v>470</v>
      </c>
      <c r="G35" s="182" t="s">
        <v>471</v>
      </c>
      <c r="H35" s="182" t="s">
        <v>472</v>
      </c>
      <c r="I35" s="251">
        <v>46179</v>
      </c>
      <c r="J35" s="252">
        <v>13</v>
      </c>
      <c r="K35" s="252">
        <v>21</v>
      </c>
      <c r="L35" s="252">
        <v>181</v>
      </c>
      <c r="M35" s="253" t="str">
        <f t="shared" ref="M35:M66" si="1">CONCATENATE(J35,"-",K35,"-",L35)</f>
        <v>13-21-181</v>
      </c>
      <c r="N35" s="204" t="str">
        <f>IFERROR(VLOOKUP(M35,'LISTA ITEMS (2)'!$E$2:$G$910,2,FALSE)," ")</f>
        <v>TACO P/BRIDA NEGRO</v>
      </c>
      <c r="O35" s="254" t="str">
        <f>IFERROR(VLOOKUP(M35,'LISTA ITEMS (2)'!$E$2:$G$910,3,FALSE)," ")</f>
        <v>UND</v>
      </c>
      <c r="P35" s="255">
        <v>100</v>
      </c>
      <c r="Q35" s="182" t="s">
        <v>474</v>
      </c>
      <c r="R35" s="204"/>
      <c r="S35" s="156">
        <v>100</v>
      </c>
    </row>
    <row r="36" spans="1:19" ht="41.4" x14ac:dyDescent="0.3">
      <c r="A36" s="27">
        <v>34</v>
      </c>
      <c r="B36" s="122">
        <v>2</v>
      </c>
      <c r="C36" s="94">
        <v>4</v>
      </c>
      <c r="D36" s="246"/>
      <c r="E36" s="246"/>
      <c r="F36" s="182" t="s">
        <v>470</v>
      </c>
      <c r="G36" s="182" t="s">
        <v>471</v>
      </c>
      <c r="H36" s="182" t="s">
        <v>472</v>
      </c>
      <c r="I36" s="251">
        <v>46179</v>
      </c>
      <c r="J36" s="16">
        <v>13</v>
      </c>
      <c r="K36" s="16">
        <v>22</v>
      </c>
      <c r="L36" s="16">
        <v>183</v>
      </c>
      <c r="M36" s="247" t="str">
        <f t="shared" si="1"/>
        <v>13-22-183</v>
      </c>
      <c r="N36" s="17" t="str">
        <f>IFERROR(VLOOKUP(M36,'LISTA ITEMS (2)'!$E$2:$G$910,2,FALSE)," ")</f>
        <v>BRIDA P/INTERIOR NEGRA</v>
      </c>
      <c r="O36" s="30" t="str">
        <f>IFERROR(VLOOKUP(M36,'LISTA ITEMS (2)'!$E$2:$G$910,3,FALSE)," ")</f>
        <v>UND</v>
      </c>
      <c r="P36" s="176">
        <v>100</v>
      </c>
      <c r="Q36" s="182" t="s">
        <v>474</v>
      </c>
      <c r="R36" s="17"/>
      <c r="S36" s="156">
        <v>100</v>
      </c>
    </row>
    <row r="37" spans="1:19" ht="41.4" x14ac:dyDescent="0.3">
      <c r="A37" s="27">
        <v>35</v>
      </c>
      <c r="B37" s="122">
        <v>2</v>
      </c>
      <c r="C37" s="94">
        <v>4</v>
      </c>
      <c r="D37" s="246"/>
      <c r="E37" s="246"/>
      <c r="F37" s="182" t="s">
        <v>470</v>
      </c>
      <c r="G37" s="182" t="s">
        <v>471</v>
      </c>
      <c r="H37" s="182" t="s">
        <v>472</v>
      </c>
      <c r="I37" s="251">
        <v>46179</v>
      </c>
      <c r="J37" s="16">
        <v>13</v>
      </c>
      <c r="K37" s="16">
        <v>22</v>
      </c>
      <c r="L37" s="16">
        <v>184</v>
      </c>
      <c r="M37" s="247" t="str">
        <f t="shared" si="1"/>
        <v>13-22-184</v>
      </c>
      <c r="N37" s="17" t="str">
        <f>IFERROR(VLOOKUP(M37,'LISTA ITEMS (2)'!$E$2:$G$910,2,FALSE)," ")</f>
        <v>BRIDA P/EXTERIOR NEGRA</v>
      </c>
      <c r="O37" s="30" t="str">
        <f>IFERROR(VLOOKUP(M37,'LISTA ITEMS (2)'!$E$2:$G$910,3,FALSE)," ")</f>
        <v>UND</v>
      </c>
      <c r="P37" s="176">
        <v>50</v>
      </c>
      <c r="Q37" s="182" t="s">
        <v>474</v>
      </c>
      <c r="R37" s="17"/>
      <c r="S37" s="156">
        <v>50</v>
      </c>
    </row>
    <row r="38" spans="1:19" ht="41.4" x14ac:dyDescent="0.3">
      <c r="A38" s="27">
        <v>36</v>
      </c>
      <c r="B38" s="122">
        <v>2</v>
      </c>
      <c r="C38" s="94">
        <v>4</v>
      </c>
      <c r="D38" s="246"/>
      <c r="E38" s="246"/>
      <c r="F38" s="182" t="s">
        <v>470</v>
      </c>
      <c r="G38" s="182" t="s">
        <v>471</v>
      </c>
      <c r="H38" s="182" t="s">
        <v>472</v>
      </c>
      <c r="I38" s="251">
        <v>46179</v>
      </c>
      <c r="J38" s="16">
        <v>10</v>
      </c>
      <c r="K38" s="16">
        <v>37</v>
      </c>
      <c r="L38" s="16">
        <v>232</v>
      </c>
      <c r="M38" s="247" t="str">
        <f t="shared" si="1"/>
        <v>10-37-232</v>
      </c>
      <c r="N38" s="17" t="str">
        <f>IFERROR(VLOOKUP(M38,'LISTA ITEMS (2)'!$E$2:$G$910,2,FALSE)," ")</f>
        <v>SOPORTE CENTRAL NEGRO</v>
      </c>
      <c r="O38" s="30" t="str">
        <f>IFERROR(VLOOKUP(M38,'LISTA ITEMS (2)'!$E$2:$G$910,3,FALSE)," ")</f>
        <v>UND</v>
      </c>
      <c r="P38" s="176">
        <v>25</v>
      </c>
      <c r="Q38" s="182" t="s">
        <v>474</v>
      </c>
      <c r="R38" s="17"/>
      <c r="S38" s="156">
        <v>25</v>
      </c>
    </row>
    <row r="39" spans="1:19" ht="41.4" x14ac:dyDescent="0.3">
      <c r="A39" s="27">
        <v>37</v>
      </c>
      <c r="B39" s="122">
        <v>2</v>
      </c>
      <c r="C39" s="94">
        <v>4</v>
      </c>
      <c r="D39" s="246"/>
      <c r="E39" s="246"/>
      <c r="F39" s="182" t="s">
        <v>470</v>
      </c>
      <c r="G39" s="182" t="s">
        <v>471</v>
      </c>
      <c r="H39" s="182" t="s">
        <v>472</v>
      </c>
      <c r="I39" s="251">
        <v>46179</v>
      </c>
      <c r="J39" s="16">
        <v>10</v>
      </c>
      <c r="K39" s="16">
        <v>37</v>
      </c>
      <c r="L39" s="16">
        <v>315</v>
      </c>
      <c r="M39" s="247" t="str">
        <f t="shared" si="1"/>
        <v>10-37-315</v>
      </c>
      <c r="N39" s="17" t="str">
        <f>IFERROR(VLOOKUP(M39,'LISTA ITEMS (2)'!$E$2:$G$910,2,FALSE)," ")</f>
        <v>SOPORTE FINAL NEGRO</v>
      </c>
      <c r="O39" s="30" t="str">
        <f>IFERROR(VLOOKUP(M39,'LISTA ITEMS (2)'!$E$2:$G$910,3,FALSE)," ")</f>
        <v>UND</v>
      </c>
      <c r="P39" s="176">
        <v>25</v>
      </c>
      <c r="Q39" s="182" t="s">
        <v>474</v>
      </c>
      <c r="R39" s="17"/>
      <c r="S39" s="156">
        <v>25</v>
      </c>
    </row>
    <row r="40" spans="1:19" ht="41.4" x14ac:dyDescent="0.3">
      <c r="A40" s="27">
        <v>38</v>
      </c>
      <c r="B40" s="122">
        <v>2</v>
      </c>
      <c r="C40" s="94">
        <v>4</v>
      </c>
      <c r="D40" s="246"/>
      <c r="E40" s="246"/>
      <c r="F40" s="182" t="s">
        <v>470</v>
      </c>
      <c r="G40" s="182" t="s">
        <v>471</v>
      </c>
      <c r="H40" s="182" t="s">
        <v>472</v>
      </c>
      <c r="I40" s="251">
        <v>46179</v>
      </c>
      <c r="J40" s="16">
        <v>6</v>
      </c>
      <c r="K40" s="16">
        <v>23</v>
      </c>
      <c r="L40" s="16">
        <v>192</v>
      </c>
      <c r="M40" s="247" t="str">
        <f t="shared" si="1"/>
        <v>6-23-192</v>
      </c>
      <c r="N40" s="17" t="str">
        <f>IFERROR(VLOOKUP(M40,'LISTA ITEMS (2)'!$E$2:$G$910,2,FALSE)," ")</f>
        <v xml:space="preserve">CINTA ACERO PERFORADA PARA MONTAJE </v>
      </c>
      <c r="O40" s="30" t="str">
        <f>IFERROR(VLOOKUP(M40,'LISTA ITEMS (2)'!$E$2:$G$910,3,FALSE)," ")</f>
        <v>UND</v>
      </c>
      <c r="P40" s="176">
        <v>3</v>
      </c>
      <c r="Q40" s="182" t="s">
        <v>474</v>
      </c>
      <c r="R40" s="17"/>
      <c r="S40" s="156">
        <v>1.5</v>
      </c>
    </row>
    <row r="41" spans="1:19" ht="41.4" x14ac:dyDescent="0.3">
      <c r="A41" s="27">
        <v>39</v>
      </c>
      <c r="B41" s="122">
        <v>2</v>
      </c>
      <c r="C41" s="94">
        <v>4</v>
      </c>
      <c r="D41" s="246"/>
      <c r="E41" s="246"/>
      <c r="F41" s="182" t="s">
        <v>470</v>
      </c>
      <c r="G41" s="182" t="s">
        <v>471</v>
      </c>
      <c r="H41" s="182" t="s">
        <v>472</v>
      </c>
      <c r="I41" s="251">
        <v>46179</v>
      </c>
      <c r="J41" s="16">
        <v>16</v>
      </c>
      <c r="K41" s="16">
        <v>45</v>
      </c>
      <c r="L41" s="16">
        <v>294</v>
      </c>
      <c r="M41" s="247" t="str">
        <f t="shared" si="1"/>
        <v>16-45-294</v>
      </c>
      <c r="N41" s="17" t="str">
        <f>IFERROR(VLOOKUP(M41,'LISTA ITEMS (2)'!$E$2:$G$910,2,FALSE)," ")</f>
        <v>CAJA DE ESTANCA 133X180X80 EV161 (IDE)</v>
      </c>
      <c r="O41" s="30" t="str">
        <f>IFERROR(VLOOKUP(M41,'LISTA ITEMS (2)'!$E$2:$G$910,3,FALSE)," ")</f>
        <v>UND</v>
      </c>
      <c r="P41" s="176">
        <v>1</v>
      </c>
      <c r="Q41" s="182" t="s">
        <v>474</v>
      </c>
      <c r="R41" s="17"/>
      <c r="S41" s="156"/>
    </row>
    <row r="42" spans="1:19" ht="41.4" x14ac:dyDescent="0.3">
      <c r="A42" s="27">
        <v>40</v>
      </c>
      <c r="B42" s="122">
        <v>2</v>
      </c>
      <c r="C42" s="94">
        <v>4</v>
      </c>
      <c r="D42" s="246"/>
      <c r="E42" s="246"/>
      <c r="F42" s="182" t="s">
        <v>470</v>
      </c>
      <c r="G42" s="182" t="s">
        <v>471</v>
      </c>
      <c r="H42" s="182" t="s">
        <v>472</v>
      </c>
      <c r="I42" s="251">
        <v>46179</v>
      </c>
      <c r="J42" s="16">
        <v>10</v>
      </c>
      <c r="K42" s="16">
        <v>43</v>
      </c>
      <c r="L42" s="16">
        <v>270</v>
      </c>
      <c r="M42" s="247" t="str">
        <f t="shared" si="1"/>
        <v>10-43-270</v>
      </c>
      <c r="N42" s="17" t="str">
        <f>IFERROR(VLOOKUP(M42,'LISTA ITEMS (2)'!$E$2:$G$910,2,FALSE)," ")</f>
        <v>EMPALME ALUMINIO P/BARRA</v>
      </c>
      <c r="O42" s="30" t="str">
        <f>IFERROR(VLOOKUP(M42,'LISTA ITEMS (2)'!$E$2:$G$910,3,FALSE)," ")</f>
        <v>UND</v>
      </c>
      <c r="P42" s="176">
        <v>8</v>
      </c>
      <c r="Q42" s="182" t="s">
        <v>474</v>
      </c>
      <c r="R42" s="17"/>
      <c r="S42" s="156">
        <v>8</v>
      </c>
    </row>
    <row r="43" spans="1:19" ht="41.4" x14ac:dyDescent="0.3">
      <c r="A43" s="27">
        <v>41</v>
      </c>
      <c r="B43" s="122">
        <v>2</v>
      </c>
      <c r="C43" s="94">
        <v>4</v>
      </c>
      <c r="D43" s="246"/>
      <c r="E43" s="246"/>
      <c r="F43" s="182" t="s">
        <v>470</v>
      </c>
      <c r="G43" s="182" t="s">
        <v>471</v>
      </c>
      <c r="H43" s="182" t="s">
        <v>472</v>
      </c>
      <c r="I43" s="251">
        <v>46179</v>
      </c>
      <c r="J43" s="16">
        <v>16</v>
      </c>
      <c r="K43" s="16">
        <v>45</v>
      </c>
      <c r="L43" s="16">
        <v>276</v>
      </c>
      <c r="M43" s="247" t="str">
        <f t="shared" si="1"/>
        <v>16-45-276</v>
      </c>
      <c r="N43" s="17" t="str">
        <f>IFERROR(VLOOKUP(M43,'LISTA ITEMS (2)'!$E$2:$G$910,2,FALSE)," ")</f>
        <v>CAJA ESTANCA (COCHERA) EXTERIOR 18PT (IDE)</v>
      </c>
      <c r="O43" s="30" t="str">
        <f>IFERROR(VLOOKUP(M43,'LISTA ITEMS (2)'!$E$2:$G$910,3,FALSE)," ")</f>
        <v>UND</v>
      </c>
      <c r="P43" s="176">
        <v>1</v>
      </c>
      <c r="Q43" s="182" t="s">
        <v>474</v>
      </c>
      <c r="R43" s="17"/>
      <c r="S43" s="156">
        <v>1</v>
      </c>
    </row>
    <row r="44" spans="1:19" ht="41.4" x14ac:dyDescent="0.3">
      <c r="A44" s="27">
        <v>42</v>
      </c>
      <c r="B44" s="122">
        <v>2</v>
      </c>
      <c r="C44" s="94">
        <v>4</v>
      </c>
      <c r="D44" s="246"/>
      <c r="E44" s="246"/>
      <c r="F44" s="182" t="s">
        <v>470</v>
      </c>
      <c r="G44" s="182" t="s">
        <v>471</v>
      </c>
      <c r="H44" s="182" t="s">
        <v>472</v>
      </c>
      <c r="I44" s="251">
        <v>46179</v>
      </c>
      <c r="J44" s="16">
        <v>16</v>
      </c>
      <c r="K44" s="16">
        <v>45</v>
      </c>
      <c r="L44" s="16">
        <v>317</v>
      </c>
      <c r="M44" s="247" t="str">
        <f t="shared" si="1"/>
        <v>16-45-317</v>
      </c>
      <c r="N44" s="17" t="str">
        <f>IFERROR(VLOOKUP(M44,'LISTA ITEMS (2)'!$E$2:$G$910,2,FALSE)," ")</f>
        <v>CAJA DISTRIBUCION INTERIOR 8 ELEM. (SOLERA)</v>
      </c>
      <c r="O44" s="30" t="str">
        <f>IFERROR(VLOOKUP(M44,'LISTA ITEMS (2)'!$E$2:$G$910,3,FALSE)," ")</f>
        <v>UND</v>
      </c>
      <c r="P44" s="176">
        <v>1</v>
      </c>
      <c r="Q44" s="182" t="s">
        <v>474</v>
      </c>
      <c r="R44" s="17"/>
      <c r="S44" s="156">
        <v>1</v>
      </c>
    </row>
    <row r="45" spans="1:19" ht="41.4" x14ac:dyDescent="0.3">
      <c r="A45" s="27">
        <v>43</v>
      </c>
      <c r="B45" s="122">
        <v>2</v>
      </c>
      <c r="C45" s="94">
        <v>4</v>
      </c>
      <c r="D45" s="246"/>
      <c r="E45" s="246"/>
      <c r="F45" s="182" t="s">
        <v>470</v>
      </c>
      <c r="G45" s="182" t="s">
        <v>471</v>
      </c>
      <c r="H45" s="182" t="s">
        <v>472</v>
      </c>
      <c r="I45" s="251">
        <v>46179</v>
      </c>
      <c r="J45" s="16">
        <v>16</v>
      </c>
      <c r="K45" s="16">
        <v>47</v>
      </c>
      <c r="L45" s="16">
        <v>318</v>
      </c>
      <c r="M45" s="247" t="str">
        <f t="shared" si="1"/>
        <v>16-47-318</v>
      </c>
      <c r="N45" s="17" t="str">
        <f>IFERROR(VLOOKUP(M45,'LISTA ITEMS (2)'!$E$2:$G$910,2,FALSE)," ")</f>
        <v>DIFERENCIAL EPR2A040030 2P-40A-30mA (MAXGE)</v>
      </c>
      <c r="O45" s="30" t="str">
        <f>IFERROR(VLOOKUP(M45,'LISTA ITEMS (2)'!$E$2:$G$910,3,FALSE)," ")</f>
        <v>UND</v>
      </c>
      <c r="P45" s="176">
        <v>1</v>
      </c>
      <c r="Q45" s="182" t="s">
        <v>474</v>
      </c>
      <c r="R45" s="17"/>
      <c r="S45" s="156"/>
    </row>
    <row r="46" spans="1:19" ht="41.4" x14ac:dyDescent="0.3">
      <c r="A46" s="27">
        <v>44</v>
      </c>
      <c r="B46" s="122">
        <v>2</v>
      </c>
      <c r="C46" s="94">
        <v>4</v>
      </c>
      <c r="D46" s="246"/>
      <c r="E46" s="246"/>
      <c r="F46" s="182" t="s">
        <v>470</v>
      </c>
      <c r="G46" s="182" t="s">
        <v>471</v>
      </c>
      <c r="H46" s="182" t="s">
        <v>472</v>
      </c>
      <c r="I46" s="251">
        <v>46179</v>
      </c>
      <c r="J46" s="16">
        <v>16</v>
      </c>
      <c r="K46" s="16">
        <v>52</v>
      </c>
      <c r="L46" s="16">
        <v>319</v>
      </c>
      <c r="M46" s="247" t="str">
        <f t="shared" si="1"/>
        <v>16-52-319</v>
      </c>
      <c r="N46" s="17" t="str">
        <f>IFERROR(VLOOKUP(M46,'LISTA ITEMS (2)'!$E$2:$G$910,2,FALSE)," ")</f>
        <v>TERMICO EPBE63M1NC25 1P+N C25 (MAXGE)</v>
      </c>
      <c r="O46" s="30" t="str">
        <f>IFERROR(VLOOKUP(M46,'LISTA ITEMS (2)'!$E$2:$G$910,3,FALSE)," ")</f>
        <v>UND</v>
      </c>
      <c r="P46" s="176">
        <v>1</v>
      </c>
      <c r="Q46" s="182" t="s">
        <v>474</v>
      </c>
      <c r="R46" s="17"/>
      <c r="S46" s="156"/>
    </row>
    <row r="47" spans="1:19" ht="41.4" x14ac:dyDescent="0.3">
      <c r="A47" s="27">
        <v>45</v>
      </c>
      <c r="B47" s="122">
        <v>2</v>
      </c>
      <c r="C47" s="94">
        <v>4</v>
      </c>
      <c r="D47" s="246"/>
      <c r="E47" s="246"/>
      <c r="F47" s="182" t="s">
        <v>470</v>
      </c>
      <c r="G47" s="182" t="s">
        <v>471</v>
      </c>
      <c r="H47" s="182" t="s">
        <v>472</v>
      </c>
      <c r="I47" s="251">
        <v>46179</v>
      </c>
      <c r="J47" s="16">
        <v>16</v>
      </c>
      <c r="K47" s="16">
        <v>45</v>
      </c>
      <c r="L47" s="16">
        <v>275</v>
      </c>
      <c r="M47" s="247" t="str">
        <f t="shared" si="1"/>
        <v>16-45-275</v>
      </c>
      <c r="N47" s="17" t="str">
        <f>IFERROR(VLOOKUP(M47,'LISTA ITEMS (2)'!$E$2:$G$910,2,FALSE)," ")</f>
        <v>CAJA DISTRIBUCION INTERIOR 18 ELEM. (SOLERA)</v>
      </c>
      <c r="O47" s="30" t="str">
        <f>IFERROR(VLOOKUP(M47,'LISTA ITEMS (2)'!$E$2:$G$910,3,FALSE)," ")</f>
        <v>UND</v>
      </c>
      <c r="P47" s="176">
        <v>1</v>
      </c>
      <c r="Q47" s="182" t="s">
        <v>474</v>
      </c>
      <c r="R47" s="17"/>
      <c r="S47" s="156">
        <v>1</v>
      </c>
    </row>
    <row r="48" spans="1:19" ht="41.4" x14ac:dyDescent="0.3">
      <c r="A48" s="27">
        <v>46</v>
      </c>
      <c r="B48" s="122">
        <v>2</v>
      </c>
      <c r="C48" s="94">
        <v>4</v>
      </c>
      <c r="D48" s="246"/>
      <c r="E48" s="246"/>
      <c r="F48" s="182" t="s">
        <v>470</v>
      </c>
      <c r="G48" s="182" t="s">
        <v>471</v>
      </c>
      <c r="H48" s="182" t="s">
        <v>472</v>
      </c>
      <c r="I48" s="251">
        <v>46179</v>
      </c>
      <c r="J48" s="16">
        <v>16</v>
      </c>
      <c r="K48" s="16">
        <v>45</v>
      </c>
      <c r="L48" s="16">
        <v>299</v>
      </c>
      <c r="M48" s="247" t="str">
        <f t="shared" si="1"/>
        <v>16-45-299</v>
      </c>
      <c r="N48" s="17" t="str">
        <f>IFERROR(VLOOKUP(M48,'LISTA ITEMS (2)'!$E$2:$G$910,2,FALSE)," ")</f>
        <v>CAJA ESTANCA (COCHERA) EXTERIOR 8PT (IDE)</v>
      </c>
      <c r="O48" s="30" t="str">
        <f>IFERROR(VLOOKUP(M48,'LISTA ITEMS (2)'!$E$2:$G$910,3,FALSE)," ")</f>
        <v>UND</v>
      </c>
      <c r="P48" s="176">
        <v>1</v>
      </c>
      <c r="Q48" s="182" t="s">
        <v>474</v>
      </c>
      <c r="R48" s="17"/>
      <c r="S48" s="156"/>
    </row>
    <row r="49" spans="1:19" ht="41.4" x14ac:dyDescent="0.3">
      <c r="A49" s="27">
        <v>47</v>
      </c>
      <c r="B49" s="122">
        <v>2</v>
      </c>
      <c r="C49" s="94">
        <v>4</v>
      </c>
      <c r="D49" s="246"/>
      <c r="E49" s="246"/>
      <c r="F49" s="182" t="s">
        <v>470</v>
      </c>
      <c r="G49" s="182" t="s">
        <v>471</v>
      </c>
      <c r="H49" s="182" t="s">
        <v>472</v>
      </c>
      <c r="I49" s="251">
        <v>46179</v>
      </c>
      <c r="J49" s="16">
        <v>10</v>
      </c>
      <c r="K49" s="16">
        <v>42</v>
      </c>
      <c r="L49" s="16">
        <v>268</v>
      </c>
      <c r="M49" s="247" t="str">
        <f t="shared" si="1"/>
        <v>10-42-268</v>
      </c>
      <c r="N49" s="17" t="str">
        <f>IFERROR(VLOOKUP(M49,'LISTA ITEMS (2)'!$E$2:$G$910,2,FALSE)," ")</f>
        <v>PATA ALUMINIO PARA ESTRUCTURA PLACA SOLAR ANGULO 30º</v>
      </c>
      <c r="O49" s="30" t="str">
        <f>IFERROR(VLOOKUP(M49,'LISTA ITEMS (2)'!$E$2:$G$910,3,FALSE)," ")</f>
        <v>UND</v>
      </c>
      <c r="P49" s="176">
        <v>8</v>
      </c>
      <c r="Q49" s="182" t="s">
        <v>474</v>
      </c>
      <c r="R49" s="17"/>
      <c r="S49" s="156">
        <v>8</v>
      </c>
    </row>
    <row r="50" spans="1:19" ht="41.4" x14ac:dyDescent="0.3">
      <c r="A50" s="27">
        <v>48</v>
      </c>
      <c r="B50" s="122">
        <v>2</v>
      </c>
      <c r="C50" s="94">
        <v>4</v>
      </c>
      <c r="D50" s="246"/>
      <c r="E50" s="246"/>
      <c r="F50" s="182" t="s">
        <v>470</v>
      </c>
      <c r="G50" s="182" t="s">
        <v>471</v>
      </c>
      <c r="H50" s="182" t="s">
        <v>472</v>
      </c>
      <c r="I50" s="251">
        <v>46179</v>
      </c>
      <c r="J50" s="16">
        <v>16</v>
      </c>
      <c r="K50" s="16">
        <v>31</v>
      </c>
      <c r="L50" s="16">
        <v>320</v>
      </c>
      <c r="M50" s="247" t="str">
        <f t="shared" si="1"/>
        <v>16-31-320</v>
      </c>
      <c r="N50" s="17" t="str">
        <f>IFERROR(VLOOKUP(M50,'LISTA ITEMS (2)'!$E$2:$G$910,2,FALSE)," ")</f>
        <v xml:space="preserve">JUEGO CABLE PARA BATERIA DE LITIO B4850 </v>
      </c>
      <c r="O50" s="30" t="str">
        <f>IFERROR(VLOOKUP(M50,'LISTA ITEMS (2)'!$E$2:$G$910,3,FALSE)," ")</f>
        <v>UND</v>
      </c>
      <c r="P50" s="176">
        <v>1</v>
      </c>
      <c r="Q50" s="182" t="s">
        <v>474</v>
      </c>
      <c r="R50" s="17"/>
      <c r="S50" s="156"/>
    </row>
    <row r="51" spans="1:19" ht="41.4" x14ac:dyDescent="0.3">
      <c r="A51" s="27">
        <v>49</v>
      </c>
      <c r="B51" s="122">
        <v>2</v>
      </c>
      <c r="C51" s="94">
        <v>4</v>
      </c>
      <c r="D51" s="246"/>
      <c r="E51" s="246"/>
      <c r="F51" s="182" t="s">
        <v>470</v>
      </c>
      <c r="G51" s="182" t="s">
        <v>471</v>
      </c>
      <c r="H51" s="182" t="s">
        <v>472</v>
      </c>
      <c r="I51" s="251">
        <v>46179</v>
      </c>
      <c r="J51" s="16">
        <v>17</v>
      </c>
      <c r="K51" s="16">
        <v>44</v>
      </c>
      <c r="L51" s="16">
        <v>271</v>
      </c>
      <c r="M51" s="247" t="str">
        <f t="shared" si="1"/>
        <v>17-44-271</v>
      </c>
      <c r="N51" s="17" t="str">
        <f>IFERROR(VLOOKUP(M51,'LISTA ITEMS (2)'!$E$2:$G$910,2,FALSE)," ")</f>
        <v>SELLANTE QUIMICO BLANCO</v>
      </c>
      <c r="O51" s="30" t="str">
        <f>IFERROR(VLOOKUP(M51,'LISTA ITEMS (2)'!$E$2:$G$910,3,FALSE)," ")</f>
        <v>UND</v>
      </c>
      <c r="P51" s="176">
        <v>1</v>
      </c>
      <c r="Q51" s="182" t="s">
        <v>474</v>
      </c>
      <c r="R51" s="17"/>
      <c r="S51" s="156">
        <v>1</v>
      </c>
    </row>
    <row r="52" spans="1:19" ht="41.4" x14ac:dyDescent="0.3">
      <c r="A52" s="27">
        <v>50</v>
      </c>
      <c r="B52" s="122">
        <v>2</v>
      </c>
      <c r="C52" s="94">
        <v>4</v>
      </c>
      <c r="D52" s="246"/>
      <c r="E52" s="246"/>
      <c r="F52" s="182" t="s">
        <v>470</v>
      </c>
      <c r="G52" s="182" t="s">
        <v>471</v>
      </c>
      <c r="H52" s="182" t="s">
        <v>472</v>
      </c>
      <c r="I52" s="251">
        <v>46179</v>
      </c>
      <c r="J52" s="16">
        <v>17</v>
      </c>
      <c r="K52" s="16">
        <v>44</v>
      </c>
      <c r="L52" s="16">
        <v>272</v>
      </c>
      <c r="M52" s="247" t="str">
        <f t="shared" si="1"/>
        <v>17-44-272</v>
      </c>
      <c r="N52" s="17" t="str">
        <f>IFERROR(VLOOKUP(M52,'LISTA ITEMS (2)'!$E$2:$G$910,2,FALSE)," ")</f>
        <v>SELLANTE QUIMICO GRIS</v>
      </c>
      <c r="O52" s="30" t="str">
        <f>IFERROR(VLOOKUP(M52,'LISTA ITEMS (2)'!$E$2:$G$910,3,FALSE)," ")</f>
        <v>UND</v>
      </c>
      <c r="P52" s="176">
        <v>1</v>
      </c>
      <c r="Q52" s="182" t="s">
        <v>474</v>
      </c>
      <c r="R52" s="17"/>
      <c r="S52" s="156">
        <v>1</v>
      </c>
    </row>
    <row r="53" spans="1:19" ht="43.2" x14ac:dyDescent="0.3">
      <c r="A53" s="27">
        <v>51</v>
      </c>
      <c r="B53" s="122">
        <v>2</v>
      </c>
      <c r="C53" s="94">
        <v>4</v>
      </c>
      <c r="D53" s="246"/>
      <c r="E53" s="246"/>
      <c r="F53" s="182" t="s">
        <v>470</v>
      </c>
      <c r="G53" s="182" t="s">
        <v>471</v>
      </c>
      <c r="H53" s="182" t="s">
        <v>472</v>
      </c>
      <c r="I53" s="251">
        <v>46179</v>
      </c>
      <c r="J53" s="16">
        <v>8</v>
      </c>
      <c r="K53" s="16">
        <v>27</v>
      </c>
      <c r="L53" s="16">
        <v>321</v>
      </c>
      <c r="M53" s="247" t="str">
        <f t="shared" si="1"/>
        <v>8-27-321</v>
      </c>
      <c r="N53" s="17" t="str">
        <f>IFERROR(VLOOKUP(M53,'LISTA ITEMS (2)'!$E$2:$G$910,2,FALSE)," ")</f>
        <v>TORNILLO AUTOTALADRANTE CON C/HEXAGONAL - R/PARCIAL - ARANDELA CAUCHO 6X120mm  A/GALV.</v>
      </c>
      <c r="O53" s="30" t="str">
        <f>IFERROR(VLOOKUP(M53,'LISTA ITEMS (2)'!$E$2:$G$910,3,FALSE)," ")</f>
        <v>UND</v>
      </c>
      <c r="P53" s="176">
        <v>20</v>
      </c>
      <c r="Q53" s="182" t="s">
        <v>474</v>
      </c>
      <c r="R53" s="17"/>
      <c r="S53" s="156">
        <v>20</v>
      </c>
    </row>
    <row r="54" spans="1:19" ht="41.4" x14ac:dyDescent="0.3">
      <c r="A54" s="27">
        <v>52</v>
      </c>
      <c r="B54" s="122">
        <v>2</v>
      </c>
      <c r="C54" s="94">
        <v>4</v>
      </c>
      <c r="D54" s="246"/>
      <c r="E54" s="246"/>
      <c r="F54" s="182" t="s">
        <v>470</v>
      </c>
      <c r="G54" s="182" t="s">
        <v>471</v>
      </c>
      <c r="H54" s="182" t="s">
        <v>472</v>
      </c>
      <c r="I54" s="251">
        <v>46179</v>
      </c>
      <c r="J54" s="16">
        <v>16</v>
      </c>
      <c r="K54" s="16">
        <v>59</v>
      </c>
      <c r="L54" s="16">
        <v>322</v>
      </c>
      <c r="M54" s="247" t="str">
        <f t="shared" si="1"/>
        <v>16-59-322</v>
      </c>
      <c r="N54" s="17" t="str">
        <f>IFERROR(VLOOKUP(M54,'LISTA ITEMS (2)'!$E$2:$G$910,2,FALSE)," ")</f>
        <v>CLAVIJA CAUCHO NEGRA 10/16A</v>
      </c>
      <c r="O54" s="30" t="str">
        <f>IFERROR(VLOOKUP(M54,'LISTA ITEMS (2)'!$E$2:$G$910,3,FALSE)," ")</f>
        <v>UND</v>
      </c>
      <c r="P54" s="176">
        <v>1</v>
      </c>
      <c r="Q54" s="182" t="s">
        <v>474</v>
      </c>
      <c r="R54" s="17"/>
      <c r="S54" s="156"/>
    </row>
    <row r="55" spans="1:19" ht="41.4" x14ac:dyDescent="0.3">
      <c r="A55" s="27">
        <v>53</v>
      </c>
      <c r="B55" s="122">
        <v>2</v>
      </c>
      <c r="C55" s="94">
        <v>4</v>
      </c>
      <c r="D55" s="246"/>
      <c r="E55" s="246"/>
      <c r="F55" s="182" t="s">
        <v>470</v>
      </c>
      <c r="G55" s="182" t="s">
        <v>471</v>
      </c>
      <c r="H55" s="182" t="s">
        <v>472</v>
      </c>
      <c r="I55" s="251">
        <v>46179</v>
      </c>
      <c r="J55" s="16">
        <v>9</v>
      </c>
      <c r="K55" s="16">
        <v>2</v>
      </c>
      <c r="L55" s="16">
        <v>291</v>
      </c>
      <c r="M55" s="247" t="str">
        <f t="shared" si="1"/>
        <v>9-2-291</v>
      </c>
      <c r="N55" s="17" t="str">
        <f>IFERROR(VLOOKUP(M55,'LISTA ITEMS (2)'!$E$2:$G$910,2,FALSE)," ")</f>
        <v>TUBO ELECTRICO PVC 25mm - 3mt(AISCAN)</v>
      </c>
      <c r="O55" s="30" t="str">
        <f>IFERROR(VLOOKUP(M55,'LISTA ITEMS (2)'!$E$2:$G$910,3,FALSE)," ")</f>
        <v>UND</v>
      </c>
      <c r="P55" s="176">
        <v>8</v>
      </c>
      <c r="Q55" s="182" t="s">
        <v>474</v>
      </c>
      <c r="R55" s="17"/>
      <c r="S55" s="156">
        <v>6</v>
      </c>
    </row>
    <row r="56" spans="1:19" ht="41.4" x14ac:dyDescent="0.3">
      <c r="A56" s="27">
        <v>54</v>
      </c>
      <c r="B56" s="122">
        <v>2</v>
      </c>
      <c r="C56" s="94">
        <v>4</v>
      </c>
      <c r="D56" s="246"/>
      <c r="E56" s="246"/>
      <c r="F56" s="182" t="s">
        <v>470</v>
      </c>
      <c r="G56" s="182" t="s">
        <v>471</v>
      </c>
      <c r="H56" s="182" t="s">
        <v>472</v>
      </c>
      <c r="I56" s="251">
        <v>46179</v>
      </c>
      <c r="J56" s="16">
        <v>10</v>
      </c>
      <c r="K56" s="16">
        <v>15</v>
      </c>
      <c r="L56" s="16">
        <v>269</v>
      </c>
      <c r="M56" s="247" t="str">
        <f t="shared" si="1"/>
        <v>10-15-269</v>
      </c>
      <c r="N56" s="17" t="str">
        <f>IFERROR(VLOOKUP(M56,'LISTA ITEMS (2)'!$E$2:$G$910,2,FALSE)," ")</f>
        <v>BARRA ALUMINIO PARA ESTRUCTURA  3.60mt</v>
      </c>
      <c r="O56" s="30" t="str">
        <f>IFERROR(VLOOKUP(M56,'LISTA ITEMS (2)'!$E$2:$G$910,3,FALSE)," ")</f>
        <v>UND</v>
      </c>
      <c r="P56" s="176">
        <v>10</v>
      </c>
      <c r="Q56" s="182" t="s">
        <v>474</v>
      </c>
      <c r="R56" s="17"/>
      <c r="S56" s="156"/>
    </row>
    <row r="57" spans="1:19" ht="41.4" x14ac:dyDescent="0.3">
      <c r="A57" s="27">
        <v>55</v>
      </c>
      <c r="B57" s="122">
        <v>2</v>
      </c>
      <c r="C57" s="94">
        <v>4</v>
      </c>
      <c r="D57" s="246"/>
      <c r="E57" s="246"/>
      <c r="F57" s="182" t="s">
        <v>470</v>
      </c>
      <c r="G57" s="182" t="s">
        <v>471</v>
      </c>
      <c r="H57" s="182" t="s">
        <v>472</v>
      </c>
      <c r="I57" s="251">
        <v>46179</v>
      </c>
      <c r="J57" s="16">
        <v>7</v>
      </c>
      <c r="K57" s="16">
        <v>38</v>
      </c>
      <c r="L57" s="16">
        <v>247</v>
      </c>
      <c r="M57" s="247" t="str">
        <f t="shared" si="1"/>
        <v>7-38-247</v>
      </c>
      <c r="N57" s="17" t="str">
        <f>IFERROR(VLOOKUP(M57,'LISTA ITEMS (2)'!$E$2:$G$910,2,FALSE)," ")</f>
        <v>PLACA SOLAR JAM60D42-535LB 535W / 44.13V</v>
      </c>
      <c r="O57" s="30" t="str">
        <f>IFERROR(VLOOKUP(M57,'LISTA ITEMS (2)'!$E$2:$G$910,3,FALSE)," ")</f>
        <v>UND</v>
      </c>
      <c r="P57" s="176">
        <v>8</v>
      </c>
      <c r="Q57" s="182" t="s">
        <v>474</v>
      </c>
      <c r="R57" s="17"/>
      <c r="S57" s="156">
        <v>8</v>
      </c>
    </row>
    <row r="58" spans="1:19" ht="41.4" x14ac:dyDescent="0.3">
      <c r="A58" s="27">
        <v>56</v>
      </c>
      <c r="B58" s="122">
        <v>2</v>
      </c>
      <c r="C58" s="94">
        <v>4</v>
      </c>
      <c r="D58" s="246"/>
      <c r="E58" s="246"/>
      <c r="F58" s="182" t="s">
        <v>470</v>
      </c>
      <c r="G58" s="182" t="s">
        <v>471</v>
      </c>
      <c r="H58" s="182" t="s">
        <v>472</v>
      </c>
      <c r="I58" s="251">
        <v>46179</v>
      </c>
      <c r="J58" s="16">
        <v>7</v>
      </c>
      <c r="K58" s="16">
        <v>54</v>
      </c>
      <c r="L58" s="16">
        <v>323</v>
      </c>
      <c r="M58" s="247" t="str">
        <f t="shared" si="1"/>
        <v>7-54-323</v>
      </c>
      <c r="N58" s="17" t="str">
        <f>IFERROR(VLOOKUP(M58,'LISTA ITEMS (2)'!$E$2:$G$910,2,FALSE)," ")</f>
        <v>BATERIA LPF LITHIUM B3 (DYNESS)</v>
      </c>
      <c r="O58" s="30" t="str">
        <f>IFERROR(VLOOKUP(M58,'LISTA ITEMS (2)'!$E$2:$G$910,3,FALSE)," ")</f>
        <v>UND</v>
      </c>
      <c r="P58" s="176">
        <v>3</v>
      </c>
      <c r="Q58" s="182" t="s">
        <v>474</v>
      </c>
      <c r="R58" s="17"/>
      <c r="S58" s="156"/>
    </row>
    <row r="59" spans="1:19" ht="41.4" x14ac:dyDescent="0.3">
      <c r="A59" s="27">
        <v>57</v>
      </c>
      <c r="B59" s="122">
        <v>2</v>
      </c>
      <c r="C59" s="94">
        <v>4</v>
      </c>
      <c r="D59" s="246"/>
      <c r="E59" s="246"/>
      <c r="F59" s="182" t="s">
        <v>470</v>
      </c>
      <c r="G59" s="182" t="s">
        <v>471</v>
      </c>
      <c r="H59" s="182" t="s">
        <v>472</v>
      </c>
      <c r="I59" s="251">
        <v>46179</v>
      </c>
      <c r="J59" s="16">
        <v>14</v>
      </c>
      <c r="K59" s="16">
        <v>24</v>
      </c>
      <c r="L59" s="16">
        <v>193</v>
      </c>
      <c r="M59" s="247" t="str">
        <f t="shared" si="1"/>
        <v>14-24-193</v>
      </c>
      <c r="N59" s="17" t="str">
        <f>IFERROR(VLOOKUP(M59,'LISTA ITEMS (2)'!$E$2:$G$910,2,FALSE)," ")</f>
        <v>DISCO CORTE ACERO/INOX A1 2EN1</v>
      </c>
      <c r="O59" s="30" t="str">
        <f>IFERROR(VLOOKUP(M59,'LISTA ITEMS (2)'!$E$2:$G$910,3,FALSE)," ")</f>
        <v>UND</v>
      </c>
      <c r="P59" s="176">
        <v>3</v>
      </c>
      <c r="Q59" s="182" t="s">
        <v>474</v>
      </c>
      <c r="R59" s="17"/>
      <c r="S59" s="156">
        <v>1</v>
      </c>
    </row>
    <row r="60" spans="1:19" ht="41.4" x14ac:dyDescent="0.3">
      <c r="A60" s="27">
        <v>58</v>
      </c>
      <c r="B60" s="122">
        <v>2</v>
      </c>
      <c r="C60" s="94">
        <v>4</v>
      </c>
      <c r="D60" s="246"/>
      <c r="E60" s="246"/>
      <c r="F60" s="182" t="s">
        <v>470</v>
      </c>
      <c r="G60" s="182" t="s">
        <v>471</v>
      </c>
      <c r="H60" s="182" t="s">
        <v>472</v>
      </c>
      <c r="I60" s="251">
        <v>46179</v>
      </c>
      <c r="J60" s="16">
        <v>16</v>
      </c>
      <c r="K60" s="16">
        <v>60</v>
      </c>
      <c r="L60" s="16">
        <v>324</v>
      </c>
      <c r="M60" s="247" t="str">
        <f t="shared" si="1"/>
        <v>16-60-324</v>
      </c>
      <c r="N60" s="17" t="str">
        <f>IFERROR(VLOOKUP(M60,'LISTA ITEMS (2)'!$E$2:$G$910,2,FALSE)," ")</f>
        <v>REGLETA CONEXIÓN ELECTRICA 35mm NEGRA 12Puntos</v>
      </c>
      <c r="O60" s="30" t="str">
        <f>IFERROR(VLOOKUP(M60,'LISTA ITEMS (2)'!$E$2:$G$910,3,FALSE)," ")</f>
        <v>UND</v>
      </c>
      <c r="P60" s="176">
        <v>1</v>
      </c>
      <c r="Q60" s="182" t="s">
        <v>474</v>
      </c>
      <c r="R60" s="17"/>
      <c r="S60" s="156"/>
    </row>
    <row r="61" spans="1:19" ht="41.4" x14ac:dyDescent="0.3">
      <c r="A61" s="27">
        <v>59</v>
      </c>
      <c r="B61" s="122">
        <v>2</v>
      </c>
      <c r="C61" s="94">
        <v>4</v>
      </c>
      <c r="D61" s="246"/>
      <c r="E61" s="246"/>
      <c r="F61" s="182" t="s">
        <v>470</v>
      </c>
      <c r="G61" s="182" t="s">
        <v>471</v>
      </c>
      <c r="H61" s="182" t="s">
        <v>472</v>
      </c>
      <c r="I61" s="251">
        <v>46179</v>
      </c>
      <c r="J61" s="16">
        <v>16</v>
      </c>
      <c r="K61" s="16">
        <v>60</v>
      </c>
      <c r="L61" s="16">
        <v>325</v>
      </c>
      <c r="M61" s="247" t="str">
        <f t="shared" si="1"/>
        <v>16-60-325</v>
      </c>
      <c r="N61" s="17" t="str">
        <f>IFERROR(VLOOKUP(M61,'LISTA ITEMS (2)'!$E$2:$G$910,2,FALSE)," ")</f>
        <v>REGLETA CONEXIÓN ELECTRICA 16mm NEGRA</v>
      </c>
      <c r="O61" s="30" t="str">
        <f>IFERROR(VLOOKUP(M61,'LISTA ITEMS (2)'!$E$2:$G$910,3,FALSE)," ")</f>
        <v>UND</v>
      </c>
      <c r="P61" s="176">
        <v>1</v>
      </c>
      <c r="Q61" s="182" t="s">
        <v>474</v>
      </c>
      <c r="R61" s="17"/>
      <c r="S61" s="156"/>
    </row>
    <row r="62" spans="1:19" ht="41.4" x14ac:dyDescent="0.3">
      <c r="A62" s="27">
        <v>60</v>
      </c>
      <c r="B62" s="122">
        <v>2</v>
      </c>
      <c r="C62" s="94">
        <v>4</v>
      </c>
      <c r="D62" s="246"/>
      <c r="E62" s="246"/>
      <c r="F62" s="182" t="s">
        <v>470</v>
      </c>
      <c r="G62" s="182" t="s">
        <v>471</v>
      </c>
      <c r="H62" s="182" t="s">
        <v>472</v>
      </c>
      <c r="I62" s="251">
        <v>46179</v>
      </c>
      <c r="J62" s="16">
        <v>3</v>
      </c>
      <c r="K62" s="16">
        <v>31</v>
      </c>
      <c r="L62" s="16">
        <v>277</v>
      </c>
      <c r="M62" s="247" t="str">
        <f t="shared" si="1"/>
        <v>3-31-277</v>
      </c>
      <c r="N62" s="17" t="str">
        <f>IFERROR(VLOOKUP(M62,'LISTA ITEMS (2)'!$E$2:$G$910,2,FALSE)," ")</f>
        <v>CABLE Nª 6 P/PLACA SOLAR NEGRO</v>
      </c>
      <c r="O62" s="30" t="str">
        <f>IFERROR(VLOOKUP(M62,'LISTA ITEMS (2)'!$E$2:$G$910,3,FALSE)," ")</f>
        <v>MT</v>
      </c>
      <c r="P62" s="176">
        <v>15</v>
      </c>
      <c r="Q62" s="182" t="s">
        <v>474</v>
      </c>
      <c r="R62" s="17"/>
      <c r="S62" s="156">
        <v>15</v>
      </c>
    </row>
    <row r="63" spans="1:19" ht="41.4" x14ac:dyDescent="0.3">
      <c r="A63" s="27">
        <v>61</v>
      </c>
      <c r="B63" s="122">
        <v>2</v>
      </c>
      <c r="C63" s="94">
        <v>4</v>
      </c>
      <c r="D63" s="246"/>
      <c r="E63" s="246"/>
      <c r="F63" s="182" t="s">
        <v>470</v>
      </c>
      <c r="G63" s="182" t="s">
        <v>471</v>
      </c>
      <c r="H63" s="182" t="s">
        <v>472</v>
      </c>
      <c r="I63" s="251">
        <v>46179</v>
      </c>
      <c r="J63" s="16">
        <v>3</v>
      </c>
      <c r="K63" s="16">
        <v>31</v>
      </c>
      <c r="L63" s="16">
        <v>278</v>
      </c>
      <c r="M63" s="247" t="str">
        <f t="shared" si="1"/>
        <v>3-31-278</v>
      </c>
      <c r="N63" s="17" t="str">
        <f>IFERROR(VLOOKUP(M63,'LISTA ITEMS (2)'!$E$2:$G$910,2,FALSE)," ")</f>
        <v>CABLE Nª 6 P/PLACA SOLAR ROJO</v>
      </c>
      <c r="O63" s="30" t="str">
        <f>IFERROR(VLOOKUP(M63,'LISTA ITEMS (2)'!$E$2:$G$910,3,FALSE)," ")</f>
        <v>MT</v>
      </c>
      <c r="P63" s="176">
        <v>15</v>
      </c>
      <c r="Q63" s="182" t="s">
        <v>474</v>
      </c>
      <c r="R63" s="17"/>
      <c r="S63" s="156">
        <v>15</v>
      </c>
    </row>
    <row r="64" spans="1:19" ht="41.4" x14ac:dyDescent="0.3">
      <c r="A64" s="27">
        <v>62</v>
      </c>
      <c r="B64" s="122">
        <v>2</v>
      </c>
      <c r="C64" s="94">
        <v>4</v>
      </c>
      <c r="D64" s="246"/>
      <c r="E64" s="246"/>
      <c r="F64" s="182" t="s">
        <v>470</v>
      </c>
      <c r="G64" s="182" t="s">
        <v>471</v>
      </c>
      <c r="H64" s="182" t="s">
        <v>472</v>
      </c>
      <c r="I64" s="251">
        <v>46179</v>
      </c>
      <c r="J64" s="16">
        <v>4</v>
      </c>
      <c r="K64" s="16">
        <v>15</v>
      </c>
      <c r="L64" s="16">
        <v>326</v>
      </c>
      <c r="M64" s="247" t="str">
        <f t="shared" si="1"/>
        <v>4-15-326</v>
      </c>
      <c r="N64" s="17" t="str">
        <f>IFERROR(VLOOKUP(M64,'LISTA ITEMS (2)'!$E$2:$G$910,2,FALSE)," ")</f>
        <v>BARRA PERFORADA PARA REFUERZO 27x18x2MT GALV.</v>
      </c>
      <c r="O64" s="30" t="str">
        <f>IFERROR(VLOOKUP(M64,'LISTA ITEMS (2)'!$E$2:$G$910,3,FALSE)," ")</f>
        <v>UND</v>
      </c>
      <c r="P64" s="176">
        <v>6</v>
      </c>
      <c r="Q64" s="182" t="s">
        <v>474</v>
      </c>
      <c r="R64" s="17"/>
      <c r="S64" s="156">
        <v>6</v>
      </c>
    </row>
    <row r="65" spans="1:19" ht="41.4" x14ac:dyDescent="0.3">
      <c r="A65" s="27">
        <v>63</v>
      </c>
      <c r="B65" s="122">
        <v>2</v>
      </c>
      <c r="C65" s="94">
        <v>4</v>
      </c>
      <c r="D65" s="246"/>
      <c r="E65" s="246"/>
      <c r="F65" s="182" t="s">
        <v>470</v>
      </c>
      <c r="G65" s="182" t="s">
        <v>471</v>
      </c>
      <c r="H65" s="182" t="s">
        <v>472</v>
      </c>
      <c r="I65" s="251">
        <v>46179</v>
      </c>
      <c r="J65" s="16">
        <v>7</v>
      </c>
      <c r="K65" s="16">
        <v>35</v>
      </c>
      <c r="L65" s="16">
        <v>327</v>
      </c>
      <c r="M65" s="247" t="str">
        <f t="shared" si="1"/>
        <v>7-35-327</v>
      </c>
      <c r="N65" s="17" t="str">
        <f>IFERROR(VLOOKUP(M65,'LISTA ITEMS (2)'!$E$2:$G$910,2,FALSE)," ")</f>
        <v xml:space="preserve">INVERSOR 48/5000/70-50-230V MULTIPLUS (VICTROM ENERGY)  </v>
      </c>
      <c r="O65" s="30" t="str">
        <f>IFERROR(VLOOKUP(M65,'LISTA ITEMS (2)'!$E$2:$G$910,3,FALSE)," ")</f>
        <v>UND</v>
      </c>
      <c r="P65" s="176">
        <v>1</v>
      </c>
      <c r="Q65" s="182" t="s">
        <v>474</v>
      </c>
      <c r="R65" s="17"/>
      <c r="S65" s="156">
        <v>1</v>
      </c>
    </row>
    <row r="66" spans="1:19" ht="41.4" x14ac:dyDescent="0.3">
      <c r="A66" s="27">
        <v>64</v>
      </c>
      <c r="B66" s="122">
        <v>2</v>
      </c>
      <c r="C66" s="94">
        <v>4</v>
      </c>
      <c r="D66" s="246"/>
      <c r="E66" s="246"/>
      <c r="F66" s="182" t="s">
        <v>470</v>
      </c>
      <c r="G66" s="182" t="s">
        <v>471</v>
      </c>
      <c r="H66" s="182" t="s">
        <v>472</v>
      </c>
      <c r="I66" s="251">
        <v>46179</v>
      </c>
      <c r="J66" s="16">
        <v>7</v>
      </c>
      <c r="K66" s="16">
        <v>36</v>
      </c>
      <c r="L66" s="16">
        <v>231</v>
      </c>
      <c r="M66" s="247" t="str">
        <f t="shared" si="1"/>
        <v>7-36-231</v>
      </c>
      <c r="N66" s="17" t="str">
        <f>IFERROR(VLOOKUP(M66,'LISTA ITEMS (2)'!$E$2:$G$910,2,FALSE)," ")</f>
        <v>CONTROLADOR SMART SOLAR MPPT 250/100-TR VICTROM ENERGY</v>
      </c>
      <c r="O66" s="30" t="str">
        <f>IFERROR(VLOOKUP(M66,'LISTA ITEMS (2)'!$E$2:$G$910,3,FALSE)," ")</f>
        <v>UND</v>
      </c>
      <c r="P66" s="176">
        <v>1</v>
      </c>
      <c r="Q66" s="182" t="s">
        <v>474</v>
      </c>
      <c r="R66" s="17"/>
      <c r="S66" s="156"/>
    </row>
    <row r="67" spans="1:19" ht="100.8" x14ac:dyDescent="0.3">
      <c r="A67" s="27">
        <v>65</v>
      </c>
      <c r="B67" s="110">
        <v>3</v>
      </c>
      <c r="C67" s="111">
        <v>5</v>
      </c>
      <c r="D67" s="221"/>
      <c r="E67" s="221"/>
      <c r="F67" s="112" t="s">
        <v>476</v>
      </c>
      <c r="G67" s="113" t="s">
        <v>477</v>
      </c>
      <c r="H67" s="112" t="s">
        <v>478</v>
      </c>
      <c r="I67" s="114">
        <v>46059</v>
      </c>
      <c r="J67" s="115">
        <v>16</v>
      </c>
      <c r="K67" s="115">
        <v>53</v>
      </c>
      <c r="L67" s="115">
        <v>290</v>
      </c>
      <c r="M67" s="116" t="str">
        <f t="shared" ref="M67:M98" si="2">CONCATENATE(J67,"-",K67,"-",L67)</f>
        <v>16-53-290</v>
      </c>
      <c r="N67" s="117" t="str">
        <f>IFERROR(VLOOKUP(M67,'LISTA ITEMS (2)'!$E$2:$G$910,2,FALSE)," ")</f>
        <v>PINCHO DE COMUNICACIÓN WIFI SHINEWILAN X2 (GROWATT)</v>
      </c>
      <c r="O67" s="118" t="str">
        <f>IFERROR(VLOOKUP(M67,'LISTA ITEMS (2)'!$E$2:$G$910,3,FALSE)," ")</f>
        <v>UND</v>
      </c>
      <c r="P67" s="173">
        <v>1</v>
      </c>
      <c r="Q67" s="112" t="s">
        <v>479</v>
      </c>
      <c r="R67" s="117"/>
      <c r="S67" s="156"/>
    </row>
    <row r="68" spans="1:19" ht="100.8" x14ac:dyDescent="0.3">
      <c r="A68" s="27">
        <v>66</v>
      </c>
      <c r="B68" s="110">
        <v>3</v>
      </c>
      <c r="C68" s="111">
        <v>5</v>
      </c>
      <c r="D68" s="221"/>
      <c r="E68" s="221"/>
      <c r="F68" s="112" t="s">
        <v>476</v>
      </c>
      <c r="G68" s="113" t="s">
        <v>477</v>
      </c>
      <c r="H68" s="112" t="s">
        <v>478</v>
      </c>
      <c r="I68" s="114">
        <v>46059</v>
      </c>
      <c r="J68" s="115">
        <v>16</v>
      </c>
      <c r="K68" s="115">
        <v>52</v>
      </c>
      <c r="L68" s="115">
        <v>293</v>
      </c>
      <c r="M68" s="116" t="str">
        <f t="shared" si="2"/>
        <v>16-52-293</v>
      </c>
      <c r="N68" s="117" t="str">
        <f>IFERROR(VLOOKUP(M68,'LISTA ITEMS (2)'!$E$2:$G$910,2,FALSE)," ")</f>
        <v>TERMICO EPBE63M1NC63M1NC32 1P+N C32 (MAXGE)</v>
      </c>
      <c r="O68" s="118" t="str">
        <f>IFERROR(VLOOKUP(M68,'LISTA ITEMS (2)'!$E$2:$G$910,3,FALSE)," ")</f>
        <v>UND</v>
      </c>
      <c r="P68" s="173">
        <v>2</v>
      </c>
      <c r="Q68" s="112" t="s">
        <v>479</v>
      </c>
      <c r="R68" s="117"/>
      <c r="S68" s="156"/>
    </row>
    <row r="69" spans="1:19" ht="100.8" x14ac:dyDescent="0.3">
      <c r="A69" s="27">
        <v>67</v>
      </c>
      <c r="B69" s="110">
        <v>3</v>
      </c>
      <c r="C69" s="111">
        <v>5</v>
      </c>
      <c r="D69" s="221"/>
      <c r="E69" s="221"/>
      <c r="F69" s="112" t="s">
        <v>476</v>
      </c>
      <c r="G69" s="113" t="s">
        <v>477</v>
      </c>
      <c r="H69" s="112" t="s">
        <v>478</v>
      </c>
      <c r="I69" s="114">
        <v>46059</v>
      </c>
      <c r="J69" s="115">
        <v>16</v>
      </c>
      <c r="K69" s="115">
        <v>47</v>
      </c>
      <c r="L69" s="115">
        <v>318</v>
      </c>
      <c r="M69" s="116" t="str">
        <f t="shared" si="2"/>
        <v>16-47-318</v>
      </c>
      <c r="N69" s="117" t="str">
        <f>IFERROR(VLOOKUP(M69,'LISTA ITEMS (2)'!$E$2:$G$910,2,FALSE)," ")</f>
        <v>DIFERENCIAL EPR2A040030 2P-40A-30mA (MAXGE)</v>
      </c>
      <c r="O69" s="118" t="str">
        <f>IFERROR(VLOOKUP(M69,'LISTA ITEMS (2)'!$E$2:$G$910,3,FALSE)," ")</f>
        <v>UND</v>
      </c>
      <c r="P69" s="173">
        <v>1</v>
      </c>
      <c r="Q69" s="112" t="s">
        <v>479</v>
      </c>
      <c r="R69" s="117"/>
      <c r="S69" s="156"/>
    </row>
    <row r="70" spans="1:19" ht="100.8" x14ac:dyDescent="0.3">
      <c r="A70" s="27">
        <v>68</v>
      </c>
      <c r="B70" s="110">
        <v>3</v>
      </c>
      <c r="C70" s="111">
        <v>5</v>
      </c>
      <c r="D70" s="221"/>
      <c r="E70" s="221"/>
      <c r="F70" s="112" t="s">
        <v>476</v>
      </c>
      <c r="G70" s="113" t="s">
        <v>477</v>
      </c>
      <c r="H70" s="112" t="s">
        <v>478</v>
      </c>
      <c r="I70" s="114">
        <v>46059</v>
      </c>
      <c r="J70" s="115">
        <v>16</v>
      </c>
      <c r="K70" s="115">
        <v>49</v>
      </c>
      <c r="L70" s="115">
        <v>288</v>
      </c>
      <c r="M70" s="116" t="str">
        <f t="shared" si="2"/>
        <v>16-49-288</v>
      </c>
      <c r="N70" s="117" t="str">
        <f>IFERROR(VLOOKUP(M70,'LISTA ITEMS (2)'!$E$2:$G$910,2,FALSE)," ")</f>
        <v>CONTACTOR MODULAR EPC1-6322-P7 (MAXGE)</v>
      </c>
      <c r="O70" s="118" t="str">
        <f>IFERROR(VLOOKUP(M70,'LISTA ITEMS (2)'!$E$2:$G$910,3,FALSE)," ")</f>
        <v>UND</v>
      </c>
      <c r="P70" s="173">
        <v>1</v>
      </c>
      <c r="Q70" s="112" t="s">
        <v>479</v>
      </c>
      <c r="R70" s="117"/>
      <c r="S70" s="156"/>
    </row>
    <row r="71" spans="1:19" ht="100.8" x14ac:dyDescent="0.3">
      <c r="A71" s="27">
        <v>69</v>
      </c>
      <c r="B71" s="110">
        <v>3</v>
      </c>
      <c r="C71" s="111">
        <v>5</v>
      </c>
      <c r="D71" s="221"/>
      <c r="E71" s="221"/>
      <c r="F71" s="112" t="s">
        <v>476</v>
      </c>
      <c r="G71" s="113" t="s">
        <v>477</v>
      </c>
      <c r="H71" s="112" t="s">
        <v>478</v>
      </c>
      <c r="I71" s="114">
        <v>46059</v>
      </c>
      <c r="J71" s="115">
        <v>16</v>
      </c>
      <c r="K71" s="115">
        <v>51</v>
      </c>
      <c r="L71" s="115">
        <v>309</v>
      </c>
      <c r="M71" s="116" t="str">
        <f t="shared" si="2"/>
        <v>16-51-309</v>
      </c>
      <c r="N71" s="117" t="str">
        <f>IFERROR(VLOOKUP(M71,'LISTA ITEMS (2)'!$E$2:$G$910,2,FALSE)," ")</f>
        <v>LIMITADOR MONOFASICO EPS1 C/2 - 275-40 (MAXGE)</v>
      </c>
      <c r="O71" s="118" t="str">
        <f>IFERROR(VLOOKUP(M71,'LISTA ITEMS (2)'!$E$2:$G$910,3,FALSE)," ")</f>
        <v>UND</v>
      </c>
      <c r="P71" s="173">
        <v>1</v>
      </c>
      <c r="Q71" s="112" t="s">
        <v>479</v>
      </c>
      <c r="R71" s="117"/>
      <c r="S71" s="156"/>
    </row>
    <row r="72" spans="1:19" ht="100.8" x14ac:dyDescent="0.3">
      <c r="A72" s="27">
        <v>70</v>
      </c>
      <c r="B72" s="110">
        <v>3</v>
      </c>
      <c r="C72" s="111">
        <v>5</v>
      </c>
      <c r="D72" s="221"/>
      <c r="E72" s="221"/>
      <c r="F72" s="112" t="s">
        <v>476</v>
      </c>
      <c r="G72" s="113" t="s">
        <v>477</v>
      </c>
      <c r="H72" s="112" t="s">
        <v>478</v>
      </c>
      <c r="I72" s="114">
        <v>46059</v>
      </c>
      <c r="J72" s="115">
        <v>16</v>
      </c>
      <c r="K72" s="115">
        <v>53</v>
      </c>
      <c r="L72" s="115">
        <v>289</v>
      </c>
      <c r="M72" s="116" t="str">
        <f t="shared" si="2"/>
        <v>16-53-289</v>
      </c>
      <c r="N72" s="117" t="str">
        <f>IFERROR(VLOOKUP(M72,'LISTA ITEMS (2)'!$E$2:$G$910,2,FALSE)," ")</f>
        <v>PINCHO DE COMUNICACIÓN WIFI SHINEWILAN X (GROWATT)</v>
      </c>
      <c r="O72" s="118" t="str">
        <f>IFERROR(VLOOKUP(M72,'LISTA ITEMS (2)'!$E$2:$G$910,3,FALSE)," ")</f>
        <v>UND</v>
      </c>
      <c r="P72" s="173">
        <v>1</v>
      </c>
      <c r="Q72" s="112" t="s">
        <v>479</v>
      </c>
      <c r="R72" s="117"/>
      <c r="S72" s="156"/>
    </row>
    <row r="73" spans="1:19" ht="100.8" x14ac:dyDescent="0.3">
      <c r="A73" s="27">
        <v>71</v>
      </c>
      <c r="B73" s="110">
        <v>3</v>
      </c>
      <c r="C73" s="111">
        <v>5</v>
      </c>
      <c r="D73" s="221"/>
      <c r="E73" s="221"/>
      <c r="F73" s="112" t="s">
        <v>476</v>
      </c>
      <c r="G73" s="113" t="s">
        <v>477</v>
      </c>
      <c r="H73" s="112" t="s">
        <v>478</v>
      </c>
      <c r="I73" s="114">
        <v>46059</v>
      </c>
      <c r="J73" s="115">
        <v>16</v>
      </c>
      <c r="K73" s="115">
        <v>45</v>
      </c>
      <c r="L73" s="115">
        <v>275</v>
      </c>
      <c r="M73" s="116" t="str">
        <f t="shared" si="2"/>
        <v>16-45-275</v>
      </c>
      <c r="N73" s="117" t="str">
        <f>IFERROR(VLOOKUP(M73,'LISTA ITEMS (2)'!$E$2:$G$910,2,FALSE)," ")</f>
        <v>CAJA DISTRIBUCION INTERIOR 18 ELEM. (SOLERA)</v>
      </c>
      <c r="O73" s="118" t="str">
        <f>IFERROR(VLOOKUP(M73,'LISTA ITEMS (2)'!$E$2:$G$910,3,FALSE)," ")</f>
        <v>UND</v>
      </c>
      <c r="P73" s="173">
        <v>1</v>
      </c>
      <c r="Q73" s="112" t="s">
        <v>479</v>
      </c>
      <c r="R73" s="117"/>
      <c r="S73" s="156"/>
    </row>
    <row r="74" spans="1:19" ht="100.8" x14ac:dyDescent="0.3">
      <c r="A74" s="27">
        <v>72</v>
      </c>
      <c r="B74" s="110">
        <v>3</v>
      </c>
      <c r="C74" s="111">
        <v>5</v>
      </c>
      <c r="D74" s="221"/>
      <c r="E74" s="221"/>
      <c r="F74" s="112" t="s">
        <v>476</v>
      </c>
      <c r="G74" s="113" t="s">
        <v>477</v>
      </c>
      <c r="H74" s="112" t="s">
        <v>478</v>
      </c>
      <c r="I74" s="114">
        <v>46059</v>
      </c>
      <c r="J74" s="115">
        <v>16</v>
      </c>
      <c r="K74" s="115">
        <v>45</v>
      </c>
      <c r="L74" s="115">
        <v>276</v>
      </c>
      <c r="M74" s="116" t="str">
        <f t="shared" si="2"/>
        <v>16-45-276</v>
      </c>
      <c r="N74" s="117" t="str">
        <f>IFERROR(VLOOKUP(M74,'LISTA ITEMS (2)'!$E$2:$G$910,2,FALSE)," ")</f>
        <v>CAJA ESTANCA (COCHERA) EXTERIOR 18PT (IDE)</v>
      </c>
      <c r="O74" s="118" t="str">
        <f>IFERROR(VLOOKUP(M74,'LISTA ITEMS (2)'!$E$2:$G$910,3,FALSE)," ")</f>
        <v>UND</v>
      </c>
      <c r="P74" s="173">
        <v>1</v>
      </c>
      <c r="Q74" s="112" t="s">
        <v>479</v>
      </c>
      <c r="R74" s="117"/>
      <c r="S74" s="156"/>
    </row>
    <row r="75" spans="1:19" ht="100.8" x14ac:dyDescent="0.3">
      <c r="A75" s="27">
        <v>73</v>
      </c>
      <c r="B75" s="110">
        <v>3</v>
      </c>
      <c r="C75" s="111">
        <v>5</v>
      </c>
      <c r="D75" s="221"/>
      <c r="E75" s="221"/>
      <c r="F75" s="112" t="s">
        <v>476</v>
      </c>
      <c r="G75" s="113" t="s">
        <v>477</v>
      </c>
      <c r="H75" s="112" t="s">
        <v>478</v>
      </c>
      <c r="I75" s="114">
        <v>46059</v>
      </c>
      <c r="J75" s="115">
        <v>16</v>
      </c>
      <c r="K75" s="115">
        <v>45</v>
      </c>
      <c r="L75" s="115">
        <v>317</v>
      </c>
      <c r="M75" s="116" t="str">
        <f t="shared" si="2"/>
        <v>16-45-317</v>
      </c>
      <c r="N75" s="117" t="str">
        <f>IFERROR(VLOOKUP(M75,'LISTA ITEMS (2)'!$E$2:$G$910,2,FALSE)," ")</f>
        <v>CAJA DISTRIBUCION INTERIOR 8 ELEM. (SOLERA)</v>
      </c>
      <c r="O75" s="118" t="str">
        <f>IFERROR(VLOOKUP(M75,'LISTA ITEMS (2)'!$E$2:$G$910,3,FALSE)," ")</f>
        <v>UND</v>
      </c>
      <c r="P75" s="173">
        <v>1</v>
      </c>
      <c r="Q75" s="112" t="s">
        <v>479</v>
      </c>
      <c r="R75" s="117"/>
      <c r="S75" s="156"/>
    </row>
    <row r="76" spans="1:19" ht="100.8" x14ac:dyDescent="0.3">
      <c r="A76" s="27">
        <v>74</v>
      </c>
      <c r="B76" s="110">
        <v>3</v>
      </c>
      <c r="C76" s="111">
        <v>5</v>
      </c>
      <c r="D76" s="221"/>
      <c r="E76" s="221"/>
      <c r="F76" s="112" t="s">
        <v>476</v>
      </c>
      <c r="G76" s="113" t="s">
        <v>477</v>
      </c>
      <c r="H76" s="112" t="s">
        <v>478</v>
      </c>
      <c r="I76" s="114">
        <v>46059</v>
      </c>
      <c r="J76" s="115">
        <v>3</v>
      </c>
      <c r="K76" s="115">
        <v>31</v>
      </c>
      <c r="L76" s="115">
        <v>211</v>
      </c>
      <c r="M76" s="116" t="str">
        <f t="shared" si="2"/>
        <v>3-31-211</v>
      </c>
      <c r="N76" s="117" t="str">
        <f>IFERROR(VLOOKUP(M76,'LISTA ITEMS (2)'!$E$2:$G$910,2,FALSE)," ")</f>
        <v>CABLE Nª 6 C/ALTERNA VERDE/AMARILLO</v>
      </c>
      <c r="O76" s="118" t="str">
        <f>IFERROR(VLOOKUP(M76,'LISTA ITEMS (2)'!$E$2:$G$910,3,FALSE)," ")</f>
        <v>MT</v>
      </c>
      <c r="P76" s="173">
        <v>100</v>
      </c>
      <c r="Q76" s="112" t="s">
        <v>479</v>
      </c>
      <c r="R76" s="117"/>
      <c r="S76" s="156"/>
    </row>
    <row r="77" spans="1:19" ht="100.8" x14ac:dyDescent="0.3">
      <c r="A77" s="27">
        <v>75</v>
      </c>
      <c r="B77" s="110">
        <v>3</v>
      </c>
      <c r="C77" s="111">
        <v>5</v>
      </c>
      <c r="D77" s="221"/>
      <c r="E77" s="221"/>
      <c r="F77" s="112" t="s">
        <v>476</v>
      </c>
      <c r="G77" s="113" t="s">
        <v>477</v>
      </c>
      <c r="H77" s="112" t="s">
        <v>478</v>
      </c>
      <c r="I77" s="114">
        <v>46059</v>
      </c>
      <c r="J77" s="115">
        <v>3</v>
      </c>
      <c r="K77" s="115">
        <v>31</v>
      </c>
      <c r="L77" s="115">
        <v>212</v>
      </c>
      <c r="M77" s="116" t="str">
        <f t="shared" si="2"/>
        <v>3-31-212</v>
      </c>
      <c r="N77" s="117" t="str">
        <f>IFERROR(VLOOKUP(M77,'LISTA ITEMS (2)'!$E$2:$G$910,2,FALSE)," ")</f>
        <v>CABLE Nª 6 C/ALTERNA AZUL</v>
      </c>
      <c r="O77" s="118" t="str">
        <f>IFERROR(VLOOKUP(M77,'LISTA ITEMS (2)'!$E$2:$G$910,3,FALSE)," ")</f>
        <v>MT</v>
      </c>
      <c r="P77" s="173">
        <v>100</v>
      </c>
      <c r="Q77" s="112" t="s">
        <v>479</v>
      </c>
      <c r="R77" s="117"/>
      <c r="S77" s="156"/>
    </row>
    <row r="78" spans="1:19" ht="100.8" x14ac:dyDescent="0.3">
      <c r="A78" s="27">
        <v>76</v>
      </c>
      <c r="B78" s="110">
        <v>3</v>
      </c>
      <c r="C78" s="111">
        <v>5</v>
      </c>
      <c r="D78" s="221"/>
      <c r="E78" s="221"/>
      <c r="F78" s="112" t="s">
        <v>476</v>
      </c>
      <c r="G78" s="113" t="s">
        <v>477</v>
      </c>
      <c r="H78" s="112" t="s">
        <v>478</v>
      </c>
      <c r="I78" s="114">
        <v>46059</v>
      </c>
      <c r="J78" s="115">
        <v>7</v>
      </c>
      <c r="K78" s="115">
        <v>35</v>
      </c>
      <c r="L78" s="115">
        <v>286</v>
      </c>
      <c r="M78" s="116" t="str">
        <f t="shared" si="2"/>
        <v>7-35-286</v>
      </c>
      <c r="N78" s="117" t="str">
        <f>IFERROR(VLOOKUP(M78,'LISTA ITEMS (2)'!$E$2:$G$910,2,FALSE)," ")</f>
        <v>INVERSOR SPH 6000TL BL-UP 6KW (GROWATT)</v>
      </c>
      <c r="O78" s="118" t="str">
        <f>IFERROR(VLOOKUP(M78,'LISTA ITEMS (2)'!$E$2:$G$910,3,FALSE)," ")</f>
        <v>UND</v>
      </c>
      <c r="P78" s="173">
        <v>1</v>
      </c>
      <c r="Q78" s="112" t="s">
        <v>479</v>
      </c>
      <c r="R78" s="117"/>
      <c r="S78" s="156"/>
    </row>
    <row r="79" spans="1:19" ht="100.8" x14ac:dyDescent="0.3">
      <c r="A79" s="27">
        <v>77</v>
      </c>
      <c r="B79" s="110">
        <v>3</v>
      </c>
      <c r="C79" s="111">
        <v>5</v>
      </c>
      <c r="D79" s="221"/>
      <c r="E79" s="221"/>
      <c r="F79" s="112" t="s">
        <v>476</v>
      </c>
      <c r="G79" s="113" t="s">
        <v>477</v>
      </c>
      <c r="H79" s="112" t="s">
        <v>478</v>
      </c>
      <c r="I79" s="114">
        <v>46059</v>
      </c>
      <c r="J79" s="115">
        <v>7</v>
      </c>
      <c r="K79" s="115">
        <v>54</v>
      </c>
      <c r="L79" s="115">
        <v>295</v>
      </c>
      <c r="M79" s="116" t="str">
        <f t="shared" si="2"/>
        <v>7-54-295</v>
      </c>
      <c r="N79" s="117" t="str">
        <f>IFERROR(VLOOKUP(M79,'LISTA ITEMS (2)'!$E$2:$G$910,2,FALSE)," ")</f>
        <v>BATERIA LFP LITHIUM DL5.OC (DYNESS)</v>
      </c>
      <c r="O79" s="118" t="str">
        <f>IFERROR(VLOOKUP(M79,'LISTA ITEMS (2)'!$E$2:$G$910,3,FALSE)," ")</f>
        <v>UND</v>
      </c>
      <c r="P79" s="173">
        <v>1</v>
      </c>
      <c r="Q79" s="112" t="s">
        <v>479</v>
      </c>
      <c r="R79" s="117"/>
      <c r="S79" s="156"/>
    </row>
    <row r="80" spans="1:19" ht="28.8" x14ac:dyDescent="0.3">
      <c r="A80" s="27">
        <v>78</v>
      </c>
      <c r="B80" s="122">
        <v>4</v>
      </c>
      <c r="C80" s="94"/>
      <c r="D80" s="246"/>
      <c r="E80" s="246"/>
      <c r="F80" s="181" t="s">
        <v>480</v>
      </c>
      <c r="G80" s="20"/>
      <c r="H80" s="181" t="s">
        <v>483</v>
      </c>
      <c r="I80" s="28">
        <v>46058</v>
      </c>
      <c r="J80" s="16" t="s">
        <v>484</v>
      </c>
      <c r="K80" s="16" t="s">
        <v>485</v>
      </c>
      <c r="L80" s="16" t="s">
        <v>486</v>
      </c>
      <c r="M80" s="247" t="str">
        <f t="shared" si="2"/>
        <v>3-31-209</v>
      </c>
      <c r="N80" s="17" t="str">
        <f>IFERROR(VLOOKUP(M80,'LISTA ITEMS (2)'!$E$2:$G$910,2,FALSE)," ")</f>
        <v>CABLE Nª 6 C/ALTERNA MARRON</v>
      </c>
      <c r="O80" s="30" t="str">
        <f>IFERROR(VLOOKUP(M80,'LISTA ITEMS (2)'!$E$2:$G$910,3,FALSE)," ")</f>
        <v>MT</v>
      </c>
      <c r="P80" s="176">
        <v>100</v>
      </c>
      <c r="Q80" s="181"/>
      <c r="R80" s="17"/>
      <c r="S80" s="156">
        <v>30</v>
      </c>
    </row>
    <row r="81" spans="1:19" ht="28.8" x14ac:dyDescent="0.3">
      <c r="A81" s="27">
        <v>79</v>
      </c>
      <c r="B81" s="122">
        <v>4</v>
      </c>
      <c r="C81" s="94"/>
      <c r="D81" s="246"/>
      <c r="E81" s="246"/>
      <c r="F81" s="181" t="s">
        <v>480</v>
      </c>
      <c r="G81" s="20"/>
      <c r="H81" s="181" t="s">
        <v>483</v>
      </c>
      <c r="I81" s="28">
        <v>46058</v>
      </c>
      <c r="J81" s="16" t="s">
        <v>484</v>
      </c>
      <c r="K81" s="16" t="s">
        <v>485</v>
      </c>
      <c r="L81" s="16" t="s">
        <v>487</v>
      </c>
      <c r="M81" s="247" t="str">
        <f t="shared" si="2"/>
        <v>3-31-210</v>
      </c>
      <c r="N81" s="17" t="str">
        <f>IFERROR(VLOOKUP(M81,'LISTA ITEMS (2)'!$E$2:$G$910,2,FALSE)," ")</f>
        <v>CABLE Nª 6 C/ALTERNA GRIS</v>
      </c>
      <c r="O81" s="30" t="str">
        <f>IFERROR(VLOOKUP(M81,'LISTA ITEMS (2)'!$E$2:$G$910,3,FALSE)," ")</f>
        <v>MT</v>
      </c>
      <c r="P81" s="176">
        <v>100</v>
      </c>
      <c r="Q81" s="181"/>
      <c r="R81" s="17"/>
      <c r="S81" s="156">
        <v>30</v>
      </c>
    </row>
    <row r="82" spans="1:19" ht="28.8" x14ac:dyDescent="0.3">
      <c r="A82" s="27">
        <v>80</v>
      </c>
      <c r="B82" s="122">
        <v>4</v>
      </c>
      <c r="C82" s="94"/>
      <c r="D82" s="246"/>
      <c r="E82" s="246"/>
      <c r="F82" s="181" t="s">
        <v>480</v>
      </c>
      <c r="G82" s="20"/>
      <c r="H82" s="181" t="s">
        <v>483</v>
      </c>
      <c r="I82" s="28">
        <v>46058</v>
      </c>
      <c r="J82" s="16" t="s">
        <v>484</v>
      </c>
      <c r="K82" s="16" t="s">
        <v>485</v>
      </c>
      <c r="L82" s="16" t="s">
        <v>488</v>
      </c>
      <c r="M82" s="247" t="str">
        <f t="shared" si="2"/>
        <v>3-31-212</v>
      </c>
      <c r="N82" s="17" t="str">
        <f>IFERROR(VLOOKUP(M82,'LISTA ITEMS (2)'!$E$2:$G$910,2,FALSE)," ")</f>
        <v>CABLE Nª 6 C/ALTERNA AZUL</v>
      </c>
      <c r="O82" s="30" t="str">
        <f>IFERROR(VLOOKUP(M82,'LISTA ITEMS (2)'!$E$2:$G$910,3,FALSE)," ")</f>
        <v>MT</v>
      </c>
      <c r="P82" s="176">
        <v>100</v>
      </c>
      <c r="Q82" s="181"/>
      <c r="R82" s="17"/>
      <c r="S82" s="156">
        <v>100</v>
      </c>
    </row>
    <row r="83" spans="1:19" ht="28.8" x14ac:dyDescent="0.3">
      <c r="A83" s="27">
        <v>81</v>
      </c>
      <c r="B83" s="122">
        <v>4</v>
      </c>
      <c r="C83" s="94"/>
      <c r="D83" s="246"/>
      <c r="E83" s="246"/>
      <c r="F83" s="181" t="s">
        <v>480</v>
      </c>
      <c r="G83" s="20"/>
      <c r="H83" s="181" t="s">
        <v>483</v>
      </c>
      <c r="I83" s="28">
        <v>46058</v>
      </c>
      <c r="J83" s="16" t="s">
        <v>484</v>
      </c>
      <c r="K83" s="16" t="s">
        <v>485</v>
      </c>
      <c r="L83" s="16" t="s">
        <v>489</v>
      </c>
      <c r="M83" s="247" t="str">
        <f t="shared" si="2"/>
        <v>3-31-213</v>
      </c>
      <c r="N83" s="17" t="str">
        <f>IFERROR(VLOOKUP(M83,'LISTA ITEMS (2)'!$E$2:$G$910,2,FALSE)," ")</f>
        <v>CABLE Nª 6 C/ALTERNA NEGRO</v>
      </c>
      <c r="O83" s="30" t="str">
        <f>IFERROR(VLOOKUP(M83,'LISTA ITEMS (2)'!$E$2:$G$910,3,FALSE)," ")</f>
        <v>MT</v>
      </c>
      <c r="P83" s="176">
        <v>100</v>
      </c>
      <c r="Q83" s="181"/>
      <c r="R83" s="17"/>
      <c r="S83" s="156">
        <v>100</v>
      </c>
    </row>
    <row r="84" spans="1:19" ht="28.8" x14ac:dyDescent="0.3">
      <c r="A84" s="27">
        <v>82</v>
      </c>
      <c r="B84" s="122">
        <v>4</v>
      </c>
      <c r="C84" s="94"/>
      <c r="D84" s="246"/>
      <c r="E84" s="246"/>
      <c r="F84" s="181" t="s">
        <v>480</v>
      </c>
      <c r="G84" s="20"/>
      <c r="H84" s="181" t="s">
        <v>483</v>
      </c>
      <c r="I84" s="28">
        <v>46058</v>
      </c>
      <c r="J84" s="16" t="s">
        <v>490</v>
      </c>
      <c r="K84" s="16" t="s">
        <v>491</v>
      </c>
      <c r="L84" s="16" t="s">
        <v>492</v>
      </c>
      <c r="M84" s="247" t="str">
        <f t="shared" si="2"/>
        <v>9-32-224</v>
      </c>
      <c r="N84" s="17" t="str">
        <f>IFERROR(VLOOKUP(M84,'LISTA ITEMS (2)'!$E$2:$G$910,2,FALSE)," ")</f>
        <v>CURVA PVC M-25 GRIS TIPO B</v>
      </c>
      <c r="O84" s="30" t="str">
        <f>IFERROR(VLOOKUP(M84,'LISTA ITEMS (2)'!$E$2:$G$910,3,FALSE)," ")</f>
        <v>UND</v>
      </c>
      <c r="P84" s="176">
        <v>20</v>
      </c>
      <c r="Q84" s="181"/>
      <c r="R84" s="17"/>
      <c r="S84" s="156"/>
    </row>
    <row r="85" spans="1:19" ht="28.8" x14ac:dyDescent="0.3">
      <c r="A85" s="27">
        <v>83</v>
      </c>
      <c r="B85" s="122">
        <v>4</v>
      </c>
      <c r="C85" s="94"/>
      <c r="D85" s="246"/>
      <c r="E85" s="246"/>
      <c r="F85" s="181" t="s">
        <v>480</v>
      </c>
      <c r="G85" s="20"/>
      <c r="H85" s="181" t="s">
        <v>483</v>
      </c>
      <c r="I85" s="28">
        <v>46058</v>
      </c>
      <c r="J85" s="16" t="s">
        <v>484</v>
      </c>
      <c r="K85" s="16" t="s">
        <v>485</v>
      </c>
      <c r="L85" s="16" t="s">
        <v>493</v>
      </c>
      <c r="M85" s="247" t="str">
        <f t="shared" si="2"/>
        <v>3-31-221</v>
      </c>
      <c r="N85" s="17" t="str">
        <f>IFERROR(VLOOKUP(M85,'LISTA ITEMS (2)'!$E$2:$G$910,2,FALSE)," ")</f>
        <v>CABLE Nª 10 C/ALTERNA AZUL</v>
      </c>
      <c r="O85" s="30" t="str">
        <f>IFERROR(VLOOKUP(M85,'LISTA ITEMS (2)'!$E$2:$G$910,3,FALSE)," ")</f>
        <v>MT</v>
      </c>
      <c r="P85" s="176">
        <v>100</v>
      </c>
      <c r="Q85" s="181"/>
      <c r="R85" s="17"/>
      <c r="S85" s="156">
        <v>25</v>
      </c>
    </row>
    <row r="86" spans="1:19" ht="28.8" x14ac:dyDescent="0.3">
      <c r="A86" s="27">
        <v>84</v>
      </c>
      <c r="B86" s="122">
        <v>4</v>
      </c>
      <c r="C86" s="94"/>
      <c r="D86" s="246"/>
      <c r="E86" s="246"/>
      <c r="F86" s="181" t="s">
        <v>480</v>
      </c>
      <c r="G86" s="20"/>
      <c r="H86" s="181" t="s">
        <v>483</v>
      </c>
      <c r="I86" s="28">
        <v>46058</v>
      </c>
      <c r="J86" s="16" t="s">
        <v>484</v>
      </c>
      <c r="K86" s="16" t="s">
        <v>485</v>
      </c>
      <c r="L86" s="16" t="s">
        <v>494</v>
      </c>
      <c r="M86" s="247" t="str">
        <f t="shared" si="2"/>
        <v>3-31-220</v>
      </c>
      <c r="N86" s="17" t="str">
        <f>IFERROR(VLOOKUP(M86,'LISTA ITEMS (2)'!$E$2:$G$910,2,FALSE)," ")</f>
        <v>CABLE Nª 10 C/ALTERNA GRIS</v>
      </c>
      <c r="O86" s="30" t="str">
        <f>IFERROR(VLOOKUP(M86,'LISTA ITEMS (2)'!$E$2:$G$910,3,FALSE)," ")</f>
        <v>MT</v>
      </c>
      <c r="P86" s="176">
        <v>100</v>
      </c>
      <c r="Q86" s="181"/>
      <c r="R86" s="17"/>
      <c r="S86" s="156">
        <v>80</v>
      </c>
    </row>
    <row r="87" spans="1:19" ht="28.8" x14ac:dyDescent="0.3">
      <c r="A87" s="27">
        <v>85</v>
      </c>
      <c r="B87" s="122">
        <v>4</v>
      </c>
      <c r="C87" s="94"/>
      <c r="D87" s="246"/>
      <c r="E87" s="246"/>
      <c r="F87" s="181" t="s">
        <v>480</v>
      </c>
      <c r="G87" s="20"/>
      <c r="H87" s="181" t="s">
        <v>483</v>
      </c>
      <c r="I87" s="28">
        <v>46058</v>
      </c>
      <c r="J87" s="16" t="s">
        <v>484</v>
      </c>
      <c r="K87" s="16" t="s">
        <v>485</v>
      </c>
      <c r="L87" s="16" t="s">
        <v>495</v>
      </c>
      <c r="M87" s="247" t="str">
        <f t="shared" si="2"/>
        <v>3-31-219</v>
      </c>
      <c r="N87" s="17" t="str">
        <f>IFERROR(VLOOKUP(M87,'LISTA ITEMS (2)'!$E$2:$G$910,2,FALSE)," ")</f>
        <v>CABLE Nª 10 C/ALTERNA MARRON</v>
      </c>
      <c r="O87" s="30" t="str">
        <f>IFERROR(VLOOKUP(M87,'LISTA ITEMS (2)'!$E$2:$G$910,3,FALSE)," ")</f>
        <v>MT</v>
      </c>
      <c r="P87" s="176">
        <v>60</v>
      </c>
      <c r="Q87" s="181"/>
      <c r="R87" s="17"/>
      <c r="S87" s="156">
        <v>25</v>
      </c>
    </row>
    <row r="88" spans="1:19" ht="28.8" x14ac:dyDescent="0.3">
      <c r="A88" s="27">
        <v>86</v>
      </c>
      <c r="B88" s="122">
        <v>4</v>
      </c>
      <c r="C88" s="94"/>
      <c r="D88" s="246"/>
      <c r="E88" s="246"/>
      <c r="F88" s="181" t="s">
        <v>480</v>
      </c>
      <c r="G88" s="20"/>
      <c r="H88" s="181" t="s">
        <v>483</v>
      </c>
      <c r="I88" s="28">
        <v>46058</v>
      </c>
      <c r="J88" s="16" t="s">
        <v>484</v>
      </c>
      <c r="K88" s="16" t="s">
        <v>485</v>
      </c>
      <c r="L88" s="16" t="s">
        <v>496</v>
      </c>
      <c r="M88" s="247" t="str">
        <f t="shared" si="2"/>
        <v>3-31-222</v>
      </c>
      <c r="N88" s="17" t="str">
        <f>IFERROR(VLOOKUP(M88,'LISTA ITEMS (2)'!$E$2:$G$910,2,FALSE)," ")</f>
        <v>CABLE Nª 10 C/ALTERNA NEGRO</v>
      </c>
      <c r="O88" s="30" t="str">
        <f>IFERROR(VLOOKUP(M88,'LISTA ITEMS (2)'!$E$2:$G$910,3,FALSE)," ")</f>
        <v>MT</v>
      </c>
      <c r="P88" s="176">
        <v>80</v>
      </c>
      <c r="Q88" s="181"/>
      <c r="R88" s="17"/>
      <c r="S88" s="156">
        <v>25</v>
      </c>
    </row>
    <row r="89" spans="1:19" ht="28.8" x14ac:dyDescent="0.3">
      <c r="A89" s="27">
        <v>87</v>
      </c>
      <c r="B89" s="122">
        <v>4</v>
      </c>
      <c r="C89" s="94"/>
      <c r="D89" s="246"/>
      <c r="E89" s="246"/>
      <c r="F89" s="181" t="s">
        <v>480</v>
      </c>
      <c r="G89" s="20"/>
      <c r="H89" s="181" t="s">
        <v>483</v>
      </c>
      <c r="I89" s="28">
        <v>46058</v>
      </c>
      <c r="J89" s="16" t="s">
        <v>484</v>
      </c>
      <c r="K89" s="16" t="s">
        <v>485</v>
      </c>
      <c r="L89" s="16" t="s">
        <v>497</v>
      </c>
      <c r="M89" s="247" t="str">
        <f t="shared" si="2"/>
        <v>3-31-218</v>
      </c>
      <c r="N89" s="17" t="str">
        <f>IFERROR(VLOOKUP(M89,'LISTA ITEMS (2)'!$E$2:$G$910,2,FALSE)," ")</f>
        <v>CABLE Nª 10 C/ALTERNA VERDE/AMARILLO</v>
      </c>
      <c r="O89" s="30" t="str">
        <f>IFERROR(VLOOKUP(M89,'LISTA ITEMS (2)'!$E$2:$G$910,3,FALSE)," ")</f>
        <v>MT</v>
      </c>
      <c r="P89" s="176">
        <v>70</v>
      </c>
      <c r="Q89" s="181"/>
      <c r="R89" s="17"/>
      <c r="S89" s="156">
        <v>25</v>
      </c>
    </row>
    <row r="90" spans="1:19" ht="28.8" x14ac:dyDescent="0.3">
      <c r="A90" s="27">
        <v>88</v>
      </c>
      <c r="B90" s="122">
        <v>4</v>
      </c>
      <c r="C90" s="94"/>
      <c r="D90" s="246"/>
      <c r="E90" s="246"/>
      <c r="F90" s="181" t="s">
        <v>480</v>
      </c>
      <c r="G90" s="20"/>
      <c r="H90" s="181" t="s">
        <v>483</v>
      </c>
      <c r="I90" s="28">
        <v>46058</v>
      </c>
      <c r="J90" s="16" t="s">
        <v>498</v>
      </c>
      <c r="K90" s="16" t="s">
        <v>499</v>
      </c>
      <c r="L90" s="16" t="s">
        <v>500</v>
      </c>
      <c r="M90" s="247" t="str">
        <f t="shared" si="2"/>
        <v>13-22-184</v>
      </c>
      <c r="N90" s="17" t="str">
        <f>IFERROR(VLOOKUP(M90,'LISTA ITEMS (2)'!$E$2:$G$910,2,FALSE)," ")</f>
        <v>BRIDA P/EXTERIOR NEGRA</v>
      </c>
      <c r="O90" s="30" t="str">
        <f>IFERROR(VLOOKUP(M90,'LISTA ITEMS (2)'!$E$2:$G$910,3,FALSE)," ")</f>
        <v>UND</v>
      </c>
      <c r="P90" s="176">
        <v>100</v>
      </c>
      <c r="Q90" s="181"/>
      <c r="R90" s="17"/>
      <c r="S90" s="156"/>
    </row>
    <row r="91" spans="1:19" ht="28.8" x14ac:dyDescent="0.3">
      <c r="A91" s="27">
        <v>89</v>
      </c>
      <c r="B91" s="122">
        <v>4</v>
      </c>
      <c r="C91" s="94"/>
      <c r="D91" s="246"/>
      <c r="E91" s="246"/>
      <c r="F91" s="181" t="s">
        <v>480</v>
      </c>
      <c r="G91" s="20"/>
      <c r="H91" s="181" t="s">
        <v>483</v>
      </c>
      <c r="I91" s="28">
        <v>46058</v>
      </c>
      <c r="J91" s="16" t="s">
        <v>498</v>
      </c>
      <c r="K91" s="16" t="s">
        <v>501</v>
      </c>
      <c r="L91" s="16" t="s">
        <v>502</v>
      </c>
      <c r="M91" s="247" t="str">
        <f t="shared" si="2"/>
        <v>13-21-181</v>
      </c>
      <c r="N91" s="17" t="str">
        <f>IFERROR(VLOOKUP(M91,'LISTA ITEMS (2)'!$E$2:$G$910,2,FALSE)," ")</f>
        <v>TACO P/BRIDA NEGRO</v>
      </c>
      <c r="O91" s="30" t="str">
        <f>IFERROR(VLOOKUP(M91,'LISTA ITEMS (2)'!$E$2:$G$910,3,FALSE)," ")</f>
        <v>UND</v>
      </c>
      <c r="P91" s="176">
        <v>100</v>
      </c>
      <c r="Q91" s="181"/>
      <c r="R91" s="17"/>
      <c r="S91" s="156"/>
    </row>
    <row r="92" spans="1:19" ht="28.8" x14ac:dyDescent="0.3">
      <c r="A92" s="27">
        <v>90</v>
      </c>
      <c r="B92" s="122">
        <v>4</v>
      </c>
      <c r="C92" s="94"/>
      <c r="D92" s="246"/>
      <c r="E92" s="246"/>
      <c r="F92" s="181" t="s">
        <v>480</v>
      </c>
      <c r="G92" s="20"/>
      <c r="H92" s="181" t="s">
        <v>483</v>
      </c>
      <c r="I92" s="28">
        <v>46058</v>
      </c>
      <c r="J92" s="16" t="s">
        <v>503</v>
      </c>
      <c r="K92" s="16" t="s">
        <v>504</v>
      </c>
      <c r="L92" s="16" t="s">
        <v>505</v>
      </c>
      <c r="M92" s="247" t="str">
        <f t="shared" si="2"/>
        <v>16-47-280</v>
      </c>
      <c r="N92" s="17" t="str">
        <f>IFERROR(VLOOKUP(M92,'LISTA ITEMS (2)'!$E$2:$G$910,2,FALSE)," ")</f>
        <v>DIFERENCIAL EPR2A063030 2P-63A-30mA (MAXGE)</v>
      </c>
      <c r="O92" s="30" t="str">
        <f>IFERROR(VLOOKUP(M92,'LISTA ITEMS (2)'!$E$2:$G$910,3,FALSE)," ")</f>
        <v>UND</v>
      </c>
      <c r="P92" s="176">
        <v>1</v>
      </c>
      <c r="Q92" s="181"/>
      <c r="R92" s="17"/>
      <c r="S92" s="156"/>
    </row>
    <row r="93" spans="1:19" ht="28.8" x14ac:dyDescent="0.3">
      <c r="A93" s="27">
        <v>91</v>
      </c>
      <c r="B93" s="122">
        <v>4</v>
      </c>
      <c r="C93" s="94"/>
      <c r="D93" s="246"/>
      <c r="E93" s="246"/>
      <c r="F93" s="181" t="s">
        <v>480</v>
      </c>
      <c r="G93" s="20"/>
      <c r="H93" s="181" t="s">
        <v>483</v>
      </c>
      <c r="I93" s="28">
        <v>46058</v>
      </c>
      <c r="J93" s="16" t="s">
        <v>503</v>
      </c>
      <c r="K93" s="16" t="s">
        <v>506</v>
      </c>
      <c r="L93" s="16" t="s">
        <v>507</v>
      </c>
      <c r="M93" s="247" t="str">
        <f t="shared" si="2"/>
        <v>16-49-288</v>
      </c>
      <c r="N93" s="17" t="str">
        <f>IFERROR(VLOOKUP(M93,'LISTA ITEMS (2)'!$E$2:$G$910,2,FALSE)," ")</f>
        <v>CONTACTOR MODULAR EPC1-6322-P7 (MAXGE)</v>
      </c>
      <c r="O93" s="30" t="str">
        <f>IFERROR(VLOOKUP(M93,'LISTA ITEMS (2)'!$E$2:$G$910,3,FALSE)," ")</f>
        <v>UND</v>
      </c>
      <c r="P93" s="176">
        <v>1</v>
      </c>
      <c r="Q93" s="181"/>
      <c r="R93" s="17"/>
      <c r="S93" s="156"/>
    </row>
    <row r="94" spans="1:19" ht="28.8" x14ac:dyDescent="0.3">
      <c r="A94" s="27">
        <v>92</v>
      </c>
      <c r="B94" s="122">
        <v>4</v>
      </c>
      <c r="C94" s="94"/>
      <c r="D94" s="246"/>
      <c r="E94" s="246"/>
      <c r="F94" s="181" t="s">
        <v>480</v>
      </c>
      <c r="G94" s="20"/>
      <c r="H94" s="181" t="s">
        <v>483</v>
      </c>
      <c r="I94" s="28">
        <v>46058</v>
      </c>
      <c r="J94" s="16" t="s">
        <v>503</v>
      </c>
      <c r="K94" s="16" t="s">
        <v>508</v>
      </c>
      <c r="L94" s="16" t="s">
        <v>509</v>
      </c>
      <c r="M94" s="247" t="str">
        <f t="shared" si="2"/>
        <v>16-53-290</v>
      </c>
      <c r="N94" s="17" t="str">
        <f>IFERROR(VLOOKUP(M94,'LISTA ITEMS (2)'!$E$2:$G$910,2,FALSE)," ")</f>
        <v>PINCHO DE COMUNICACIÓN WIFI SHINEWILAN X2 (GROWATT)</v>
      </c>
      <c r="O94" s="30" t="str">
        <f>IFERROR(VLOOKUP(M94,'LISTA ITEMS (2)'!$E$2:$G$910,3,FALSE)," ")</f>
        <v>UND</v>
      </c>
      <c r="P94" s="176">
        <v>1</v>
      </c>
      <c r="Q94" s="181"/>
      <c r="R94" s="17"/>
      <c r="S94" s="156"/>
    </row>
    <row r="95" spans="1:19" ht="28.8" x14ac:dyDescent="0.3">
      <c r="A95" s="27">
        <v>93</v>
      </c>
      <c r="B95" s="122">
        <v>4</v>
      </c>
      <c r="C95" s="94"/>
      <c r="D95" s="246"/>
      <c r="E95" s="246"/>
      <c r="F95" s="181" t="s">
        <v>480</v>
      </c>
      <c r="G95" s="20"/>
      <c r="H95" s="181" t="s">
        <v>483</v>
      </c>
      <c r="I95" s="28">
        <v>46058</v>
      </c>
      <c r="J95" s="16" t="s">
        <v>490</v>
      </c>
      <c r="K95" s="16" t="s">
        <v>510</v>
      </c>
      <c r="L95" s="16" t="s">
        <v>511</v>
      </c>
      <c r="M95" s="247" t="str">
        <f t="shared" si="2"/>
        <v>9-2-291</v>
      </c>
      <c r="N95" s="17" t="str">
        <f>IFERROR(VLOOKUP(M95,'LISTA ITEMS (2)'!$E$2:$G$910,2,FALSE)," ")</f>
        <v>TUBO ELECTRICO PVC 25mm - 3mt(AISCAN)</v>
      </c>
      <c r="O95" s="30" t="str">
        <f>IFERROR(VLOOKUP(M95,'LISTA ITEMS (2)'!$E$2:$G$910,3,FALSE)," ")</f>
        <v>UND</v>
      </c>
      <c r="P95" s="176">
        <v>8</v>
      </c>
      <c r="Q95" s="181"/>
      <c r="R95" s="17"/>
      <c r="S95" s="156"/>
    </row>
    <row r="96" spans="1:19" ht="28.8" x14ac:dyDescent="0.3">
      <c r="A96" s="27">
        <v>94</v>
      </c>
      <c r="B96" s="122">
        <v>4</v>
      </c>
      <c r="C96" s="94"/>
      <c r="D96" s="246"/>
      <c r="E96" s="246"/>
      <c r="F96" s="181" t="s">
        <v>480</v>
      </c>
      <c r="G96" s="20"/>
      <c r="H96" s="181" t="s">
        <v>483</v>
      </c>
      <c r="I96" s="28">
        <v>46058</v>
      </c>
      <c r="J96" s="16" t="s">
        <v>503</v>
      </c>
      <c r="K96" s="16" t="s">
        <v>512</v>
      </c>
      <c r="L96" s="16" t="s">
        <v>513</v>
      </c>
      <c r="M96" s="247" t="str">
        <f t="shared" si="2"/>
        <v>16-52-292</v>
      </c>
      <c r="N96" s="17" t="str">
        <f>IFERROR(VLOOKUP(M96,'LISTA ITEMS (2)'!$E$2:$G$910,2,FALSE)," ")</f>
        <v>TERMICO EPBE63M1NC63M1NC40 1P+N C40 (MAXGE)</v>
      </c>
      <c r="O96" s="30" t="str">
        <f>IFERROR(VLOOKUP(M96,'LISTA ITEMS (2)'!$E$2:$G$910,3,FALSE)," ")</f>
        <v>UND</v>
      </c>
      <c r="P96" s="176">
        <v>1</v>
      </c>
      <c r="Q96" s="181"/>
      <c r="R96" s="17"/>
      <c r="S96" s="156"/>
    </row>
    <row r="97" spans="1:19" ht="28.8" x14ac:dyDescent="0.3">
      <c r="A97" s="27">
        <v>95</v>
      </c>
      <c r="B97" s="122">
        <v>4</v>
      </c>
      <c r="C97" s="94"/>
      <c r="D97" s="246"/>
      <c r="E97" s="246"/>
      <c r="F97" s="181" t="s">
        <v>480</v>
      </c>
      <c r="G97" s="20"/>
      <c r="H97" s="181" t="s">
        <v>483</v>
      </c>
      <c r="I97" s="28">
        <v>46058</v>
      </c>
      <c r="J97" s="16" t="s">
        <v>503</v>
      </c>
      <c r="K97" s="16" t="s">
        <v>512</v>
      </c>
      <c r="L97" s="16" t="s">
        <v>514</v>
      </c>
      <c r="M97" s="247" t="str">
        <f t="shared" si="2"/>
        <v>16-52-293</v>
      </c>
      <c r="N97" s="17" t="str">
        <f>IFERROR(VLOOKUP(M97,'LISTA ITEMS (2)'!$E$2:$G$910,2,FALSE)," ")</f>
        <v>TERMICO EPBE63M1NC63M1NC32 1P+N C32 (MAXGE)</v>
      </c>
      <c r="O97" s="30" t="str">
        <f>IFERROR(VLOOKUP(M97,'LISTA ITEMS (2)'!$E$2:$G$910,3,FALSE)," ")</f>
        <v>UND</v>
      </c>
      <c r="P97" s="176">
        <v>1</v>
      </c>
      <c r="Q97" s="181"/>
      <c r="R97" s="17"/>
      <c r="S97" s="156"/>
    </row>
    <row r="98" spans="1:19" ht="28.8" x14ac:dyDescent="0.3">
      <c r="A98" s="27">
        <v>96</v>
      </c>
      <c r="B98" s="122">
        <v>4</v>
      </c>
      <c r="C98" s="94"/>
      <c r="D98" s="246"/>
      <c r="E98" s="246"/>
      <c r="F98" s="181" t="s">
        <v>480</v>
      </c>
      <c r="G98" s="20"/>
      <c r="H98" s="181" t="s">
        <v>483</v>
      </c>
      <c r="I98" s="28">
        <v>46058</v>
      </c>
      <c r="J98" s="16" t="s">
        <v>503</v>
      </c>
      <c r="K98" s="16" t="s">
        <v>515</v>
      </c>
      <c r="L98" s="16" t="s">
        <v>516</v>
      </c>
      <c r="M98" s="247" t="str">
        <f t="shared" si="2"/>
        <v>16-45-294</v>
      </c>
      <c r="N98" s="17" t="str">
        <f>IFERROR(VLOOKUP(M98,'LISTA ITEMS (2)'!$E$2:$G$910,2,FALSE)," ")</f>
        <v>CAJA DE ESTANCA 133X180X80 EV161 (IDE)</v>
      </c>
      <c r="O98" s="30" t="str">
        <f>IFERROR(VLOOKUP(M98,'LISTA ITEMS (2)'!$E$2:$G$910,3,FALSE)," ")</f>
        <v>UND</v>
      </c>
      <c r="P98" s="176">
        <v>1</v>
      </c>
      <c r="Q98" s="181"/>
      <c r="R98" s="17"/>
      <c r="S98" s="156"/>
    </row>
    <row r="99" spans="1:19" ht="28.8" x14ac:dyDescent="0.3">
      <c r="A99" s="27">
        <v>97</v>
      </c>
      <c r="B99" s="122">
        <v>4</v>
      </c>
      <c r="C99" s="94"/>
      <c r="D99" s="246"/>
      <c r="E99" s="246"/>
      <c r="F99" s="181" t="s">
        <v>480</v>
      </c>
      <c r="G99" s="20"/>
      <c r="H99" s="181" t="s">
        <v>483</v>
      </c>
      <c r="I99" s="28">
        <v>46058</v>
      </c>
      <c r="J99" s="16" t="s">
        <v>517</v>
      </c>
      <c r="K99" s="16" t="s">
        <v>518</v>
      </c>
      <c r="L99" s="16" t="s">
        <v>519</v>
      </c>
      <c r="M99" s="247" t="str">
        <f t="shared" ref="M99:M130" si="3">CONCATENATE(J99,"-",K99,"-",L99)</f>
        <v>7-54-295</v>
      </c>
      <c r="N99" s="17" t="str">
        <f>IFERROR(VLOOKUP(M99,'LISTA ITEMS (2)'!$E$2:$G$910,2,FALSE)," ")</f>
        <v>BATERIA LFP LITHIUM DL5.OC (DYNESS)</v>
      </c>
      <c r="O99" s="30" t="str">
        <f>IFERROR(VLOOKUP(M99,'LISTA ITEMS (2)'!$E$2:$G$910,3,FALSE)," ")</f>
        <v>UND</v>
      </c>
      <c r="P99" s="176">
        <v>2</v>
      </c>
      <c r="Q99" s="181"/>
      <c r="R99" s="17" t="s">
        <v>481</v>
      </c>
      <c r="S99" s="156"/>
    </row>
    <row r="100" spans="1:19" ht="28.8" x14ac:dyDescent="0.3">
      <c r="A100" s="27">
        <v>98</v>
      </c>
      <c r="B100" s="122">
        <v>4</v>
      </c>
      <c r="C100" s="94"/>
      <c r="D100" s="246"/>
      <c r="E100" s="246"/>
      <c r="F100" s="181" t="s">
        <v>480</v>
      </c>
      <c r="G100" s="20"/>
      <c r="H100" s="181" t="s">
        <v>483</v>
      </c>
      <c r="I100" s="28">
        <v>46058</v>
      </c>
      <c r="J100" s="16" t="s">
        <v>517</v>
      </c>
      <c r="K100" s="16" t="s">
        <v>520</v>
      </c>
      <c r="L100" s="16" t="s">
        <v>521</v>
      </c>
      <c r="M100" s="247" t="str">
        <f t="shared" si="3"/>
        <v>7-35-286</v>
      </c>
      <c r="N100" s="17" t="str">
        <f>IFERROR(VLOOKUP(M100,'LISTA ITEMS (2)'!$E$2:$G$910,2,FALSE)," ")</f>
        <v>INVERSOR SPH 6000TL BL-UP 6KW (GROWATT)</v>
      </c>
      <c r="O100" s="30" t="str">
        <f>IFERROR(VLOOKUP(M100,'LISTA ITEMS (2)'!$E$2:$G$910,3,FALSE)," ")</f>
        <v>UND</v>
      </c>
      <c r="P100" s="176">
        <v>1</v>
      </c>
      <c r="Q100" s="181"/>
      <c r="R100" s="17" t="s">
        <v>482</v>
      </c>
      <c r="S100" s="156"/>
    </row>
    <row r="101" spans="1:19" ht="28.8" x14ac:dyDescent="0.3">
      <c r="A101" s="27">
        <v>99</v>
      </c>
      <c r="B101" s="122">
        <v>4</v>
      </c>
      <c r="C101" s="94"/>
      <c r="D101" s="246"/>
      <c r="E101" s="246"/>
      <c r="F101" s="181" t="s">
        <v>480</v>
      </c>
      <c r="G101" s="20"/>
      <c r="H101" s="181" t="s">
        <v>483</v>
      </c>
      <c r="I101" s="28">
        <v>46058</v>
      </c>
      <c r="J101" s="16" t="s">
        <v>503</v>
      </c>
      <c r="K101" s="16" t="s">
        <v>515</v>
      </c>
      <c r="L101" s="16" t="s">
        <v>522</v>
      </c>
      <c r="M101" s="247" t="str">
        <f t="shared" si="3"/>
        <v>16-45-275</v>
      </c>
      <c r="N101" s="17" t="str">
        <f>IFERROR(VLOOKUP(M101,'LISTA ITEMS (2)'!$E$2:$G$910,2,FALSE)," ")</f>
        <v>CAJA DISTRIBUCION INTERIOR 18 ELEM. (SOLERA)</v>
      </c>
      <c r="O101" s="30" t="str">
        <f>IFERROR(VLOOKUP(M101,'LISTA ITEMS (2)'!$E$2:$G$910,3,FALSE)," ")</f>
        <v>UND</v>
      </c>
      <c r="P101" s="176">
        <v>1</v>
      </c>
      <c r="Q101" s="181"/>
      <c r="R101" s="17"/>
      <c r="S101" s="156"/>
    </row>
    <row r="102" spans="1:19" ht="28.8" x14ac:dyDescent="0.3">
      <c r="A102" s="27">
        <v>100</v>
      </c>
      <c r="B102" s="110">
        <v>5</v>
      </c>
      <c r="C102" s="111">
        <v>7</v>
      </c>
      <c r="D102" s="221"/>
      <c r="E102" s="221"/>
      <c r="F102" s="113" t="s">
        <v>259</v>
      </c>
      <c r="G102" s="113" t="s">
        <v>126</v>
      </c>
      <c r="H102" s="112" t="s">
        <v>550</v>
      </c>
      <c r="I102" s="114">
        <v>46306</v>
      </c>
      <c r="J102" s="115">
        <v>16</v>
      </c>
      <c r="K102" s="115">
        <v>52</v>
      </c>
      <c r="L102" s="115">
        <v>293</v>
      </c>
      <c r="M102" s="116" t="str">
        <f t="shared" si="3"/>
        <v>16-52-293</v>
      </c>
      <c r="N102" s="117" t="str">
        <f>IFERROR(VLOOKUP(M102,'LISTA ITEMS (2)'!$E$2:$G$910,2,FALSE)," ")</f>
        <v>TERMICO EPBE63M1NC63M1NC32 1P+N C32 (MAXGE)</v>
      </c>
      <c r="O102" s="118" t="str">
        <f>IFERROR(VLOOKUP(M102,'LISTA ITEMS (2)'!$E$2:$G$910,3,FALSE)," ")</f>
        <v>UND</v>
      </c>
      <c r="P102" s="173">
        <v>1</v>
      </c>
      <c r="Q102" s="112"/>
      <c r="R102" s="117"/>
      <c r="S102" s="156">
        <v>1</v>
      </c>
    </row>
    <row r="103" spans="1:19" ht="28.8" x14ac:dyDescent="0.3">
      <c r="A103" s="27">
        <v>101</v>
      </c>
      <c r="B103" s="110">
        <v>5</v>
      </c>
      <c r="C103" s="111">
        <v>7</v>
      </c>
      <c r="D103" s="221"/>
      <c r="E103" s="221"/>
      <c r="F103" s="113" t="s">
        <v>259</v>
      </c>
      <c r="G103" s="113" t="s">
        <v>126</v>
      </c>
      <c r="H103" s="112" t="s">
        <v>550</v>
      </c>
      <c r="I103" s="114">
        <v>46306</v>
      </c>
      <c r="J103" s="115">
        <v>16</v>
      </c>
      <c r="K103" s="115">
        <v>52</v>
      </c>
      <c r="L103" s="115">
        <v>292</v>
      </c>
      <c r="M103" s="116" t="str">
        <f t="shared" si="3"/>
        <v>16-52-292</v>
      </c>
      <c r="N103" s="117" t="str">
        <f>IFERROR(VLOOKUP(M103,'LISTA ITEMS (2)'!$E$2:$G$910,2,FALSE)," ")</f>
        <v>TERMICO EPBE63M1NC63M1NC40 1P+N C40 (MAXGE)</v>
      </c>
      <c r="O103" s="118" t="str">
        <f>IFERROR(VLOOKUP(M103,'LISTA ITEMS (2)'!$E$2:$G$910,3,FALSE)," ")</f>
        <v>UND</v>
      </c>
      <c r="P103" s="173">
        <v>1</v>
      </c>
      <c r="Q103" s="112"/>
      <c r="R103" s="117"/>
      <c r="S103" s="156">
        <v>1</v>
      </c>
    </row>
    <row r="104" spans="1:19" ht="28.8" x14ac:dyDescent="0.3">
      <c r="A104" s="27">
        <v>102</v>
      </c>
      <c r="B104" s="110">
        <v>5</v>
      </c>
      <c r="C104" s="111">
        <v>7</v>
      </c>
      <c r="D104" s="221"/>
      <c r="E104" s="221"/>
      <c r="F104" s="113" t="s">
        <v>259</v>
      </c>
      <c r="G104" s="113" t="s">
        <v>126</v>
      </c>
      <c r="H104" s="112" t="s">
        <v>550</v>
      </c>
      <c r="I104" s="114">
        <v>46306</v>
      </c>
      <c r="J104" s="115">
        <v>16</v>
      </c>
      <c r="K104" s="115">
        <v>52</v>
      </c>
      <c r="L104" s="115">
        <v>285</v>
      </c>
      <c r="M104" s="116" t="str">
        <f t="shared" si="3"/>
        <v>16-52-285</v>
      </c>
      <c r="N104" s="117" t="str">
        <f>IFERROR(VLOOKUP(M104,'LISTA ITEMS (2)'!$E$2:$G$910,2,FALSE)," ")</f>
        <v>TERMICO EPBE63M1NC63 1P+N C63 (MAXGE)</v>
      </c>
      <c r="O104" s="118" t="str">
        <f>IFERROR(VLOOKUP(M104,'LISTA ITEMS (2)'!$E$2:$G$910,3,FALSE)," ")</f>
        <v>UND</v>
      </c>
      <c r="P104" s="173">
        <v>1</v>
      </c>
      <c r="Q104" s="112"/>
      <c r="R104" s="117"/>
      <c r="S104" s="156">
        <v>1</v>
      </c>
    </row>
    <row r="105" spans="1:19" ht="28.8" x14ac:dyDescent="0.3">
      <c r="A105" s="27">
        <v>103</v>
      </c>
      <c r="B105" s="110">
        <v>5</v>
      </c>
      <c r="C105" s="111">
        <v>7</v>
      </c>
      <c r="D105" s="221"/>
      <c r="E105" s="221"/>
      <c r="F105" s="113" t="s">
        <v>259</v>
      </c>
      <c r="G105" s="113" t="s">
        <v>126</v>
      </c>
      <c r="H105" s="112" t="s">
        <v>550</v>
      </c>
      <c r="I105" s="114">
        <v>46306</v>
      </c>
      <c r="J105" s="115">
        <v>16</v>
      </c>
      <c r="K105" s="115">
        <v>47</v>
      </c>
      <c r="L105" s="115">
        <v>318</v>
      </c>
      <c r="M105" s="116" t="str">
        <f t="shared" si="3"/>
        <v>16-47-318</v>
      </c>
      <c r="N105" s="117" t="str">
        <f>IFERROR(VLOOKUP(M105,'LISTA ITEMS (2)'!$E$2:$G$910,2,FALSE)," ")</f>
        <v>DIFERENCIAL EPR2A040030 2P-40A-30mA (MAXGE)</v>
      </c>
      <c r="O105" s="118" t="str">
        <f>IFERROR(VLOOKUP(M105,'LISTA ITEMS (2)'!$E$2:$G$910,3,FALSE)," ")</f>
        <v>UND</v>
      </c>
      <c r="P105" s="173">
        <v>1</v>
      </c>
      <c r="Q105" s="112"/>
      <c r="R105" s="117"/>
      <c r="S105" s="156">
        <v>1</v>
      </c>
    </row>
    <row r="106" spans="1:19" ht="28.8" x14ac:dyDescent="0.3">
      <c r="A106" s="27">
        <v>104</v>
      </c>
      <c r="B106" s="110">
        <v>5</v>
      </c>
      <c r="C106" s="111">
        <v>7</v>
      </c>
      <c r="D106" s="221"/>
      <c r="E106" s="221"/>
      <c r="F106" s="113" t="s">
        <v>259</v>
      </c>
      <c r="G106" s="113" t="s">
        <v>126</v>
      </c>
      <c r="H106" s="112" t="s">
        <v>550</v>
      </c>
      <c r="I106" s="114">
        <v>46306</v>
      </c>
      <c r="J106" s="115">
        <v>16</v>
      </c>
      <c r="K106" s="115">
        <v>56</v>
      </c>
      <c r="L106" s="115">
        <v>303</v>
      </c>
      <c r="M106" s="116" t="str">
        <f t="shared" si="3"/>
        <v>16-56-303</v>
      </c>
      <c r="N106" s="117" t="str">
        <f>IFERROR(VLOOKUP(M106,'LISTA ITEMS (2)'!$E$2:$G$910,2,FALSE)," ")</f>
        <v>METER MONOFASICO 230/161-276Vac (GROWATT)</v>
      </c>
      <c r="O106" s="118" t="str">
        <f>IFERROR(VLOOKUP(M106,'LISTA ITEMS (2)'!$E$2:$G$910,3,FALSE)," ")</f>
        <v>UND</v>
      </c>
      <c r="P106" s="173">
        <v>1</v>
      </c>
      <c r="Q106" s="112"/>
      <c r="R106" s="117"/>
      <c r="S106" s="156">
        <v>1</v>
      </c>
    </row>
    <row r="107" spans="1:19" ht="28.8" x14ac:dyDescent="0.3">
      <c r="A107" s="27">
        <v>105</v>
      </c>
      <c r="B107" s="110">
        <v>5</v>
      </c>
      <c r="C107" s="111">
        <v>7</v>
      </c>
      <c r="D107" s="221"/>
      <c r="E107" s="221"/>
      <c r="F107" s="113" t="s">
        <v>259</v>
      </c>
      <c r="G107" s="113" t="s">
        <v>126</v>
      </c>
      <c r="H107" s="112" t="s">
        <v>550</v>
      </c>
      <c r="I107" s="114">
        <v>46306</v>
      </c>
      <c r="J107" s="115">
        <v>16</v>
      </c>
      <c r="K107" s="115">
        <v>56</v>
      </c>
      <c r="L107" s="115">
        <v>302</v>
      </c>
      <c r="M107" s="116" t="str">
        <f t="shared" si="3"/>
        <v>16-56-302</v>
      </c>
      <c r="N107" s="117" t="str">
        <f>IFERROR(VLOOKUP(M107,'LISTA ITEMS (2)'!$E$2:$G$910,2,FALSE)," ")</f>
        <v>METER TRIFASICO 230/400Vac (GROWATT)</v>
      </c>
      <c r="O107" s="118" t="str">
        <f>IFERROR(VLOOKUP(M107,'LISTA ITEMS (2)'!$E$2:$G$910,3,FALSE)," ")</f>
        <v>UND</v>
      </c>
      <c r="P107" s="173">
        <v>1</v>
      </c>
      <c r="Q107" s="112"/>
      <c r="R107" s="117"/>
      <c r="S107" s="156">
        <v>1</v>
      </c>
    </row>
    <row r="108" spans="1:19" ht="28.8" x14ac:dyDescent="0.3">
      <c r="A108" s="27">
        <v>106</v>
      </c>
      <c r="B108" s="110">
        <v>5</v>
      </c>
      <c r="C108" s="111">
        <v>7</v>
      </c>
      <c r="D108" s="221"/>
      <c r="E108" s="221"/>
      <c r="F108" s="113" t="s">
        <v>259</v>
      </c>
      <c r="G108" s="113" t="s">
        <v>126</v>
      </c>
      <c r="H108" s="112" t="s">
        <v>550</v>
      </c>
      <c r="I108" s="114">
        <v>46306</v>
      </c>
      <c r="J108" s="115">
        <v>16</v>
      </c>
      <c r="K108" s="115">
        <v>53</v>
      </c>
      <c r="L108" s="115">
        <v>328</v>
      </c>
      <c r="M108" s="116" t="str">
        <f t="shared" si="3"/>
        <v>16-53-328</v>
      </c>
      <c r="N108" s="117" t="str">
        <f>IFERROR(VLOOKUP(M108,'LISTA ITEMS (2)'!$E$2:$G$910,2,FALSE)," ")</f>
        <v>PINCHO DE COMUNICACIÓN WIFI SHINErfsTICK- X  BLANCO (GROWATT)</v>
      </c>
      <c r="O108" s="118" t="str">
        <f>IFERROR(VLOOKUP(M108,'LISTA ITEMS (2)'!$E$2:$G$910,3,FALSE)," ")</f>
        <v>UND</v>
      </c>
      <c r="P108" s="173">
        <v>1</v>
      </c>
      <c r="Q108" s="112"/>
      <c r="R108" s="117"/>
      <c r="S108" s="156">
        <v>1</v>
      </c>
    </row>
    <row r="109" spans="1:19" ht="28.8" x14ac:dyDescent="0.3">
      <c r="A109" s="27">
        <v>107</v>
      </c>
      <c r="B109" s="110">
        <v>5</v>
      </c>
      <c r="C109" s="111">
        <v>7</v>
      </c>
      <c r="D109" s="221"/>
      <c r="E109" s="221"/>
      <c r="F109" s="113" t="s">
        <v>259</v>
      </c>
      <c r="G109" s="113" t="s">
        <v>126</v>
      </c>
      <c r="H109" s="112" t="s">
        <v>550</v>
      </c>
      <c r="I109" s="114">
        <v>46306</v>
      </c>
      <c r="J109" s="115">
        <v>17</v>
      </c>
      <c r="K109" s="115">
        <v>44</v>
      </c>
      <c r="L109" s="115">
        <v>271</v>
      </c>
      <c r="M109" s="116" t="str">
        <f t="shared" si="3"/>
        <v>17-44-271</v>
      </c>
      <c r="N109" s="117" t="str">
        <f>IFERROR(VLOOKUP(M109,'LISTA ITEMS (2)'!$E$2:$G$910,2,FALSE)," ")</f>
        <v>SELLANTE QUIMICO BLANCO</v>
      </c>
      <c r="O109" s="118" t="str">
        <f>IFERROR(VLOOKUP(M109,'LISTA ITEMS (2)'!$E$2:$G$910,3,FALSE)," ")</f>
        <v>UND</v>
      </c>
      <c r="P109" s="173">
        <v>1</v>
      </c>
      <c r="Q109" s="112"/>
      <c r="R109" s="117"/>
      <c r="S109" s="156">
        <v>1</v>
      </c>
    </row>
    <row r="110" spans="1:19" ht="28.8" x14ac:dyDescent="0.3">
      <c r="A110" s="27">
        <v>108</v>
      </c>
      <c r="B110" s="110">
        <v>5</v>
      </c>
      <c r="C110" s="111">
        <v>7</v>
      </c>
      <c r="D110" s="221"/>
      <c r="E110" s="221"/>
      <c r="F110" s="113" t="s">
        <v>259</v>
      </c>
      <c r="G110" s="113" t="s">
        <v>126</v>
      </c>
      <c r="H110" s="112" t="s">
        <v>550</v>
      </c>
      <c r="I110" s="114">
        <v>46306</v>
      </c>
      <c r="J110" s="115">
        <v>17</v>
      </c>
      <c r="K110" s="115">
        <v>44</v>
      </c>
      <c r="L110" s="115">
        <v>272</v>
      </c>
      <c r="M110" s="116" t="str">
        <f t="shared" si="3"/>
        <v>17-44-272</v>
      </c>
      <c r="N110" s="117" t="str">
        <f>IFERROR(VLOOKUP(M110,'LISTA ITEMS (2)'!$E$2:$G$910,2,FALSE)," ")</f>
        <v>SELLANTE QUIMICO GRIS</v>
      </c>
      <c r="O110" s="118" t="str">
        <f>IFERROR(VLOOKUP(M110,'LISTA ITEMS (2)'!$E$2:$G$910,3,FALSE)," ")</f>
        <v>UND</v>
      </c>
      <c r="P110" s="173">
        <v>1</v>
      </c>
      <c r="Q110" s="112"/>
      <c r="R110" s="117"/>
      <c r="S110" s="156">
        <v>1</v>
      </c>
    </row>
    <row r="111" spans="1:19" ht="28.8" x14ac:dyDescent="0.3">
      <c r="A111" s="27">
        <v>109</v>
      </c>
      <c r="B111" s="110">
        <v>5</v>
      </c>
      <c r="C111" s="111">
        <v>7</v>
      </c>
      <c r="D111" s="221"/>
      <c r="E111" s="221"/>
      <c r="F111" s="113" t="s">
        <v>259</v>
      </c>
      <c r="G111" s="113" t="s">
        <v>126</v>
      </c>
      <c r="H111" s="112" t="s">
        <v>550</v>
      </c>
      <c r="I111" s="114">
        <v>46306</v>
      </c>
      <c r="J111" s="115">
        <v>4</v>
      </c>
      <c r="K111" s="115">
        <v>15</v>
      </c>
      <c r="L111" s="115">
        <v>326</v>
      </c>
      <c r="M111" s="116" t="str">
        <f t="shared" si="3"/>
        <v>4-15-326</v>
      </c>
      <c r="N111" s="117" t="str">
        <f>IFERROR(VLOOKUP(M111,'LISTA ITEMS (2)'!$E$2:$G$910,2,FALSE)," ")</f>
        <v>BARRA PERFORADA PARA REFUERZO 27x18x2MT GALV.</v>
      </c>
      <c r="O111" s="118" t="str">
        <f>IFERROR(VLOOKUP(M111,'LISTA ITEMS (2)'!$E$2:$G$910,3,FALSE)," ")</f>
        <v>UND</v>
      </c>
      <c r="P111" s="173">
        <v>7</v>
      </c>
      <c r="Q111" s="112"/>
      <c r="R111" s="117"/>
      <c r="S111" s="156">
        <v>7</v>
      </c>
    </row>
    <row r="112" spans="1:19" ht="28.8" x14ac:dyDescent="0.3">
      <c r="A112" s="27">
        <v>110</v>
      </c>
      <c r="B112" s="110">
        <v>5</v>
      </c>
      <c r="C112" s="111">
        <v>7</v>
      </c>
      <c r="D112" s="221"/>
      <c r="E112" s="221"/>
      <c r="F112" s="113" t="s">
        <v>259</v>
      </c>
      <c r="G112" s="113" t="s">
        <v>126</v>
      </c>
      <c r="H112" s="112" t="s">
        <v>550</v>
      </c>
      <c r="I112" s="114">
        <v>46306</v>
      </c>
      <c r="J112" s="115">
        <v>6</v>
      </c>
      <c r="K112" s="115">
        <v>23</v>
      </c>
      <c r="L112" s="115">
        <v>192</v>
      </c>
      <c r="M112" s="116" t="str">
        <f t="shared" si="3"/>
        <v>6-23-192</v>
      </c>
      <c r="N112" s="117" t="str">
        <f>IFERROR(VLOOKUP(M112,'LISTA ITEMS (2)'!$E$2:$G$910,2,FALSE)," ")</f>
        <v xml:space="preserve">CINTA ACERO PERFORADA PARA MONTAJE </v>
      </c>
      <c r="O112" s="118" t="str">
        <f>IFERROR(VLOOKUP(M112,'LISTA ITEMS (2)'!$E$2:$G$910,3,FALSE)," ")</f>
        <v>UND</v>
      </c>
      <c r="P112" s="173">
        <v>2</v>
      </c>
      <c r="Q112" s="112"/>
      <c r="R112" s="117"/>
      <c r="S112" s="156">
        <v>2</v>
      </c>
    </row>
    <row r="113" spans="1:19" ht="18" x14ac:dyDescent="0.3">
      <c r="A113" s="27">
        <v>111</v>
      </c>
      <c r="B113" s="122">
        <v>6</v>
      </c>
      <c r="C113" s="94" t="s">
        <v>555</v>
      </c>
      <c r="D113" s="246"/>
      <c r="E113" s="246"/>
      <c r="F113" s="94" t="s">
        <v>555</v>
      </c>
      <c r="G113" s="94" t="s">
        <v>555</v>
      </c>
      <c r="H113" s="94" t="s">
        <v>555</v>
      </c>
      <c r="I113" s="94" t="s">
        <v>555</v>
      </c>
      <c r="J113" s="94" t="s">
        <v>555</v>
      </c>
      <c r="K113" s="94" t="s">
        <v>555</v>
      </c>
      <c r="L113" s="94" t="s">
        <v>555</v>
      </c>
      <c r="M113" s="94" t="s">
        <v>555</v>
      </c>
      <c r="N113" s="94" t="s">
        <v>555</v>
      </c>
      <c r="O113" s="94" t="s">
        <v>555</v>
      </c>
      <c r="P113" s="256"/>
      <c r="Q113" s="248" t="s">
        <v>555</v>
      </c>
      <c r="R113" s="17"/>
      <c r="S113" s="156"/>
    </row>
    <row r="114" spans="1:19" s="1" customFormat="1" ht="43.2" x14ac:dyDescent="0.3">
      <c r="A114" s="81">
        <v>112</v>
      </c>
      <c r="B114" s="131">
        <v>7</v>
      </c>
      <c r="C114" s="132">
        <v>9</v>
      </c>
      <c r="D114" s="222"/>
      <c r="E114" s="222"/>
      <c r="F114" s="133" t="s">
        <v>260</v>
      </c>
      <c r="G114" s="133" t="s">
        <v>542</v>
      </c>
      <c r="H114" s="133" t="s">
        <v>262</v>
      </c>
      <c r="I114" s="134">
        <v>46062</v>
      </c>
      <c r="J114" s="109">
        <v>10</v>
      </c>
      <c r="K114" s="109">
        <v>42</v>
      </c>
      <c r="L114" s="109">
        <v>329</v>
      </c>
      <c r="M114" s="135" t="str">
        <f t="shared" ref="M114:M177" si="4">CONCATENATE(J114,"-",K114,"-",L114)</f>
        <v>10-42-329</v>
      </c>
      <c r="N114" s="108" t="str">
        <f>IFERROR(VLOOKUP(M114,'LISTA ITEMS (2)'!$E$2:$G$910,2,FALSE)," ")</f>
        <v>PATA ALUMINIO PARA ESTRUCTURA PLACA SOLAR VELA ANGULO 15º</v>
      </c>
      <c r="O114" s="109" t="str">
        <f>IFERROR(VLOOKUP(M114,'LISTA ITEMS (2)'!$E$2:$G$910,3,FALSE)," ")</f>
        <v>UND</v>
      </c>
      <c r="P114" s="174">
        <v>7</v>
      </c>
      <c r="Q114" s="133"/>
      <c r="R114" s="108"/>
      <c r="S114" s="157">
        <v>3</v>
      </c>
    </row>
    <row r="115" spans="1:19" ht="43.2" x14ac:dyDescent="0.3">
      <c r="A115" s="27">
        <v>113</v>
      </c>
      <c r="B115" s="131">
        <v>7</v>
      </c>
      <c r="C115" s="132">
        <v>9</v>
      </c>
      <c r="D115" s="222"/>
      <c r="E115" s="222"/>
      <c r="F115" s="133" t="s">
        <v>260</v>
      </c>
      <c r="G115" s="133" t="s">
        <v>542</v>
      </c>
      <c r="H115" s="133" t="s">
        <v>262</v>
      </c>
      <c r="I115" s="134">
        <v>46062</v>
      </c>
      <c r="J115" s="106">
        <v>7</v>
      </c>
      <c r="K115" s="106">
        <v>38</v>
      </c>
      <c r="L115" s="106">
        <v>247</v>
      </c>
      <c r="M115" s="107" t="str">
        <f t="shared" si="4"/>
        <v>7-38-247</v>
      </c>
      <c r="N115" s="108" t="str">
        <f>IFERROR(VLOOKUP(M115,'LISTA ITEMS (2)'!$E$2:$G$910,2,FALSE)," ")</f>
        <v>PLACA SOLAR JAM60D42-535LB 535W / 44.13V</v>
      </c>
      <c r="O115" s="109" t="str">
        <f>IFERROR(VLOOKUP(M115,'LISTA ITEMS (2)'!$E$2:$G$910,3,FALSE)," ")</f>
        <v>UND</v>
      </c>
      <c r="P115" s="172">
        <v>12</v>
      </c>
      <c r="Q115" s="133"/>
      <c r="R115" s="108"/>
      <c r="S115" s="157">
        <v>0</v>
      </c>
    </row>
    <row r="116" spans="1:19" ht="43.2" x14ac:dyDescent="0.3">
      <c r="A116" s="27">
        <v>114</v>
      </c>
      <c r="B116" s="131">
        <v>7</v>
      </c>
      <c r="C116" s="132">
        <v>9</v>
      </c>
      <c r="D116" s="222"/>
      <c r="E116" s="222"/>
      <c r="F116" s="133" t="s">
        <v>260</v>
      </c>
      <c r="G116" s="133" t="s">
        <v>542</v>
      </c>
      <c r="H116" s="133" t="s">
        <v>262</v>
      </c>
      <c r="I116" s="134">
        <v>46062</v>
      </c>
      <c r="J116" s="106">
        <v>10</v>
      </c>
      <c r="K116" s="106">
        <v>37</v>
      </c>
      <c r="L116" s="106">
        <v>330</v>
      </c>
      <c r="M116" s="107" t="str">
        <f t="shared" si="4"/>
        <v>10-37-330</v>
      </c>
      <c r="N116" s="108" t="str">
        <f>IFERROR(VLOOKUP(M116,'LISTA ITEMS (2)'!$E$2:$G$910,2,FALSE)," ")</f>
        <v>SOPORTE EN L ALUMINIO GRIS</v>
      </c>
      <c r="O116" s="109" t="str">
        <f>IFERROR(VLOOKUP(M116,'LISTA ITEMS (2)'!$E$2:$G$910,3,FALSE)," ")</f>
        <v>UND</v>
      </c>
      <c r="P116" s="172">
        <v>20</v>
      </c>
      <c r="Q116" s="133"/>
      <c r="R116" s="108"/>
      <c r="S116" s="157">
        <v>12</v>
      </c>
    </row>
    <row r="117" spans="1:19" ht="43.2" x14ac:dyDescent="0.3">
      <c r="A117" s="27">
        <v>115</v>
      </c>
      <c r="B117" s="131">
        <v>7</v>
      </c>
      <c r="C117" s="132">
        <v>9</v>
      </c>
      <c r="D117" s="222"/>
      <c r="E117" s="222"/>
      <c r="F117" s="133" t="s">
        <v>260</v>
      </c>
      <c r="G117" s="133" t="s">
        <v>542</v>
      </c>
      <c r="H117" s="133" t="s">
        <v>262</v>
      </c>
      <c r="I117" s="134">
        <v>46062</v>
      </c>
      <c r="J117" s="106">
        <v>9</v>
      </c>
      <c r="K117" s="106">
        <v>32</v>
      </c>
      <c r="L117" s="106">
        <v>223</v>
      </c>
      <c r="M117" s="107" t="str">
        <f t="shared" si="4"/>
        <v>9-32-223</v>
      </c>
      <c r="N117" s="108" t="str">
        <f>IFERROR(VLOOKUP(M117,'LISTA ITEMS (2)'!$E$2:$G$910,2,FALSE)," ")</f>
        <v>CURVA PVC M-25 GRIS TIPO A</v>
      </c>
      <c r="O117" s="109" t="str">
        <f>IFERROR(VLOOKUP(M117,'LISTA ITEMS (2)'!$E$2:$G$910,3,FALSE)," ")</f>
        <v>UND</v>
      </c>
      <c r="P117" s="172">
        <v>20</v>
      </c>
      <c r="Q117" s="133"/>
      <c r="R117" s="108"/>
      <c r="S117" s="157">
        <v>20</v>
      </c>
    </row>
    <row r="118" spans="1:19" ht="43.2" x14ac:dyDescent="0.3">
      <c r="A118" s="27">
        <v>116</v>
      </c>
      <c r="B118" s="131">
        <v>7</v>
      </c>
      <c r="C118" s="132">
        <v>9</v>
      </c>
      <c r="D118" s="222"/>
      <c r="E118" s="222"/>
      <c r="F118" s="133" t="s">
        <v>260</v>
      </c>
      <c r="G118" s="133" t="s">
        <v>542</v>
      </c>
      <c r="H118" s="133" t="s">
        <v>262</v>
      </c>
      <c r="I118" s="134">
        <v>46062</v>
      </c>
      <c r="J118" s="106">
        <v>3</v>
      </c>
      <c r="K118" s="106">
        <v>31</v>
      </c>
      <c r="L118" s="106">
        <v>277</v>
      </c>
      <c r="M118" s="107" t="str">
        <f t="shared" si="4"/>
        <v>3-31-277</v>
      </c>
      <c r="N118" s="108" t="str">
        <f>IFERROR(VLOOKUP(M118,'LISTA ITEMS (2)'!$E$2:$G$910,2,FALSE)," ")</f>
        <v>CABLE Nª 6 P/PLACA SOLAR NEGRO</v>
      </c>
      <c r="O118" s="109" t="str">
        <f>IFERROR(VLOOKUP(M118,'LISTA ITEMS (2)'!$E$2:$G$910,3,FALSE)," ")</f>
        <v>MT</v>
      </c>
      <c r="P118" s="172">
        <v>15</v>
      </c>
      <c r="Q118" s="133"/>
      <c r="R118" s="108"/>
      <c r="S118" s="157">
        <v>10</v>
      </c>
    </row>
    <row r="119" spans="1:19" ht="43.2" x14ac:dyDescent="0.3">
      <c r="A119" s="27">
        <v>117</v>
      </c>
      <c r="B119" s="131">
        <v>7</v>
      </c>
      <c r="C119" s="132">
        <v>9</v>
      </c>
      <c r="D119" s="222"/>
      <c r="E119" s="222"/>
      <c r="F119" s="133" t="s">
        <v>260</v>
      </c>
      <c r="G119" s="133" t="s">
        <v>542</v>
      </c>
      <c r="H119" s="133" t="s">
        <v>262</v>
      </c>
      <c r="I119" s="134">
        <v>46062</v>
      </c>
      <c r="J119" s="106">
        <v>3</v>
      </c>
      <c r="K119" s="106">
        <v>31</v>
      </c>
      <c r="L119" s="106">
        <v>278</v>
      </c>
      <c r="M119" s="107" t="str">
        <f t="shared" si="4"/>
        <v>3-31-278</v>
      </c>
      <c r="N119" s="108" t="str">
        <f>IFERROR(VLOOKUP(M119,'LISTA ITEMS (2)'!$E$2:$G$910,2,FALSE)," ")</f>
        <v>CABLE Nª 6 P/PLACA SOLAR ROJO</v>
      </c>
      <c r="O119" s="109" t="str">
        <f>IFERROR(VLOOKUP(M119,'LISTA ITEMS (2)'!$E$2:$G$910,3,FALSE)," ")</f>
        <v>MT</v>
      </c>
      <c r="P119" s="172">
        <v>15</v>
      </c>
      <c r="Q119" s="133"/>
      <c r="R119" s="108"/>
      <c r="S119" s="157">
        <v>15</v>
      </c>
    </row>
    <row r="120" spans="1:19" ht="43.2" x14ac:dyDescent="0.3">
      <c r="A120" s="27">
        <v>118</v>
      </c>
      <c r="B120" s="131">
        <v>7</v>
      </c>
      <c r="C120" s="132">
        <v>9</v>
      </c>
      <c r="D120" s="222"/>
      <c r="E120" s="222"/>
      <c r="F120" s="133" t="s">
        <v>260</v>
      </c>
      <c r="G120" s="133" t="s">
        <v>542</v>
      </c>
      <c r="H120" s="133" t="s">
        <v>262</v>
      </c>
      <c r="I120" s="134">
        <v>46062</v>
      </c>
      <c r="J120" s="106">
        <v>10</v>
      </c>
      <c r="K120" s="106">
        <v>43</v>
      </c>
      <c r="L120" s="106">
        <v>270</v>
      </c>
      <c r="M120" s="107" t="str">
        <f t="shared" si="4"/>
        <v>10-43-270</v>
      </c>
      <c r="N120" s="108" t="str">
        <f>IFERROR(VLOOKUP(M120,'LISTA ITEMS (2)'!$E$2:$G$910,2,FALSE)," ")</f>
        <v>EMPALME ALUMINIO P/BARRA</v>
      </c>
      <c r="O120" s="109" t="str">
        <f>IFERROR(VLOOKUP(M120,'LISTA ITEMS (2)'!$E$2:$G$910,3,FALSE)," ")</f>
        <v>UND</v>
      </c>
      <c r="P120" s="172">
        <v>8</v>
      </c>
      <c r="Q120" s="133"/>
      <c r="R120" s="108"/>
      <c r="S120" s="157">
        <v>8</v>
      </c>
    </row>
    <row r="121" spans="1:19" ht="43.2" x14ac:dyDescent="0.3">
      <c r="A121" s="27">
        <v>119</v>
      </c>
      <c r="B121" s="131">
        <v>7</v>
      </c>
      <c r="C121" s="132">
        <v>9</v>
      </c>
      <c r="D121" s="222"/>
      <c r="E121" s="222"/>
      <c r="F121" s="133" t="s">
        <v>260</v>
      </c>
      <c r="G121" s="133" t="s">
        <v>542</v>
      </c>
      <c r="H121" s="133" t="s">
        <v>262</v>
      </c>
      <c r="I121" s="134">
        <v>46062</v>
      </c>
      <c r="J121" s="106">
        <v>16</v>
      </c>
      <c r="K121" s="106">
        <v>61</v>
      </c>
      <c r="L121" s="106">
        <v>331</v>
      </c>
      <c r="M121" s="107" t="str">
        <f t="shared" si="4"/>
        <v>16-61-331</v>
      </c>
      <c r="N121" s="108" t="str">
        <f>IFERROR(VLOOKUP(M121,'LISTA ITEMS (2)'!$E$2:$G$910,2,FALSE)," ")</f>
        <v>CONECTOR FOTOVOLTAICO HEMBRA M4 NEGRO</v>
      </c>
      <c r="O121" s="109" t="str">
        <f>IFERROR(VLOOKUP(M121,'LISTA ITEMS (2)'!$E$2:$G$910,3,FALSE)," ")</f>
        <v>UND</v>
      </c>
      <c r="P121" s="172">
        <v>10</v>
      </c>
      <c r="Q121" s="133"/>
      <c r="R121" s="108"/>
      <c r="S121" s="157">
        <v>3</v>
      </c>
    </row>
    <row r="122" spans="1:19" ht="43.2" x14ac:dyDescent="0.3">
      <c r="A122" s="27">
        <v>120</v>
      </c>
      <c r="B122" s="131">
        <v>7</v>
      </c>
      <c r="C122" s="132">
        <v>9</v>
      </c>
      <c r="D122" s="222"/>
      <c r="E122" s="222"/>
      <c r="F122" s="133" t="s">
        <v>260</v>
      </c>
      <c r="G122" s="133" t="s">
        <v>542</v>
      </c>
      <c r="H122" s="133" t="s">
        <v>262</v>
      </c>
      <c r="I122" s="134">
        <v>46062</v>
      </c>
      <c r="J122" s="106">
        <v>16</v>
      </c>
      <c r="K122" s="106">
        <v>61</v>
      </c>
      <c r="L122" s="106">
        <v>332</v>
      </c>
      <c r="M122" s="107" t="str">
        <f t="shared" si="4"/>
        <v>16-61-332</v>
      </c>
      <c r="N122" s="108" t="str">
        <f>IFERROR(VLOOKUP(M122,'LISTA ITEMS (2)'!$E$2:$G$910,2,FALSE)," ")</f>
        <v>CONECTOR FOTOVOLTAICO MACHO M4 NEGRO</v>
      </c>
      <c r="O122" s="109" t="str">
        <f>IFERROR(VLOOKUP(M122,'LISTA ITEMS (2)'!$E$2:$G$910,3,FALSE)," ")</f>
        <v>UND</v>
      </c>
      <c r="P122" s="172">
        <v>10</v>
      </c>
      <c r="Q122" s="133"/>
      <c r="R122" s="108"/>
      <c r="S122" s="157">
        <v>1</v>
      </c>
    </row>
    <row r="123" spans="1:19" ht="43.2" x14ac:dyDescent="0.3">
      <c r="A123" s="27">
        <v>121</v>
      </c>
      <c r="B123" s="131">
        <v>7</v>
      </c>
      <c r="C123" s="132">
        <v>9</v>
      </c>
      <c r="D123" s="222"/>
      <c r="E123" s="222"/>
      <c r="F123" s="133" t="s">
        <v>260</v>
      </c>
      <c r="G123" s="133" t="s">
        <v>542</v>
      </c>
      <c r="H123" s="133" t="s">
        <v>262</v>
      </c>
      <c r="I123" s="134">
        <v>46062</v>
      </c>
      <c r="J123" s="106">
        <v>6</v>
      </c>
      <c r="K123" s="106">
        <v>23</v>
      </c>
      <c r="L123" s="106">
        <v>192</v>
      </c>
      <c r="M123" s="107" t="str">
        <f t="shared" si="4"/>
        <v>6-23-192</v>
      </c>
      <c r="N123" s="108" t="str">
        <f>IFERROR(VLOOKUP(M123,'LISTA ITEMS (2)'!$E$2:$G$910,2,FALSE)," ")</f>
        <v xml:space="preserve">CINTA ACERO PERFORADA PARA MONTAJE </v>
      </c>
      <c r="O123" s="109" t="str">
        <f>IFERROR(VLOOKUP(M123,'LISTA ITEMS (2)'!$E$2:$G$910,3,FALSE)," ")</f>
        <v>UND</v>
      </c>
      <c r="P123" s="172">
        <v>1.5</v>
      </c>
      <c r="Q123" s="133"/>
      <c r="R123" s="108"/>
      <c r="S123" s="157">
        <v>2</v>
      </c>
    </row>
    <row r="124" spans="1:19" ht="43.2" x14ac:dyDescent="0.3">
      <c r="A124" s="27">
        <v>122</v>
      </c>
      <c r="B124" s="131">
        <v>7</v>
      </c>
      <c r="C124" s="132">
        <v>9</v>
      </c>
      <c r="D124" s="222"/>
      <c r="E124" s="222"/>
      <c r="F124" s="133" t="s">
        <v>260</v>
      </c>
      <c r="G124" s="133" t="s">
        <v>542</v>
      </c>
      <c r="H124" s="133" t="s">
        <v>262</v>
      </c>
      <c r="I124" s="134">
        <v>46062</v>
      </c>
      <c r="J124" s="106">
        <v>17</v>
      </c>
      <c r="K124" s="106">
        <v>44</v>
      </c>
      <c r="L124" s="106">
        <v>271</v>
      </c>
      <c r="M124" s="107" t="str">
        <f t="shared" si="4"/>
        <v>17-44-271</v>
      </c>
      <c r="N124" s="108" t="str">
        <f>IFERROR(VLOOKUP(M124,'LISTA ITEMS (2)'!$E$2:$G$910,2,FALSE)," ")</f>
        <v>SELLANTE QUIMICO BLANCO</v>
      </c>
      <c r="O124" s="109" t="str">
        <f>IFERROR(VLOOKUP(M124,'LISTA ITEMS (2)'!$E$2:$G$910,3,FALSE)," ")</f>
        <v>UND</v>
      </c>
      <c r="P124" s="172">
        <v>1</v>
      </c>
      <c r="Q124" s="133"/>
      <c r="R124" s="108"/>
      <c r="S124" s="157">
        <v>1</v>
      </c>
    </row>
    <row r="125" spans="1:19" ht="43.2" x14ac:dyDescent="0.3">
      <c r="A125" s="27">
        <v>123</v>
      </c>
      <c r="B125" s="131">
        <v>7</v>
      </c>
      <c r="C125" s="132">
        <v>9</v>
      </c>
      <c r="D125" s="222"/>
      <c r="E125" s="222"/>
      <c r="F125" s="133" t="s">
        <v>260</v>
      </c>
      <c r="G125" s="133" t="s">
        <v>542</v>
      </c>
      <c r="H125" s="133" t="s">
        <v>262</v>
      </c>
      <c r="I125" s="134">
        <v>46062</v>
      </c>
      <c r="J125" s="106">
        <v>17</v>
      </c>
      <c r="K125" s="106">
        <v>44</v>
      </c>
      <c r="L125" s="106">
        <v>272</v>
      </c>
      <c r="M125" s="107" t="str">
        <f t="shared" si="4"/>
        <v>17-44-272</v>
      </c>
      <c r="N125" s="108" t="str">
        <f>IFERROR(VLOOKUP(M125,'LISTA ITEMS (2)'!$E$2:$G$910,2,FALSE)," ")</f>
        <v>SELLANTE QUIMICO GRIS</v>
      </c>
      <c r="O125" s="109" t="str">
        <f>IFERROR(VLOOKUP(M125,'LISTA ITEMS (2)'!$E$2:$G$910,3,FALSE)," ")</f>
        <v>UND</v>
      </c>
      <c r="P125" s="172">
        <v>1</v>
      </c>
      <c r="Q125" s="133"/>
      <c r="R125" s="108"/>
      <c r="S125" s="157">
        <v>1</v>
      </c>
    </row>
    <row r="126" spans="1:19" ht="43.2" x14ac:dyDescent="0.3">
      <c r="A126" s="27">
        <v>124</v>
      </c>
      <c r="B126" s="131">
        <v>7</v>
      </c>
      <c r="C126" s="132">
        <v>9</v>
      </c>
      <c r="D126" s="222"/>
      <c r="E126" s="222"/>
      <c r="F126" s="133" t="s">
        <v>260</v>
      </c>
      <c r="G126" s="133" t="s">
        <v>542</v>
      </c>
      <c r="H126" s="133" t="s">
        <v>262</v>
      </c>
      <c r="I126" s="134">
        <v>46062</v>
      </c>
      <c r="J126" s="106">
        <v>13</v>
      </c>
      <c r="K126" s="106">
        <v>22</v>
      </c>
      <c r="L126" s="106">
        <v>183</v>
      </c>
      <c r="M126" s="107" t="str">
        <f t="shared" si="4"/>
        <v>13-22-183</v>
      </c>
      <c r="N126" s="108" t="str">
        <f>IFERROR(VLOOKUP(M126,'LISTA ITEMS (2)'!$E$2:$G$910,2,FALSE)," ")</f>
        <v>BRIDA P/INTERIOR NEGRA</v>
      </c>
      <c r="O126" s="109" t="str">
        <f>IFERROR(VLOOKUP(M126,'LISTA ITEMS (2)'!$E$2:$G$910,3,FALSE)," ")</f>
        <v>UND</v>
      </c>
      <c r="P126" s="172">
        <v>100</v>
      </c>
      <c r="Q126" s="133"/>
      <c r="R126" s="108"/>
      <c r="S126" s="157">
        <v>100</v>
      </c>
    </row>
    <row r="127" spans="1:19" ht="43.2" x14ac:dyDescent="0.3">
      <c r="A127" s="27">
        <v>125</v>
      </c>
      <c r="B127" s="131">
        <v>7</v>
      </c>
      <c r="C127" s="132">
        <v>9</v>
      </c>
      <c r="D127" s="222"/>
      <c r="E127" s="222"/>
      <c r="F127" s="133" t="s">
        <v>260</v>
      </c>
      <c r="G127" s="133" t="s">
        <v>542</v>
      </c>
      <c r="H127" s="133" t="s">
        <v>262</v>
      </c>
      <c r="I127" s="134">
        <v>46062</v>
      </c>
      <c r="J127" s="106">
        <v>13</v>
      </c>
      <c r="K127" s="106">
        <v>22</v>
      </c>
      <c r="L127" s="106">
        <v>184</v>
      </c>
      <c r="M127" s="107" t="str">
        <f t="shared" si="4"/>
        <v>13-22-184</v>
      </c>
      <c r="N127" s="108" t="str">
        <f>IFERROR(VLOOKUP(M127,'LISTA ITEMS (2)'!$E$2:$G$910,2,FALSE)," ")</f>
        <v>BRIDA P/EXTERIOR NEGRA</v>
      </c>
      <c r="O127" s="109" t="str">
        <f>IFERROR(VLOOKUP(M127,'LISTA ITEMS (2)'!$E$2:$G$910,3,FALSE)," ")</f>
        <v>UND</v>
      </c>
      <c r="P127" s="172">
        <v>50</v>
      </c>
      <c r="Q127" s="133"/>
      <c r="R127" s="108"/>
      <c r="S127" s="157">
        <v>50</v>
      </c>
    </row>
    <row r="128" spans="1:19" ht="43.2" x14ac:dyDescent="0.3">
      <c r="A128" s="27">
        <v>126</v>
      </c>
      <c r="B128" s="131">
        <v>7</v>
      </c>
      <c r="C128" s="132">
        <v>9</v>
      </c>
      <c r="D128" s="222"/>
      <c r="E128" s="222"/>
      <c r="F128" s="133" t="s">
        <v>260</v>
      </c>
      <c r="G128" s="133" t="s">
        <v>542</v>
      </c>
      <c r="H128" s="133" t="s">
        <v>262</v>
      </c>
      <c r="I128" s="134">
        <v>46062</v>
      </c>
      <c r="J128" s="106">
        <v>13</v>
      </c>
      <c r="K128" s="106">
        <v>21</v>
      </c>
      <c r="L128" s="106">
        <v>181</v>
      </c>
      <c r="M128" s="107" t="str">
        <f t="shared" si="4"/>
        <v>13-21-181</v>
      </c>
      <c r="N128" s="108" t="str">
        <f>IFERROR(VLOOKUP(M128,'LISTA ITEMS (2)'!$E$2:$G$910,2,FALSE)," ")</f>
        <v>TACO P/BRIDA NEGRO</v>
      </c>
      <c r="O128" s="109" t="str">
        <f>IFERROR(VLOOKUP(M128,'LISTA ITEMS (2)'!$E$2:$G$910,3,FALSE)," ")</f>
        <v>UND</v>
      </c>
      <c r="P128" s="172">
        <v>100</v>
      </c>
      <c r="Q128" s="133"/>
      <c r="R128" s="108"/>
      <c r="S128" s="157">
        <v>100</v>
      </c>
    </row>
    <row r="129" spans="1:19" ht="43.2" x14ac:dyDescent="0.3">
      <c r="A129" s="27">
        <v>127</v>
      </c>
      <c r="B129" s="131">
        <v>7</v>
      </c>
      <c r="C129" s="132">
        <v>9</v>
      </c>
      <c r="D129" s="222"/>
      <c r="E129" s="222"/>
      <c r="F129" s="133" t="s">
        <v>260</v>
      </c>
      <c r="G129" s="133" t="s">
        <v>542</v>
      </c>
      <c r="H129" s="133" t="s">
        <v>262</v>
      </c>
      <c r="I129" s="134">
        <v>46062</v>
      </c>
      <c r="J129" s="106">
        <v>14</v>
      </c>
      <c r="K129" s="106">
        <v>24</v>
      </c>
      <c r="L129" s="106">
        <v>193</v>
      </c>
      <c r="M129" s="107" t="str">
        <f t="shared" si="4"/>
        <v>14-24-193</v>
      </c>
      <c r="N129" s="108" t="str">
        <f>IFERROR(VLOOKUP(M129,'LISTA ITEMS (2)'!$E$2:$G$910,2,FALSE)," ")</f>
        <v>DISCO CORTE ACERO/INOX A1 2EN1</v>
      </c>
      <c r="O129" s="109" t="str">
        <f>IFERROR(VLOOKUP(M129,'LISTA ITEMS (2)'!$E$2:$G$910,3,FALSE)," ")</f>
        <v>UND</v>
      </c>
      <c r="P129" s="172">
        <v>3</v>
      </c>
      <c r="Q129" s="133"/>
      <c r="R129" s="108"/>
      <c r="S129" s="157">
        <v>3</v>
      </c>
    </row>
    <row r="130" spans="1:19" ht="43.2" x14ac:dyDescent="0.3">
      <c r="A130" s="27">
        <v>128</v>
      </c>
      <c r="B130" s="131">
        <v>7</v>
      </c>
      <c r="C130" s="132">
        <v>9</v>
      </c>
      <c r="D130" s="222"/>
      <c r="E130" s="222"/>
      <c r="F130" s="133" t="s">
        <v>260</v>
      </c>
      <c r="G130" s="133" t="s">
        <v>542</v>
      </c>
      <c r="H130" s="133" t="s">
        <v>262</v>
      </c>
      <c r="I130" s="134">
        <v>46062</v>
      </c>
      <c r="J130" s="106">
        <v>10</v>
      </c>
      <c r="K130" s="106">
        <v>37</v>
      </c>
      <c r="L130" s="106">
        <v>232</v>
      </c>
      <c r="M130" s="107" t="str">
        <f t="shared" si="4"/>
        <v>10-37-232</v>
      </c>
      <c r="N130" s="108" t="str">
        <f>IFERROR(VLOOKUP(M130,'LISTA ITEMS (2)'!$E$2:$G$910,2,FALSE)," ")</f>
        <v>SOPORTE CENTRAL NEGRO</v>
      </c>
      <c r="O130" s="109" t="str">
        <f>IFERROR(VLOOKUP(M130,'LISTA ITEMS (2)'!$E$2:$G$910,3,FALSE)," ")</f>
        <v>UND</v>
      </c>
      <c r="P130" s="172">
        <v>25</v>
      </c>
      <c r="Q130" s="133"/>
      <c r="R130" s="108"/>
      <c r="S130" s="157">
        <v>20</v>
      </c>
    </row>
    <row r="131" spans="1:19" ht="43.2" x14ac:dyDescent="0.3">
      <c r="A131" s="27">
        <v>129</v>
      </c>
      <c r="B131" s="131">
        <v>7</v>
      </c>
      <c r="C131" s="132">
        <v>9</v>
      </c>
      <c r="D131" s="222"/>
      <c r="E131" s="222"/>
      <c r="F131" s="133" t="s">
        <v>260</v>
      </c>
      <c r="G131" s="133" t="s">
        <v>542</v>
      </c>
      <c r="H131" s="133" t="s">
        <v>262</v>
      </c>
      <c r="I131" s="134">
        <v>46062</v>
      </c>
      <c r="J131" s="106">
        <v>10</v>
      </c>
      <c r="K131" s="106">
        <v>37</v>
      </c>
      <c r="L131" s="106">
        <v>315</v>
      </c>
      <c r="M131" s="107" t="str">
        <f t="shared" si="4"/>
        <v>10-37-315</v>
      </c>
      <c r="N131" s="108" t="str">
        <f>IFERROR(VLOOKUP(M131,'LISTA ITEMS (2)'!$E$2:$G$910,2,FALSE)," ")</f>
        <v>SOPORTE FINAL NEGRO</v>
      </c>
      <c r="O131" s="109" t="str">
        <f>IFERROR(VLOOKUP(M131,'LISTA ITEMS (2)'!$E$2:$G$910,3,FALSE)," ")</f>
        <v>UND</v>
      </c>
      <c r="P131" s="172">
        <v>25</v>
      </c>
      <c r="Q131" s="133"/>
      <c r="R131" s="108"/>
      <c r="S131" s="157">
        <v>20</v>
      </c>
    </row>
    <row r="132" spans="1:19" ht="43.2" x14ac:dyDescent="0.3">
      <c r="A132" s="27">
        <v>130</v>
      </c>
      <c r="B132" s="131">
        <v>7</v>
      </c>
      <c r="C132" s="132">
        <v>9</v>
      </c>
      <c r="D132" s="222"/>
      <c r="E132" s="222"/>
      <c r="F132" s="133" t="s">
        <v>260</v>
      </c>
      <c r="G132" s="133" t="s">
        <v>542</v>
      </c>
      <c r="H132" s="133" t="s">
        <v>262</v>
      </c>
      <c r="I132" s="134">
        <v>46062</v>
      </c>
      <c r="J132" s="106">
        <v>9</v>
      </c>
      <c r="K132" s="106">
        <v>2</v>
      </c>
      <c r="L132" s="106">
        <v>291</v>
      </c>
      <c r="M132" s="107" t="str">
        <f t="shared" si="4"/>
        <v>9-2-291</v>
      </c>
      <c r="N132" s="108" t="str">
        <f>IFERROR(VLOOKUP(M132,'LISTA ITEMS (2)'!$E$2:$G$910,2,FALSE)," ")</f>
        <v>TUBO ELECTRICO PVC 25mm - 3mt(AISCAN)</v>
      </c>
      <c r="O132" s="109" t="str">
        <f>IFERROR(VLOOKUP(M132,'LISTA ITEMS (2)'!$E$2:$G$910,3,FALSE)," ")</f>
        <v>UND</v>
      </c>
      <c r="P132" s="172">
        <v>6</v>
      </c>
      <c r="Q132" s="133"/>
      <c r="R132" s="108"/>
      <c r="S132" s="157">
        <v>6</v>
      </c>
    </row>
    <row r="133" spans="1:19" ht="43.2" x14ac:dyDescent="0.3">
      <c r="A133" s="27">
        <v>131</v>
      </c>
      <c r="B133" s="131">
        <v>7</v>
      </c>
      <c r="C133" s="132">
        <v>9</v>
      </c>
      <c r="D133" s="222"/>
      <c r="E133" s="222"/>
      <c r="F133" s="133" t="s">
        <v>260</v>
      </c>
      <c r="G133" s="133" t="s">
        <v>542</v>
      </c>
      <c r="H133" s="133" t="s">
        <v>262</v>
      </c>
      <c r="I133" s="134">
        <v>46062</v>
      </c>
      <c r="J133" s="106">
        <v>8</v>
      </c>
      <c r="K133" s="106">
        <v>27</v>
      </c>
      <c r="L133" s="106">
        <v>321</v>
      </c>
      <c r="M133" s="107" t="str">
        <f t="shared" si="4"/>
        <v>8-27-321</v>
      </c>
      <c r="N133" s="108" t="str">
        <f>IFERROR(VLOOKUP(M133,'LISTA ITEMS (2)'!$E$2:$G$910,2,FALSE)," ")</f>
        <v>TORNILLO AUTOTALADRANTE CON C/HEXAGONAL - R/PARCIAL - ARANDELA CAUCHO 6X120mm  A/GALV.</v>
      </c>
      <c r="O133" s="109" t="str">
        <f>IFERROR(VLOOKUP(M133,'LISTA ITEMS (2)'!$E$2:$G$910,3,FALSE)," ")</f>
        <v>UND</v>
      </c>
      <c r="P133" s="172">
        <v>20</v>
      </c>
      <c r="Q133" s="133"/>
      <c r="R133" s="108"/>
      <c r="S133" s="157">
        <v>20</v>
      </c>
    </row>
    <row r="134" spans="1:19" ht="43.2" x14ac:dyDescent="0.3">
      <c r="A134" s="27">
        <v>132</v>
      </c>
      <c r="B134" s="131">
        <v>7</v>
      </c>
      <c r="C134" s="132">
        <v>9</v>
      </c>
      <c r="D134" s="222"/>
      <c r="E134" s="222"/>
      <c r="F134" s="133" t="s">
        <v>260</v>
      </c>
      <c r="G134" s="133" t="s">
        <v>542</v>
      </c>
      <c r="H134" s="133" t="s">
        <v>262</v>
      </c>
      <c r="I134" s="134">
        <v>46062</v>
      </c>
      <c r="J134" s="106">
        <v>4</v>
      </c>
      <c r="K134" s="106">
        <v>15</v>
      </c>
      <c r="L134" s="106">
        <v>326</v>
      </c>
      <c r="M134" s="107" t="str">
        <f t="shared" si="4"/>
        <v>4-15-326</v>
      </c>
      <c r="N134" s="108" t="str">
        <f>IFERROR(VLOOKUP(M134,'LISTA ITEMS (2)'!$E$2:$G$910,2,FALSE)," ")</f>
        <v>BARRA PERFORADA PARA REFUERZO 27x18x2MT GALV.</v>
      </c>
      <c r="O134" s="109" t="str">
        <f>IFERROR(VLOOKUP(M134,'LISTA ITEMS (2)'!$E$2:$G$910,3,FALSE)," ")</f>
        <v>UND</v>
      </c>
      <c r="P134" s="172">
        <v>6</v>
      </c>
      <c r="Q134" s="133"/>
      <c r="R134" s="108"/>
      <c r="S134" s="157">
        <v>6</v>
      </c>
    </row>
    <row r="135" spans="1:19" s="1" customFormat="1" ht="72" x14ac:dyDescent="0.3">
      <c r="A135" s="81">
        <v>133</v>
      </c>
      <c r="B135" s="21">
        <v>8</v>
      </c>
      <c r="C135" s="248" t="s">
        <v>546</v>
      </c>
      <c r="D135" s="249"/>
      <c r="E135" s="249"/>
      <c r="F135" s="181" t="s">
        <v>260</v>
      </c>
      <c r="G135" s="181" t="s">
        <v>542</v>
      </c>
      <c r="H135" s="181" t="s">
        <v>551</v>
      </c>
      <c r="I135" s="184">
        <v>46059</v>
      </c>
      <c r="J135" s="30">
        <v>16</v>
      </c>
      <c r="K135" s="30">
        <v>47</v>
      </c>
      <c r="L135" s="30">
        <v>318</v>
      </c>
      <c r="M135" s="86" t="str">
        <f t="shared" si="4"/>
        <v>16-47-318</v>
      </c>
      <c r="N135" s="17" t="str">
        <f>IFERROR(VLOOKUP(M135,'LISTA ITEMS (2)'!$E$2:$G$910,2,FALSE)," ")</f>
        <v>DIFERENCIAL EPR2A040030 2P-40A-30mA (MAXGE)</v>
      </c>
      <c r="O135" s="30" t="str">
        <f>IFERROR(VLOOKUP(M135,'LISTA ITEMS (2)'!$E$2:$G$910,3,FALSE)," ")</f>
        <v>UND</v>
      </c>
      <c r="P135" s="257">
        <v>1</v>
      </c>
      <c r="Q135" s="181" t="s">
        <v>557</v>
      </c>
      <c r="R135" s="17"/>
      <c r="S135" s="157"/>
    </row>
    <row r="136" spans="1:19" ht="72" x14ac:dyDescent="0.3">
      <c r="A136" s="27">
        <v>134</v>
      </c>
      <c r="B136" s="21">
        <v>8</v>
      </c>
      <c r="C136" s="248" t="s">
        <v>546</v>
      </c>
      <c r="D136" s="249"/>
      <c r="E136" s="249"/>
      <c r="F136" s="181" t="s">
        <v>260</v>
      </c>
      <c r="G136" s="181" t="s">
        <v>542</v>
      </c>
      <c r="H136" s="181" t="s">
        <v>551</v>
      </c>
      <c r="I136" s="184">
        <v>46059</v>
      </c>
      <c r="J136" s="16">
        <v>16</v>
      </c>
      <c r="K136" s="16">
        <v>49</v>
      </c>
      <c r="L136" s="16">
        <v>282</v>
      </c>
      <c r="M136" s="247" t="str">
        <f t="shared" si="4"/>
        <v>16-49-282</v>
      </c>
      <c r="N136" s="17" t="str">
        <f>IFERROR(VLOOKUP(M136,'LISTA ITEMS (2)'!$E$2:$G$910,2,FALSE)," ")</f>
        <v>CONTACTOR MODULAR RV32 (REVALCO)</v>
      </c>
      <c r="O136" s="30" t="str">
        <f>IFERROR(VLOOKUP(M136,'LISTA ITEMS (2)'!$E$2:$G$910,3,FALSE)," ")</f>
        <v>UND</v>
      </c>
      <c r="P136" s="176">
        <v>1</v>
      </c>
      <c r="Q136" s="181" t="s">
        <v>557</v>
      </c>
      <c r="R136" s="17"/>
      <c r="S136" s="156"/>
    </row>
    <row r="137" spans="1:19" ht="72" x14ac:dyDescent="0.3">
      <c r="A137" s="27">
        <v>135</v>
      </c>
      <c r="B137" s="21">
        <v>8</v>
      </c>
      <c r="C137" s="248" t="s">
        <v>546</v>
      </c>
      <c r="D137" s="249"/>
      <c r="E137" s="249"/>
      <c r="F137" s="181" t="s">
        <v>260</v>
      </c>
      <c r="G137" s="181" t="s">
        <v>542</v>
      </c>
      <c r="H137" s="181" t="s">
        <v>551</v>
      </c>
      <c r="I137" s="184">
        <v>46059</v>
      </c>
      <c r="J137" s="16">
        <v>16</v>
      </c>
      <c r="K137" s="16">
        <v>52</v>
      </c>
      <c r="L137" s="16">
        <v>293</v>
      </c>
      <c r="M137" s="247" t="str">
        <f t="shared" si="4"/>
        <v>16-52-293</v>
      </c>
      <c r="N137" s="17" t="str">
        <f>IFERROR(VLOOKUP(M137,'LISTA ITEMS (2)'!$E$2:$G$910,2,FALSE)," ")</f>
        <v>TERMICO EPBE63M1NC63M1NC32 1P+N C32 (MAXGE)</v>
      </c>
      <c r="O137" s="30" t="str">
        <f>IFERROR(VLOOKUP(M137,'LISTA ITEMS (2)'!$E$2:$G$910,3,FALSE)," ")</f>
        <v>UND</v>
      </c>
      <c r="P137" s="176">
        <v>1</v>
      </c>
      <c r="Q137" s="181" t="s">
        <v>557</v>
      </c>
      <c r="R137" s="17"/>
      <c r="S137" s="156"/>
    </row>
    <row r="138" spans="1:19" ht="72" x14ac:dyDescent="0.3">
      <c r="A138" s="27">
        <v>136</v>
      </c>
      <c r="B138" s="21">
        <v>8</v>
      </c>
      <c r="C138" s="248" t="s">
        <v>546</v>
      </c>
      <c r="D138" s="249"/>
      <c r="E138" s="249"/>
      <c r="F138" s="181" t="s">
        <v>260</v>
      </c>
      <c r="G138" s="181" t="s">
        <v>542</v>
      </c>
      <c r="H138" s="181" t="s">
        <v>551</v>
      </c>
      <c r="I138" s="184">
        <v>46059</v>
      </c>
      <c r="J138" s="16">
        <v>7</v>
      </c>
      <c r="K138" s="16">
        <v>38</v>
      </c>
      <c r="L138" s="16">
        <v>247</v>
      </c>
      <c r="M138" s="247" t="str">
        <f t="shared" si="4"/>
        <v>7-38-247</v>
      </c>
      <c r="N138" s="17" t="str">
        <f>IFERROR(VLOOKUP(M138,'LISTA ITEMS (2)'!$E$2:$G$910,2,FALSE)," ")</f>
        <v>PLACA SOLAR JAM60D42-535LB 535W / 44.13V</v>
      </c>
      <c r="O138" s="30" t="str">
        <f>IFERROR(VLOOKUP(M138,'LISTA ITEMS (2)'!$E$2:$G$910,3,FALSE)," ")</f>
        <v>UND</v>
      </c>
      <c r="P138" s="176">
        <v>10</v>
      </c>
      <c r="Q138" s="181" t="s">
        <v>557</v>
      </c>
      <c r="R138" s="17"/>
      <c r="S138" s="156"/>
    </row>
    <row r="139" spans="1:19" s="1" customFormat="1" ht="43.2" x14ac:dyDescent="0.3">
      <c r="A139" s="81">
        <v>137</v>
      </c>
      <c r="B139" s="131">
        <v>9</v>
      </c>
      <c r="C139" s="132">
        <v>10</v>
      </c>
      <c r="D139" s="222"/>
      <c r="E139" s="222"/>
      <c r="F139" s="133" t="s">
        <v>537</v>
      </c>
      <c r="G139" s="133" t="s">
        <v>558</v>
      </c>
      <c r="H139" s="133" t="s">
        <v>552</v>
      </c>
      <c r="I139" s="134">
        <v>46063</v>
      </c>
      <c r="J139" s="109">
        <v>16</v>
      </c>
      <c r="K139" s="109">
        <v>53</v>
      </c>
      <c r="L139" s="109">
        <v>290</v>
      </c>
      <c r="M139" s="135" t="str">
        <f t="shared" si="4"/>
        <v>16-53-290</v>
      </c>
      <c r="N139" s="108" t="str">
        <f>IFERROR(VLOOKUP(M139,'LISTA ITEMS (2)'!$E$2:$G$910,2,FALSE)," ")</f>
        <v>PINCHO DE COMUNICACIÓN WIFI SHINEWILAN X2 (GROWATT)</v>
      </c>
      <c r="O139" s="109" t="str">
        <f>IFERROR(VLOOKUP(M139,'LISTA ITEMS (2)'!$E$2:$G$910,3,FALSE)," ")</f>
        <v>UND</v>
      </c>
      <c r="P139" s="174">
        <v>1</v>
      </c>
      <c r="Q139" s="133"/>
      <c r="R139" s="108"/>
      <c r="S139" s="157">
        <v>1</v>
      </c>
    </row>
    <row r="140" spans="1:19" s="1" customFormat="1" ht="43.2" x14ac:dyDescent="0.3">
      <c r="A140" s="81">
        <v>138</v>
      </c>
      <c r="B140" s="71">
        <v>10</v>
      </c>
      <c r="C140" s="265" t="s">
        <v>547</v>
      </c>
      <c r="D140" s="266"/>
      <c r="E140" s="266"/>
      <c r="F140" s="123" t="s">
        <v>260</v>
      </c>
      <c r="G140" s="123" t="s">
        <v>542</v>
      </c>
      <c r="H140" s="123" t="s">
        <v>559</v>
      </c>
      <c r="I140" s="267">
        <v>46064</v>
      </c>
      <c r="J140" s="91">
        <v>10</v>
      </c>
      <c r="K140" s="91">
        <v>43</v>
      </c>
      <c r="L140" s="91">
        <v>270</v>
      </c>
      <c r="M140" s="268" t="str">
        <f t="shared" si="4"/>
        <v>10-43-270</v>
      </c>
      <c r="N140" s="90" t="str">
        <f>IFERROR(VLOOKUP(M140,'LISTA ITEMS (2)'!$E$2:$G$910,2,FALSE)," ")</f>
        <v>EMPALME ALUMINIO P/BARRA</v>
      </c>
      <c r="O140" s="91" t="str">
        <f>IFERROR(VLOOKUP(M140,'LISTA ITEMS (2)'!$E$2:$G$910,3,FALSE)," ")</f>
        <v>UND</v>
      </c>
      <c r="P140" s="269">
        <v>8</v>
      </c>
      <c r="Q140" s="123"/>
      <c r="R140" s="90"/>
      <c r="S140" s="157">
        <v>4</v>
      </c>
    </row>
    <row r="141" spans="1:19" ht="43.2" x14ac:dyDescent="0.3">
      <c r="A141" s="27">
        <v>139</v>
      </c>
      <c r="B141" s="71">
        <v>10</v>
      </c>
      <c r="C141" s="265" t="s">
        <v>547</v>
      </c>
      <c r="D141" s="266"/>
      <c r="E141" s="266"/>
      <c r="F141" s="123" t="s">
        <v>260</v>
      </c>
      <c r="G141" s="123" t="s">
        <v>542</v>
      </c>
      <c r="H141" s="123" t="s">
        <v>559</v>
      </c>
      <c r="I141" s="267">
        <v>46064</v>
      </c>
      <c r="J141" s="72">
        <v>9</v>
      </c>
      <c r="K141" s="72">
        <v>2</v>
      </c>
      <c r="L141" s="72">
        <v>291</v>
      </c>
      <c r="M141" s="89" t="str">
        <f t="shared" si="4"/>
        <v>9-2-291</v>
      </c>
      <c r="N141" s="90" t="str">
        <f>IFERROR(VLOOKUP(M141,'LISTA ITEMS (2)'!$E$2:$G$910,2,FALSE)," ")</f>
        <v>TUBO ELECTRICO PVC 25mm - 3mt(AISCAN)</v>
      </c>
      <c r="O141" s="91" t="str">
        <f>IFERROR(VLOOKUP(M141,'LISTA ITEMS (2)'!$E$2:$G$910,3,FALSE)," ")</f>
        <v>UND</v>
      </c>
      <c r="P141" s="170">
        <v>3</v>
      </c>
      <c r="Q141" s="123"/>
      <c r="R141" s="90"/>
      <c r="S141" s="157">
        <v>0</v>
      </c>
    </row>
    <row r="142" spans="1:19" ht="43.2" x14ac:dyDescent="0.3">
      <c r="A142" s="27">
        <v>140</v>
      </c>
      <c r="B142" s="71">
        <v>10</v>
      </c>
      <c r="C142" s="265" t="s">
        <v>547</v>
      </c>
      <c r="D142" s="266"/>
      <c r="E142" s="266"/>
      <c r="F142" s="123" t="s">
        <v>260</v>
      </c>
      <c r="G142" s="123" t="s">
        <v>542</v>
      </c>
      <c r="H142" s="123" t="s">
        <v>559</v>
      </c>
      <c r="I142" s="267">
        <v>46064</v>
      </c>
      <c r="J142" s="72">
        <v>10</v>
      </c>
      <c r="K142" s="72">
        <v>37</v>
      </c>
      <c r="L142" s="72">
        <v>315</v>
      </c>
      <c r="M142" s="89" t="str">
        <f t="shared" si="4"/>
        <v>10-37-315</v>
      </c>
      <c r="N142" s="90" t="str">
        <f>IFERROR(VLOOKUP(M142,'LISTA ITEMS (2)'!$E$2:$G$910,2,FALSE)," ")</f>
        <v>SOPORTE FINAL NEGRO</v>
      </c>
      <c r="O142" s="91" t="str">
        <f>IFERROR(VLOOKUP(M142,'LISTA ITEMS (2)'!$E$2:$G$910,3,FALSE)," ")</f>
        <v>UND</v>
      </c>
      <c r="P142" s="170">
        <v>30</v>
      </c>
      <c r="Q142" s="123"/>
      <c r="R142" s="90"/>
      <c r="S142" s="157">
        <v>15</v>
      </c>
    </row>
    <row r="143" spans="1:19" ht="43.2" x14ac:dyDescent="0.3">
      <c r="A143" s="27">
        <v>141</v>
      </c>
      <c r="B143" s="71">
        <v>10</v>
      </c>
      <c r="C143" s="265" t="s">
        <v>547</v>
      </c>
      <c r="D143" s="266"/>
      <c r="E143" s="266"/>
      <c r="F143" s="123" t="s">
        <v>260</v>
      </c>
      <c r="G143" s="123" t="s">
        <v>542</v>
      </c>
      <c r="H143" s="123" t="s">
        <v>559</v>
      </c>
      <c r="I143" s="267">
        <v>46064</v>
      </c>
      <c r="J143" s="72">
        <v>10</v>
      </c>
      <c r="K143" s="72">
        <v>37</v>
      </c>
      <c r="L143" s="72">
        <v>330</v>
      </c>
      <c r="M143" s="89" t="str">
        <f t="shared" si="4"/>
        <v>10-37-330</v>
      </c>
      <c r="N143" s="90" t="str">
        <f>IFERROR(VLOOKUP(M143,'LISTA ITEMS (2)'!$E$2:$G$910,2,FALSE)," ")</f>
        <v>SOPORTE EN L ALUMINIO GRIS</v>
      </c>
      <c r="O143" s="91" t="str">
        <f>IFERROR(VLOOKUP(M143,'LISTA ITEMS (2)'!$E$2:$G$910,3,FALSE)," ")</f>
        <v>UND</v>
      </c>
      <c r="P143" s="170">
        <v>30</v>
      </c>
      <c r="Q143" s="123"/>
      <c r="R143" s="90"/>
      <c r="S143" s="157">
        <v>1</v>
      </c>
    </row>
    <row r="144" spans="1:19" ht="43.2" x14ac:dyDescent="0.3">
      <c r="A144" s="27">
        <v>142</v>
      </c>
      <c r="B144" s="71">
        <v>10</v>
      </c>
      <c r="C144" s="265" t="s">
        <v>547</v>
      </c>
      <c r="D144" s="266"/>
      <c r="E144" s="266"/>
      <c r="F144" s="123" t="s">
        <v>260</v>
      </c>
      <c r="G144" s="123" t="s">
        <v>542</v>
      </c>
      <c r="H144" s="123" t="s">
        <v>559</v>
      </c>
      <c r="I144" s="267">
        <v>46064</v>
      </c>
      <c r="J144" s="72">
        <v>10</v>
      </c>
      <c r="K144" s="72">
        <v>37</v>
      </c>
      <c r="L144" s="72">
        <v>232</v>
      </c>
      <c r="M144" s="89" t="str">
        <f t="shared" si="4"/>
        <v>10-37-232</v>
      </c>
      <c r="N144" s="90" t="str">
        <f>IFERROR(VLOOKUP(M144,'LISTA ITEMS (2)'!$E$2:$G$910,2,FALSE)," ")</f>
        <v>SOPORTE CENTRAL NEGRO</v>
      </c>
      <c r="O144" s="91" t="str">
        <f>IFERROR(VLOOKUP(M144,'LISTA ITEMS (2)'!$E$2:$G$910,3,FALSE)," ")</f>
        <v>UND</v>
      </c>
      <c r="P144" s="170">
        <v>30</v>
      </c>
      <c r="Q144" s="123"/>
      <c r="R144" s="90"/>
      <c r="S144" s="157">
        <v>20</v>
      </c>
    </row>
    <row r="145" spans="1:19" ht="43.2" x14ac:dyDescent="0.3">
      <c r="A145" s="27">
        <v>143</v>
      </c>
      <c r="B145" s="71">
        <v>10</v>
      </c>
      <c r="C145" s="265" t="s">
        <v>547</v>
      </c>
      <c r="D145" s="266"/>
      <c r="E145" s="266"/>
      <c r="F145" s="123" t="s">
        <v>260</v>
      </c>
      <c r="G145" s="123" t="s">
        <v>542</v>
      </c>
      <c r="H145" s="123" t="s">
        <v>559</v>
      </c>
      <c r="I145" s="267">
        <v>46064</v>
      </c>
      <c r="J145" s="72">
        <v>8</v>
      </c>
      <c r="K145" s="72">
        <v>64</v>
      </c>
      <c r="L145" s="72">
        <v>358</v>
      </c>
      <c r="M145" s="89" t="str">
        <f t="shared" si="4"/>
        <v>8-64-358</v>
      </c>
      <c r="N145" s="90" t="str">
        <f>IFERROR(VLOOKUP(M145,'LISTA ITEMS (2)'!$E$2:$G$910,2,FALSE)," ")</f>
        <v>BARILLA ROSCADA M8 A/GALV X1000</v>
      </c>
      <c r="O145" s="91" t="str">
        <f>IFERROR(VLOOKUP(M145,'LISTA ITEMS (2)'!$E$2:$G$910,3,FALSE)," ")</f>
        <v>UND</v>
      </c>
      <c r="P145" s="170">
        <v>5</v>
      </c>
      <c r="Q145" s="123"/>
      <c r="R145" s="90"/>
      <c r="S145" s="157">
        <v>2</v>
      </c>
    </row>
    <row r="146" spans="1:19" ht="43.2" x14ac:dyDescent="0.3">
      <c r="A146" s="27">
        <v>144</v>
      </c>
      <c r="B146" s="71">
        <v>10</v>
      </c>
      <c r="C146" s="265" t="s">
        <v>547</v>
      </c>
      <c r="D146" s="266"/>
      <c r="E146" s="266"/>
      <c r="F146" s="123" t="s">
        <v>260</v>
      </c>
      <c r="G146" s="123" t="s">
        <v>542</v>
      </c>
      <c r="H146" s="123" t="s">
        <v>559</v>
      </c>
      <c r="I146" s="267">
        <v>46064</v>
      </c>
      <c r="J146" s="72">
        <v>6</v>
      </c>
      <c r="K146" s="72">
        <v>23</v>
      </c>
      <c r="L146" s="72">
        <v>192</v>
      </c>
      <c r="M146" s="89" t="str">
        <f t="shared" si="4"/>
        <v>6-23-192</v>
      </c>
      <c r="N146" s="90" t="str">
        <f>IFERROR(VLOOKUP(M146,'LISTA ITEMS (2)'!$E$2:$G$910,2,FALSE)," ")</f>
        <v xml:space="preserve">CINTA ACERO PERFORADA PARA MONTAJE </v>
      </c>
      <c r="O146" s="91" t="str">
        <f>IFERROR(VLOOKUP(M146,'LISTA ITEMS (2)'!$E$2:$G$910,3,FALSE)," ")</f>
        <v>UND</v>
      </c>
      <c r="P146" s="170">
        <v>1</v>
      </c>
      <c r="Q146" s="123"/>
      <c r="R146" s="90"/>
      <c r="S146" s="157">
        <v>1</v>
      </c>
    </row>
    <row r="147" spans="1:19" ht="43.2" x14ac:dyDescent="0.3">
      <c r="A147" s="27">
        <v>145</v>
      </c>
      <c r="B147" s="71">
        <v>10</v>
      </c>
      <c r="C147" s="265" t="s">
        <v>547</v>
      </c>
      <c r="D147" s="266"/>
      <c r="E147" s="266"/>
      <c r="F147" s="123" t="s">
        <v>260</v>
      </c>
      <c r="G147" s="123" t="s">
        <v>542</v>
      </c>
      <c r="H147" s="123" t="s">
        <v>559</v>
      </c>
      <c r="I147" s="267">
        <v>46064</v>
      </c>
      <c r="J147" s="72">
        <v>13</v>
      </c>
      <c r="K147" s="72">
        <v>22</v>
      </c>
      <c r="L147" s="72">
        <v>184</v>
      </c>
      <c r="M147" s="89" t="str">
        <f t="shared" si="4"/>
        <v>13-22-184</v>
      </c>
      <c r="N147" s="90" t="str">
        <f>IFERROR(VLOOKUP(M147,'LISTA ITEMS (2)'!$E$2:$G$910,2,FALSE)," ")</f>
        <v>BRIDA P/EXTERIOR NEGRA</v>
      </c>
      <c r="O147" s="91" t="str">
        <f>IFERROR(VLOOKUP(M147,'LISTA ITEMS (2)'!$E$2:$G$910,3,FALSE)," ")</f>
        <v>UND</v>
      </c>
      <c r="P147" s="170">
        <v>200</v>
      </c>
      <c r="Q147" s="123"/>
      <c r="R147" s="90"/>
      <c r="S147" s="157">
        <v>200</v>
      </c>
    </row>
    <row r="148" spans="1:19" ht="43.2" x14ac:dyDescent="0.3">
      <c r="A148" s="27">
        <v>146</v>
      </c>
      <c r="B148" s="71">
        <v>10</v>
      </c>
      <c r="C148" s="265" t="s">
        <v>547</v>
      </c>
      <c r="D148" s="266"/>
      <c r="E148" s="266"/>
      <c r="F148" s="123" t="s">
        <v>260</v>
      </c>
      <c r="G148" s="123" t="s">
        <v>542</v>
      </c>
      <c r="H148" s="123" t="s">
        <v>559</v>
      </c>
      <c r="I148" s="267">
        <v>46064</v>
      </c>
      <c r="J148" s="72">
        <v>9</v>
      </c>
      <c r="K148" s="72">
        <v>32</v>
      </c>
      <c r="L148" s="72">
        <v>223</v>
      </c>
      <c r="M148" s="89" t="str">
        <f t="shared" si="4"/>
        <v>9-32-223</v>
      </c>
      <c r="N148" s="90" t="str">
        <f>IFERROR(VLOOKUP(M148,'LISTA ITEMS (2)'!$E$2:$G$910,2,FALSE)," ")</f>
        <v>CURVA PVC M-25 GRIS TIPO A</v>
      </c>
      <c r="O148" s="91" t="str">
        <f>IFERROR(VLOOKUP(M148,'LISTA ITEMS (2)'!$E$2:$G$910,3,FALSE)," ")</f>
        <v>UND</v>
      </c>
      <c r="P148" s="170">
        <v>20</v>
      </c>
      <c r="Q148" s="123"/>
      <c r="R148" s="90"/>
      <c r="S148" s="157">
        <v>10</v>
      </c>
    </row>
    <row r="149" spans="1:19" ht="43.2" x14ac:dyDescent="0.3">
      <c r="A149" s="27">
        <v>147</v>
      </c>
      <c r="B149" s="122">
        <v>11</v>
      </c>
      <c r="C149" s="94">
        <v>11</v>
      </c>
      <c r="D149" s="246"/>
      <c r="E149" s="246"/>
      <c r="F149" s="181" t="s">
        <v>571</v>
      </c>
      <c r="G149" s="182" t="s">
        <v>558</v>
      </c>
      <c r="H149" s="181" t="s">
        <v>677</v>
      </c>
      <c r="I149" s="28">
        <v>46065</v>
      </c>
      <c r="J149" s="16">
        <v>16</v>
      </c>
      <c r="K149" s="16">
        <v>47</v>
      </c>
      <c r="L149" s="16">
        <v>318</v>
      </c>
      <c r="M149" s="247" t="str">
        <f t="shared" si="4"/>
        <v>16-47-318</v>
      </c>
      <c r="N149" s="17" t="str">
        <f>IFERROR(VLOOKUP(M149,'LISTA ITEMS (2)'!$E$2:$G$910,2,FALSE),"  ")</f>
        <v>DIFERENCIAL EPR2A040030 2P-40A-30mA (MAXGE)</v>
      </c>
      <c r="O149" s="30" t="str">
        <f>IFERROR(VLOOKUP(M149,'LISTA ITEMS (2)'!$E$2:$G$910,3,FALSE)," ")</f>
        <v>UND</v>
      </c>
      <c r="P149" s="176">
        <v>1</v>
      </c>
      <c r="Q149" s="181"/>
      <c r="R149" s="17"/>
      <c r="S149" s="156"/>
    </row>
    <row r="150" spans="1:19" ht="43.2" x14ac:dyDescent="0.3">
      <c r="A150" s="27">
        <v>148</v>
      </c>
      <c r="B150" s="122">
        <v>11</v>
      </c>
      <c r="C150" s="94">
        <v>11</v>
      </c>
      <c r="D150" s="246"/>
      <c r="E150" s="246"/>
      <c r="F150" s="181" t="s">
        <v>571</v>
      </c>
      <c r="G150" s="182" t="s">
        <v>558</v>
      </c>
      <c r="H150" s="181" t="s">
        <v>677</v>
      </c>
      <c r="I150" s="28">
        <v>46065</v>
      </c>
      <c r="J150" s="16">
        <v>16</v>
      </c>
      <c r="K150" s="16">
        <v>51</v>
      </c>
      <c r="L150" s="16">
        <v>284</v>
      </c>
      <c r="M150" s="247" t="str">
        <f t="shared" si="4"/>
        <v>16-51-284</v>
      </c>
      <c r="N150" s="17" t="str">
        <f>IFERROR(VLOOKUP(M150,'LISTA ITEMS (2)'!$E$2:$G$910,2,FALSE),"  ")</f>
        <v>LIMITADOR MONOFASICO 3SU1 15/30kA-275V (SASSIN)</v>
      </c>
      <c r="O150" s="30" t="str">
        <f>IFERROR(VLOOKUP(M150,'LISTA ITEMS (2)'!$E$2:$G$910,3,FALSE)," ")</f>
        <v>UND</v>
      </c>
      <c r="P150" s="176">
        <v>1</v>
      </c>
      <c r="Q150" s="181"/>
      <c r="R150" s="17"/>
      <c r="S150" s="156"/>
    </row>
    <row r="151" spans="1:19" ht="43.2" x14ac:dyDescent="0.3">
      <c r="A151" s="27">
        <v>149</v>
      </c>
      <c r="B151" s="122">
        <v>11</v>
      </c>
      <c r="C151" s="94">
        <v>11</v>
      </c>
      <c r="D151" s="246"/>
      <c r="E151" s="246"/>
      <c r="F151" s="181" t="s">
        <v>571</v>
      </c>
      <c r="G151" s="182" t="s">
        <v>558</v>
      </c>
      <c r="H151" s="181" t="s">
        <v>677</v>
      </c>
      <c r="I151" s="28">
        <v>46065</v>
      </c>
      <c r="J151" s="16">
        <v>16</v>
      </c>
      <c r="K151" s="16">
        <v>49</v>
      </c>
      <c r="L151" s="16">
        <v>282</v>
      </c>
      <c r="M151" s="247" t="str">
        <f t="shared" si="4"/>
        <v>16-49-282</v>
      </c>
      <c r="N151" s="17" t="str">
        <f>IFERROR(VLOOKUP(M151,'LISTA ITEMS (2)'!$E$2:$G$910,2,FALSE),"  ")</f>
        <v>CONTACTOR MODULAR RV32 (REVALCO)</v>
      </c>
      <c r="O151" s="30" t="str">
        <f>IFERROR(VLOOKUP(M151,'LISTA ITEMS (2)'!$E$2:$G$910,3,FALSE)," ")</f>
        <v>UND</v>
      </c>
      <c r="P151" s="176">
        <v>1</v>
      </c>
      <c r="Q151" s="181"/>
      <c r="R151" s="17"/>
      <c r="S151" s="156"/>
    </row>
    <row r="152" spans="1:19" ht="43.2" x14ac:dyDescent="0.3">
      <c r="A152" s="27">
        <v>150</v>
      </c>
      <c r="B152" s="122">
        <v>11</v>
      </c>
      <c r="C152" s="94">
        <v>11</v>
      </c>
      <c r="D152" s="246"/>
      <c r="E152" s="246"/>
      <c r="F152" s="181" t="s">
        <v>571</v>
      </c>
      <c r="G152" s="182" t="s">
        <v>558</v>
      </c>
      <c r="H152" s="181" t="s">
        <v>677</v>
      </c>
      <c r="I152" s="28">
        <v>46065</v>
      </c>
      <c r="J152" s="16">
        <v>16</v>
      </c>
      <c r="K152" s="16">
        <v>52</v>
      </c>
      <c r="L152" s="16">
        <v>293</v>
      </c>
      <c r="M152" s="247" t="str">
        <f t="shared" si="4"/>
        <v>16-52-293</v>
      </c>
      <c r="N152" s="17" t="str">
        <f>IFERROR(VLOOKUP(M152,'LISTA ITEMS (2)'!$E$2:$G$910,2,FALSE),"  ")</f>
        <v>TERMICO EPBE63M1NC63M1NC32 1P+N C32 (MAXGE)</v>
      </c>
      <c r="O152" s="30" t="str">
        <f>IFERROR(VLOOKUP(M152,'LISTA ITEMS (2)'!$E$2:$G$910,3,FALSE)," ")</f>
        <v>UND</v>
      </c>
      <c r="P152" s="176">
        <v>1</v>
      </c>
      <c r="Q152" s="181"/>
      <c r="R152" s="17"/>
      <c r="S152" s="156"/>
    </row>
    <row r="153" spans="1:19" ht="43.2" x14ac:dyDescent="0.3">
      <c r="A153" s="27">
        <v>151</v>
      </c>
      <c r="B153" s="122">
        <v>11</v>
      </c>
      <c r="C153" s="94">
        <v>11</v>
      </c>
      <c r="D153" s="246"/>
      <c r="E153" s="246"/>
      <c r="F153" s="181" t="s">
        <v>571</v>
      </c>
      <c r="G153" s="182" t="s">
        <v>558</v>
      </c>
      <c r="H153" s="181" t="s">
        <v>677</v>
      </c>
      <c r="I153" s="28">
        <v>46065</v>
      </c>
      <c r="J153" s="16">
        <v>16</v>
      </c>
      <c r="K153" s="16">
        <v>48</v>
      </c>
      <c r="L153" s="16">
        <v>281</v>
      </c>
      <c r="M153" s="247" t="str">
        <f t="shared" si="4"/>
        <v>16-48-281</v>
      </c>
      <c r="N153" s="17" t="str">
        <f>IFERROR(VLOOKUP(M153,'LISTA ITEMS (2)'!$E$2:$G$910,2,FALSE),"  ")</f>
        <v>PORTA FUSIBLE SGF-32-DC (MAXGE)</v>
      </c>
      <c r="O153" s="30" t="str">
        <f>IFERROR(VLOOKUP(M153,'LISTA ITEMS (2)'!$E$2:$G$910,3,FALSE)," ")</f>
        <v>UND</v>
      </c>
      <c r="P153" s="176">
        <v>2</v>
      </c>
      <c r="Q153" s="181"/>
      <c r="R153" s="17"/>
      <c r="S153" s="156"/>
    </row>
    <row r="154" spans="1:19" ht="43.2" x14ac:dyDescent="0.3">
      <c r="A154" s="27">
        <v>152</v>
      </c>
      <c r="B154" s="122">
        <v>11</v>
      </c>
      <c r="C154" s="94">
        <v>11</v>
      </c>
      <c r="D154" s="246"/>
      <c r="E154" s="246"/>
      <c r="F154" s="181" t="s">
        <v>571</v>
      </c>
      <c r="G154" s="182" t="s">
        <v>558</v>
      </c>
      <c r="H154" s="181" t="s">
        <v>677</v>
      </c>
      <c r="I154" s="28">
        <v>46065</v>
      </c>
      <c r="J154" s="16">
        <v>16</v>
      </c>
      <c r="K154" s="16">
        <v>52</v>
      </c>
      <c r="L154" s="16">
        <v>292</v>
      </c>
      <c r="M154" s="247" t="str">
        <f t="shared" si="4"/>
        <v>16-52-292</v>
      </c>
      <c r="N154" s="17" t="str">
        <f>IFERROR(VLOOKUP(M154,'LISTA ITEMS (2)'!$E$2:$G$910,2,FALSE),"  ")</f>
        <v>TERMICO EPBE63M1NC63M1NC40 1P+N C40 (MAXGE)</v>
      </c>
      <c r="O154" s="30" t="str">
        <f>IFERROR(VLOOKUP(M154,'LISTA ITEMS (2)'!$E$2:$G$910,3,FALSE)," ")</f>
        <v>UND</v>
      </c>
      <c r="P154" s="176">
        <v>1</v>
      </c>
      <c r="Q154" s="181"/>
      <c r="R154" s="17"/>
      <c r="S154" s="156"/>
    </row>
    <row r="155" spans="1:19" ht="43.2" x14ac:dyDescent="0.3">
      <c r="A155" s="27">
        <v>153</v>
      </c>
      <c r="B155" s="122">
        <v>11</v>
      </c>
      <c r="C155" s="94">
        <v>11</v>
      </c>
      <c r="D155" s="246"/>
      <c r="E155" s="246"/>
      <c r="F155" s="181" t="s">
        <v>571</v>
      </c>
      <c r="G155" s="182" t="s">
        <v>558</v>
      </c>
      <c r="H155" s="181" t="s">
        <v>677</v>
      </c>
      <c r="I155" s="28">
        <v>46065</v>
      </c>
      <c r="J155" s="16">
        <v>16</v>
      </c>
      <c r="K155" s="16">
        <v>50</v>
      </c>
      <c r="L155" s="16">
        <v>380</v>
      </c>
      <c r="M155" s="247" t="str">
        <f t="shared" si="4"/>
        <v>16-50-380</v>
      </c>
      <c r="N155" s="17" t="str">
        <f>IFERROR(VLOOKUP(M155,'LISTA ITEMS (2)'!$E$2:$G$910,2,FALSE),"  ")</f>
        <v>FUSIBLE 25A</v>
      </c>
      <c r="O155" s="30" t="str">
        <f>IFERROR(VLOOKUP(M155,'LISTA ITEMS (2)'!$E$2:$G$910,3,FALSE)," ")</f>
        <v>UND</v>
      </c>
      <c r="P155" s="176">
        <v>2</v>
      </c>
      <c r="Q155" s="181"/>
      <c r="R155" s="17"/>
      <c r="S155" s="156"/>
    </row>
    <row r="156" spans="1:19" ht="43.2" x14ac:dyDescent="0.3">
      <c r="A156" s="27">
        <v>154</v>
      </c>
      <c r="B156" s="122">
        <v>11</v>
      </c>
      <c r="C156" s="94">
        <v>11</v>
      </c>
      <c r="D156" s="246"/>
      <c r="E156" s="246"/>
      <c r="F156" s="181" t="s">
        <v>571</v>
      </c>
      <c r="G156" s="182" t="s">
        <v>558</v>
      </c>
      <c r="H156" s="181" t="s">
        <v>677</v>
      </c>
      <c r="I156" s="28">
        <v>46065</v>
      </c>
      <c r="J156" s="16">
        <v>16</v>
      </c>
      <c r="K156" s="16">
        <v>53</v>
      </c>
      <c r="L156" s="16">
        <v>290</v>
      </c>
      <c r="M156" s="247" t="str">
        <f t="shared" si="4"/>
        <v>16-53-290</v>
      </c>
      <c r="N156" s="17" t="str">
        <f>IFERROR(VLOOKUP(M156,'LISTA ITEMS (2)'!$E$2:$G$910,2,FALSE),"  ")</f>
        <v>PINCHO DE COMUNICACIÓN WIFI SHINEWILAN X2 (GROWATT)</v>
      </c>
      <c r="O156" s="30" t="str">
        <f>IFERROR(VLOOKUP(M156,'LISTA ITEMS (2)'!$E$2:$G$910,3,FALSE)," ")</f>
        <v>UND</v>
      </c>
      <c r="P156" s="176">
        <v>1</v>
      </c>
      <c r="Q156" s="181"/>
      <c r="R156" s="17"/>
      <c r="S156" s="156"/>
    </row>
    <row r="157" spans="1:19" ht="43.2" x14ac:dyDescent="0.3">
      <c r="A157" s="27">
        <v>155</v>
      </c>
      <c r="B157" s="122">
        <v>11</v>
      </c>
      <c r="C157" s="94">
        <v>11</v>
      </c>
      <c r="D157" s="246"/>
      <c r="E157" s="246"/>
      <c r="F157" s="181" t="s">
        <v>571</v>
      </c>
      <c r="G157" s="182" t="s">
        <v>558</v>
      </c>
      <c r="H157" s="181" t="s">
        <v>677</v>
      </c>
      <c r="I157" s="28">
        <v>46065</v>
      </c>
      <c r="J157" s="16">
        <v>16</v>
      </c>
      <c r="K157" s="16">
        <v>53</v>
      </c>
      <c r="L157" s="16">
        <v>328</v>
      </c>
      <c r="M157" s="247" t="str">
        <f t="shared" si="4"/>
        <v>16-53-328</v>
      </c>
      <c r="N157" s="17" t="str">
        <f>IFERROR(VLOOKUP(M157,'LISTA ITEMS (2)'!$E$2:$G$910,2,FALSE),"  ")</f>
        <v>PINCHO DE COMUNICACIÓN WIFI SHINErfsTICK- X  BLANCO (GROWATT)</v>
      </c>
      <c r="O157" s="30" t="str">
        <f>IFERROR(VLOOKUP(M157,'LISTA ITEMS (2)'!$E$2:$G$910,3,FALSE)," ")</f>
        <v>UND</v>
      </c>
      <c r="P157" s="176">
        <v>1</v>
      </c>
      <c r="Q157" s="181"/>
      <c r="R157" s="17"/>
      <c r="S157" s="156"/>
    </row>
    <row r="158" spans="1:19" ht="43.2" x14ac:dyDescent="0.3">
      <c r="A158" s="27">
        <v>156</v>
      </c>
      <c r="B158" s="122">
        <v>11</v>
      </c>
      <c r="C158" s="94">
        <v>11</v>
      </c>
      <c r="D158" s="246"/>
      <c r="E158" s="246"/>
      <c r="F158" s="181" t="s">
        <v>571</v>
      </c>
      <c r="G158" s="182" t="s">
        <v>558</v>
      </c>
      <c r="H158" s="181" t="s">
        <v>677</v>
      </c>
      <c r="I158" s="28">
        <v>46065</v>
      </c>
      <c r="J158" s="16">
        <v>16</v>
      </c>
      <c r="K158" s="16">
        <v>45</v>
      </c>
      <c r="L158" s="16">
        <v>317</v>
      </c>
      <c r="M158" s="247" t="str">
        <f t="shared" si="4"/>
        <v>16-45-317</v>
      </c>
      <c r="N158" s="17" t="str">
        <f>IFERROR(VLOOKUP(M158,'LISTA ITEMS (2)'!$E$2:$G$910,2,FALSE),"  ")</f>
        <v>CAJA DISTRIBUCION INTERIOR 8 ELEM. (SOLERA)</v>
      </c>
      <c r="O158" s="30" t="str">
        <f>IFERROR(VLOOKUP(M158,'LISTA ITEMS (2)'!$E$2:$G$910,3,FALSE)," ")</f>
        <v>UND</v>
      </c>
      <c r="P158" s="176">
        <v>1</v>
      </c>
      <c r="Q158" s="181"/>
      <c r="R158" s="17"/>
      <c r="S158" s="156"/>
    </row>
    <row r="159" spans="1:19" ht="43.2" x14ac:dyDescent="0.3">
      <c r="A159" s="27">
        <v>157</v>
      </c>
      <c r="B159" s="122">
        <v>11</v>
      </c>
      <c r="C159" s="94">
        <v>11</v>
      </c>
      <c r="D159" s="246"/>
      <c r="E159" s="246"/>
      <c r="F159" s="181" t="s">
        <v>571</v>
      </c>
      <c r="G159" s="182" t="s">
        <v>558</v>
      </c>
      <c r="H159" s="181" t="s">
        <v>677</v>
      </c>
      <c r="I159" s="28">
        <v>46065</v>
      </c>
      <c r="J159" s="16">
        <v>9</v>
      </c>
      <c r="K159" s="16">
        <v>2</v>
      </c>
      <c r="L159" s="16">
        <v>291</v>
      </c>
      <c r="M159" s="247" t="str">
        <f t="shared" si="4"/>
        <v>9-2-291</v>
      </c>
      <c r="N159" s="17" t="str">
        <f>IFERROR(VLOOKUP(M159,'LISTA ITEMS (2)'!$E$2:$G$910,2,FALSE),"  ")</f>
        <v>TUBO ELECTRICO PVC 25mm - 3mt(AISCAN)</v>
      </c>
      <c r="O159" s="30" t="str">
        <f>IFERROR(VLOOKUP(M159,'LISTA ITEMS (2)'!$E$2:$G$910,3,FALSE)," ")</f>
        <v>UND</v>
      </c>
      <c r="P159" s="176">
        <v>8</v>
      </c>
      <c r="Q159" s="181"/>
      <c r="R159" s="17"/>
      <c r="S159" s="156"/>
    </row>
    <row r="160" spans="1:19" ht="43.2" x14ac:dyDescent="0.3">
      <c r="A160" s="27">
        <v>158</v>
      </c>
      <c r="B160" s="122">
        <v>11</v>
      </c>
      <c r="C160" s="94">
        <v>11</v>
      </c>
      <c r="D160" s="246"/>
      <c r="E160" s="246"/>
      <c r="F160" s="181" t="s">
        <v>571</v>
      </c>
      <c r="G160" s="182" t="s">
        <v>558</v>
      </c>
      <c r="H160" s="181" t="s">
        <v>677</v>
      </c>
      <c r="I160" s="28">
        <v>46065</v>
      </c>
      <c r="J160" s="16">
        <v>3</v>
      </c>
      <c r="K160" s="16">
        <v>31</v>
      </c>
      <c r="L160" s="16">
        <v>211</v>
      </c>
      <c r="M160" s="247" t="str">
        <f t="shared" si="4"/>
        <v>3-31-211</v>
      </c>
      <c r="N160" s="17" t="str">
        <f>IFERROR(VLOOKUP(M160,'LISTA ITEMS (2)'!$E$2:$G$910,2,FALSE),"  ")</f>
        <v>CABLE Nª 6 C/ALTERNA VERDE/AMARILLO</v>
      </c>
      <c r="O160" s="30" t="str">
        <f>IFERROR(VLOOKUP(M160,'LISTA ITEMS (2)'!$E$2:$G$910,3,FALSE)," ")</f>
        <v>MT</v>
      </c>
      <c r="P160" s="176">
        <v>100</v>
      </c>
      <c r="Q160" s="181"/>
      <c r="R160" s="17"/>
      <c r="S160" s="156"/>
    </row>
    <row r="161" spans="1:19" ht="43.2" x14ac:dyDescent="0.3">
      <c r="A161" s="27">
        <v>159</v>
      </c>
      <c r="B161" s="122">
        <v>11</v>
      </c>
      <c r="C161" s="94">
        <v>11</v>
      </c>
      <c r="D161" s="246"/>
      <c r="E161" s="246"/>
      <c r="F161" s="181" t="s">
        <v>571</v>
      </c>
      <c r="G161" s="182" t="s">
        <v>558</v>
      </c>
      <c r="H161" s="181" t="s">
        <v>677</v>
      </c>
      <c r="I161" s="28">
        <v>46065</v>
      </c>
      <c r="J161" s="16">
        <v>3</v>
      </c>
      <c r="K161" s="16">
        <v>31</v>
      </c>
      <c r="L161" s="16">
        <v>213</v>
      </c>
      <c r="M161" s="247" t="str">
        <f t="shared" si="4"/>
        <v>3-31-213</v>
      </c>
      <c r="N161" s="17" t="str">
        <f>IFERROR(VLOOKUP(M161,'LISTA ITEMS (2)'!$E$2:$G$910,2,FALSE),"  ")</f>
        <v>CABLE Nª 6 C/ALTERNA NEGRO</v>
      </c>
      <c r="O161" s="30" t="str">
        <f>IFERROR(VLOOKUP(M161,'LISTA ITEMS (2)'!$E$2:$G$910,3,FALSE)," ")</f>
        <v>MT</v>
      </c>
      <c r="P161" s="176">
        <v>100</v>
      </c>
      <c r="Q161" s="181"/>
      <c r="R161" s="17"/>
      <c r="S161" s="156"/>
    </row>
    <row r="162" spans="1:19" ht="43.2" x14ac:dyDescent="0.3">
      <c r="A162" s="27">
        <v>160</v>
      </c>
      <c r="B162" s="122">
        <v>11</v>
      </c>
      <c r="C162" s="94">
        <v>11</v>
      </c>
      <c r="D162" s="246"/>
      <c r="E162" s="246"/>
      <c r="F162" s="181" t="s">
        <v>571</v>
      </c>
      <c r="G162" s="182" t="s">
        <v>558</v>
      </c>
      <c r="H162" s="181" t="s">
        <v>677</v>
      </c>
      <c r="I162" s="28">
        <v>46065</v>
      </c>
      <c r="J162" s="16">
        <v>3</v>
      </c>
      <c r="K162" s="16">
        <v>31</v>
      </c>
      <c r="L162" s="16">
        <v>220</v>
      </c>
      <c r="M162" s="247" t="str">
        <f t="shared" si="4"/>
        <v>3-31-220</v>
      </c>
      <c r="N162" s="17" t="str">
        <f>IFERROR(VLOOKUP(M162,'LISTA ITEMS (2)'!$E$2:$G$910,2,FALSE),"  ")</f>
        <v>CABLE Nª 10 C/ALTERNA GRIS</v>
      </c>
      <c r="O162" s="30" t="str">
        <f>IFERROR(VLOOKUP(M162,'LISTA ITEMS (2)'!$E$2:$G$910,3,FALSE)," ")</f>
        <v>MT</v>
      </c>
      <c r="P162" s="176">
        <v>100</v>
      </c>
      <c r="Q162" s="181"/>
      <c r="R162" s="17"/>
      <c r="S162" s="156"/>
    </row>
    <row r="163" spans="1:19" ht="43.2" x14ac:dyDescent="0.3">
      <c r="A163" s="27">
        <v>161</v>
      </c>
      <c r="B163" s="122">
        <v>11</v>
      </c>
      <c r="C163" s="94">
        <v>11</v>
      </c>
      <c r="D163" s="246"/>
      <c r="E163" s="246"/>
      <c r="F163" s="181" t="s">
        <v>571</v>
      </c>
      <c r="G163" s="182" t="s">
        <v>558</v>
      </c>
      <c r="H163" s="181" t="s">
        <v>677</v>
      </c>
      <c r="I163" s="28">
        <v>46065</v>
      </c>
      <c r="J163" s="16">
        <v>3</v>
      </c>
      <c r="K163" s="16">
        <v>31</v>
      </c>
      <c r="L163" s="16">
        <v>221</v>
      </c>
      <c r="M163" s="247" t="str">
        <f t="shared" si="4"/>
        <v>3-31-221</v>
      </c>
      <c r="N163" s="17" t="str">
        <f>IFERROR(VLOOKUP(M163,'LISTA ITEMS (2)'!$E$2:$G$910,2,FALSE),"  ")</f>
        <v>CABLE Nª 10 C/ALTERNA AZUL</v>
      </c>
      <c r="O163" s="30" t="str">
        <f>IFERROR(VLOOKUP(M163,'LISTA ITEMS (2)'!$E$2:$G$910,3,FALSE)," ")</f>
        <v>MT</v>
      </c>
      <c r="P163" s="176">
        <v>100</v>
      </c>
      <c r="Q163" s="181"/>
      <c r="R163" s="17"/>
      <c r="S163" s="156"/>
    </row>
    <row r="164" spans="1:19" ht="43.2" x14ac:dyDescent="0.3">
      <c r="A164" s="27">
        <v>162</v>
      </c>
      <c r="B164" s="122">
        <v>11</v>
      </c>
      <c r="C164" s="94">
        <v>11</v>
      </c>
      <c r="D164" s="246"/>
      <c r="E164" s="246"/>
      <c r="F164" s="181" t="s">
        <v>571</v>
      </c>
      <c r="G164" s="182" t="s">
        <v>558</v>
      </c>
      <c r="H164" s="181" t="s">
        <v>677</v>
      </c>
      <c r="I164" s="28">
        <v>46065</v>
      </c>
      <c r="J164" s="16">
        <v>9</v>
      </c>
      <c r="K164" s="16">
        <v>32</v>
      </c>
      <c r="L164" s="16">
        <v>223</v>
      </c>
      <c r="M164" s="247" t="str">
        <f t="shared" si="4"/>
        <v>9-32-223</v>
      </c>
      <c r="N164" s="17" t="str">
        <f>IFERROR(VLOOKUP(M164,'LISTA ITEMS (2)'!$E$2:$G$910,2,FALSE),"  ")</f>
        <v>CURVA PVC M-25 GRIS TIPO A</v>
      </c>
      <c r="O164" s="30" t="str">
        <f>IFERROR(VLOOKUP(M164,'LISTA ITEMS (2)'!$E$2:$G$910,3,FALSE)," ")</f>
        <v>UND</v>
      </c>
      <c r="P164" s="176">
        <v>30</v>
      </c>
      <c r="Q164" s="181"/>
      <c r="R164" s="17"/>
      <c r="S164" s="156"/>
    </row>
    <row r="165" spans="1:19" ht="43.2" x14ac:dyDescent="0.3">
      <c r="A165" s="27">
        <v>163</v>
      </c>
      <c r="B165" s="122">
        <v>11</v>
      </c>
      <c r="C165" s="94">
        <v>11</v>
      </c>
      <c r="D165" s="246"/>
      <c r="E165" s="246"/>
      <c r="F165" s="181" t="s">
        <v>571</v>
      </c>
      <c r="G165" s="182" t="s">
        <v>558</v>
      </c>
      <c r="H165" s="181" t="s">
        <v>677</v>
      </c>
      <c r="I165" s="28">
        <v>46065</v>
      </c>
      <c r="J165" s="16">
        <v>10</v>
      </c>
      <c r="K165" s="16">
        <v>43</v>
      </c>
      <c r="L165" s="16">
        <v>270</v>
      </c>
      <c r="M165" s="247" t="str">
        <f t="shared" si="4"/>
        <v>10-43-270</v>
      </c>
      <c r="N165" s="17" t="str">
        <f>IFERROR(VLOOKUP(M165,'LISTA ITEMS (2)'!$E$2:$G$910,2,FALSE),"  ")</f>
        <v>EMPALME ALUMINIO P/BARRA</v>
      </c>
      <c r="O165" s="30" t="str">
        <f>IFERROR(VLOOKUP(M165,'LISTA ITEMS (2)'!$E$2:$G$910,3,FALSE)," ")</f>
        <v>UND</v>
      </c>
      <c r="P165" s="176">
        <v>10</v>
      </c>
      <c r="Q165" s="181"/>
      <c r="R165" s="17"/>
      <c r="S165" s="156"/>
    </row>
    <row r="166" spans="1:19" ht="43.2" x14ac:dyDescent="0.3">
      <c r="A166" s="27">
        <v>164</v>
      </c>
      <c r="B166" s="122">
        <v>11</v>
      </c>
      <c r="C166" s="94">
        <v>11</v>
      </c>
      <c r="D166" s="246"/>
      <c r="E166" s="246"/>
      <c r="F166" s="181" t="s">
        <v>571</v>
      </c>
      <c r="G166" s="182" t="s">
        <v>558</v>
      </c>
      <c r="H166" s="181" t="s">
        <v>677</v>
      </c>
      <c r="I166" s="28">
        <v>46065</v>
      </c>
      <c r="J166" s="16">
        <v>13</v>
      </c>
      <c r="K166" s="16">
        <v>67</v>
      </c>
      <c r="L166" s="16">
        <v>381</v>
      </c>
      <c r="M166" s="247" t="str">
        <f t="shared" si="4"/>
        <v>13-67-381</v>
      </c>
      <c r="N166" s="17" t="str">
        <f>IFERROR(VLOOKUP(M166,'LISTA ITEMS (2)'!$E$2:$G$910,2,FALSE),"  ")</f>
        <v>CANALETA PLASTICA 40X40</v>
      </c>
      <c r="O166" s="30" t="str">
        <f>IFERROR(VLOOKUP(M166,'LISTA ITEMS (2)'!$E$2:$G$910,3,FALSE)," ")</f>
        <v>UND</v>
      </c>
      <c r="P166" s="176">
        <v>2</v>
      </c>
      <c r="Q166" s="181"/>
      <c r="R166" s="17"/>
      <c r="S166" s="156"/>
    </row>
    <row r="167" spans="1:19" ht="43.2" x14ac:dyDescent="0.3">
      <c r="A167" s="27">
        <v>165</v>
      </c>
      <c r="B167" s="122">
        <v>11</v>
      </c>
      <c r="C167" s="94">
        <v>11</v>
      </c>
      <c r="D167" s="246"/>
      <c r="E167" s="246"/>
      <c r="F167" s="181" t="s">
        <v>571</v>
      </c>
      <c r="G167" s="182" t="s">
        <v>558</v>
      </c>
      <c r="H167" s="181" t="s">
        <v>677</v>
      </c>
      <c r="I167" s="28">
        <v>46065</v>
      </c>
      <c r="J167" s="16">
        <v>13</v>
      </c>
      <c r="K167" s="16">
        <v>67</v>
      </c>
      <c r="L167" s="16">
        <v>382</v>
      </c>
      <c r="M167" s="247" t="str">
        <f t="shared" si="4"/>
        <v>13-67-382</v>
      </c>
      <c r="N167" s="17" t="str">
        <f>IFERROR(VLOOKUP(M167,'LISTA ITEMS (2)'!$E$2:$G$910,2,FALSE),"  ")</f>
        <v>CANALETA PLASTICA 60X40</v>
      </c>
      <c r="O167" s="30" t="str">
        <f>IFERROR(VLOOKUP(M167,'LISTA ITEMS (2)'!$E$2:$G$910,3,FALSE)," ")</f>
        <v>UND</v>
      </c>
      <c r="P167" s="176">
        <v>2</v>
      </c>
      <c r="Q167" s="181"/>
      <c r="R167" s="17"/>
      <c r="S167" s="156"/>
    </row>
    <row r="168" spans="1:19" ht="43.2" x14ac:dyDescent="0.3">
      <c r="A168" s="27">
        <v>166</v>
      </c>
      <c r="B168" s="122">
        <v>11</v>
      </c>
      <c r="C168" s="94">
        <v>11</v>
      </c>
      <c r="D168" s="246"/>
      <c r="E168" s="246"/>
      <c r="F168" s="181" t="s">
        <v>571</v>
      </c>
      <c r="G168" s="182" t="s">
        <v>558</v>
      </c>
      <c r="H168" s="181" t="s">
        <v>677</v>
      </c>
      <c r="I168" s="28">
        <v>46065</v>
      </c>
      <c r="J168" s="16">
        <v>10</v>
      </c>
      <c r="K168" s="16">
        <v>37</v>
      </c>
      <c r="L168" s="16">
        <v>330</v>
      </c>
      <c r="M168" s="247" t="str">
        <f t="shared" si="4"/>
        <v>10-37-330</v>
      </c>
      <c r="N168" s="17" t="str">
        <f>IFERROR(VLOOKUP(M168,'LISTA ITEMS (2)'!$E$2:$G$910,2,FALSE),"  ")</f>
        <v>SOPORTE EN L ALUMINIO GRIS</v>
      </c>
      <c r="O168" s="30" t="str">
        <f>IFERROR(VLOOKUP(M168,'LISTA ITEMS (2)'!$E$2:$G$910,3,FALSE)," ")</f>
        <v>UND</v>
      </c>
      <c r="P168" s="176">
        <v>50</v>
      </c>
      <c r="Q168" s="181"/>
      <c r="R168" s="17"/>
      <c r="S168" s="156"/>
    </row>
    <row r="169" spans="1:19" ht="43.2" x14ac:dyDescent="0.3">
      <c r="A169" s="27">
        <v>167</v>
      </c>
      <c r="B169" s="122">
        <v>11</v>
      </c>
      <c r="C169" s="94">
        <v>11</v>
      </c>
      <c r="D169" s="246"/>
      <c r="E169" s="246"/>
      <c r="F169" s="181" t="s">
        <v>571</v>
      </c>
      <c r="G169" s="182" t="s">
        <v>558</v>
      </c>
      <c r="H169" s="181" t="s">
        <v>677</v>
      </c>
      <c r="I169" s="28">
        <v>46065</v>
      </c>
      <c r="J169" s="16">
        <v>10</v>
      </c>
      <c r="K169" s="16">
        <v>37</v>
      </c>
      <c r="L169" s="16">
        <v>315</v>
      </c>
      <c r="M169" s="247" t="str">
        <f t="shared" si="4"/>
        <v>10-37-315</v>
      </c>
      <c r="N169" s="17" t="str">
        <f>IFERROR(VLOOKUP(M169,'LISTA ITEMS (2)'!$E$2:$G$910,2,FALSE),"  ")</f>
        <v>SOPORTE FINAL NEGRO</v>
      </c>
      <c r="O169" s="30" t="str">
        <f>IFERROR(VLOOKUP(M169,'LISTA ITEMS (2)'!$E$2:$G$910,3,FALSE)," ")</f>
        <v>UND</v>
      </c>
      <c r="P169" s="176">
        <v>30</v>
      </c>
      <c r="Q169" s="181"/>
      <c r="R169" s="17"/>
      <c r="S169" s="156"/>
    </row>
    <row r="170" spans="1:19" ht="43.2" x14ac:dyDescent="0.3">
      <c r="A170" s="27">
        <v>168</v>
      </c>
      <c r="B170" s="122">
        <v>11</v>
      </c>
      <c r="C170" s="94">
        <v>11</v>
      </c>
      <c r="D170" s="246"/>
      <c r="E170" s="246"/>
      <c r="F170" s="181" t="s">
        <v>571</v>
      </c>
      <c r="G170" s="182" t="s">
        <v>558</v>
      </c>
      <c r="H170" s="181" t="s">
        <v>677</v>
      </c>
      <c r="I170" s="28">
        <v>46065</v>
      </c>
      <c r="J170" s="16">
        <v>10</v>
      </c>
      <c r="K170" s="16">
        <v>37</v>
      </c>
      <c r="L170" s="16">
        <v>232</v>
      </c>
      <c r="M170" s="247" t="str">
        <f t="shared" si="4"/>
        <v>10-37-232</v>
      </c>
      <c r="N170" s="17" t="str">
        <f>IFERROR(VLOOKUP(M170,'LISTA ITEMS (2)'!$E$2:$G$910,2,FALSE),"  ")</f>
        <v>SOPORTE CENTRAL NEGRO</v>
      </c>
      <c r="O170" s="30" t="str">
        <f>IFERROR(VLOOKUP(M170,'LISTA ITEMS (2)'!$E$2:$G$910,3,FALSE)," ")</f>
        <v>UND</v>
      </c>
      <c r="P170" s="176">
        <v>50</v>
      </c>
      <c r="Q170" s="181"/>
      <c r="R170" s="17"/>
      <c r="S170" s="156"/>
    </row>
    <row r="171" spans="1:19" ht="43.2" x14ac:dyDescent="0.3">
      <c r="A171" s="27">
        <v>169</v>
      </c>
      <c r="B171" s="122">
        <v>11</v>
      </c>
      <c r="C171" s="94">
        <v>11</v>
      </c>
      <c r="D171" s="246"/>
      <c r="E171" s="246"/>
      <c r="F171" s="181" t="s">
        <v>571</v>
      </c>
      <c r="G171" s="182" t="s">
        <v>558</v>
      </c>
      <c r="H171" s="181" t="s">
        <v>677</v>
      </c>
      <c r="I171" s="28">
        <v>46065</v>
      </c>
      <c r="J171" s="16">
        <v>3</v>
      </c>
      <c r="K171" s="16">
        <v>31</v>
      </c>
      <c r="L171" s="16">
        <v>277</v>
      </c>
      <c r="M171" s="247" t="str">
        <f t="shared" si="4"/>
        <v>3-31-277</v>
      </c>
      <c r="N171" s="17" t="str">
        <f>IFERROR(VLOOKUP(M171,'LISTA ITEMS (2)'!$E$2:$G$910,2,FALSE),"  ")</f>
        <v>CABLE Nª 6 P/PLACA SOLAR NEGRO</v>
      </c>
      <c r="O171" s="30" t="str">
        <f>IFERROR(VLOOKUP(M171,'LISTA ITEMS (2)'!$E$2:$G$910,3,FALSE)," ")</f>
        <v>MT</v>
      </c>
      <c r="P171" s="176">
        <v>40</v>
      </c>
      <c r="Q171" s="181"/>
      <c r="R171" s="17"/>
      <c r="S171" s="156"/>
    </row>
    <row r="172" spans="1:19" ht="43.2" x14ac:dyDescent="0.3">
      <c r="A172" s="27">
        <v>170</v>
      </c>
      <c r="B172" s="122">
        <v>11</v>
      </c>
      <c r="C172" s="94">
        <v>11</v>
      </c>
      <c r="D172" s="246"/>
      <c r="E172" s="246"/>
      <c r="F172" s="181" t="s">
        <v>571</v>
      </c>
      <c r="G172" s="182" t="s">
        <v>558</v>
      </c>
      <c r="H172" s="181" t="s">
        <v>677</v>
      </c>
      <c r="I172" s="28">
        <v>46065</v>
      </c>
      <c r="J172" s="16">
        <v>3</v>
      </c>
      <c r="K172" s="16">
        <v>31</v>
      </c>
      <c r="L172" s="16">
        <v>278</v>
      </c>
      <c r="M172" s="247" t="str">
        <f t="shared" si="4"/>
        <v>3-31-278</v>
      </c>
      <c r="N172" s="17" t="str">
        <f>IFERROR(VLOOKUP(M172,'LISTA ITEMS (2)'!$E$2:$G$910,2,FALSE),"  ")</f>
        <v>CABLE Nª 6 P/PLACA SOLAR ROJO</v>
      </c>
      <c r="O172" s="30" t="str">
        <f>IFERROR(VLOOKUP(M172,'LISTA ITEMS (2)'!$E$2:$G$910,3,FALSE)," ")</f>
        <v>MT</v>
      </c>
      <c r="P172" s="176">
        <v>40</v>
      </c>
      <c r="Q172" s="181"/>
      <c r="R172" s="17"/>
      <c r="S172" s="156"/>
    </row>
    <row r="173" spans="1:19" ht="43.2" x14ac:dyDescent="0.3">
      <c r="A173" s="27">
        <v>171</v>
      </c>
      <c r="B173" s="122">
        <v>11</v>
      </c>
      <c r="C173" s="94">
        <v>11</v>
      </c>
      <c r="D173" s="246"/>
      <c r="E173" s="246"/>
      <c r="F173" s="181" t="s">
        <v>571</v>
      </c>
      <c r="G173" s="182" t="s">
        <v>558</v>
      </c>
      <c r="H173" s="181" t="s">
        <v>677</v>
      </c>
      <c r="I173" s="28">
        <v>46065</v>
      </c>
      <c r="J173" s="16">
        <v>10</v>
      </c>
      <c r="K173" s="16">
        <v>15</v>
      </c>
      <c r="L173" s="16">
        <v>269</v>
      </c>
      <c r="M173" s="247" t="str">
        <f t="shared" si="4"/>
        <v>10-15-269</v>
      </c>
      <c r="N173" s="17" t="str">
        <f>IFERROR(VLOOKUP(M173,'LISTA ITEMS (2)'!$E$2:$G$910,2,FALSE),"  ")</f>
        <v>BARRA ALUMINIO PARA ESTRUCTURA  3.60mt</v>
      </c>
      <c r="O173" s="30" t="str">
        <f>IFERROR(VLOOKUP(M173,'LISTA ITEMS (2)'!$E$2:$G$910,3,FALSE)," ")</f>
        <v>UND</v>
      </c>
      <c r="P173" s="176">
        <v>4</v>
      </c>
      <c r="Q173" s="181"/>
      <c r="R173" s="17"/>
      <c r="S173" s="156"/>
    </row>
    <row r="174" spans="1:19" ht="43.2" x14ac:dyDescent="0.3">
      <c r="A174" s="27">
        <v>172</v>
      </c>
      <c r="B174" s="122">
        <v>11</v>
      </c>
      <c r="C174" s="94">
        <v>11</v>
      </c>
      <c r="D174" s="246"/>
      <c r="E174" s="246"/>
      <c r="F174" s="181" t="s">
        <v>571</v>
      </c>
      <c r="G174" s="182" t="s">
        <v>558</v>
      </c>
      <c r="H174" s="181" t="s">
        <v>677</v>
      </c>
      <c r="I174" s="28">
        <v>46065</v>
      </c>
      <c r="J174" s="16">
        <v>7</v>
      </c>
      <c r="K174" s="16">
        <v>35</v>
      </c>
      <c r="L174" s="16">
        <v>286</v>
      </c>
      <c r="M174" s="247" t="str">
        <f t="shared" si="4"/>
        <v>7-35-286</v>
      </c>
      <c r="N174" s="17" t="str">
        <f>IFERROR(VLOOKUP(M174,'LISTA ITEMS (2)'!$E$2:$G$910,2,FALSE),"  ")</f>
        <v>INVERSOR SPH 6000TL BL-UP 6KW (GROWATT)</v>
      </c>
      <c r="O174" s="30" t="str">
        <f>IFERROR(VLOOKUP(M174,'LISTA ITEMS (2)'!$E$2:$G$910,3,FALSE)," ")</f>
        <v>UND</v>
      </c>
      <c r="P174" s="176">
        <v>1</v>
      </c>
      <c r="Q174" s="181"/>
      <c r="R174" s="17" t="s">
        <v>675</v>
      </c>
      <c r="S174" s="156"/>
    </row>
    <row r="175" spans="1:19" ht="43.2" x14ac:dyDescent="0.3">
      <c r="A175" s="27">
        <v>173</v>
      </c>
      <c r="B175" s="122">
        <v>11</v>
      </c>
      <c r="C175" s="94">
        <v>11</v>
      </c>
      <c r="D175" s="246"/>
      <c r="E175" s="246"/>
      <c r="F175" s="181" t="s">
        <v>571</v>
      </c>
      <c r="G175" s="182" t="s">
        <v>558</v>
      </c>
      <c r="H175" s="181" t="s">
        <v>677</v>
      </c>
      <c r="I175" s="28">
        <v>46065</v>
      </c>
      <c r="J175" s="16">
        <v>7</v>
      </c>
      <c r="K175" s="16">
        <v>54</v>
      </c>
      <c r="L175" s="16">
        <v>295</v>
      </c>
      <c r="M175" s="247" t="str">
        <f t="shared" si="4"/>
        <v>7-54-295</v>
      </c>
      <c r="N175" s="17" t="str">
        <f>IFERROR(VLOOKUP(M175,'LISTA ITEMS (2)'!$E$2:$G$910,2,FALSE),"  ")</f>
        <v>BATERIA LFP LITHIUM DL5.OC (DYNESS)</v>
      </c>
      <c r="O175" s="30" t="str">
        <f>IFERROR(VLOOKUP(M175,'LISTA ITEMS (2)'!$E$2:$G$910,3,FALSE)," ")</f>
        <v>UND</v>
      </c>
      <c r="P175" s="176">
        <v>2</v>
      </c>
      <c r="Q175" s="181"/>
      <c r="R175" s="17" t="s">
        <v>676</v>
      </c>
      <c r="S175" s="156"/>
    </row>
    <row r="176" spans="1:19" ht="43.2" x14ac:dyDescent="0.3">
      <c r="A176" s="27">
        <v>174</v>
      </c>
      <c r="B176" s="122">
        <v>11</v>
      </c>
      <c r="C176" s="94">
        <v>11</v>
      </c>
      <c r="D176" s="246"/>
      <c r="E176" s="246"/>
      <c r="F176" s="181" t="s">
        <v>571</v>
      </c>
      <c r="G176" s="182" t="s">
        <v>558</v>
      </c>
      <c r="H176" s="181" t="s">
        <v>677</v>
      </c>
      <c r="I176" s="28">
        <v>46065</v>
      </c>
      <c r="J176" s="16">
        <v>16</v>
      </c>
      <c r="K176" s="16">
        <v>45</v>
      </c>
      <c r="L176" s="16">
        <v>294</v>
      </c>
      <c r="M176" s="247" t="str">
        <f t="shared" si="4"/>
        <v>16-45-294</v>
      </c>
      <c r="N176" s="17" t="str">
        <f>IFERROR(VLOOKUP(M176,'LISTA ITEMS (2)'!$E$2:$G$910,2,FALSE),"  ")</f>
        <v>CAJA DE ESTANCA 133X180X80 EV161 (IDE)</v>
      </c>
      <c r="O176" s="30" t="str">
        <f>IFERROR(VLOOKUP(M176,'LISTA ITEMS (2)'!$E$2:$G$910,3,FALSE)," ")</f>
        <v>UND</v>
      </c>
      <c r="P176" s="176">
        <v>1</v>
      </c>
      <c r="Q176" s="181"/>
      <c r="R176" s="17"/>
      <c r="S176" s="156"/>
    </row>
    <row r="177" spans="1:19" ht="43.2" x14ac:dyDescent="0.3">
      <c r="A177" s="27">
        <v>175</v>
      </c>
      <c r="B177" s="122">
        <v>11</v>
      </c>
      <c r="C177" s="94">
        <v>11</v>
      </c>
      <c r="D177" s="246"/>
      <c r="E177" s="246"/>
      <c r="F177" s="181" t="s">
        <v>571</v>
      </c>
      <c r="G177" s="182" t="s">
        <v>558</v>
      </c>
      <c r="H177" s="181" t="s">
        <v>677</v>
      </c>
      <c r="I177" s="28">
        <v>46065</v>
      </c>
      <c r="J177" s="16">
        <v>7</v>
      </c>
      <c r="K177" s="16">
        <v>38</v>
      </c>
      <c r="L177" s="16">
        <v>247</v>
      </c>
      <c r="M177" s="247" t="str">
        <f t="shared" si="4"/>
        <v>7-38-247</v>
      </c>
      <c r="N177" s="17" t="str">
        <f>IFERROR(VLOOKUP(M177,'LISTA ITEMS (2)'!$E$2:$G$910,2,FALSE),"  ")</f>
        <v>PLACA SOLAR JAM60D42-535LB 535W / 44.13V</v>
      </c>
      <c r="O177" s="30" t="str">
        <f>IFERROR(VLOOKUP(M177,'LISTA ITEMS (2)'!$E$2:$G$910,3,FALSE)," ")</f>
        <v>UND</v>
      </c>
      <c r="P177" s="176">
        <v>16</v>
      </c>
      <c r="Q177" s="181"/>
      <c r="R177" s="17"/>
      <c r="S177" s="156"/>
    </row>
    <row r="178" spans="1:19" ht="31.2" customHeight="1" x14ac:dyDescent="0.3">
      <c r="A178" s="27">
        <v>176</v>
      </c>
      <c r="B178" s="271">
        <v>12</v>
      </c>
      <c r="C178" s="272">
        <v>12</v>
      </c>
      <c r="D178" s="273"/>
      <c r="E178" s="273"/>
      <c r="F178" s="274" t="s">
        <v>260</v>
      </c>
      <c r="G178" s="112" t="s">
        <v>542</v>
      </c>
      <c r="H178" s="112" t="s">
        <v>678</v>
      </c>
      <c r="I178" s="275">
        <v>46065</v>
      </c>
      <c r="J178" s="115">
        <v>3</v>
      </c>
      <c r="K178" s="115">
        <v>31</v>
      </c>
      <c r="L178" s="115">
        <v>277</v>
      </c>
      <c r="M178" s="116" t="str">
        <f t="shared" ref="M178:M241" si="5">CONCATENATE(J178,"-",K178,"-",L178)</f>
        <v>3-31-277</v>
      </c>
      <c r="N178" s="117" t="str">
        <f>IFERROR(VLOOKUP(M178,'LISTA ITEMS (2)'!$E$2:$G$910,2,FALSE),"  ")</f>
        <v>CABLE Nª 6 P/PLACA SOLAR NEGRO</v>
      </c>
      <c r="O178" s="118" t="str">
        <f>IFERROR(VLOOKUP(M178,'LISTA ITEMS (2)'!$E$2:$G$910,3,FALSE)," ")</f>
        <v>MT</v>
      </c>
      <c r="P178" s="173">
        <v>30</v>
      </c>
      <c r="Q178" s="112"/>
      <c r="R178" s="117"/>
      <c r="S178" s="156">
        <v>20</v>
      </c>
    </row>
    <row r="179" spans="1:19" ht="31.2" customHeight="1" x14ac:dyDescent="0.3">
      <c r="A179" s="27">
        <v>177</v>
      </c>
      <c r="B179" s="271">
        <v>12</v>
      </c>
      <c r="C179" s="272">
        <v>12</v>
      </c>
      <c r="D179" s="273"/>
      <c r="E179" s="273"/>
      <c r="F179" s="274" t="s">
        <v>260</v>
      </c>
      <c r="G179" s="112" t="s">
        <v>542</v>
      </c>
      <c r="H179" s="112" t="s">
        <v>678</v>
      </c>
      <c r="I179" s="275">
        <v>46065</v>
      </c>
      <c r="J179" s="115">
        <v>3</v>
      </c>
      <c r="K179" s="115">
        <v>31</v>
      </c>
      <c r="L179" s="115">
        <v>278</v>
      </c>
      <c r="M179" s="116" t="str">
        <f t="shared" si="5"/>
        <v>3-31-278</v>
      </c>
      <c r="N179" s="117" t="str">
        <f>IFERROR(VLOOKUP(M179,'LISTA ITEMS (2)'!$E$2:$G$910,2,FALSE),"  ")</f>
        <v>CABLE Nª 6 P/PLACA SOLAR ROJO</v>
      </c>
      <c r="O179" s="118" t="str">
        <f>IFERROR(VLOOKUP(M179,'LISTA ITEMS (2)'!$E$2:$G$910,3,FALSE)," ")</f>
        <v>MT</v>
      </c>
      <c r="P179" s="173">
        <v>30</v>
      </c>
      <c r="Q179" s="112"/>
      <c r="R179" s="117"/>
      <c r="S179" s="156">
        <v>20</v>
      </c>
    </row>
    <row r="180" spans="1:19" ht="31.2" customHeight="1" x14ac:dyDescent="0.3">
      <c r="A180" s="27">
        <v>178</v>
      </c>
      <c r="B180" s="271">
        <v>12</v>
      </c>
      <c r="C180" s="272">
        <v>12</v>
      </c>
      <c r="D180" s="273"/>
      <c r="E180" s="273"/>
      <c r="F180" s="274" t="s">
        <v>260</v>
      </c>
      <c r="G180" s="112" t="s">
        <v>542</v>
      </c>
      <c r="H180" s="112" t="s">
        <v>678</v>
      </c>
      <c r="I180" s="275">
        <v>46065</v>
      </c>
      <c r="J180" s="115">
        <v>16</v>
      </c>
      <c r="K180" s="115">
        <v>61</v>
      </c>
      <c r="L180" s="115">
        <v>331</v>
      </c>
      <c r="M180" s="116" t="str">
        <f t="shared" si="5"/>
        <v>16-61-331</v>
      </c>
      <c r="N180" s="117" t="str">
        <f>IFERROR(VLOOKUP(M180,'LISTA ITEMS (2)'!$E$2:$G$910,2,FALSE),"  ")</f>
        <v>CONECTOR FOTOVOLTAICO HEMBRA M4 NEGRO</v>
      </c>
      <c r="O180" s="118" t="str">
        <f>IFERROR(VLOOKUP(M180,'LISTA ITEMS (2)'!$E$2:$G$910,3,FALSE)," ")</f>
        <v>UND</v>
      </c>
      <c r="P180" s="173">
        <v>20</v>
      </c>
      <c r="Q180" s="112"/>
      <c r="R180" s="117"/>
      <c r="S180" s="156">
        <v>10</v>
      </c>
    </row>
    <row r="181" spans="1:19" ht="31.2" customHeight="1" x14ac:dyDescent="0.3">
      <c r="A181" s="27">
        <v>179</v>
      </c>
      <c r="B181" s="271">
        <v>12</v>
      </c>
      <c r="C181" s="272">
        <v>12</v>
      </c>
      <c r="D181" s="273"/>
      <c r="E181" s="273"/>
      <c r="F181" s="274" t="s">
        <v>260</v>
      </c>
      <c r="G181" s="112" t="s">
        <v>542</v>
      </c>
      <c r="H181" s="112" t="s">
        <v>678</v>
      </c>
      <c r="I181" s="275">
        <v>46065</v>
      </c>
      <c r="J181" s="115">
        <v>16</v>
      </c>
      <c r="K181" s="115">
        <v>61</v>
      </c>
      <c r="L181" s="115">
        <v>332</v>
      </c>
      <c r="M181" s="116" t="str">
        <f t="shared" si="5"/>
        <v>16-61-332</v>
      </c>
      <c r="N181" s="117" t="str">
        <f>IFERROR(VLOOKUP(M181,'LISTA ITEMS (2)'!$E$2:$G$910,2,FALSE),"  ")</f>
        <v>CONECTOR FOTOVOLTAICO MACHO M4 NEGRO</v>
      </c>
      <c r="O181" s="118" t="str">
        <f>IFERROR(VLOOKUP(M181,'LISTA ITEMS (2)'!$E$2:$G$910,3,FALSE)," ")</f>
        <v>UND</v>
      </c>
      <c r="P181" s="173">
        <v>20</v>
      </c>
      <c r="Q181" s="112"/>
      <c r="R181" s="117"/>
      <c r="S181" s="156">
        <v>10</v>
      </c>
    </row>
    <row r="182" spans="1:19" ht="31.2" customHeight="1" x14ac:dyDescent="0.3">
      <c r="A182" s="27">
        <v>180</v>
      </c>
      <c r="B182" s="271">
        <v>12</v>
      </c>
      <c r="C182" s="272">
        <v>12</v>
      </c>
      <c r="D182" s="273"/>
      <c r="E182" s="273"/>
      <c r="F182" s="274" t="s">
        <v>260</v>
      </c>
      <c r="G182" s="112" t="s">
        <v>542</v>
      </c>
      <c r="H182" s="112" t="s">
        <v>678</v>
      </c>
      <c r="I182" s="275">
        <v>46065</v>
      </c>
      <c r="J182" s="115">
        <v>17</v>
      </c>
      <c r="K182" s="115">
        <v>44</v>
      </c>
      <c r="L182" s="115">
        <v>271</v>
      </c>
      <c r="M182" s="116" t="str">
        <f t="shared" si="5"/>
        <v>17-44-271</v>
      </c>
      <c r="N182" s="117" t="str">
        <f>IFERROR(VLOOKUP(M182,'LISTA ITEMS (2)'!$E$2:$G$910,2,FALSE),"  ")</f>
        <v>SELLANTE QUIMICO BLANCO</v>
      </c>
      <c r="O182" s="118" t="str">
        <f>IFERROR(VLOOKUP(M182,'LISTA ITEMS (2)'!$E$2:$G$910,3,FALSE)," ")</f>
        <v>UND</v>
      </c>
      <c r="P182" s="173">
        <v>2</v>
      </c>
      <c r="Q182" s="112"/>
      <c r="R182" s="117"/>
      <c r="S182" s="156">
        <v>1</v>
      </c>
    </row>
    <row r="183" spans="1:19" ht="31.2" customHeight="1" x14ac:dyDescent="0.3">
      <c r="A183" s="27">
        <v>181</v>
      </c>
      <c r="B183" s="271">
        <v>12</v>
      </c>
      <c r="C183" s="272">
        <v>12</v>
      </c>
      <c r="D183" s="273"/>
      <c r="E183" s="273"/>
      <c r="F183" s="274" t="s">
        <v>260</v>
      </c>
      <c r="G183" s="112" t="s">
        <v>542</v>
      </c>
      <c r="H183" s="112" t="s">
        <v>678</v>
      </c>
      <c r="I183" s="275">
        <v>46065</v>
      </c>
      <c r="J183" s="115">
        <v>13</v>
      </c>
      <c r="K183" s="115">
        <v>23</v>
      </c>
      <c r="L183" s="115">
        <v>191</v>
      </c>
      <c r="M183" s="116" t="str">
        <f t="shared" si="5"/>
        <v>13-23-191</v>
      </c>
      <c r="N183" s="117" t="str">
        <f>IFERROR(VLOOKUP(M183,'LISTA ITEMS (2)'!$E$2:$G$910,2,FALSE),"  ")</f>
        <v>CINTA NEGRA AISLANTE PVC 19MM</v>
      </c>
      <c r="O183" s="118" t="str">
        <f>IFERROR(VLOOKUP(M183,'LISTA ITEMS (2)'!$E$2:$G$910,3,FALSE)," ")</f>
        <v>UND</v>
      </c>
      <c r="P183" s="173">
        <v>1</v>
      </c>
      <c r="Q183" s="112"/>
      <c r="R183" s="117"/>
      <c r="S183" s="156">
        <v>0</v>
      </c>
    </row>
    <row r="184" spans="1:19" ht="31.2" customHeight="1" x14ac:dyDescent="0.3">
      <c r="A184" s="27">
        <v>182</v>
      </c>
      <c r="B184" s="271">
        <v>12</v>
      </c>
      <c r="C184" s="272">
        <v>12</v>
      </c>
      <c r="D184" s="273"/>
      <c r="E184" s="273"/>
      <c r="F184" s="274" t="s">
        <v>260</v>
      </c>
      <c r="G184" s="112" t="s">
        <v>542</v>
      </c>
      <c r="H184" s="112" t="s">
        <v>678</v>
      </c>
      <c r="I184" s="275">
        <v>46065</v>
      </c>
      <c r="J184" s="115">
        <v>13</v>
      </c>
      <c r="K184" s="115">
        <v>23</v>
      </c>
      <c r="L184" s="115">
        <v>187</v>
      </c>
      <c r="M184" s="116" t="str">
        <f t="shared" si="5"/>
        <v>13-23-187</v>
      </c>
      <c r="N184" s="117" t="str">
        <f>IFERROR(VLOOKUP(M184,'LISTA ITEMS (2)'!$E$2:$G$910,2,FALSE),"  ")</f>
        <v>CINTA VERDE AMARILLA AISLANTE PVC 19MM</v>
      </c>
      <c r="O184" s="118" t="str">
        <f>IFERROR(VLOOKUP(M184,'LISTA ITEMS (2)'!$E$2:$G$910,3,FALSE)," ")</f>
        <v>UND</v>
      </c>
      <c r="P184" s="173">
        <v>1</v>
      </c>
      <c r="Q184" s="112"/>
      <c r="R184" s="117"/>
      <c r="S184" s="156">
        <v>0</v>
      </c>
    </row>
    <row r="185" spans="1:19" ht="51" customHeight="1" x14ac:dyDescent="0.3">
      <c r="A185" s="27">
        <v>183</v>
      </c>
      <c r="B185" s="21">
        <v>13</v>
      </c>
      <c r="C185" s="248">
        <v>13</v>
      </c>
      <c r="D185" s="249"/>
      <c r="E185" s="249"/>
      <c r="F185" s="181" t="s">
        <v>682</v>
      </c>
      <c r="G185" s="181" t="s">
        <v>680</v>
      </c>
      <c r="H185" s="181" t="s">
        <v>681</v>
      </c>
      <c r="I185" s="184">
        <v>46066</v>
      </c>
      <c r="J185" s="16">
        <v>10</v>
      </c>
      <c r="K185" s="16">
        <v>15</v>
      </c>
      <c r="L185" s="16">
        <v>269</v>
      </c>
      <c r="M185" s="247" t="str">
        <f t="shared" si="5"/>
        <v>10-15-269</v>
      </c>
      <c r="N185" s="17" t="str">
        <f>IFERROR(VLOOKUP(M185,'LISTA ITEMS (2)'!$E$2:$G$910,2,FALSE),"  ")</f>
        <v>BARRA ALUMINIO PARA ESTRUCTURA  3.60mt</v>
      </c>
      <c r="O185" s="30" t="str">
        <f>IFERROR(VLOOKUP(M185,'LISTA ITEMS (2)'!$E$2:$G$910,3,FALSE)," ")</f>
        <v>UND</v>
      </c>
      <c r="P185" s="176">
        <v>4</v>
      </c>
      <c r="Q185" s="181" t="s">
        <v>684</v>
      </c>
      <c r="R185" s="17"/>
      <c r="S185" s="156">
        <v>2</v>
      </c>
    </row>
    <row r="186" spans="1:19" ht="51" customHeight="1" x14ac:dyDescent="0.3">
      <c r="A186" s="27">
        <v>184</v>
      </c>
      <c r="B186" s="21">
        <v>13</v>
      </c>
      <c r="C186" s="248">
        <v>13</v>
      </c>
      <c r="D186" s="249"/>
      <c r="E186" s="249"/>
      <c r="F186" s="181" t="s">
        <v>682</v>
      </c>
      <c r="G186" s="181" t="s">
        <v>680</v>
      </c>
      <c r="H186" s="181" t="s">
        <v>681</v>
      </c>
      <c r="I186" s="184">
        <v>46066</v>
      </c>
      <c r="J186" s="16">
        <v>10</v>
      </c>
      <c r="K186" s="16">
        <v>42</v>
      </c>
      <c r="L186" s="16">
        <v>268</v>
      </c>
      <c r="M186" s="247" t="str">
        <f t="shared" si="5"/>
        <v>10-42-268</v>
      </c>
      <c r="N186" s="17" t="str">
        <f>IFERROR(VLOOKUP(M186,'LISTA ITEMS (2)'!$E$2:$G$910,2,FALSE),"  ")</f>
        <v>PATA ALUMINIO PARA ESTRUCTURA PLACA SOLAR ANGULO 30º</v>
      </c>
      <c r="O186" s="30" t="str">
        <f>IFERROR(VLOOKUP(M186,'LISTA ITEMS (2)'!$E$2:$G$910,3,FALSE)," ")</f>
        <v>UND</v>
      </c>
      <c r="P186" s="176">
        <v>5</v>
      </c>
      <c r="Q186" s="181" t="s">
        <v>684</v>
      </c>
      <c r="R186" s="17"/>
      <c r="S186" s="156">
        <v>3</v>
      </c>
    </row>
    <row r="187" spans="1:19" ht="51" customHeight="1" x14ac:dyDescent="0.3">
      <c r="A187" s="27">
        <v>185</v>
      </c>
      <c r="B187" s="21">
        <v>13</v>
      </c>
      <c r="C187" s="248">
        <v>13</v>
      </c>
      <c r="D187" s="249"/>
      <c r="E187" s="249"/>
      <c r="F187" s="181" t="s">
        <v>682</v>
      </c>
      <c r="G187" s="181" t="s">
        <v>680</v>
      </c>
      <c r="H187" s="181" t="s">
        <v>681</v>
      </c>
      <c r="I187" s="184">
        <v>46066</v>
      </c>
      <c r="J187" s="16">
        <v>10</v>
      </c>
      <c r="K187" s="16">
        <v>37</v>
      </c>
      <c r="L187" s="16">
        <v>287</v>
      </c>
      <c r="M187" s="247" t="str">
        <f t="shared" si="5"/>
        <v>10-37-287</v>
      </c>
      <c r="N187" s="17" t="str">
        <f>IFERROR(VLOOKUP(M187,'LISTA ITEMS (2)'!$E$2:$G$910,2,FALSE),"  ")</f>
        <v>SOPORTE CENTRAL GRIS</v>
      </c>
      <c r="O187" s="30" t="str">
        <f>IFERROR(VLOOKUP(M187,'LISTA ITEMS (2)'!$E$2:$G$910,3,FALSE)," ")</f>
        <v>UND</v>
      </c>
      <c r="P187" s="176">
        <v>15</v>
      </c>
      <c r="Q187" s="181" t="s">
        <v>684</v>
      </c>
      <c r="R187" s="17"/>
      <c r="S187" s="156">
        <v>13</v>
      </c>
    </row>
    <row r="188" spans="1:19" ht="51" customHeight="1" x14ac:dyDescent="0.3">
      <c r="A188" s="27">
        <v>186</v>
      </c>
      <c r="B188" s="21">
        <v>13</v>
      </c>
      <c r="C188" s="248">
        <v>13</v>
      </c>
      <c r="D188" s="249"/>
      <c r="E188" s="249"/>
      <c r="F188" s="181" t="s">
        <v>682</v>
      </c>
      <c r="G188" s="181" t="s">
        <v>680</v>
      </c>
      <c r="H188" s="181" t="s">
        <v>681</v>
      </c>
      <c r="I188" s="184">
        <v>46066</v>
      </c>
      <c r="J188" s="16">
        <v>10</v>
      </c>
      <c r="K188" s="16">
        <v>37</v>
      </c>
      <c r="L188" s="16">
        <v>316</v>
      </c>
      <c r="M188" s="247" t="str">
        <f t="shared" si="5"/>
        <v>10-37-316</v>
      </c>
      <c r="N188" s="17" t="str">
        <f>IFERROR(VLOOKUP(M188,'LISTA ITEMS (2)'!$E$2:$G$910,2,FALSE),"  ")</f>
        <v>SOPORTE FINAL GRIS</v>
      </c>
      <c r="O188" s="30" t="str">
        <f>IFERROR(VLOOKUP(M188,'LISTA ITEMS (2)'!$E$2:$G$910,3,FALSE)," ")</f>
        <v>UND</v>
      </c>
      <c r="P188" s="176">
        <v>15</v>
      </c>
      <c r="Q188" s="181" t="s">
        <v>684</v>
      </c>
      <c r="R188" s="17"/>
      <c r="S188" s="156">
        <v>14</v>
      </c>
    </row>
    <row r="189" spans="1:19" ht="51" customHeight="1" x14ac:dyDescent="0.3">
      <c r="A189" s="27">
        <v>187</v>
      </c>
      <c r="B189" s="21">
        <v>13</v>
      </c>
      <c r="C189" s="248">
        <v>13</v>
      </c>
      <c r="D189" s="249"/>
      <c r="E189" s="249"/>
      <c r="F189" s="181" t="s">
        <v>682</v>
      </c>
      <c r="G189" s="181" t="s">
        <v>680</v>
      </c>
      <c r="H189" s="181" t="s">
        <v>681</v>
      </c>
      <c r="I189" s="184">
        <v>46066</v>
      </c>
      <c r="J189" s="16">
        <v>7</v>
      </c>
      <c r="K189" s="16">
        <v>38</v>
      </c>
      <c r="L189" s="16">
        <v>248</v>
      </c>
      <c r="M189" s="247" t="str">
        <f t="shared" si="5"/>
        <v>7-38-248</v>
      </c>
      <c r="N189" s="17" t="str">
        <f>IFERROR(VLOOKUP(M189,'LISTA ITEMS (2)'!$E$2:$G$910,2,FALSE),"  ")</f>
        <v>PLACA SOLAR TSM-505NEG 18R.28 505W / 33.5V</v>
      </c>
      <c r="O189" s="30" t="str">
        <f>IFERROR(VLOOKUP(M189,'LISTA ITEMS (2)'!$E$2:$G$910,3,FALSE)," ")</f>
        <v>UND</v>
      </c>
      <c r="P189" s="176">
        <v>2</v>
      </c>
      <c r="Q189" s="181" t="s">
        <v>684</v>
      </c>
      <c r="R189" s="30" t="s">
        <v>679</v>
      </c>
      <c r="S189" s="156">
        <v>0</v>
      </c>
    </row>
    <row r="190" spans="1:19" ht="28.8" x14ac:dyDescent="0.3">
      <c r="A190" s="27">
        <v>188</v>
      </c>
      <c r="B190" s="97">
        <v>14</v>
      </c>
      <c r="C190" s="132">
        <v>14</v>
      </c>
      <c r="D190" s="222"/>
      <c r="E190" s="222"/>
      <c r="F190" s="133" t="s">
        <v>691</v>
      </c>
      <c r="G190" s="133" t="s">
        <v>687</v>
      </c>
      <c r="H190" s="133" t="s">
        <v>689</v>
      </c>
      <c r="I190" s="134">
        <v>46069</v>
      </c>
      <c r="J190" s="106">
        <v>10</v>
      </c>
      <c r="K190" s="106">
        <v>43</v>
      </c>
      <c r="L190" s="106">
        <v>270</v>
      </c>
      <c r="M190" s="107" t="str">
        <f t="shared" si="5"/>
        <v>10-43-270</v>
      </c>
      <c r="N190" s="108" t="str">
        <f>IFERROR(VLOOKUP(M190,'LISTA ITEMS (2)'!$E$2:$G$910,2,FALSE),"  ")</f>
        <v>EMPALME ALUMINIO P/BARRA</v>
      </c>
      <c r="O190" s="109" t="str">
        <f>IFERROR(VLOOKUP(M190,'LISTA ITEMS (2)'!$E$2:$G$910,3,FALSE)," ")</f>
        <v>UND</v>
      </c>
      <c r="P190" s="172">
        <v>16</v>
      </c>
      <c r="Q190" s="133"/>
      <c r="R190" s="108"/>
      <c r="S190" s="156">
        <v>9</v>
      </c>
    </row>
    <row r="191" spans="1:19" ht="28.8" x14ac:dyDescent="0.3">
      <c r="A191" s="27">
        <v>189</v>
      </c>
      <c r="B191" s="97">
        <v>14</v>
      </c>
      <c r="C191" s="132">
        <v>14</v>
      </c>
      <c r="D191" s="222"/>
      <c r="E191" s="222"/>
      <c r="F191" s="133" t="s">
        <v>691</v>
      </c>
      <c r="G191" s="133" t="s">
        <v>687</v>
      </c>
      <c r="H191" s="133" t="s">
        <v>689</v>
      </c>
      <c r="I191" s="134">
        <v>46069</v>
      </c>
      <c r="J191" s="106">
        <v>10</v>
      </c>
      <c r="K191" s="106">
        <v>37</v>
      </c>
      <c r="L191" s="106">
        <v>330</v>
      </c>
      <c r="M191" s="107" t="str">
        <f t="shared" si="5"/>
        <v>10-37-330</v>
      </c>
      <c r="N191" s="108" t="str">
        <f>IFERROR(VLOOKUP(M191,'LISTA ITEMS (2)'!$E$2:$G$910,2,FALSE),"  ")</f>
        <v>SOPORTE EN L ALUMINIO GRIS</v>
      </c>
      <c r="O191" s="109" t="str">
        <f>IFERROR(VLOOKUP(M191,'LISTA ITEMS (2)'!$E$2:$G$910,3,FALSE)," ")</f>
        <v>UND</v>
      </c>
      <c r="P191" s="172">
        <v>60</v>
      </c>
      <c r="Q191" s="133"/>
      <c r="R191" s="108"/>
      <c r="S191" s="156">
        <v>38</v>
      </c>
    </row>
    <row r="192" spans="1:19" ht="28.8" x14ac:dyDescent="0.3">
      <c r="A192" s="27">
        <v>190</v>
      </c>
      <c r="B192" s="97">
        <v>14</v>
      </c>
      <c r="C192" s="132">
        <v>14</v>
      </c>
      <c r="D192" s="222"/>
      <c r="E192" s="222"/>
      <c r="F192" s="133" t="s">
        <v>691</v>
      </c>
      <c r="G192" s="133" t="s">
        <v>687</v>
      </c>
      <c r="H192" s="133" t="s">
        <v>689</v>
      </c>
      <c r="I192" s="134">
        <v>46069</v>
      </c>
      <c r="J192" s="106">
        <v>10</v>
      </c>
      <c r="K192" s="106">
        <v>37</v>
      </c>
      <c r="L192" s="106">
        <v>315</v>
      </c>
      <c r="M192" s="107" t="str">
        <f t="shared" si="5"/>
        <v>10-37-315</v>
      </c>
      <c r="N192" s="108" t="str">
        <f>IFERROR(VLOOKUP(M192,'LISTA ITEMS (2)'!$E$2:$G$910,2,FALSE),"  ")</f>
        <v>SOPORTE FINAL NEGRO</v>
      </c>
      <c r="O192" s="109" t="str">
        <f>IFERROR(VLOOKUP(M192,'LISTA ITEMS (2)'!$E$2:$G$910,3,FALSE)," ")</f>
        <v>UND</v>
      </c>
      <c r="P192" s="172">
        <v>50</v>
      </c>
      <c r="Q192" s="133"/>
      <c r="R192" s="108"/>
      <c r="S192" s="156">
        <v>0</v>
      </c>
    </row>
    <row r="193" spans="1:19" ht="28.8" x14ac:dyDescent="0.3">
      <c r="A193" s="27">
        <v>191</v>
      </c>
      <c r="B193" s="97">
        <v>14</v>
      </c>
      <c r="C193" s="132">
        <v>14</v>
      </c>
      <c r="D193" s="222"/>
      <c r="E193" s="222"/>
      <c r="F193" s="133" t="s">
        <v>691</v>
      </c>
      <c r="G193" s="133" t="s">
        <v>687</v>
      </c>
      <c r="H193" s="133" t="s">
        <v>689</v>
      </c>
      <c r="I193" s="134">
        <v>46069</v>
      </c>
      <c r="J193" s="106">
        <v>8</v>
      </c>
      <c r="K193" s="106">
        <v>64</v>
      </c>
      <c r="L193" s="106">
        <v>358</v>
      </c>
      <c r="M193" s="107" t="str">
        <f t="shared" si="5"/>
        <v>8-64-358</v>
      </c>
      <c r="N193" s="108" t="str">
        <f>IFERROR(VLOOKUP(M193,'LISTA ITEMS (2)'!$E$2:$G$910,2,FALSE),"  ")</f>
        <v>BARILLA ROSCADA M8 A/GALV X1000</v>
      </c>
      <c r="O193" s="109" t="str">
        <f>IFERROR(VLOOKUP(M193,'LISTA ITEMS (2)'!$E$2:$G$910,3,FALSE)," ")</f>
        <v>UND</v>
      </c>
      <c r="P193" s="172">
        <v>15</v>
      </c>
      <c r="Q193" s="133"/>
      <c r="R193" s="108"/>
      <c r="S193" s="156">
        <v>0</v>
      </c>
    </row>
    <row r="194" spans="1:19" ht="28.8" x14ac:dyDescent="0.3">
      <c r="A194" s="27">
        <v>192</v>
      </c>
      <c r="B194" s="97">
        <v>14</v>
      </c>
      <c r="C194" s="132">
        <v>14</v>
      </c>
      <c r="D194" s="222"/>
      <c r="E194" s="222"/>
      <c r="F194" s="133" t="s">
        <v>691</v>
      </c>
      <c r="G194" s="133" t="s">
        <v>687</v>
      </c>
      <c r="H194" s="133" t="s">
        <v>689</v>
      </c>
      <c r="I194" s="134">
        <v>46069</v>
      </c>
      <c r="J194" s="106">
        <v>10</v>
      </c>
      <c r="K194" s="106">
        <v>37</v>
      </c>
      <c r="L194" s="106">
        <v>232</v>
      </c>
      <c r="M194" s="107" t="str">
        <f t="shared" si="5"/>
        <v>10-37-232</v>
      </c>
      <c r="N194" s="108" t="str">
        <f>IFERROR(VLOOKUP(M194,'LISTA ITEMS (2)'!$E$2:$G$910,2,FALSE),"  ")</f>
        <v>SOPORTE CENTRAL NEGRO</v>
      </c>
      <c r="O194" s="109" t="str">
        <f>IFERROR(VLOOKUP(M194,'LISTA ITEMS (2)'!$E$2:$G$910,3,FALSE)," ")</f>
        <v>UND</v>
      </c>
      <c r="P194" s="172">
        <v>70</v>
      </c>
      <c r="Q194" s="133"/>
      <c r="R194" s="108"/>
      <c r="S194" s="156">
        <v>61</v>
      </c>
    </row>
    <row r="195" spans="1:19" ht="28.8" x14ac:dyDescent="0.3">
      <c r="A195" s="27">
        <v>193</v>
      </c>
      <c r="B195" s="97">
        <v>14</v>
      </c>
      <c r="C195" s="132">
        <v>14</v>
      </c>
      <c r="D195" s="222"/>
      <c r="E195" s="222"/>
      <c r="F195" s="133" t="s">
        <v>691</v>
      </c>
      <c r="G195" s="133" t="s">
        <v>687</v>
      </c>
      <c r="H195" s="133" t="s">
        <v>689</v>
      </c>
      <c r="I195" s="134">
        <v>46069</v>
      </c>
      <c r="J195" s="106">
        <v>17</v>
      </c>
      <c r="K195" s="106">
        <v>44</v>
      </c>
      <c r="L195" s="106">
        <v>271</v>
      </c>
      <c r="M195" s="107" t="str">
        <f t="shared" si="5"/>
        <v>17-44-271</v>
      </c>
      <c r="N195" s="108" t="str">
        <f>IFERROR(VLOOKUP(M195,'LISTA ITEMS (2)'!$E$2:$G$910,2,FALSE),"  ")</f>
        <v>SELLANTE QUIMICO BLANCO</v>
      </c>
      <c r="O195" s="109" t="str">
        <f>IFERROR(VLOOKUP(M195,'LISTA ITEMS (2)'!$E$2:$G$910,3,FALSE)," ")</f>
        <v>UND</v>
      </c>
      <c r="P195" s="172">
        <v>2</v>
      </c>
      <c r="Q195" s="133"/>
      <c r="R195" s="108"/>
      <c r="S195" s="156">
        <v>2</v>
      </c>
    </row>
    <row r="196" spans="1:19" ht="28.8" x14ac:dyDescent="0.3">
      <c r="A196" s="27">
        <v>194</v>
      </c>
      <c r="B196" s="97">
        <v>14</v>
      </c>
      <c r="C196" s="132">
        <v>14</v>
      </c>
      <c r="D196" s="222"/>
      <c r="E196" s="222"/>
      <c r="F196" s="133" t="s">
        <v>691</v>
      </c>
      <c r="G196" s="133" t="s">
        <v>687</v>
      </c>
      <c r="H196" s="133" t="s">
        <v>689</v>
      </c>
      <c r="I196" s="134">
        <v>46069</v>
      </c>
      <c r="J196" s="106">
        <v>17</v>
      </c>
      <c r="K196" s="106">
        <v>44</v>
      </c>
      <c r="L196" s="106">
        <v>272</v>
      </c>
      <c r="M196" s="107" t="str">
        <f t="shared" si="5"/>
        <v>17-44-272</v>
      </c>
      <c r="N196" s="108" t="str">
        <f>IFERROR(VLOOKUP(M196,'LISTA ITEMS (2)'!$E$2:$G$910,2,FALSE),"  ")</f>
        <v>SELLANTE QUIMICO GRIS</v>
      </c>
      <c r="O196" s="109" t="str">
        <f>IFERROR(VLOOKUP(M196,'LISTA ITEMS (2)'!$E$2:$G$910,3,FALSE)," ")</f>
        <v>UND</v>
      </c>
      <c r="P196" s="172">
        <v>2</v>
      </c>
      <c r="Q196" s="133"/>
      <c r="R196" s="108"/>
      <c r="S196" s="156">
        <v>1</v>
      </c>
    </row>
    <row r="197" spans="1:19" ht="28.8" x14ac:dyDescent="0.3">
      <c r="A197" s="27">
        <v>195</v>
      </c>
      <c r="B197" s="97">
        <v>14</v>
      </c>
      <c r="C197" s="132">
        <v>14</v>
      </c>
      <c r="D197" s="222"/>
      <c r="E197" s="222"/>
      <c r="F197" s="133" t="s">
        <v>691</v>
      </c>
      <c r="G197" s="133" t="s">
        <v>687</v>
      </c>
      <c r="H197" s="133" t="s">
        <v>689</v>
      </c>
      <c r="I197" s="134">
        <v>46069</v>
      </c>
      <c r="J197" s="106">
        <v>13</v>
      </c>
      <c r="K197" s="106">
        <v>21</v>
      </c>
      <c r="L197" s="106">
        <v>181</v>
      </c>
      <c r="M197" s="107" t="str">
        <f t="shared" si="5"/>
        <v>13-21-181</v>
      </c>
      <c r="N197" s="108" t="str">
        <f>IFERROR(VLOOKUP(M197,'LISTA ITEMS (2)'!$E$2:$G$910,2,FALSE),"  ")</f>
        <v>TACO P/BRIDA NEGRO</v>
      </c>
      <c r="O197" s="109" t="str">
        <f>IFERROR(VLOOKUP(M197,'LISTA ITEMS (2)'!$E$2:$G$910,3,FALSE)," ")</f>
        <v>UND</v>
      </c>
      <c r="P197" s="172">
        <v>100</v>
      </c>
      <c r="Q197" s="133"/>
      <c r="R197" s="108"/>
      <c r="S197" s="156">
        <v>100</v>
      </c>
    </row>
    <row r="198" spans="1:19" ht="28.8" x14ac:dyDescent="0.3">
      <c r="A198" s="27">
        <v>196</v>
      </c>
      <c r="B198" s="97">
        <v>14</v>
      </c>
      <c r="C198" s="132">
        <v>14</v>
      </c>
      <c r="D198" s="222"/>
      <c r="E198" s="222"/>
      <c r="F198" s="133" t="s">
        <v>691</v>
      </c>
      <c r="G198" s="133" t="s">
        <v>687</v>
      </c>
      <c r="H198" s="133" t="s">
        <v>689</v>
      </c>
      <c r="I198" s="134">
        <v>46069</v>
      </c>
      <c r="J198" s="106">
        <v>13</v>
      </c>
      <c r="K198" s="106">
        <v>22</v>
      </c>
      <c r="L198" s="106">
        <v>184</v>
      </c>
      <c r="M198" s="107" t="str">
        <f t="shared" si="5"/>
        <v>13-22-184</v>
      </c>
      <c r="N198" s="108" t="str">
        <f>IFERROR(VLOOKUP(M198,'LISTA ITEMS (2)'!$E$2:$G$910,2,FALSE),"  ")</f>
        <v>BRIDA P/EXTERIOR NEGRA</v>
      </c>
      <c r="O198" s="109" t="str">
        <f>IFERROR(VLOOKUP(M198,'LISTA ITEMS (2)'!$E$2:$G$910,3,FALSE)," ")</f>
        <v>UND</v>
      </c>
      <c r="P198" s="172">
        <v>200</v>
      </c>
      <c r="Q198" s="133"/>
      <c r="R198" s="108"/>
      <c r="S198" s="156">
        <v>200</v>
      </c>
    </row>
    <row r="199" spans="1:19" ht="28.8" x14ac:dyDescent="0.3">
      <c r="A199" s="27">
        <v>197</v>
      </c>
      <c r="B199" s="97">
        <v>14</v>
      </c>
      <c r="C199" s="132">
        <v>14</v>
      </c>
      <c r="D199" s="222"/>
      <c r="E199" s="222"/>
      <c r="F199" s="133" t="s">
        <v>691</v>
      </c>
      <c r="G199" s="133" t="s">
        <v>687</v>
      </c>
      <c r="H199" s="133" t="s">
        <v>689</v>
      </c>
      <c r="I199" s="134">
        <v>46069</v>
      </c>
      <c r="J199" s="106">
        <v>10</v>
      </c>
      <c r="K199" s="106">
        <v>15</v>
      </c>
      <c r="L199" s="106">
        <v>269</v>
      </c>
      <c r="M199" s="107" t="str">
        <f t="shared" si="5"/>
        <v>10-15-269</v>
      </c>
      <c r="N199" s="108" t="str">
        <f>IFERROR(VLOOKUP(M199,'LISTA ITEMS (2)'!$E$2:$G$910,2,FALSE),"  ")</f>
        <v>BARRA ALUMINIO PARA ESTRUCTURA  3.60mt</v>
      </c>
      <c r="O199" s="109" t="str">
        <f>IFERROR(VLOOKUP(M199,'LISTA ITEMS (2)'!$E$2:$G$910,3,FALSE)," ")</f>
        <v>UND</v>
      </c>
      <c r="P199" s="172">
        <v>13</v>
      </c>
      <c r="Q199" s="133"/>
      <c r="R199" s="108"/>
      <c r="S199" s="156">
        <v>2</v>
      </c>
    </row>
    <row r="200" spans="1:19" ht="28.8" x14ac:dyDescent="0.3">
      <c r="A200" s="27">
        <v>198</v>
      </c>
      <c r="B200" s="97">
        <v>14</v>
      </c>
      <c r="C200" s="132">
        <v>14</v>
      </c>
      <c r="D200" s="222"/>
      <c r="E200" s="222"/>
      <c r="F200" s="133" t="s">
        <v>691</v>
      </c>
      <c r="G200" s="133" t="s">
        <v>687</v>
      </c>
      <c r="H200" s="133" t="s">
        <v>689</v>
      </c>
      <c r="I200" s="134">
        <v>46069</v>
      </c>
      <c r="J200" s="106">
        <v>14</v>
      </c>
      <c r="K200" s="106">
        <v>24</v>
      </c>
      <c r="L200" s="106">
        <v>193</v>
      </c>
      <c r="M200" s="107" t="str">
        <f t="shared" si="5"/>
        <v>14-24-193</v>
      </c>
      <c r="N200" s="108" t="str">
        <f>IFERROR(VLOOKUP(M200,'LISTA ITEMS (2)'!$E$2:$G$910,2,FALSE),"  ")</f>
        <v>DISCO CORTE ACERO/INOX A1 2EN1</v>
      </c>
      <c r="O200" s="109" t="str">
        <f>IFERROR(VLOOKUP(M200,'LISTA ITEMS (2)'!$E$2:$G$910,3,FALSE)," ")</f>
        <v>UND</v>
      </c>
      <c r="P200" s="172">
        <v>4</v>
      </c>
      <c r="Q200" s="133"/>
      <c r="R200" s="108"/>
      <c r="S200" s="156">
        <v>0</v>
      </c>
    </row>
    <row r="201" spans="1:19" ht="28.8" x14ac:dyDescent="0.3">
      <c r="A201" s="27">
        <v>199</v>
      </c>
      <c r="B201" s="97">
        <v>14</v>
      </c>
      <c r="C201" s="132">
        <v>14</v>
      </c>
      <c r="D201" s="222"/>
      <c r="E201" s="222"/>
      <c r="F201" s="133" t="s">
        <v>691</v>
      </c>
      <c r="G201" s="133" t="s">
        <v>687</v>
      </c>
      <c r="H201" s="133" t="s">
        <v>689</v>
      </c>
      <c r="I201" s="134">
        <v>46069</v>
      </c>
      <c r="J201" s="106">
        <v>16</v>
      </c>
      <c r="K201" s="106">
        <v>45</v>
      </c>
      <c r="L201" s="106">
        <v>276</v>
      </c>
      <c r="M201" s="107" t="str">
        <f t="shared" si="5"/>
        <v>16-45-276</v>
      </c>
      <c r="N201" s="108" t="str">
        <f>IFERROR(VLOOKUP(M201,'LISTA ITEMS (2)'!$E$2:$G$910,2,FALSE),"  ")</f>
        <v>CAJA ESTANCA (COCHERA) EXTERIOR 18PT (IDE)</v>
      </c>
      <c r="O201" s="109" t="str">
        <f>IFERROR(VLOOKUP(M201,'LISTA ITEMS (2)'!$E$2:$G$910,3,FALSE)," ")</f>
        <v>UND</v>
      </c>
      <c r="P201" s="172">
        <v>1</v>
      </c>
      <c r="Q201" s="133"/>
      <c r="R201" s="108"/>
      <c r="S201" s="156">
        <v>0</v>
      </c>
    </row>
    <row r="202" spans="1:19" ht="28.8" x14ac:dyDescent="0.3">
      <c r="A202" s="27">
        <v>200</v>
      </c>
      <c r="B202" s="97">
        <v>14</v>
      </c>
      <c r="C202" s="132">
        <v>14</v>
      </c>
      <c r="D202" s="222"/>
      <c r="E202" s="222"/>
      <c r="F202" s="133" t="s">
        <v>691</v>
      </c>
      <c r="G202" s="133" t="s">
        <v>687</v>
      </c>
      <c r="H202" s="133" t="s">
        <v>689</v>
      </c>
      <c r="I202" s="134">
        <v>46069</v>
      </c>
      <c r="J202" s="106">
        <v>16</v>
      </c>
      <c r="K202" s="106">
        <v>49</v>
      </c>
      <c r="L202" s="106">
        <v>282</v>
      </c>
      <c r="M202" s="107" t="str">
        <f t="shared" si="5"/>
        <v>16-49-282</v>
      </c>
      <c r="N202" s="108" t="str">
        <f>IFERROR(VLOOKUP(M202,'LISTA ITEMS (2)'!$E$2:$G$910,2,FALSE),"  ")</f>
        <v>CONTACTOR MODULAR RV32 (REVALCO)</v>
      </c>
      <c r="O202" s="109" t="str">
        <f>IFERROR(VLOOKUP(M202,'LISTA ITEMS (2)'!$E$2:$G$910,3,FALSE)," ")</f>
        <v>UND</v>
      </c>
      <c r="P202" s="172">
        <v>1</v>
      </c>
      <c r="Q202" s="133"/>
      <c r="R202" s="108"/>
      <c r="S202" s="156">
        <v>0</v>
      </c>
    </row>
    <row r="203" spans="1:19" ht="43.2" x14ac:dyDescent="0.3">
      <c r="A203" s="27">
        <v>201</v>
      </c>
      <c r="B203" s="97">
        <v>14</v>
      </c>
      <c r="C203" s="132">
        <v>14</v>
      </c>
      <c r="D203" s="222"/>
      <c r="E203" s="222"/>
      <c r="F203" s="133" t="s">
        <v>691</v>
      </c>
      <c r="G203" s="133" t="s">
        <v>687</v>
      </c>
      <c r="H203" s="133" t="s">
        <v>689</v>
      </c>
      <c r="I203" s="134">
        <v>46069</v>
      </c>
      <c r="J203" s="106">
        <v>16</v>
      </c>
      <c r="K203" s="106">
        <v>63</v>
      </c>
      <c r="L203" s="106">
        <v>357</v>
      </c>
      <c r="M203" s="107" t="str">
        <f t="shared" si="5"/>
        <v>16-63-357</v>
      </c>
      <c r="N203" s="108" t="str">
        <f>IFERROR(VLOOKUP(M203,'LISTA ITEMS (2)'!$E$2:$G$910,2,FALSE),"  ")</f>
        <v>TORO IDAL CURRENT TRANSFORMER 100A:50mA For MULTIPLUS-II (VICTRON ENERGY)</v>
      </c>
      <c r="O203" s="109" t="str">
        <f>IFERROR(VLOOKUP(M203,'LISTA ITEMS (2)'!$E$2:$G$910,3,FALSE)," ")</f>
        <v>UND</v>
      </c>
      <c r="P203" s="172">
        <v>1</v>
      </c>
      <c r="Q203" s="133"/>
      <c r="R203" s="108"/>
      <c r="S203" s="156">
        <v>1</v>
      </c>
    </row>
    <row r="204" spans="1:19" ht="28.8" x14ac:dyDescent="0.3">
      <c r="A204" s="27">
        <v>202</v>
      </c>
      <c r="B204" s="97">
        <v>14</v>
      </c>
      <c r="C204" s="132">
        <v>14</v>
      </c>
      <c r="D204" s="222"/>
      <c r="E204" s="222"/>
      <c r="F204" s="133" t="s">
        <v>691</v>
      </c>
      <c r="G204" s="133" t="s">
        <v>687</v>
      </c>
      <c r="H204" s="133" t="s">
        <v>689</v>
      </c>
      <c r="I204" s="134">
        <v>46069</v>
      </c>
      <c r="J204" s="106">
        <v>16</v>
      </c>
      <c r="K204" s="106">
        <v>52</v>
      </c>
      <c r="L204" s="106">
        <v>285</v>
      </c>
      <c r="M204" s="107" t="str">
        <f t="shared" si="5"/>
        <v>16-52-285</v>
      </c>
      <c r="N204" s="108" t="str">
        <f>IFERROR(VLOOKUP(M204,'LISTA ITEMS (2)'!$E$2:$G$910,2,FALSE),"  ")</f>
        <v>TERMICO EPBE63M1NC63 1P+N C63 (MAXGE)</v>
      </c>
      <c r="O204" s="109" t="str">
        <f>IFERROR(VLOOKUP(M204,'LISTA ITEMS (2)'!$E$2:$G$910,3,FALSE)," ")</f>
        <v>UND</v>
      </c>
      <c r="P204" s="172">
        <v>2</v>
      </c>
      <c r="Q204" s="133"/>
      <c r="R204" s="108"/>
      <c r="S204" s="156">
        <v>0</v>
      </c>
    </row>
    <row r="205" spans="1:19" ht="28.8" x14ac:dyDescent="0.3">
      <c r="A205" s="27">
        <v>203</v>
      </c>
      <c r="B205" s="97">
        <v>14</v>
      </c>
      <c r="C205" s="132">
        <v>14</v>
      </c>
      <c r="D205" s="222"/>
      <c r="E205" s="222"/>
      <c r="F205" s="133" t="s">
        <v>691</v>
      </c>
      <c r="G205" s="133" t="s">
        <v>687</v>
      </c>
      <c r="H205" s="133" t="s">
        <v>689</v>
      </c>
      <c r="I205" s="134">
        <v>46069</v>
      </c>
      <c r="J205" s="106">
        <v>16</v>
      </c>
      <c r="K205" s="106">
        <v>47</v>
      </c>
      <c r="L205" s="106">
        <v>280</v>
      </c>
      <c r="M205" s="107" t="str">
        <f t="shared" si="5"/>
        <v>16-47-280</v>
      </c>
      <c r="N205" s="108" t="str">
        <f>IFERROR(VLOOKUP(M205,'LISTA ITEMS (2)'!$E$2:$G$910,2,FALSE),"  ")</f>
        <v>DIFERENCIAL EPR2A063030 2P-63A-30mA (MAXGE)</v>
      </c>
      <c r="O205" s="109" t="str">
        <f>IFERROR(VLOOKUP(M205,'LISTA ITEMS (2)'!$E$2:$G$910,3,FALSE)," ")</f>
        <v>UND</v>
      </c>
      <c r="P205" s="172">
        <v>2</v>
      </c>
      <c r="Q205" s="133"/>
      <c r="R205" s="108"/>
      <c r="S205" s="156">
        <v>1</v>
      </c>
    </row>
    <row r="206" spans="1:19" ht="28.8" x14ac:dyDescent="0.3">
      <c r="A206" s="27">
        <v>204</v>
      </c>
      <c r="B206" s="97">
        <v>14</v>
      </c>
      <c r="C206" s="132">
        <v>14</v>
      </c>
      <c r="D206" s="222"/>
      <c r="E206" s="222"/>
      <c r="F206" s="133" t="s">
        <v>691</v>
      </c>
      <c r="G206" s="133" t="s">
        <v>687</v>
      </c>
      <c r="H206" s="133" t="s">
        <v>689</v>
      </c>
      <c r="I206" s="134">
        <v>46069</v>
      </c>
      <c r="J206" s="106">
        <v>16</v>
      </c>
      <c r="K206" s="106">
        <v>51</v>
      </c>
      <c r="L206" s="106">
        <v>309</v>
      </c>
      <c r="M206" s="107" t="str">
        <f t="shared" si="5"/>
        <v>16-51-309</v>
      </c>
      <c r="N206" s="108" t="str">
        <f>IFERROR(VLOOKUP(M206,'LISTA ITEMS (2)'!$E$2:$G$910,2,FALSE),"  ")</f>
        <v>LIMITADOR MONOFASICO EPS1 C/2 - 275-40 (MAXGE)</v>
      </c>
      <c r="O206" s="109" t="str">
        <f>IFERROR(VLOOKUP(M206,'LISTA ITEMS (2)'!$E$2:$G$910,3,FALSE)," ")</f>
        <v>UND</v>
      </c>
      <c r="P206" s="172">
        <v>1</v>
      </c>
      <c r="Q206" s="133"/>
      <c r="R206" s="108"/>
      <c r="S206" s="156">
        <v>0</v>
      </c>
    </row>
    <row r="207" spans="1:19" ht="28.8" x14ac:dyDescent="0.3">
      <c r="A207" s="27">
        <v>205</v>
      </c>
      <c r="B207" s="97">
        <v>14</v>
      </c>
      <c r="C207" s="132">
        <v>14</v>
      </c>
      <c r="D207" s="222"/>
      <c r="E207" s="222"/>
      <c r="F207" s="133" t="s">
        <v>691</v>
      </c>
      <c r="G207" s="133" t="s">
        <v>687</v>
      </c>
      <c r="H207" s="133" t="s">
        <v>689</v>
      </c>
      <c r="I207" s="134">
        <v>46069</v>
      </c>
      <c r="J207" s="106">
        <v>16</v>
      </c>
      <c r="K207" s="106">
        <v>48</v>
      </c>
      <c r="L207" s="106">
        <v>281</v>
      </c>
      <c r="M207" s="107" t="str">
        <f t="shared" si="5"/>
        <v>16-48-281</v>
      </c>
      <c r="N207" s="108" t="str">
        <f>IFERROR(VLOOKUP(M207,'LISTA ITEMS (2)'!$E$2:$G$910,2,FALSE),"  ")</f>
        <v>PORTA FUSIBLE SGF-32-DC (MAXGE)</v>
      </c>
      <c r="O207" s="109" t="str">
        <f>IFERROR(VLOOKUP(M207,'LISTA ITEMS (2)'!$E$2:$G$910,3,FALSE)," ")</f>
        <v>UND</v>
      </c>
      <c r="P207" s="172">
        <v>4</v>
      </c>
      <c r="Q207" s="133"/>
      <c r="R207" s="108"/>
      <c r="S207" s="156">
        <v>0</v>
      </c>
    </row>
    <row r="208" spans="1:19" ht="28.8" x14ac:dyDescent="0.3">
      <c r="A208" s="27">
        <v>206</v>
      </c>
      <c r="B208" s="97">
        <v>14</v>
      </c>
      <c r="C208" s="132">
        <v>14</v>
      </c>
      <c r="D208" s="222"/>
      <c r="E208" s="222"/>
      <c r="F208" s="133" t="s">
        <v>691</v>
      </c>
      <c r="G208" s="133" t="s">
        <v>687</v>
      </c>
      <c r="H208" s="133" t="s">
        <v>689</v>
      </c>
      <c r="I208" s="134">
        <v>46069</v>
      </c>
      <c r="J208" s="106">
        <v>16</v>
      </c>
      <c r="K208" s="106">
        <v>50</v>
      </c>
      <c r="L208" s="106">
        <v>314</v>
      </c>
      <c r="M208" s="107" t="str">
        <f t="shared" si="5"/>
        <v>16-50-314</v>
      </c>
      <c r="N208" s="108" t="str">
        <f>IFERROR(VLOOKUP(M208,'LISTA ITEMS (2)'!$E$2:$G$910,2,FALSE),"  ")</f>
        <v>FUSIBLE MG10PV32A (MAXGE)</v>
      </c>
      <c r="O208" s="109" t="str">
        <f>IFERROR(VLOOKUP(M208,'LISTA ITEMS (2)'!$E$2:$G$910,3,FALSE)," ")</f>
        <v>UND</v>
      </c>
      <c r="P208" s="172">
        <v>4</v>
      </c>
      <c r="Q208" s="133"/>
      <c r="R208" s="108"/>
      <c r="S208" s="156">
        <v>0</v>
      </c>
    </row>
    <row r="209" spans="1:19" ht="43.2" x14ac:dyDescent="0.3">
      <c r="A209" s="27">
        <v>207</v>
      </c>
      <c r="B209" s="97">
        <v>14</v>
      </c>
      <c r="C209" s="132">
        <v>14</v>
      </c>
      <c r="D209" s="222"/>
      <c r="E209" s="222"/>
      <c r="F209" s="133" t="s">
        <v>691</v>
      </c>
      <c r="G209" s="133" t="s">
        <v>687</v>
      </c>
      <c r="H209" s="133" t="s">
        <v>689</v>
      </c>
      <c r="I209" s="134">
        <v>46069</v>
      </c>
      <c r="J209" s="106">
        <v>7</v>
      </c>
      <c r="K209" s="106">
        <v>35</v>
      </c>
      <c r="L209" s="106">
        <v>274</v>
      </c>
      <c r="M209" s="107" t="str">
        <f t="shared" si="5"/>
        <v>7-35-274</v>
      </c>
      <c r="N209" s="108" t="str">
        <f>IFERROR(VLOOKUP(M209,'LISTA ITEMS (2)'!$E$2:$G$910,2,FALSE),"  ")</f>
        <v>INVERSOR HIBRIDO MONOFASICO SPE 10000ES 10KW BATER. BAJO VOLTAJE Y BACKUP INCORP. (GROWATT)</v>
      </c>
      <c r="O209" s="109" t="str">
        <f>IFERROR(VLOOKUP(M209,'LISTA ITEMS (2)'!$E$2:$G$910,3,FALSE)," ")</f>
        <v>UND</v>
      </c>
      <c r="P209" s="172">
        <v>1</v>
      </c>
      <c r="Q209" s="133"/>
      <c r="R209" s="108" t="s">
        <v>690</v>
      </c>
      <c r="S209" s="156">
        <v>0</v>
      </c>
    </row>
    <row r="210" spans="1:19" ht="28.8" x14ac:dyDescent="0.3">
      <c r="A210" s="27">
        <v>208</v>
      </c>
      <c r="B210" s="97">
        <v>14</v>
      </c>
      <c r="C210" s="132">
        <v>14</v>
      </c>
      <c r="D210" s="222"/>
      <c r="E210" s="222"/>
      <c r="F210" s="133" t="s">
        <v>691</v>
      </c>
      <c r="G210" s="133" t="s">
        <v>687</v>
      </c>
      <c r="H210" s="133" t="s">
        <v>689</v>
      </c>
      <c r="I210" s="134">
        <v>46069</v>
      </c>
      <c r="J210" s="106">
        <v>7</v>
      </c>
      <c r="K210" s="106">
        <v>38</v>
      </c>
      <c r="L210" s="106">
        <v>247</v>
      </c>
      <c r="M210" s="107" t="str">
        <f t="shared" si="5"/>
        <v>7-38-247</v>
      </c>
      <c r="N210" s="108" t="str">
        <f>IFERROR(VLOOKUP(M210,'LISTA ITEMS (2)'!$E$2:$G$910,2,FALSE),"  ")</f>
        <v>PLACA SOLAR JAM60D42-535LB 535W / 44.13V</v>
      </c>
      <c r="O210" s="109" t="str">
        <f>IFERROR(VLOOKUP(M210,'LISTA ITEMS (2)'!$E$2:$G$910,3,FALSE)," ")</f>
        <v>UND</v>
      </c>
      <c r="P210" s="172">
        <v>22</v>
      </c>
      <c r="Q210" s="133"/>
      <c r="R210" s="108"/>
      <c r="S210" s="156">
        <v>0</v>
      </c>
    </row>
    <row r="211" spans="1:19" ht="28.8" x14ac:dyDescent="0.3">
      <c r="A211" s="27">
        <v>209</v>
      </c>
      <c r="B211" s="21">
        <v>15</v>
      </c>
      <c r="C211" s="248">
        <v>15</v>
      </c>
      <c r="D211" s="249"/>
      <c r="E211" s="249"/>
      <c r="F211" s="193" t="s">
        <v>693</v>
      </c>
      <c r="G211" s="181" t="s">
        <v>477</v>
      </c>
      <c r="H211" s="193" t="s">
        <v>695</v>
      </c>
      <c r="I211" s="184">
        <v>46070</v>
      </c>
      <c r="J211" s="16">
        <v>16</v>
      </c>
      <c r="K211" s="16">
        <v>45</v>
      </c>
      <c r="L211" s="16">
        <v>276</v>
      </c>
      <c r="M211" s="247" t="str">
        <f t="shared" si="5"/>
        <v>16-45-276</v>
      </c>
      <c r="N211" s="17" t="str">
        <f>IFERROR(VLOOKUP(M211,'LISTA ITEMS (2)'!$E$2:$G$910,2,FALSE),"  ")</f>
        <v>CAJA ESTANCA (COCHERA) EXTERIOR 18PT (IDE)</v>
      </c>
      <c r="O211" s="30" t="str">
        <f>IFERROR(VLOOKUP(M211,'LISTA ITEMS (2)'!$E$2:$G$910,3,FALSE)," ")</f>
        <v>UND</v>
      </c>
      <c r="P211" s="176">
        <v>1</v>
      </c>
      <c r="Q211" s="181"/>
      <c r="R211" s="17"/>
      <c r="S211" s="156"/>
    </row>
    <row r="212" spans="1:19" ht="28.8" x14ac:dyDescent="0.3">
      <c r="A212" s="27">
        <v>210</v>
      </c>
      <c r="B212" s="21">
        <v>15</v>
      </c>
      <c r="C212" s="248">
        <v>15</v>
      </c>
      <c r="D212" s="249"/>
      <c r="E212" s="249"/>
      <c r="F212" s="193" t="s">
        <v>693</v>
      </c>
      <c r="G212" s="181" t="s">
        <v>477</v>
      </c>
      <c r="H212" s="193" t="s">
        <v>695</v>
      </c>
      <c r="I212" s="184">
        <v>46070</v>
      </c>
      <c r="J212" s="16">
        <v>16</v>
      </c>
      <c r="K212" s="16">
        <v>49</v>
      </c>
      <c r="L212" s="16">
        <v>288</v>
      </c>
      <c r="M212" s="247" t="str">
        <f t="shared" si="5"/>
        <v>16-49-288</v>
      </c>
      <c r="N212" s="17" t="str">
        <f>IFERROR(VLOOKUP(M212,'LISTA ITEMS (2)'!$E$2:$G$910,2,FALSE),"  ")</f>
        <v>CONTACTOR MODULAR EPC1-6322-P7 (MAXGE)</v>
      </c>
      <c r="O212" s="30" t="str">
        <f>IFERROR(VLOOKUP(M212,'LISTA ITEMS (2)'!$E$2:$G$910,3,FALSE)," ")</f>
        <v>UND</v>
      </c>
      <c r="P212" s="176">
        <v>1</v>
      </c>
      <c r="Q212" s="181"/>
      <c r="R212" s="17"/>
      <c r="S212" s="156"/>
    </row>
    <row r="213" spans="1:19" ht="28.8" x14ac:dyDescent="0.3">
      <c r="A213" s="27">
        <v>211</v>
      </c>
      <c r="B213" s="21">
        <v>15</v>
      </c>
      <c r="C213" s="248">
        <v>15</v>
      </c>
      <c r="D213" s="249"/>
      <c r="E213" s="249"/>
      <c r="F213" s="193" t="s">
        <v>693</v>
      </c>
      <c r="G213" s="181" t="s">
        <v>477</v>
      </c>
      <c r="H213" s="193" t="s">
        <v>695</v>
      </c>
      <c r="I213" s="184">
        <v>46070</v>
      </c>
      <c r="J213" s="16">
        <v>16</v>
      </c>
      <c r="K213" s="16">
        <v>47</v>
      </c>
      <c r="L213" s="16">
        <v>318</v>
      </c>
      <c r="M213" s="247" t="str">
        <f t="shared" si="5"/>
        <v>16-47-318</v>
      </c>
      <c r="N213" s="17" t="str">
        <f>IFERROR(VLOOKUP(M213,'LISTA ITEMS (2)'!$E$2:$G$910,2,FALSE),"  ")</f>
        <v>DIFERENCIAL EPR2A040030 2P-40A-30mA (MAXGE)</v>
      </c>
      <c r="O213" s="30" t="str">
        <f>IFERROR(VLOOKUP(M213,'LISTA ITEMS (2)'!$E$2:$G$910,3,FALSE)," ")</f>
        <v>UND</v>
      </c>
      <c r="P213" s="176">
        <v>1</v>
      </c>
      <c r="Q213" s="181"/>
      <c r="R213" s="17"/>
      <c r="S213" s="156"/>
    </row>
    <row r="214" spans="1:19" ht="28.8" x14ac:dyDescent="0.3">
      <c r="A214" s="27">
        <v>212</v>
      </c>
      <c r="B214" s="21">
        <v>15</v>
      </c>
      <c r="C214" s="248">
        <v>15</v>
      </c>
      <c r="D214" s="249"/>
      <c r="E214" s="249"/>
      <c r="F214" s="193" t="s">
        <v>693</v>
      </c>
      <c r="G214" s="181" t="s">
        <v>477</v>
      </c>
      <c r="H214" s="193" t="s">
        <v>695</v>
      </c>
      <c r="I214" s="184">
        <v>46070</v>
      </c>
      <c r="J214" s="16">
        <v>16</v>
      </c>
      <c r="K214" s="16">
        <v>52</v>
      </c>
      <c r="L214" s="16">
        <v>292</v>
      </c>
      <c r="M214" s="247" t="str">
        <f t="shared" si="5"/>
        <v>16-52-292</v>
      </c>
      <c r="N214" s="17" t="str">
        <f>IFERROR(VLOOKUP(M214,'LISTA ITEMS (2)'!$E$2:$G$910,2,FALSE),"  ")</f>
        <v>TERMICO EPBE63M1NC63M1NC40 1P+N C40 (MAXGE)</v>
      </c>
      <c r="O214" s="30" t="str">
        <f>IFERROR(VLOOKUP(M214,'LISTA ITEMS (2)'!$E$2:$G$910,3,FALSE)," ")</f>
        <v>UND</v>
      </c>
      <c r="P214" s="176">
        <v>1</v>
      </c>
      <c r="Q214" s="181"/>
      <c r="R214" s="17"/>
      <c r="S214" s="156"/>
    </row>
    <row r="215" spans="1:19" ht="28.8" x14ac:dyDescent="0.3">
      <c r="A215" s="27">
        <v>213</v>
      </c>
      <c r="B215" s="21">
        <v>15</v>
      </c>
      <c r="C215" s="248">
        <v>15</v>
      </c>
      <c r="D215" s="249"/>
      <c r="E215" s="249"/>
      <c r="F215" s="193" t="s">
        <v>693</v>
      </c>
      <c r="G215" s="181" t="s">
        <v>477</v>
      </c>
      <c r="H215" s="193" t="s">
        <v>695</v>
      </c>
      <c r="I215" s="184">
        <v>46070</v>
      </c>
      <c r="J215" s="16">
        <v>16</v>
      </c>
      <c r="K215" s="16">
        <v>52</v>
      </c>
      <c r="L215" s="16">
        <v>293</v>
      </c>
      <c r="M215" s="247" t="str">
        <f t="shared" si="5"/>
        <v>16-52-293</v>
      </c>
      <c r="N215" s="17" t="str">
        <f>IFERROR(VLOOKUP(M215,'LISTA ITEMS (2)'!$E$2:$G$910,2,FALSE),"  ")</f>
        <v>TERMICO EPBE63M1NC63M1NC32 1P+N C32 (MAXGE)</v>
      </c>
      <c r="O215" s="30" t="str">
        <f>IFERROR(VLOOKUP(M215,'LISTA ITEMS (2)'!$E$2:$G$910,3,FALSE)," ")</f>
        <v>UND</v>
      </c>
      <c r="P215" s="176">
        <v>1</v>
      </c>
      <c r="Q215" s="181"/>
      <c r="R215" s="17"/>
      <c r="S215" s="156"/>
    </row>
    <row r="216" spans="1:19" ht="24" x14ac:dyDescent="0.3">
      <c r="A216" s="27">
        <v>214</v>
      </c>
      <c r="B216" s="21">
        <v>15</v>
      </c>
      <c r="C216" s="248">
        <v>15</v>
      </c>
      <c r="D216" s="249"/>
      <c r="E216" s="249"/>
      <c r="F216" s="193" t="s">
        <v>693</v>
      </c>
      <c r="G216" s="181" t="s">
        <v>477</v>
      </c>
      <c r="H216" s="193" t="s">
        <v>695</v>
      </c>
      <c r="I216" s="184">
        <v>46070</v>
      </c>
      <c r="J216" s="16">
        <v>16</v>
      </c>
      <c r="K216" s="16">
        <v>48</v>
      </c>
      <c r="L216" s="16">
        <v>281</v>
      </c>
      <c r="M216" s="247" t="str">
        <f t="shared" si="5"/>
        <v>16-48-281</v>
      </c>
      <c r="N216" s="17" t="str">
        <f>IFERROR(VLOOKUP(M216,'LISTA ITEMS (2)'!$E$2:$G$910,2,FALSE),"  ")</f>
        <v>PORTA FUSIBLE SGF-32-DC (MAXGE)</v>
      </c>
      <c r="O216" s="30" t="str">
        <f>IFERROR(VLOOKUP(M216,'LISTA ITEMS (2)'!$E$2:$G$910,3,FALSE)," ")</f>
        <v>UND</v>
      </c>
      <c r="P216" s="176">
        <v>2</v>
      </c>
      <c r="Q216" s="181"/>
      <c r="R216" s="17"/>
      <c r="S216" s="156"/>
    </row>
    <row r="217" spans="1:19" ht="24" x14ac:dyDescent="0.3">
      <c r="A217" s="27">
        <v>215</v>
      </c>
      <c r="B217" s="21">
        <v>15</v>
      </c>
      <c r="C217" s="248">
        <v>15</v>
      </c>
      <c r="D217" s="249"/>
      <c r="E217" s="249"/>
      <c r="F217" s="193" t="s">
        <v>693</v>
      </c>
      <c r="G217" s="181" t="s">
        <v>477</v>
      </c>
      <c r="H217" s="193" t="s">
        <v>695</v>
      </c>
      <c r="I217" s="184">
        <v>46070</v>
      </c>
      <c r="J217" s="16">
        <v>16</v>
      </c>
      <c r="K217" s="16">
        <v>50</v>
      </c>
      <c r="L217" s="16">
        <v>314</v>
      </c>
      <c r="M217" s="247" t="str">
        <f t="shared" si="5"/>
        <v>16-50-314</v>
      </c>
      <c r="N217" s="17" t="str">
        <f>IFERROR(VLOOKUP(M217,'LISTA ITEMS (2)'!$E$2:$G$910,2,FALSE),"  ")</f>
        <v>FUSIBLE MG10PV32A (MAXGE)</v>
      </c>
      <c r="O217" s="30" t="str">
        <f>IFERROR(VLOOKUP(M217,'LISTA ITEMS (2)'!$E$2:$G$910,3,FALSE)," ")</f>
        <v>UND</v>
      </c>
      <c r="P217" s="176">
        <v>2</v>
      </c>
      <c r="Q217" s="181"/>
      <c r="R217" s="17"/>
      <c r="S217" s="156"/>
    </row>
    <row r="218" spans="1:19" ht="28.8" x14ac:dyDescent="0.3">
      <c r="A218" s="27">
        <v>216</v>
      </c>
      <c r="B218" s="21">
        <v>15</v>
      </c>
      <c r="C218" s="248">
        <v>15</v>
      </c>
      <c r="D218" s="249"/>
      <c r="E218" s="249"/>
      <c r="F218" s="193" t="s">
        <v>693</v>
      </c>
      <c r="G218" s="181" t="s">
        <v>477</v>
      </c>
      <c r="H218" s="193" t="s">
        <v>695</v>
      </c>
      <c r="I218" s="184">
        <v>46070</v>
      </c>
      <c r="J218" s="16">
        <v>16</v>
      </c>
      <c r="K218" s="16">
        <v>51</v>
      </c>
      <c r="L218" s="16">
        <v>309</v>
      </c>
      <c r="M218" s="247" t="str">
        <f t="shared" si="5"/>
        <v>16-51-309</v>
      </c>
      <c r="N218" s="17" t="str">
        <f>IFERROR(VLOOKUP(M218,'LISTA ITEMS (2)'!$E$2:$G$910,2,FALSE),"  ")</f>
        <v>LIMITADOR MONOFASICO EPS1 C/2 - 275-40 (MAXGE)</v>
      </c>
      <c r="O218" s="30" t="str">
        <f>IFERROR(VLOOKUP(M218,'LISTA ITEMS (2)'!$E$2:$G$910,3,FALSE)," ")</f>
        <v>UND</v>
      </c>
      <c r="P218" s="176">
        <v>1</v>
      </c>
      <c r="Q218" s="181"/>
      <c r="R218" s="17"/>
      <c r="S218" s="156"/>
    </row>
    <row r="219" spans="1:19" ht="24" x14ac:dyDescent="0.3">
      <c r="A219" s="27">
        <v>217</v>
      </c>
      <c r="B219" s="21">
        <v>15</v>
      </c>
      <c r="C219" s="248">
        <v>15</v>
      </c>
      <c r="D219" s="249"/>
      <c r="E219" s="249"/>
      <c r="F219" s="193" t="s">
        <v>693</v>
      </c>
      <c r="G219" s="181" t="s">
        <v>477</v>
      </c>
      <c r="H219" s="193" t="s">
        <v>695</v>
      </c>
      <c r="I219" s="184">
        <v>46070</v>
      </c>
      <c r="J219" s="16">
        <v>9</v>
      </c>
      <c r="K219" s="16">
        <v>32</v>
      </c>
      <c r="L219" s="16">
        <v>224</v>
      </c>
      <c r="M219" s="247" t="str">
        <f t="shared" si="5"/>
        <v>9-32-224</v>
      </c>
      <c r="N219" s="17" t="str">
        <f>IFERROR(VLOOKUP(M219,'LISTA ITEMS (2)'!$E$2:$G$910,2,FALSE),"  ")</f>
        <v>CURVA PVC M-25 GRIS TIPO B</v>
      </c>
      <c r="O219" s="30" t="str">
        <f>IFERROR(VLOOKUP(M219,'LISTA ITEMS (2)'!$E$2:$G$910,3,FALSE)," ")</f>
        <v>UND</v>
      </c>
      <c r="P219" s="176">
        <v>30</v>
      </c>
      <c r="Q219" s="181"/>
      <c r="R219" s="17"/>
      <c r="S219" s="156">
        <v>10</v>
      </c>
    </row>
    <row r="220" spans="1:19" ht="24" x14ac:dyDescent="0.3">
      <c r="A220" s="27">
        <v>218</v>
      </c>
      <c r="B220" s="21">
        <v>15</v>
      </c>
      <c r="C220" s="248">
        <v>15</v>
      </c>
      <c r="D220" s="249"/>
      <c r="E220" s="249"/>
      <c r="F220" s="193" t="s">
        <v>693</v>
      </c>
      <c r="G220" s="181" t="s">
        <v>477</v>
      </c>
      <c r="H220" s="193" t="s">
        <v>695</v>
      </c>
      <c r="I220" s="184">
        <v>46070</v>
      </c>
      <c r="J220" s="16">
        <v>7</v>
      </c>
      <c r="K220" s="16">
        <v>54</v>
      </c>
      <c r="L220" s="16">
        <v>295</v>
      </c>
      <c r="M220" s="247" t="str">
        <f t="shared" si="5"/>
        <v>7-54-295</v>
      </c>
      <c r="N220" s="17" t="str">
        <f>IFERROR(VLOOKUP(M220,'LISTA ITEMS (2)'!$E$2:$G$910,2,FALSE),"  ")</f>
        <v>BATERIA LFP LITHIUM DL5.OC (DYNESS)</v>
      </c>
      <c r="O220" s="30" t="str">
        <f>IFERROR(VLOOKUP(M220,'LISTA ITEMS (2)'!$E$2:$G$910,3,FALSE)," ")</f>
        <v>UND</v>
      </c>
      <c r="P220" s="176">
        <v>1</v>
      </c>
      <c r="Q220" s="181"/>
      <c r="R220" s="250">
        <v>9.4970282250920102E+17</v>
      </c>
      <c r="S220" s="156"/>
    </row>
    <row r="221" spans="1:19" ht="28.8" x14ac:dyDescent="0.3">
      <c r="A221" s="27">
        <v>219</v>
      </c>
      <c r="B221" s="21">
        <v>15</v>
      </c>
      <c r="C221" s="248">
        <v>15</v>
      </c>
      <c r="D221" s="249"/>
      <c r="E221" s="249"/>
      <c r="F221" s="193" t="s">
        <v>693</v>
      </c>
      <c r="G221" s="181" t="s">
        <v>477</v>
      </c>
      <c r="H221" s="193" t="s">
        <v>695</v>
      </c>
      <c r="I221" s="184">
        <v>46070</v>
      </c>
      <c r="J221" s="16">
        <v>7</v>
      </c>
      <c r="K221" s="16">
        <v>35</v>
      </c>
      <c r="L221" s="16">
        <v>286</v>
      </c>
      <c r="M221" s="247" t="str">
        <f t="shared" si="5"/>
        <v>7-35-286</v>
      </c>
      <c r="N221" s="17" t="str">
        <f>IFERROR(VLOOKUP(M221,'LISTA ITEMS (2)'!$E$2:$G$910,2,FALSE),"  ")</f>
        <v>INVERSOR SPH 6000TL BL-UP 6KW (GROWATT)</v>
      </c>
      <c r="O221" s="30" t="str">
        <f>IFERROR(VLOOKUP(M221,'LISTA ITEMS (2)'!$E$2:$G$910,3,FALSE)," ")</f>
        <v>UND</v>
      </c>
      <c r="P221" s="176">
        <v>1</v>
      </c>
      <c r="Q221" s="181"/>
      <c r="R221" s="30" t="s">
        <v>694</v>
      </c>
      <c r="S221" s="156"/>
    </row>
    <row r="222" spans="1:19" ht="28.8" x14ac:dyDescent="0.3">
      <c r="A222" s="27">
        <v>220</v>
      </c>
      <c r="B222" s="21">
        <v>15</v>
      </c>
      <c r="C222" s="248">
        <v>15</v>
      </c>
      <c r="D222" s="249"/>
      <c r="E222" s="249"/>
      <c r="F222" s="193" t="s">
        <v>693</v>
      </c>
      <c r="G222" s="181" t="s">
        <v>477</v>
      </c>
      <c r="H222" s="193" t="s">
        <v>695</v>
      </c>
      <c r="I222" s="184">
        <v>46070</v>
      </c>
      <c r="J222" s="16">
        <v>16</v>
      </c>
      <c r="K222" s="16">
        <v>61</v>
      </c>
      <c r="L222" s="16">
        <v>331</v>
      </c>
      <c r="M222" s="247" t="str">
        <f t="shared" si="5"/>
        <v>16-61-331</v>
      </c>
      <c r="N222" s="17" t="str">
        <f>IFERROR(VLOOKUP(M222,'LISTA ITEMS (2)'!$E$2:$G$910,2,FALSE),"  ")</f>
        <v>CONECTOR FOTOVOLTAICO HEMBRA M4 NEGRO</v>
      </c>
      <c r="O222" s="30" t="str">
        <f>IFERROR(VLOOKUP(M222,'LISTA ITEMS (2)'!$E$2:$G$910,3,FALSE)," ")</f>
        <v>UND</v>
      </c>
      <c r="P222" s="176">
        <v>10</v>
      </c>
      <c r="Q222" s="181"/>
      <c r="R222" s="17"/>
      <c r="S222" s="156">
        <v>3</v>
      </c>
    </row>
    <row r="223" spans="1:19" ht="28.8" x14ac:dyDescent="0.3">
      <c r="A223" s="27">
        <v>221</v>
      </c>
      <c r="B223" s="21">
        <v>15</v>
      </c>
      <c r="C223" s="248">
        <v>15</v>
      </c>
      <c r="D223" s="249"/>
      <c r="E223" s="249"/>
      <c r="F223" s="193" t="s">
        <v>693</v>
      </c>
      <c r="G223" s="181" t="s">
        <v>477</v>
      </c>
      <c r="H223" s="193" t="s">
        <v>695</v>
      </c>
      <c r="I223" s="184">
        <v>46070</v>
      </c>
      <c r="J223" s="16">
        <v>16</v>
      </c>
      <c r="K223" s="16">
        <v>61</v>
      </c>
      <c r="L223" s="16">
        <v>332</v>
      </c>
      <c r="M223" s="247" t="str">
        <f t="shared" si="5"/>
        <v>16-61-332</v>
      </c>
      <c r="N223" s="17" t="str">
        <f>IFERROR(VLOOKUP(M223,'LISTA ITEMS (2)'!$E$2:$G$910,2,FALSE),"  ")</f>
        <v>CONECTOR FOTOVOLTAICO MACHO M4 NEGRO</v>
      </c>
      <c r="O223" s="30" t="str">
        <f>IFERROR(VLOOKUP(M223,'LISTA ITEMS (2)'!$E$2:$G$910,3,FALSE)," ")</f>
        <v>UND</v>
      </c>
      <c r="P223" s="176">
        <v>10</v>
      </c>
      <c r="Q223" s="181"/>
      <c r="R223" s="17"/>
      <c r="S223" s="156">
        <v>3</v>
      </c>
    </row>
    <row r="224" spans="1:19" ht="28.8" x14ac:dyDescent="0.3">
      <c r="A224" s="27">
        <v>222</v>
      </c>
      <c r="B224" s="21">
        <v>15</v>
      </c>
      <c r="C224" s="248">
        <v>15</v>
      </c>
      <c r="D224" s="249"/>
      <c r="E224" s="249"/>
      <c r="F224" s="193" t="s">
        <v>693</v>
      </c>
      <c r="G224" s="181" t="s">
        <v>477</v>
      </c>
      <c r="H224" s="193" t="s">
        <v>695</v>
      </c>
      <c r="I224" s="184">
        <v>46070</v>
      </c>
      <c r="J224" s="16">
        <v>16</v>
      </c>
      <c r="K224" s="16">
        <v>45</v>
      </c>
      <c r="L224" s="16">
        <v>276</v>
      </c>
      <c r="M224" s="247" t="str">
        <f t="shared" si="5"/>
        <v>16-45-276</v>
      </c>
      <c r="N224" s="17" t="str">
        <f>IFERROR(VLOOKUP(M224,'LISTA ITEMS (2)'!$E$2:$G$910,2,FALSE),"  ")</f>
        <v>CAJA ESTANCA (COCHERA) EXTERIOR 18PT (IDE)</v>
      </c>
      <c r="O224" s="30" t="str">
        <f>IFERROR(VLOOKUP(M224,'LISTA ITEMS (2)'!$E$2:$G$910,3,FALSE)," ")</f>
        <v>UND</v>
      </c>
      <c r="P224" s="176">
        <v>1</v>
      </c>
      <c r="Q224" s="181"/>
      <c r="R224" s="17"/>
      <c r="S224" s="156"/>
    </row>
    <row r="225" spans="1:19" ht="24" x14ac:dyDescent="0.3">
      <c r="A225" s="27">
        <v>223</v>
      </c>
      <c r="B225" s="21">
        <v>15</v>
      </c>
      <c r="C225" s="248">
        <v>15</v>
      </c>
      <c r="D225" s="249"/>
      <c r="E225" s="249"/>
      <c r="F225" s="193" t="s">
        <v>693</v>
      </c>
      <c r="G225" s="181" t="s">
        <v>477</v>
      </c>
      <c r="H225" s="193" t="s">
        <v>695</v>
      </c>
      <c r="I225" s="184">
        <v>46070</v>
      </c>
      <c r="J225" s="16">
        <v>14</v>
      </c>
      <c r="K225" s="16">
        <v>24</v>
      </c>
      <c r="L225" s="16">
        <v>193</v>
      </c>
      <c r="M225" s="247" t="str">
        <f t="shared" si="5"/>
        <v>14-24-193</v>
      </c>
      <c r="N225" s="17" t="str">
        <f>IFERROR(VLOOKUP(M225,'LISTA ITEMS (2)'!$E$2:$G$910,2,FALSE),"  ")</f>
        <v>DISCO CORTE ACERO/INOX A1 2EN1</v>
      </c>
      <c r="O225" s="30" t="str">
        <f>IFERROR(VLOOKUP(M225,'LISTA ITEMS (2)'!$E$2:$G$910,3,FALSE)," ")</f>
        <v>UND</v>
      </c>
      <c r="P225" s="176">
        <v>6</v>
      </c>
      <c r="Q225" s="181"/>
      <c r="R225" s="17"/>
      <c r="S225" s="156">
        <v>2</v>
      </c>
    </row>
    <row r="226" spans="1:19" ht="24" x14ac:dyDescent="0.3">
      <c r="A226" s="27">
        <v>224</v>
      </c>
      <c r="B226" s="21">
        <v>15</v>
      </c>
      <c r="C226" s="248">
        <v>15</v>
      </c>
      <c r="D226" s="249"/>
      <c r="E226" s="249"/>
      <c r="F226" s="193" t="s">
        <v>693</v>
      </c>
      <c r="G226" s="181" t="s">
        <v>477</v>
      </c>
      <c r="H226" s="193" t="s">
        <v>695</v>
      </c>
      <c r="I226" s="184">
        <v>46070</v>
      </c>
      <c r="J226" s="16">
        <v>10</v>
      </c>
      <c r="K226" s="16">
        <v>43</v>
      </c>
      <c r="L226" s="16">
        <v>270</v>
      </c>
      <c r="M226" s="247" t="str">
        <f t="shared" si="5"/>
        <v>10-43-270</v>
      </c>
      <c r="N226" s="17" t="str">
        <f>IFERROR(VLOOKUP(M226,'LISTA ITEMS (2)'!$E$2:$G$910,2,FALSE),"  ")</f>
        <v>EMPALME ALUMINIO P/BARRA</v>
      </c>
      <c r="O226" s="30" t="str">
        <f>IFERROR(VLOOKUP(M226,'LISTA ITEMS (2)'!$E$2:$G$910,3,FALSE)," ")</f>
        <v>UND</v>
      </c>
      <c r="P226" s="176">
        <v>6</v>
      </c>
      <c r="Q226" s="181"/>
      <c r="R226" s="17"/>
      <c r="S226" s="156"/>
    </row>
    <row r="227" spans="1:19" ht="24" x14ac:dyDescent="0.3">
      <c r="A227" s="27">
        <v>225</v>
      </c>
      <c r="B227" s="21">
        <v>15</v>
      </c>
      <c r="C227" s="248">
        <v>15</v>
      </c>
      <c r="D227" s="249"/>
      <c r="E227" s="249"/>
      <c r="F227" s="193" t="s">
        <v>693</v>
      </c>
      <c r="G227" s="181" t="s">
        <v>477</v>
      </c>
      <c r="H227" s="193" t="s">
        <v>695</v>
      </c>
      <c r="I227" s="184">
        <v>46070</v>
      </c>
      <c r="J227" s="16">
        <v>6</v>
      </c>
      <c r="K227" s="16">
        <v>23</v>
      </c>
      <c r="L227" s="16">
        <v>192</v>
      </c>
      <c r="M227" s="247" t="str">
        <f t="shared" si="5"/>
        <v>6-23-192</v>
      </c>
      <c r="N227" s="17" t="str">
        <f>IFERROR(VLOOKUP(M227,'LISTA ITEMS (2)'!$E$2:$G$910,2,FALSE),"  ")</f>
        <v xml:space="preserve">CINTA ACERO PERFORADA PARA MONTAJE </v>
      </c>
      <c r="O227" s="30" t="str">
        <f>IFERROR(VLOOKUP(M227,'LISTA ITEMS (2)'!$E$2:$G$910,3,FALSE)," ")</f>
        <v>UND</v>
      </c>
      <c r="P227" s="176">
        <v>1</v>
      </c>
      <c r="Q227" s="181"/>
      <c r="R227" s="17"/>
      <c r="S227" s="156"/>
    </row>
    <row r="228" spans="1:19" ht="24" x14ac:dyDescent="0.3">
      <c r="A228" s="27">
        <v>226</v>
      </c>
      <c r="B228" s="21">
        <v>15</v>
      </c>
      <c r="C228" s="248">
        <v>15</v>
      </c>
      <c r="D228" s="249"/>
      <c r="E228" s="249"/>
      <c r="F228" s="193" t="s">
        <v>693</v>
      </c>
      <c r="G228" s="181" t="s">
        <v>477</v>
      </c>
      <c r="H228" s="193" t="s">
        <v>695</v>
      </c>
      <c r="I228" s="184">
        <v>46070</v>
      </c>
      <c r="J228" s="16">
        <v>13</v>
      </c>
      <c r="K228" s="16">
        <v>22</v>
      </c>
      <c r="L228" s="16">
        <v>184</v>
      </c>
      <c r="M228" s="247" t="str">
        <f t="shared" si="5"/>
        <v>13-22-184</v>
      </c>
      <c r="N228" s="17" t="str">
        <f>IFERROR(VLOOKUP(M228,'LISTA ITEMS (2)'!$E$2:$G$910,2,FALSE),"  ")</f>
        <v>BRIDA P/EXTERIOR NEGRA</v>
      </c>
      <c r="O228" s="30" t="str">
        <f>IFERROR(VLOOKUP(M228,'LISTA ITEMS (2)'!$E$2:$G$910,3,FALSE)," ")</f>
        <v>UND</v>
      </c>
      <c r="P228" s="176">
        <v>200</v>
      </c>
      <c r="Q228" s="181"/>
      <c r="R228" s="17"/>
      <c r="S228" s="156">
        <v>100</v>
      </c>
    </row>
    <row r="229" spans="1:19" ht="24" x14ac:dyDescent="0.3">
      <c r="A229" s="27">
        <v>227</v>
      </c>
      <c r="B229" s="21">
        <v>15</v>
      </c>
      <c r="C229" s="248">
        <v>15</v>
      </c>
      <c r="D229" s="249"/>
      <c r="E229" s="249"/>
      <c r="F229" s="193" t="s">
        <v>693</v>
      </c>
      <c r="G229" s="181" t="s">
        <v>477</v>
      </c>
      <c r="H229" s="193" t="s">
        <v>695</v>
      </c>
      <c r="I229" s="184">
        <v>46070</v>
      </c>
      <c r="J229" s="16">
        <v>13</v>
      </c>
      <c r="K229" s="16">
        <v>21</v>
      </c>
      <c r="L229" s="16">
        <v>181</v>
      </c>
      <c r="M229" s="247" t="str">
        <f t="shared" si="5"/>
        <v>13-21-181</v>
      </c>
      <c r="N229" s="17" t="str">
        <f>IFERROR(VLOOKUP(M229,'LISTA ITEMS (2)'!$E$2:$G$910,2,FALSE),"  ")</f>
        <v>TACO P/BRIDA NEGRO</v>
      </c>
      <c r="O229" s="30" t="str">
        <f>IFERROR(VLOOKUP(M229,'LISTA ITEMS (2)'!$E$2:$G$910,3,FALSE)," ")</f>
        <v>UND</v>
      </c>
      <c r="P229" s="176">
        <v>100</v>
      </c>
      <c r="Q229" s="181"/>
      <c r="R229" s="17"/>
      <c r="S229" s="156">
        <v>50</v>
      </c>
    </row>
    <row r="230" spans="1:19" ht="24" x14ac:dyDescent="0.3">
      <c r="A230" s="27">
        <v>228</v>
      </c>
      <c r="B230" s="21">
        <v>15</v>
      </c>
      <c r="C230" s="248">
        <v>15</v>
      </c>
      <c r="D230" s="249"/>
      <c r="E230" s="249"/>
      <c r="F230" s="193" t="s">
        <v>693</v>
      </c>
      <c r="G230" s="181" t="s">
        <v>477</v>
      </c>
      <c r="H230" s="193" t="s">
        <v>695</v>
      </c>
      <c r="I230" s="184">
        <v>46070</v>
      </c>
      <c r="J230" s="16">
        <v>13</v>
      </c>
      <c r="K230" s="16">
        <v>23</v>
      </c>
      <c r="L230" s="16">
        <v>190</v>
      </c>
      <c r="M230" s="247" t="str">
        <f t="shared" si="5"/>
        <v>13-23-190</v>
      </c>
      <c r="N230" s="17" t="str">
        <f>IFERROR(VLOOKUP(M230,'LISTA ITEMS (2)'!$E$2:$G$910,2,FALSE),"  ")</f>
        <v>CINTA BLANCA AISLANTE PVC 19MM</v>
      </c>
      <c r="O230" s="30" t="str">
        <f>IFERROR(VLOOKUP(M230,'LISTA ITEMS (2)'!$E$2:$G$910,3,FALSE)," ")</f>
        <v>UND</v>
      </c>
      <c r="P230" s="176">
        <v>1</v>
      </c>
      <c r="Q230" s="181"/>
      <c r="R230" s="17"/>
      <c r="S230" s="156"/>
    </row>
    <row r="231" spans="1:19" ht="24" x14ac:dyDescent="0.3">
      <c r="A231" s="27">
        <v>229</v>
      </c>
      <c r="B231" s="21">
        <v>15</v>
      </c>
      <c r="C231" s="248">
        <v>15</v>
      </c>
      <c r="D231" s="249"/>
      <c r="E231" s="249"/>
      <c r="F231" s="193" t="s">
        <v>693</v>
      </c>
      <c r="G231" s="181" t="s">
        <v>477</v>
      </c>
      <c r="H231" s="193" t="s">
        <v>695</v>
      </c>
      <c r="I231" s="184">
        <v>46070</v>
      </c>
      <c r="J231" s="16">
        <v>10</v>
      </c>
      <c r="K231" s="16">
        <v>37</v>
      </c>
      <c r="L231" s="16">
        <v>330</v>
      </c>
      <c r="M231" s="247" t="str">
        <f t="shared" si="5"/>
        <v>10-37-330</v>
      </c>
      <c r="N231" s="17" t="str">
        <f>IFERROR(VLOOKUP(M231,'LISTA ITEMS (2)'!$E$2:$G$910,2,FALSE),"  ")</f>
        <v>SOPORTE EN L ALUMINIO GRIS</v>
      </c>
      <c r="O231" s="30" t="str">
        <f>IFERROR(VLOOKUP(M231,'LISTA ITEMS (2)'!$E$2:$G$910,3,FALSE)," ")</f>
        <v>UND</v>
      </c>
      <c r="P231" s="176">
        <v>40</v>
      </c>
      <c r="Q231" s="181"/>
      <c r="R231" s="17"/>
      <c r="S231" s="156">
        <v>15</v>
      </c>
    </row>
    <row r="232" spans="1:19" ht="24" x14ac:dyDescent="0.3">
      <c r="A232" s="27">
        <v>230</v>
      </c>
      <c r="B232" s="21">
        <v>15</v>
      </c>
      <c r="C232" s="248">
        <v>15</v>
      </c>
      <c r="D232" s="249"/>
      <c r="E232" s="249"/>
      <c r="F232" s="193" t="s">
        <v>693</v>
      </c>
      <c r="G232" s="181" t="s">
        <v>477</v>
      </c>
      <c r="H232" s="193" t="s">
        <v>695</v>
      </c>
      <c r="I232" s="184">
        <v>46070</v>
      </c>
      <c r="J232" s="16">
        <v>10</v>
      </c>
      <c r="K232" s="16">
        <v>37</v>
      </c>
      <c r="L232" s="16">
        <v>232</v>
      </c>
      <c r="M232" s="247" t="str">
        <f t="shared" si="5"/>
        <v>10-37-232</v>
      </c>
      <c r="N232" s="17" t="str">
        <f>IFERROR(VLOOKUP(M232,'LISTA ITEMS (2)'!$E$2:$G$910,2,FALSE),"  ")</f>
        <v>SOPORTE CENTRAL NEGRO</v>
      </c>
      <c r="O232" s="30" t="str">
        <f>IFERROR(VLOOKUP(M232,'LISTA ITEMS (2)'!$E$2:$G$910,3,FALSE)," ")</f>
        <v>UND</v>
      </c>
      <c r="P232" s="176">
        <v>40</v>
      </c>
      <c r="Q232" s="181"/>
      <c r="R232" s="17"/>
      <c r="S232" s="156">
        <v>20</v>
      </c>
    </row>
    <row r="233" spans="1:19" ht="24" x14ac:dyDescent="0.3">
      <c r="A233" s="27">
        <v>231</v>
      </c>
      <c r="B233" s="21">
        <v>15</v>
      </c>
      <c r="C233" s="248">
        <v>15</v>
      </c>
      <c r="D233" s="249"/>
      <c r="E233" s="249"/>
      <c r="F233" s="193" t="s">
        <v>693</v>
      </c>
      <c r="G233" s="181" t="s">
        <v>477</v>
      </c>
      <c r="H233" s="193" t="s">
        <v>695</v>
      </c>
      <c r="I233" s="184">
        <v>46070</v>
      </c>
      <c r="J233" s="16">
        <v>10</v>
      </c>
      <c r="K233" s="16">
        <v>37</v>
      </c>
      <c r="L233" s="16">
        <v>315</v>
      </c>
      <c r="M233" s="247" t="str">
        <f t="shared" si="5"/>
        <v>10-37-315</v>
      </c>
      <c r="N233" s="17" t="str">
        <f>IFERROR(VLOOKUP(M233,'LISTA ITEMS (2)'!$E$2:$G$910,2,FALSE),"  ")</f>
        <v>SOPORTE FINAL NEGRO</v>
      </c>
      <c r="O233" s="30" t="str">
        <f>IFERROR(VLOOKUP(M233,'LISTA ITEMS (2)'!$E$2:$G$910,3,FALSE)," ")</f>
        <v>UND</v>
      </c>
      <c r="P233" s="176">
        <v>40</v>
      </c>
      <c r="Q233" s="181"/>
      <c r="R233" s="17"/>
      <c r="S233" s="156">
        <v>15</v>
      </c>
    </row>
    <row r="234" spans="1:19" ht="28.8" x14ac:dyDescent="0.3">
      <c r="A234" s="27">
        <v>232</v>
      </c>
      <c r="B234" s="21">
        <v>15</v>
      </c>
      <c r="C234" s="248">
        <v>15</v>
      </c>
      <c r="D234" s="249"/>
      <c r="E234" s="249"/>
      <c r="F234" s="193" t="s">
        <v>693</v>
      </c>
      <c r="G234" s="181" t="s">
        <v>477</v>
      </c>
      <c r="H234" s="193" t="s">
        <v>695</v>
      </c>
      <c r="I234" s="184">
        <v>46070</v>
      </c>
      <c r="J234" s="16">
        <v>10</v>
      </c>
      <c r="K234" s="16">
        <v>42</v>
      </c>
      <c r="L234" s="16">
        <v>268</v>
      </c>
      <c r="M234" s="247" t="str">
        <f t="shared" si="5"/>
        <v>10-42-268</v>
      </c>
      <c r="N234" s="17" t="str">
        <f>IFERROR(VLOOKUP(M234,'LISTA ITEMS (2)'!$E$2:$G$910,2,FALSE),"  ")</f>
        <v>PATA ALUMINIO PARA ESTRUCTURA PLACA SOLAR ANGULO 30º</v>
      </c>
      <c r="O234" s="30" t="str">
        <f>IFERROR(VLOOKUP(M234,'LISTA ITEMS (2)'!$E$2:$G$910,3,FALSE)," ")</f>
        <v>UND</v>
      </c>
      <c r="P234" s="176">
        <v>6</v>
      </c>
      <c r="Q234" s="181"/>
      <c r="R234" s="17"/>
      <c r="S234" s="156"/>
    </row>
    <row r="235" spans="1:19" ht="28.8" x14ac:dyDescent="0.3">
      <c r="A235" s="27">
        <v>233</v>
      </c>
      <c r="B235" s="21">
        <v>15</v>
      </c>
      <c r="C235" s="248">
        <v>15</v>
      </c>
      <c r="D235" s="249"/>
      <c r="E235" s="249"/>
      <c r="F235" s="193" t="s">
        <v>693</v>
      </c>
      <c r="G235" s="181" t="s">
        <v>477</v>
      </c>
      <c r="H235" s="193" t="s">
        <v>695</v>
      </c>
      <c r="I235" s="184">
        <v>46070</v>
      </c>
      <c r="J235" s="16">
        <v>10</v>
      </c>
      <c r="K235" s="16">
        <v>15</v>
      </c>
      <c r="L235" s="16">
        <v>269</v>
      </c>
      <c r="M235" s="247" t="str">
        <f t="shared" si="5"/>
        <v>10-15-269</v>
      </c>
      <c r="N235" s="17" t="str">
        <f>IFERROR(VLOOKUP(M235,'LISTA ITEMS (2)'!$E$2:$G$910,2,FALSE),"  ")</f>
        <v>BARRA ALUMINIO PARA ESTRUCTURA  3.60mt</v>
      </c>
      <c r="O235" s="30" t="str">
        <f>IFERROR(VLOOKUP(M235,'LISTA ITEMS (2)'!$E$2:$G$910,3,FALSE)," ")</f>
        <v>UND</v>
      </c>
      <c r="P235" s="176">
        <v>8</v>
      </c>
      <c r="Q235" s="181"/>
      <c r="R235" s="17"/>
      <c r="S235" s="156">
        <v>2</v>
      </c>
    </row>
    <row r="236" spans="1:19" ht="24" x14ac:dyDescent="0.3">
      <c r="A236" s="27">
        <v>234</v>
      </c>
      <c r="B236" s="21">
        <v>15</v>
      </c>
      <c r="C236" s="248">
        <v>15</v>
      </c>
      <c r="D236" s="249"/>
      <c r="E236" s="249"/>
      <c r="F236" s="193" t="s">
        <v>693</v>
      </c>
      <c r="G236" s="181" t="s">
        <v>477</v>
      </c>
      <c r="H236" s="193" t="s">
        <v>695</v>
      </c>
      <c r="I236" s="184">
        <v>46070</v>
      </c>
      <c r="J236" s="16">
        <v>17</v>
      </c>
      <c r="K236" s="16">
        <v>44</v>
      </c>
      <c r="L236" s="16">
        <v>271</v>
      </c>
      <c r="M236" s="247" t="str">
        <f t="shared" si="5"/>
        <v>17-44-271</v>
      </c>
      <c r="N236" s="17" t="str">
        <f>IFERROR(VLOOKUP(M236,'LISTA ITEMS (2)'!$E$2:$G$910,2,FALSE),"  ")</f>
        <v>SELLANTE QUIMICO BLANCO</v>
      </c>
      <c r="O236" s="30" t="str">
        <f>IFERROR(VLOOKUP(M236,'LISTA ITEMS (2)'!$E$2:$G$910,3,FALSE)," ")</f>
        <v>UND</v>
      </c>
      <c r="P236" s="176">
        <v>1</v>
      </c>
      <c r="Q236" s="181"/>
      <c r="R236" s="17"/>
      <c r="S236" s="156"/>
    </row>
    <row r="237" spans="1:19" ht="24" x14ac:dyDescent="0.3">
      <c r="A237" s="27">
        <v>235</v>
      </c>
      <c r="B237" s="21">
        <v>15</v>
      </c>
      <c r="C237" s="248">
        <v>15</v>
      </c>
      <c r="D237" s="249"/>
      <c r="E237" s="249"/>
      <c r="F237" s="193" t="s">
        <v>693</v>
      </c>
      <c r="G237" s="181" t="s">
        <v>477</v>
      </c>
      <c r="H237" s="193" t="s">
        <v>695</v>
      </c>
      <c r="I237" s="184">
        <v>46070</v>
      </c>
      <c r="J237" s="16">
        <v>17</v>
      </c>
      <c r="K237" s="16">
        <v>44</v>
      </c>
      <c r="L237" s="16">
        <v>272</v>
      </c>
      <c r="M237" s="247" t="str">
        <f t="shared" si="5"/>
        <v>17-44-272</v>
      </c>
      <c r="N237" s="17" t="str">
        <f>IFERROR(VLOOKUP(M237,'LISTA ITEMS (2)'!$E$2:$G$910,2,FALSE),"  ")</f>
        <v>SELLANTE QUIMICO GRIS</v>
      </c>
      <c r="O237" s="30" t="str">
        <f>IFERROR(VLOOKUP(M237,'LISTA ITEMS (2)'!$E$2:$G$910,3,FALSE)," ")</f>
        <v>UND</v>
      </c>
      <c r="P237" s="176">
        <v>2</v>
      </c>
      <c r="Q237" s="181"/>
      <c r="R237" s="17"/>
      <c r="S237" s="156"/>
    </row>
    <row r="238" spans="1:19" ht="28.8" x14ac:dyDescent="0.3">
      <c r="A238" s="27">
        <v>236</v>
      </c>
      <c r="B238" s="21">
        <v>15</v>
      </c>
      <c r="C238" s="248">
        <v>15</v>
      </c>
      <c r="D238" s="249"/>
      <c r="E238" s="249"/>
      <c r="F238" s="193" t="s">
        <v>693</v>
      </c>
      <c r="G238" s="181" t="s">
        <v>477</v>
      </c>
      <c r="H238" s="193" t="s">
        <v>695</v>
      </c>
      <c r="I238" s="184">
        <v>46070</v>
      </c>
      <c r="J238" s="16">
        <v>7</v>
      </c>
      <c r="K238" s="16">
        <v>38</v>
      </c>
      <c r="L238" s="16">
        <v>247</v>
      </c>
      <c r="M238" s="247" t="str">
        <f t="shared" si="5"/>
        <v>7-38-247</v>
      </c>
      <c r="N238" s="17" t="str">
        <f>IFERROR(VLOOKUP(M238,'LISTA ITEMS (2)'!$E$2:$G$910,2,FALSE),"  ")</f>
        <v>PLACA SOLAR JAM60D42-535LB 535W / 44.13V</v>
      </c>
      <c r="O238" s="30" t="str">
        <f>IFERROR(VLOOKUP(M238,'LISTA ITEMS (2)'!$E$2:$G$910,3,FALSE)," ")</f>
        <v>UND</v>
      </c>
      <c r="P238" s="176">
        <v>10</v>
      </c>
      <c r="Q238" s="181"/>
      <c r="R238" s="17"/>
      <c r="S238" s="156"/>
    </row>
    <row r="239" spans="1:19" ht="24" x14ac:dyDescent="0.3">
      <c r="A239" s="27">
        <v>237</v>
      </c>
      <c r="B239" s="21">
        <v>15</v>
      </c>
      <c r="C239" s="248">
        <v>15</v>
      </c>
      <c r="D239" s="249"/>
      <c r="E239" s="249"/>
      <c r="F239" s="193" t="s">
        <v>693</v>
      </c>
      <c r="G239" s="181" t="s">
        <v>477</v>
      </c>
      <c r="H239" s="193" t="s">
        <v>695</v>
      </c>
      <c r="I239" s="184">
        <v>46070</v>
      </c>
      <c r="J239" s="16">
        <v>16</v>
      </c>
      <c r="K239" s="16">
        <v>33</v>
      </c>
      <c r="L239" s="16">
        <v>369</v>
      </c>
      <c r="M239" s="247" t="str">
        <f t="shared" si="5"/>
        <v>16-33-369</v>
      </c>
      <c r="N239" s="17" t="str">
        <f>IFERROR(VLOOKUP(M239,'LISTA ITEMS (2)'!$E$2:$G$910,2,FALSE),"  ")</f>
        <v>OPTIMIZADOR TS4-A-O (TIGO)</v>
      </c>
      <c r="O239" s="30" t="str">
        <f>IFERROR(VLOOKUP(M239,'LISTA ITEMS (2)'!$E$2:$G$910,3,FALSE)," ")</f>
        <v>UND</v>
      </c>
      <c r="P239" s="176">
        <v>1</v>
      </c>
      <c r="Q239" s="181"/>
      <c r="R239" s="17"/>
      <c r="S239" s="156"/>
    </row>
    <row r="240" spans="1:19" ht="28.8" x14ac:dyDescent="0.3">
      <c r="A240" s="27">
        <v>238</v>
      </c>
      <c r="B240" s="197">
        <v>16</v>
      </c>
      <c r="C240" s="198">
        <v>16</v>
      </c>
      <c r="D240" s="223"/>
      <c r="E240" s="223"/>
      <c r="F240" s="199" t="s">
        <v>701</v>
      </c>
      <c r="G240" s="199" t="s">
        <v>700</v>
      </c>
      <c r="H240" s="199" t="s">
        <v>796</v>
      </c>
      <c r="I240" s="200">
        <v>46070</v>
      </c>
      <c r="J240" s="75">
        <v>7</v>
      </c>
      <c r="K240" s="75">
        <v>35</v>
      </c>
      <c r="L240" s="75">
        <v>286</v>
      </c>
      <c r="M240" s="39" t="str">
        <f t="shared" si="5"/>
        <v>7-35-286</v>
      </c>
      <c r="N240" s="201" t="str">
        <f>IFERROR(VLOOKUP(M240,'LISTA ITEMS (2)'!$E$2:$G$910,2,FALSE),"  ")</f>
        <v>INVERSOR SPH 6000TL BL-UP 6KW (GROWATT)</v>
      </c>
      <c r="O240" s="202" t="str">
        <f>IFERROR(VLOOKUP(M240,'LISTA ITEMS (2)'!$E$2:$G$910,3,FALSE)," ")</f>
        <v>UND</v>
      </c>
      <c r="P240" s="203">
        <v>1</v>
      </c>
      <c r="Q240" s="259"/>
      <c r="R240" s="201" t="s">
        <v>697</v>
      </c>
      <c r="S240" s="156"/>
    </row>
    <row r="241" spans="1:19" ht="24" x14ac:dyDescent="0.3">
      <c r="A241" s="27">
        <v>239</v>
      </c>
      <c r="B241" s="197">
        <v>16</v>
      </c>
      <c r="C241" s="198">
        <v>16</v>
      </c>
      <c r="D241" s="223"/>
      <c r="E241" s="223"/>
      <c r="F241" s="199" t="s">
        <v>701</v>
      </c>
      <c r="G241" s="199" t="s">
        <v>700</v>
      </c>
      <c r="H241" s="199" t="s">
        <v>796</v>
      </c>
      <c r="I241" s="200">
        <v>46070</v>
      </c>
      <c r="J241" s="75">
        <v>7</v>
      </c>
      <c r="K241" s="75">
        <v>54</v>
      </c>
      <c r="L241" s="75">
        <v>323</v>
      </c>
      <c r="M241" s="39" t="str">
        <f t="shared" si="5"/>
        <v>7-54-323</v>
      </c>
      <c r="N241" s="201" t="str">
        <f>IFERROR(VLOOKUP(M241,'LISTA ITEMS (2)'!$E$2:$G$910,2,FALSE),"  ")</f>
        <v>BATERIA LPF LITHIUM B3 (DYNESS)</v>
      </c>
      <c r="O241" s="202" t="str">
        <f>IFERROR(VLOOKUP(M241,'LISTA ITEMS (2)'!$E$2:$G$910,3,FALSE)," ")</f>
        <v>UND</v>
      </c>
      <c r="P241" s="203">
        <v>1</v>
      </c>
      <c r="Q241" s="259"/>
      <c r="R241" s="205" t="s">
        <v>797</v>
      </c>
      <c r="S241" s="156"/>
    </row>
    <row r="242" spans="1:19" ht="24" x14ac:dyDescent="0.3">
      <c r="A242" s="27">
        <v>240</v>
      </c>
      <c r="B242" s="197">
        <v>16</v>
      </c>
      <c r="C242" s="198">
        <v>16</v>
      </c>
      <c r="D242" s="223"/>
      <c r="E242" s="223"/>
      <c r="F242" s="199" t="s">
        <v>701</v>
      </c>
      <c r="G242" s="199" t="s">
        <v>700</v>
      </c>
      <c r="H242" s="199" t="s">
        <v>796</v>
      </c>
      <c r="I242" s="200">
        <v>46070</v>
      </c>
      <c r="J242" s="75">
        <v>13</v>
      </c>
      <c r="K242" s="75">
        <v>22</v>
      </c>
      <c r="L242" s="75">
        <v>184</v>
      </c>
      <c r="M242" s="39" t="str">
        <f t="shared" ref="M242:M305" si="6">CONCATENATE(J242,"-",K242,"-",L242)</f>
        <v>13-22-184</v>
      </c>
      <c r="N242" s="201" t="str">
        <f>IFERROR(VLOOKUP(M242,'LISTA ITEMS (2)'!$E$2:$G$910,2,FALSE),"  ")</f>
        <v>BRIDA P/EXTERIOR NEGRA</v>
      </c>
      <c r="O242" s="202" t="str">
        <f>IFERROR(VLOOKUP(M242,'LISTA ITEMS (2)'!$E$2:$G$910,3,FALSE)," ")</f>
        <v>UND</v>
      </c>
      <c r="P242" s="203">
        <v>100</v>
      </c>
      <c r="Q242" s="259"/>
      <c r="R242" s="201"/>
      <c r="S242" s="156">
        <v>100</v>
      </c>
    </row>
    <row r="243" spans="1:19" ht="24" x14ac:dyDescent="0.3">
      <c r="A243" s="27">
        <v>241</v>
      </c>
      <c r="B243" s="197">
        <v>16</v>
      </c>
      <c r="C243" s="198">
        <v>16</v>
      </c>
      <c r="D243" s="223"/>
      <c r="E243" s="223"/>
      <c r="F243" s="199" t="s">
        <v>701</v>
      </c>
      <c r="G243" s="199" t="s">
        <v>700</v>
      </c>
      <c r="H243" s="199" t="s">
        <v>796</v>
      </c>
      <c r="I243" s="200">
        <v>46070</v>
      </c>
      <c r="J243" s="75">
        <v>17</v>
      </c>
      <c r="K243" s="75">
        <v>44</v>
      </c>
      <c r="L243" s="75">
        <v>271</v>
      </c>
      <c r="M243" s="39" t="str">
        <f t="shared" si="6"/>
        <v>17-44-271</v>
      </c>
      <c r="N243" s="201" t="str">
        <f>IFERROR(VLOOKUP(M243,'LISTA ITEMS (2)'!$E$2:$G$910,2,FALSE),"  ")</f>
        <v>SELLANTE QUIMICO BLANCO</v>
      </c>
      <c r="O243" s="202" t="str">
        <f>IFERROR(VLOOKUP(M243,'LISTA ITEMS (2)'!$E$2:$G$910,3,FALSE)," ")</f>
        <v>UND</v>
      </c>
      <c r="P243" s="203">
        <v>1</v>
      </c>
      <c r="Q243" s="259"/>
      <c r="R243" s="201"/>
      <c r="S243" s="156">
        <v>1</v>
      </c>
    </row>
    <row r="244" spans="1:19" ht="24" x14ac:dyDescent="0.3">
      <c r="A244" s="27">
        <v>242</v>
      </c>
      <c r="B244" s="197">
        <v>16</v>
      </c>
      <c r="C244" s="198">
        <v>16</v>
      </c>
      <c r="D244" s="223"/>
      <c r="E244" s="223"/>
      <c r="F244" s="199" t="s">
        <v>701</v>
      </c>
      <c r="G244" s="199" t="s">
        <v>700</v>
      </c>
      <c r="H244" s="199" t="s">
        <v>796</v>
      </c>
      <c r="I244" s="200">
        <v>46070</v>
      </c>
      <c r="J244" s="75">
        <v>17</v>
      </c>
      <c r="K244" s="75">
        <v>44</v>
      </c>
      <c r="L244" s="75">
        <v>272</v>
      </c>
      <c r="M244" s="39" t="str">
        <f t="shared" si="6"/>
        <v>17-44-272</v>
      </c>
      <c r="N244" s="201" t="str">
        <f>IFERROR(VLOOKUP(M244,'LISTA ITEMS (2)'!$E$2:$G$910,2,FALSE),"  ")</f>
        <v>SELLANTE QUIMICO GRIS</v>
      </c>
      <c r="O244" s="202" t="str">
        <f>IFERROR(VLOOKUP(M244,'LISTA ITEMS (2)'!$E$2:$G$910,3,FALSE)," ")</f>
        <v>UND</v>
      </c>
      <c r="P244" s="203">
        <v>1</v>
      </c>
      <c r="Q244" s="259"/>
      <c r="R244" s="201"/>
      <c r="S244" s="156">
        <v>1</v>
      </c>
    </row>
    <row r="245" spans="1:19" ht="24" x14ac:dyDescent="0.3">
      <c r="A245" s="27">
        <v>243</v>
      </c>
      <c r="B245" s="197">
        <v>16</v>
      </c>
      <c r="C245" s="198">
        <v>16</v>
      </c>
      <c r="D245" s="223"/>
      <c r="E245" s="223"/>
      <c r="F245" s="199" t="s">
        <v>701</v>
      </c>
      <c r="G245" s="199" t="s">
        <v>700</v>
      </c>
      <c r="H245" s="199" t="s">
        <v>796</v>
      </c>
      <c r="I245" s="200">
        <v>46070</v>
      </c>
      <c r="J245" s="75">
        <v>9</v>
      </c>
      <c r="K245" s="75">
        <v>32</v>
      </c>
      <c r="L245" s="75">
        <v>223</v>
      </c>
      <c r="M245" s="39" t="str">
        <f t="shared" si="6"/>
        <v>9-32-223</v>
      </c>
      <c r="N245" s="201" t="str">
        <f>IFERROR(VLOOKUP(M245,'LISTA ITEMS (2)'!$E$2:$G$910,2,FALSE),"  ")</f>
        <v>CURVA PVC M-25 GRIS TIPO A</v>
      </c>
      <c r="O245" s="202" t="str">
        <f>IFERROR(VLOOKUP(M245,'LISTA ITEMS (2)'!$E$2:$G$910,3,FALSE)," ")</f>
        <v>UND</v>
      </c>
      <c r="P245" s="203">
        <v>20</v>
      </c>
      <c r="Q245" s="259"/>
      <c r="R245" s="201"/>
      <c r="S245" s="156"/>
    </row>
    <row r="246" spans="1:19" ht="28.8" x14ac:dyDescent="0.3">
      <c r="A246" s="27">
        <v>244</v>
      </c>
      <c r="B246" s="197">
        <v>16</v>
      </c>
      <c r="C246" s="198">
        <v>16</v>
      </c>
      <c r="D246" s="223"/>
      <c r="E246" s="223"/>
      <c r="F246" s="199" t="s">
        <v>701</v>
      </c>
      <c r="G246" s="199" t="s">
        <v>700</v>
      </c>
      <c r="H246" s="199" t="s">
        <v>796</v>
      </c>
      <c r="I246" s="200">
        <v>46070</v>
      </c>
      <c r="J246" s="75">
        <v>10</v>
      </c>
      <c r="K246" s="75">
        <v>15</v>
      </c>
      <c r="L246" s="75">
        <v>269</v>
      </c>
      <c r="M246" s="39" t="str">
        <f t="shared" si="6"/>
        <v>10-15-269</v>
      </c>
      <c r="N246" s="201" t="str">
        <f>IFERROR(VLOOKUP(M246,'LISTA ITEMS (2)'!$E$2:$G$910,2,FALSE),"  ")</f>
        <v>BARRA ALUMINIO PARA ESTRUCTURA  3.60mt</v>
      </c>
      <c r="O246" s="202" t="str">
        <f>IFERROR(VLOOKUP(M246,'LISTA ITEMS (2)'!$E$2:$G$910,3,FALSE)," ")</f>
        <v>UND</v>
      </c>
      <c r="P246" s="203">
        <v>4</v>
      </c>
      <c r="Q246" s="259"/>
      <c r="R246" s="201"/>
      <c r="S246" s="156"/>
    </row>
    <row r="247" spans="1:19" ht="28.8" x14ac:dyDescent="0.3">
      <c r="A247" s="27">
        <v>245</v>
      </c>
      <c r="B247" s="197">
        <v>16</v>
      </c>
      <c r="C247" s="198">
        <v>16</v>
      </c>
      <c r="D247" s="223"/>
      <c r="E247" s="223"/>
      <c r="F247" s="199" t="s">
        <v>701</v>
      </c>
      <c r="G247" s="199" t="s">
        <v>700</v>
      </c>
      <c r="H247" s="199" t="s">
        <v>796</v>
      </c>
      <c r="I247" s="200">
        <v>46070</v>
      </c>
      <c r="J247" s="75">
        <v>10</v>
      </c>
      <c r="K247" s="75">
        <v>42</v>
      </c>
      <c r="L247" s="75">
        <v>268</v>
      </c>
      <c r="M247" s="39" t="str">
        <f t="shared" si="6"/>
        <v>10-42-268</v>
      </c>
      <c r="N247" s="201" t="str">
        <f>IFERROR(VLOOKUP(M247,'LISTA ITEMS (2)'!$E$2:$G$910,2,FALSE),"  ")</f>
        <v>PATA ALUMINIO PARA ESTRUCTURA PLACA SOLAR ANGULO 30º</v>
      </c>
      <c r="O247" s="202" t="str">
        <f>IFERROR(VLOOKUP(M247,'LISTA ITEMS (2)'!$E$2:$G$910,3,FALSE)," ")</f>
        <v>UND</v>
      </c>
      <c r="P247" s="203">
        <v>4</v>
      </c>
      <c r="Q247" s="259"/>
      <c r="R247" s="201"/>
      <c r="S247" s="156"/>
    </row>
    <row r="248" spans="1:19" ht="24" x14ac:dyDescent="0.3">
      <c r="A248" s="27">
        <v>246</v>
      </c>
      <c r="B248" s="197">
        <v>16</v>
      </c>
      <c r="C248" s="198">
        <v>16</v>
      </c>
      <c r="D248" s="223"/>
      <c r="E248" s="223"/>
      <c r="F248" s="199" t="s">
        <v>701</v>
      </c>
      <c r="G248" s="199" t="s">
        <v>700</v>
      </c>
      <c r="H248" s="199" t="s">
        <v>796</v>
      </c>
      <c r="I248" s="200">
        <v>46070</v>
      </c>
      <c r="J248" s="75">
        <v>16</v>
      </c>
      <c r="K248" s="75">
        <v>45</v>
      </c>
      <c r="L248" s="75">
        <v>383</v>
      </c>
      <c r="M248" s="39" t="str">
        <f t="shared" si="6"/>
        <v>16-45-383</v>
      </c>
      <c r="N248" s="201" t="str">
        <f>IFERROR(VLOOKUP(M248,'LISTA ITEMS (2)'!$E$2:$G$910,2,FALSE),"  ")</f>
        <v xml:space="preserve">CAJA BLANCA P/BATERIA (DYNNES) </v>
      </c>
      <c r="O248" s="202" t="str">
        <f>IFERROR(VLOOKUP(M248,'LISTA ITEMS (2)'!$E$2:$G$910,3,FALSE)," ")</f>
        <v>UND</v>
      </c>
      <c r="P248" s="203">
        <v>1</v>
      </c>
      <c r="Q248" s="259"/>
      <c r="R248" s="201"/>
      <c r="S248" s="156"/>
    </row>
    <row r="249" spans="1:19" ht="24" x14ac:dyDescent="0.3">
      <c r="A249" s="27">
        <v>247</v>
      </c>
      <c r="B249" s="197">
        <v>16</v>
      </c>
      <c r="C249" s="198">
        <v>16</v>
      </c>
      <c r="D249" s="223"/>
      <c r="E249" s="223"/>
      <c r="F249" s="199" t="s">
        <v>701</v>
      </c>
      <c r="G249" s="199" t="s">
        <v>700</v>
      </c>
      <c r="H249" s="199" t="s">
        <v>796</v>
      </c>
      <c r="I249" s="200">
        <v>46070</v>
      </c>
      <c r="J249" s="75">
        <v>16</v>
      </c>
      <c r="K249" s="75">
        <v>13</v>
      </c>
      <c r="L249" s="75">
        <v>372</v>
      </c>
      <c r="M249" s="39" t="str">
        <f t="shared" si="6"/>
        <v>16-13-372</v>
      </c>
      <c r="N249" s="201" t="str">
        <f>IFERROR(VLOOKUP(M249,'LISTA ITEMS (2)'!$E$2:$G$910,2,FALSE),"  ")</f>
        <v>KIT CABLE BATERIA ARK</v>
      </c>
      <c r="O249" s="202" t="str">
        <f>IFERROR(VLOOKUP(M249,'LISTA ITEMS (2)'!$E$2:$G$910,3,FALSE)," ")</f>
        <v>UND</v>
      </c>
      <c r="P249" s="203">
        <v>1</v>
      </c>
      <c r="Q249" s="259"/>
      <c r="R249" s="201"/>
      <c r="S249" s="156"/>
    </row>
    <row r="250" spans="1:19" ht="28.8" x14ac:dyDescent="0.3">
      <c r="A250" s="27">
        <v>248</v>
      </c>
      <c r="B250" s="197">
        <v>16</v>
      </c>
      <c r="C250" s="198">
        <v>16</v>
      </c>
      <c r="D250" s="223"/>
      <c r="E250" s="223"/>
      <c r="F250" s="199" t="s">
        <v>701</v>
      </c>
      <c r="G250" s="199" t="s">
        <v>700</v>
      </c>
      <c r="H250" s="199" t="s">
        <v>796</v>
      </c>
      <c r="I250" s="200">
        <v>46070</v>
      </c>
      <c r="J250" s="75">
        <v>16</v>
      </c>
      <c r="K250" s="75">
        <v>53</v>
      </c>
      <c r="L250" s="75">
        <v>290</v>
      </c>
      <c r="M250" s="39" t="str">
        <f t="shared" si="6"/>
        <v>16-53-290</v>
      </c>
      <c r="N250" s="201" t="str">
        <f>IFERROR(VLOOKUP(M250,'LISTA ITEMS (2)'!$E$2:$G$910,2,FALSE),"  ")</f>
        <v>PINCHO DE COMUNICACIÓN WIFI SHINEWILAN X2 (GROWATT)</v>
      </c>
      <c r="O250" s="202" t="str">
        <f>IFERROR(VLOOKUP(M250,'LISTA ITEMS (2)'!$E$2:$G$910,3,FALSE)," ")</f>
        <v>UND</v>
      </c>
      <c r="P250" s="203">
        <v>1</v>
      </c>
      <c r="Q250" s="259"/>
      <c r="R250" s="201"/>
      <c r="S250" s="156"/>
    </row>
    <row r="251" spans="1:19" ht="28.8" x14ac:dyDescent="0.3">
      <c r="A251" s="27">
        <v>249</v>
      </c>
      <c r="B251" s="197">
        <v>16</v>
      </c>
      <c r="C251" s="198">
        <v>16</v>
      </c>
      <c r="D251" s="223"/>
      <c r="E251" s="223"/>
      <c r="F251" s="199" t="s">
        <v>701</v>
      </c>
      <c r="G251" s="199" t="s">
        <v>700</v>
      </c>
      <c r="H251" s="199" t="s">
        <v>796</v>
      </c>
      <c r="I251" s="200">
        <v>46070</v>
      </c>
      <c r="J251" s="75">
        <v>16</v>
      </c>
      <c r="K251" s="75">
        <v>52</v>
      </c>
      <c r="L251" s="75">
        <v>292</v>
      </c>
      <c r="M251" s="39" t="str">
        <f t="shared" si="6"/>
        <v>16-52-292</v>
      </c>
      <c r="N251" s="201" t="str">
        <f>IFERROR(VLOOKUP(M251,'LISTA ITEMS (2)'!$E$2:$G$910,2,FALSE),"  ")</f>
        <v>TERMICO EPBE63M1NC63M1NC40 1P+N C40 (MAXGE)</v>
      </c>
      <c r="O251" s="202" t="str">
        <f>IFERROR(VLOOKUP(M251,'LISTA ITEMS (2)'!$E$2:$G$910,3,FALSE)," ")</f>
        <v>UND</v>
      </c>
      <c r="P251" s="203">
        <v>1</v>
      </c>
      <c r="Q251" s="259"/>
      <c r="R251" s="201"/>
      <c r="S251" s="156"/>
    </row>
    <row r="252" spans="1:19" ht="28.8" x14ac:dyDescent="0.3">
      <c r="A252" s="27">
        <v>250</v>
      </c>
      <c r="B252" s="197">
        <v>16</v>
      </c>
      <c r="C252" s="198">
        <v>16</v>
      </c>
      <c r="D252" s="223"/>
      <c r="E252" s="223"/>
      <c r="F252" s="199" t="s">
        <v>701</v>
      </c>
      <c r="G252" s="199" t="s">
        <v>700</v>
      </c>
      <c r="H252" s="199" t="s">
        <v>796</v>
      </c>
      <c r="I252" s="200">
        <v>46070</v>
      </c>
      <c r="J252" s="75">
        <v>16</v>
      </c>
      <c r="K252" s="75">
        <v>52</v>
      </c>
      <c r="L252" s="75">
        <v>293</v>
      </c>
      <c r="M252" s="39" t="str">
        <f t="shared" si="6"/>
        <v>16-52-293</v>
      </c>
      <c r="N252" s="201" t="str">
        <f>IFERROR(VLOOKUP(M252,'LISTA ITEMS (2)'!$E$2:$G$910,2,FALSE),"  ")</f>
        <v>TERMICO EPBE63M1NC63M1NC32 1P+N C32 (MAXGE)</v>
      </c>
      <c r="O252" s="202" t="str">
        <f>IFERROR(VLOOKUP(M252,'LISTA ITEMS (2)'!$E$2:$G$910,3,FALSE)," ")</f>
        <v>UND</v>
      </c>
      <c r="P252" s="203">
        <v>1</v>
      </c>
      <c r="Q252" s="259"/>
      <c r="R252" s="201"/>
      <c r="S252" s="156"/>
    </row>
    <row r="253" spans="1:19" ht="24" x14ac:dyDescent="0.3">
      <c r="A253" s="27">
        <v>251</v>
      </c>
      <c r="B253" s="197">
        <v>16</v>
      </c>
      <c r="C253" s="198">
        <v>16</v>
      </c>
      <c r="D253" s="223"/>
      <c r="E253" s="223"/>
      <c r="F253" s="199" t="s">
        <v>701</v>
      </c>
      <c r="G253" s="199" t="s">
        <v>700</v>
      </c>
      <c r="H253" s="199" t="s">
        <v>796</v>
      </c>
      <c r="I253" s="200">
        <v>46070</v>
      </c>
      <c r="J253" s="75">
        <v>16</v>
      </c>
      <c r="K253" s="75">
        <v>48</v>
      </c>
      <c r="L253" s="75">
        <v>281</v>
      </c>
      <c r="M253" s="39" t="str">
        <f t="shared" si="6"/>
        <v>16-48-281</v>
      </c>
      <c r="N253" s="201" t="str">
        <f>IFERROR(VLOOKUP(M253,'LISTA ITEMS (2)'!$E$2:$G$910,2,FALSE),"  ")</f>
        <v>PORTA FUSIBLE SGF-32-DC (MAXGE)</v>
      </c>
      <c r="O253" s="202" t="str">
        <f>IFERROR(VLOOKUP(M253,'LISTA ITEMS (2)'!$E$2:$G$910,3,FALSE)," ")</f>
        <v>UND</v>
      </c>
      <c r="P253" s="203">
        <v>2</v>
      </c>
      <c r="Q253" s="259"/>
      <c r="R253" s="201"/>
      <c r="S253" s="156"/>
    </row>
    <row r="254" spans="1:19" ht="24" x14ac:dyDescent="0.3">
      <c r="A254" s="27">
        <v>252</v>
      </c>
      <c r="B254" s="197">
        <v>16</v>
      </c>
      <c r="C254" s="198">
        <v>16</v>
      </c>
      <c r="D254" s="223"/>
      <c r="E254" s="223"/>
      <c r="F254" s="199" t="s">
        <v>701</v>
      </c>
      <c r="G254" s="199" t="s">
        <v>700</v>
      </c>
      <c r="H254" s="199" t="s">
        <v>796</v>
      </c>
      <c r="I254" s="200">
        <v>46070</v>
      </c>
      <c r="J254" s="75">
        <v>16</v>
      </c>
      <c r="K254" s="75">
        <v>50</v>
      </c>
      <c r="L254" s="75">
        <v>314</v>
      </c>
      <c r="M254" s="39" t="str">
        <f t="shared" si="6"/>
        <v>16-50-314</v>
      </c>
      <c r="N254" s="201" t="str">
        <f>IFERROR(VLOOKUP(M254,'LISTA ITEMS (2)'!$E$2:$G$910,2,FALSE),"  ")</f>
        <v>FUSIBLE MG10PV32A (MAXGE)</v>
      </c>
      <c r="O254" s="202" t="str">
        <f>IFERROR(VLOOKUP(M254,'LISTA ITEMS (2)'!$E$2:$G$910,3,FALSE)," ")</f>
        <v>UND</v>
      </c>
      <c r="P254" s="203">
        <v>2</v>
      </c>
      <c r="Q254" s="259"/>
      <c r="R254" s="201"/>
      <c r="S254" s="156"/>
    </row>
    <row r="255" spans="1:19" ht="28.8" x14ac:dyDescent="0.3">
      <c r="A255" s="27">
        <v>253</v>
      </c>
      <c r="B255" s="197">
        <v>16</v>
      </c>
      <c r="C255" s="198">
        <v>16</v>
      </c>
      <c r="D255" s="223"/>
      <c r="E255" s="223"/>
      <c r="F255" s="199" t="s">
        <v>701</v>
      </c>
      <c r="G255" s="199" t="s">
        <v>700</v>
      </c>
      <c r="H255" s="199" t="s">
        <v>796</v>
      </c>
      <c r="I255" s="200">
        <v>46070</v>
      </c>
      <c r="J255" s="75">
        <v>16</v>
      </c>
      <c r="K255" s="75">
        <v>49</v>
      </c>
      <c r="L255" s="75">
        <v>288</v>
      </c>
      <c r="M255" s="39" t="str">
        <f t="shared" si="6"/>
        <v>16-49-288</v>
      </c>
      <c r="N255" s="201" t="str">
        <f>IFERROR(VLOOKUP(M255,'LISTA ITEMS (2)'!$E$2:$G$910,2,FALSE),"  ")</f>
        <v>CONTACTOR MODULAR EPC1-6322-P7 (MAXGE)</v>
      </c>
      <c r="O255" s="202" t="str">
        <f>IFERROR(VLOOKUP(M255,'LISTA ITEMS (2)'!$E$2:$G$910,3,FALSE)," ")</f>
        <v>UND</v>
      </c>
      <c r="P255" s="203">
        <v>1</v>
      </c>
      <c r="Q255" s="259"/>
      <c r="R255" s="201"/>
      <c r="S255" s="156"/>
    </row>
    <row r="256" spans="1:19" ht="28.8" x14ac:dyDescent="0.3">
      <c r="A256" s="27">
        <v>254</v>
      </c>
      <c r="B256" s="197">
        <v>16</v>
      </c>
      <c r="C256" s="198">
        <v>16</v>
      </c>
      <c r="D256" s="223"/>
      <c r="E256" s="223"/>
      <c r="F256" s="199" t="s">
        <v>701</v>
      </c>
      <c r="G256" s="199" t="s">
        <v>700</v>
      </c>
      <c r="H256" s="199" t="s">
        <v>796</v>
      </c>
      <c r="I256" s="200">
        <v>46070</v>
      </c>
      <c r="J256" s="75">
        <v>16</v>
      </c>
      <c r="K256" s="75">
        <v>47</v>
      </c>
      <c r="L256" s="75">
        <v>318</v>
      </c>
      <c r="M256" s="39" t="str">
        <f t="shared" si="6"/>
        <v>16-47-318</v>
      </c>
      <c r="N256" s="201" t="str">
        <f>IFERROR(VLOOKUP(M256,'LISTA ITEMS (2)'!$E$2:$G$910,2,FALSE),"  ")</f>
        <v>DIFERENCIAL EPR2A040030 2P-40A-30mA (MAXGE)</v>
      </c>
      <c r="O256" s="202" t="str">
        <f>IFERROR(VLOOKUP(M256,'LISTA ITEMS (2)'!$E$2:$G$910,3,FALSE)," ")</f>
        <v>UND</v>
      </c>
      <c r="P256" s="203">
        <v>1</v>
      </c>
      <c r="Q256" s="259"/>
      <c r="R256" s="201"/>
      <c r="S256" s="156"/>
    </row>
    <row r="257" spans="1:19" ht="28.8" x14ac:dyDescent="0.3">
      <c r="A257" s="27">
        <v>255</v>
      </c>
      <c r="B257" s="197">
        <v>16</v>
      </c>
      <c r="C257" s="198">
        <v>16</v>
      </c>
      <c r="D257" s="223"/>
      <c r="E257" s="223"/>
      <c r="F257" s="199" t="s">
        <v>701</v>
      </c>
      <c r="G257" s="199" t="s">
        <v>700</v>
      </c>
      <c r="H257" s="199" t="s">
        <v>796</v>
      </c>
      <c r="I257" s="200">
        <v>46070</v>
      </c>
      <c r="J257" s="75">
        <v>16</v>
      </c>
      <c r="K257" s="75">
        <v>45</v>
      </c>
      <c r="L257" s="75">
        <v>275</v>
      </c>
      <c r="M257" s="39" t="str">
        <f t="shared" si="6"/>
        <v>16-45-275</v>
      </c>
      <c r="N257" s="201" t="str">
        <f>IFERROR(VLOOKUP(M257,'LISTA ITEMS (2)'!$E$2:$G$910,2,FALSE),"  ")</f>
        <v>CAJA DISTRIBUCION INTERIOR 18 ELEM. (SOLERA)</v>
      </c>
      <c r="O257" s="202" t="str">
        <f>IFERROR(VLOOKUP(M257,'LISTA ITEMS (2)'!$E$2:$G$910,3,FALSE)," ")</f>
        <v>UND</v>
      </c>
      <c r="P257" s="203">
        <v>1</v>
      </c>
      <c r="Q257" s="259"/>
      <c r="R257" s="201"/>
      <c r="S257" s="156">
        <v>1</v>
      </c>
    </row>
    <row r="258" spans="1:19" ht="28.8" x14ac:dyDescent="0.3">
      <c r="A258" s="27">
        <v>256</v>
      </c>
      <c r="B258" s="197">
        <v>16</v>
      </c>
      <c r="C258" s="198">
        <v>16</v>
      </c>
      <c r="D258" s="223"/>
      <c r="E258" s="223"/>
      <c r="F258" s="199" t="s">
        <v>701</v>
      </c>
      <c r="G258" s="199" t="s">
        <v>700</v>
      </c>
      <c r="H258" s="199" t="s">
        <v>796</v>
      </c>
      <c r="I258" s="200">
        <v>46070</v>
      </c>
      <c r="J258" s="75">
        <v>7</v>
      </c>
      <c r="K258" s="75">
        <v>38</v>
      </c>
      <c r="L258" s="75">
        <v>247</v>
      </c>
      <c r="M258" s="39" t="str">
        <f t="shared" si="6"/>
        <v>7-38-247</v>
      </c>
      <c r="N258" s="201" t="str">
        <f>IFERROR(VLOOKUP(M258,'LISTA ITEMS (2)'!$E$2:$G$910,2,FALSE),"  ")</f>
        <v>PLACA SOLAR JAM60D42-535LB 535W / 44.13V</v>
      </c>
      <c r="O258" s="202" t="str">
        <f>IFERROR(VLOOKUP(M258,'LISTA ITEMS (2)'!$E$2:$G$910,3,FALSE)," ")</f>
        <v>UND</v>
      </c>
      <c r="P258" s="203">
        <v>4</v>
      </c>
      <c r="Q258" s="259"/>
      <c r="R258" s="201"/>
      <c r="S258" s="156"/>
    </row>
    <row r="259" spans="1:19" ht="24" x14ac:dyDescent="0.3">
      <c r="A259" s="27">
        <v>257</v>
      </c>
      <c r="B259" s="197">
        <v>16</v>
      </c>
      <c r="C259" s="198">
        <v>16</v>
      </c>
      <c r="D259" s="223"/>
      <c r="E259" s="223"/>
      <c r="F259" s="199" t="s">
        <v>701</v>
      </c>
      <c r="G259" s="199" t="s">
        <v>700</v>
      </c>
      <c r="H259" s="199" t="s">
        <v>796</v>
      </c>
      <c r="I259" s="200">
        <v>46070</v>
      </c>
      <c r="J259" s="75">
        <v>10</v>
      </c>
      <c r="K259" s="75">
        <v>37</v>
      </c>
      <c r="L259" s="75">
        <v>232</v>
      </c>
      <c r="M259" s="39" t="str">
        <f t="shared" si="6"/>
        <v>10-37-232</v>
      </c>
      <c r="N259" s="201" t="str">
        <f>IFERROR(VLOOKUP(M259,'LISTA ITEMS (2)'!$E$2:$G$910,2,FALSE),"  ")</f>
        <v>SOPORTE CENTRAL NEGRO</v>
      </c>
      <c r="O259" s="202" t="str">
        <f>IFERROR(VLOOKUP(M259,'LISTA ITEMS (2)'!$E$2:$G$910,3,FALSE)," ")</f>
        <v>UND</v>
      </c>
      <c r="P259" s="203">
        <v>8</v>
      </c>
      <c r="Q259" s="259"/>
      <c r="R259" s="201"/>
      <c r="S259" s="156"/>
    </row>
    <row r="260" spans="1:19" ht="24" x14ac:dyDescent="0.3">
      <c r="A260" s="27">
        <v>258</v>
      </c>
      <c r="B260" s="197">
        <v>16</v>
      </c>
      <c r="C260" s="198">
        <v>16</v>
      </c>
      <c r="D260" s="223"/>
      <c r="E260" s="223"/>
      <c r="F260" s="199" t="s">
        <v>701</v>
      </c>
      <c r="G260" s="199" t="s">
        <v>700</v>
      </c>
      <c r="H260" s="199" t="s">
        <v>796</v>
      </c>
      <c r="I260" s="200">
        <v>46070</v>
      </c>
      <c r="J260" s="75">
        <v>10</v>
      </c>
      <c r="K260" s="75">
        <v>37</v>
      </c>
      <c r="L260" s="75">
        <v>315</v>
      </c>
      <c r="M260" s="39" t="str">
        <f t="shared" si="6"/>
        <v>10-37-315</v>
      </c>
      <c r="N260" s="201" t="str">
        <f>IFERROR(VLOOKUP(M260,'LISTA ITEMS (2)'!$E$2:$G$910,2,FALSE),"  ")</f>
        <v>SOPORTE FINAL NEGRO</v>
      </c>
      <c r="O260" s="202" t="str">
        <f>IFERROR(VLOOKUP(M260,'LISTA ITEMS (2)'!$E$2:$G$910,3,FALSE)," ")</f>
        <v>UND</v>
      </c>
      <c r="P260" s="203">
        <v>8</v>
      </c>
      <c r="Q260" s="259"/>
      <c r="R260" s="201"/>
      <c r="S260" s="156"/>
    </row>
    <row r="261" spans="1:19" ht="24" x14ac:dyDescent="0.3">
      <c r="A261" s="27">
        <v>259</v>
      </c>
      <c r="B261" s="197">
        <v>16</v>
      </c>
      <c r="C261" s="198">
        <v>16</v>
      </c>
      <c r="D261" s="223"/>
      <c r="E261" s="223"/>
      <c r="F261" s="199" t="s">
        <v>701</v>
      </c>
      <c r="G261" s="199" t="s">
        <v>700</v>
      </c>
      <c r="H261" s="199" t="s">
        <v>796</v>
      </c>
      <c r="I261" s="200">
        <v>46070</v>
      </c>
      <c r="J261" s="75">
        <v>3</v>
      </c>
      <c r="K261" s="75">
        <v>31</v>
      </c>
      <c r="L261" s="75">
        <v>278</v>
      </c>
      <c r="M261" s="39" t="str">
        <f t="shared" si="6"/>
        <v>3-31-278</v>
      </c>
      <c r="N261" s="201" t="str">
        <f>IFERROR(VLOOKUP(M261,'LISTA ITEMS (2)'!$E$2:$G$910,2,FALSE),"  ")</f>
        <v>CABLE Nª 6 P/PLACA SOLAR ROJO</v>
      </c>
      <c r="O261" s="202" t="str">
        <f>IFERROR(VLOOKUP(M261,'LISTA ITEMS (2)'!$E$2:$G$910,3,FALSE)," ")</f>
        <v>MT</v>
      </c>
      <c r="P261" s="203">
        <v>15</v>
      </c>
      <c r="Q261" s="259"/>
      <c r="R261" s="201"/>
      <c r="S261" s="156"/>
    </row>
    <row r="262" spans="1:19" ht="24" x14ac:dyDescent="0.3">
      <c r="A262" s="27">
        <v>260</v>
      </c>
      <c r="B262" s="197">
        <v>16</v>
      </c>
      <c r="C262" s="198">
        <v>16</v>
      </c>
      <c r="D262" s="223"/>
      <c r="E262" s="223"/>
      <c r="F262" s="199" t="s">
        <v>701</v>
      </c>
      <c r="G262" s="199" t="s">
        <v>700</v>
      </c>
      <c r="H262" s="199" t="s">
        <v>796</v>
      </c>
      <c r="I262" s="200">
        <v>46070</v>
      </c>
      <c r="J262" s="75">
        <v>10</v>
      </c>
      <c r="K262" s="75">
        <v>37</v>
      </c>
      <c r="L262" s="75">
        <v>330</v>
      </c>
      <c r="M262" s="39" t="str">
        <f t="shared" si="6"/>
        <v>10-37-330</v>
      </c>
      <c r="N262" s="201" t="str">
        <f>IFERROR(VLOOKUP(M262,'LISTA ITEMS (2)'!$E$2:$G$910,2,FALSE),"  ")</f>
        <v>SOPORTE EN L ALUMINIO GRIS</v>
      </c>
      <c r="O262" s="202" t="str">
        <f>IFERROR(VLOOKUP(M262,'LISTA ITEMS (2)'!$E$2:$G$910,3,FALSE)," ")</f>
        <v>UND</v>
      </c>
      <c r="P262" s="203">
        <v>18</v>
      </c>
      <c r="Q262" s="259"/>
      <c r="R262" s="201"/>
      <c r="S262" s="156">
        <v>6</v>
      </c>
    </row>
    <row r="263" spans="1:19" ht="28.8" x14ac:dyDescent="0.3">
      <c r="A263" s="27">
        <v>261</v>
      </c>
      <c r="B263" s="197">
        <v>16</v>
      </c>
      <c r="C263" s="198">
        <v>16</v>
      </c>
      <c r="D263" s="223"/>
      <c r="E263" s="223"/>
      <c r="F263" s="199" t="s">
        <v>701</v>
      </c>
      <c r="G263" s="199" t="s">
        <v>700</v>
      </c>
      <c r="H263" s="199" t="s">
        <v>796</v>
      </c>
      <c r="I263" s="200">
        <v>46070</v>
      </c>
      <c r="J263" s="75">
        <v>10</v>
      </c>
      <c r="K263" s="75">
        <v>15</v>
      </c>
      <c r="L263" s="75">
        <v>269</v>
      </c>
      <c r="M263" s="39" t="str">
        <f t="shared" si="6"/>
        <v>10-15-269</v>
      </c>
      <c r="N263" s="201" t="str">
        <f>IFERROR(VLOOKUP(M263,'LISTA ITEMS (2)'!$E$2:$G$910,2,FALSE),"  ")</f>
        <v>BARRA ALUMINIO PARA ESTRUCTURA  3.60mt</v>
      </c>
      <c r="O263" s="202" t="str">
        <f>IFERROR(VLOOKUP(M263,'LISTA ITEMS (2)'!$E$2:$G$910,3,FALSE)," ")</f>
        <v>UND</v>
      </c>
      <c r="P263" s="203">
        <v>4</v>
      </c>
      <c r="Q263" s="259"/>
      <c r="R263" s="201"/>
      <c r="S263" s="156"/>
    </row>
    <row r="264" spans="1:19" ht="28.8" x14ac:dyDescent="0.3">
      <c r="A264" s="27">
        <v>262</v>
      </c>
      <c r="B264" s="197">
        <v>16</v>
      </c>
      <c r="C264" s="198">
        <v>16</v>
      </c>
      <c r="D264" s="223"/>
      <c r="E264" s="223"/>
      <c r="F264" s="199" t="s">
        <v>701</v>
      </c>
      <c r="G264" s="199" t="s">
        <v>700</v>
      </c>
      <c r="H264" s="199" t="s">
        <v>796</v>
      </c>
      <c r="I264" s="200">
        <v>46070</v>
      </c>
      <c r="J264" s="75">
        <v>16</v>
      </c>
      <c r="K264" s="75">
        <v>61</v>
      </c>
      <c r="L264" s="75">
        <v>331</v>
      </c>
      <c r="M264" s="39" t="str">
        <f t="shared" si="6"/>
        <v>16-61-331</v>
      </c>
      <c r="N264" s="201" t="str">
        <f>IFERROR(VLOOKUP(M264,'LISTA ITEMS (2)'!$E$2:$G$910,2,FALSE),"  ")</f>
        <v>CONECTOR FOTOVOLTAICO HEMBRA M4 NEGRO</v>
      </c>
      <c r="O264" s="202" t="str">
        <f>IFERROR(VLOOKUP(M264,'LISTA ITEMS (2)'!$E$2:$G$910,3,FALSE)," ")</f>
        <v>UND</v>
      </c>
      <c r="P264" s="203">
        <v>10</v>
      </c>
      <c r="Q264" s="259"/>
      <c r="R264" s="201"/>
      <c r="S264" s="156">
        <v>7</v>
      </c>
    </row>
    <row r="265" spans="1:19" ht="28.8" x14ac:dyDescent="0.3">
      <c r="A265" s="27">
        <v>263</v>
      </c>
      <c r="B265" s="197">
        <v>16</v>
      </c>
      <c r="C265" s="198">
        <v>16</v>
      </c>
      <c r="D265" s="223"/>
      <c r="E265" s="223"/>
      <c r="F265" s="199" t="s">
        <v>701</v>
      </c>
      <c r="G265" s="199" t="s">
        <v>700</v>
      </c>
      <c r="H265" s="199" t="s">
        <v>796</v>
      </c>
      <c r="I265" s="200">
        <v>46070</v>
      </c>
      <c r="J265" s="75">
        <v>16</v>
      </c>
      <c r="K265" s="75">
        <v>61</v>
      </c>
      <c r="L265" s="75">
        <v>332</v>
      </c>
      <c r="M265" s="39" t="str">
        <f t="shared" si="6"/>
        <v>16-61-332</v>
      </c>
      <c r="N265" s="201" t="str">
        <f>IFERROR(VLOOKUP(M265,'LISTA ITEMS (2)'!$E$2:$G$910,2,FALSE),"  ")</f>
        <v>CONECTOR FOTOVOLTAICO MACHO M4 NEGRO</v>
      </c>
      <c r="O265" s="202" t="str">
        <f>IFERROR(VLOOKUP(M265,'LISTA ITEMS (2)'!$E$2:$G$910,3,FALSE)," ")</f>
        <v>UND</v>
      </c>
      <c r="P265" s="203">
        <v>10</v>
      </c>
      <c r="Q265" s="259"/>
      <c r="R265" s="201"/>
      <c r="S265" s="156">
        <v>7</v>
      </c>
    </row>
    <row r="266" spans="1:19" ht="24" x14ac:dyDescent="0.3">
      <c r="A266" s="27">
        <v>264</v>
      </c>
      <c r="B266" s="122">
        <v>17</v>
      </c>
      <c r="C266" s="94">
        <v>17</v>
      </c>
      <c r="D266" s="246"/>
      <c r="E266" s="246"/>
      <c r="F266" s="193" t="s">
        <v>693</v>
      </c>
      <c r="G266" s="20" t="s">
        <v>477</v>
      </c>
      <c r="H266" s="193" t="s">
        <v>798</v>
      </c>
      <c r="I266" s="28">
        <v>46070</v>
      </c>
      <c r="J266" s="16">
        <v>7</v>
      </c>
      <c r="K266" s="16">
        <v>54</v>
      </c>
      <c r="L266" s="16">
        <v>295</v>
      </c>
      <c r="M266" s="247" t="str">
        <f t="shared" si="6"/>
        <v>7-54-295</v>
      </c>
      <c r="N266" s="17" t="str">
        <f>IFERROR(VLOOKUP(M266,'LISTA ITEMS (2)'!$E$2:$G$910,2,FALSE),"  ")</f>
        <v>BATERIA LFP LITHIUM DL5.OC (DYNESS)</v>
      </c>
      <c r="O266" s="30" t="str">
        <f>IFERROR(VLOOKUP(M266,'LISTA ITEMS (2)'!$E$2:$G$910,3,FALSE)," ")</f>
        <v>UND</v>
      </c>
      <c r="P266" s="176">
        <v>1</v>
      </c>
      <c r="Q266" s="181"/>
      <c r="R266" s="17" t="s">
        <v>767</v>
      </c>
      <c r="S266" s="156"/>
    </row>
    <row r="267" spans="1:19" ht="24" x14ac:dyDescent="0.3">
      <c r="A267" s="27">
        <v>265</v>
      </c>
      <c r="B267" s="122">
        <v>17</v>
      </c>
      <c r="C267" s="94">
        <v>17</v>
      </c>
      <c r="D267" s="246"/>
      <c r="E267" s="246"/>
      <c r="F267" s="193" t="s">
        <v>693</v>
      </c>
      <c r="G267" s="20" t="s">
        <v>477</v>
      </c>
      <c r="H267" s="193" t="s">
        <v>798</v>
      </c>
      <c r="I267" s="28">
        <v>46070</v>
      </c>
      <c r="J267" s="16">
        <v>16</v>
      </c>
      <c r="K267" s="16">
        <v>33</v>
      </c>
      <c r="L267" s="16">
        <v>369</v>
      </c>
      <c r="M267" s="247" t="str">
        <f t="shared" si="6"/>
        <v>16-33-369</v>
      </c>
      <c r="N267" s="17" t="str">
        <f>IFERROR(VLOOKUP(M267,'LISTA ITEMS (2)'!$E$2:$G$910,2,FALSE),"  ")</f>
        <v>OPTIMIZADOR TS4-A-O (TIGO)</v>
      </c>
      <c r="O267" s="30" t="str">
        <f>IFERROR(VLOOKUP(M267,'LISTA ITEMS (2)'!$E$2:$G$910,3,FALSE)," ")</f>
        <v>UND</v>
      </c>
      <c r="P267" s="176">
        <v>1</v>
      </c>
      <c r="Q267" s="181"/>
      <c r="R267" s="17"/>
      <c r="S267" s="156"/>
    </row>
    <row r="268" spans="1:19" ht="28.8" x14ac:dyDescent="0.3">
      <c r="A268" s="27">
        <v>266</v>
      </c>
      <c r="B268" s="122">
        <v>17</v>
      </c>
      <c r="C268" s="94">
        <v>17</v>
      </c>
      <c r="D268" s="246"/>
      <c r="E268" s="246"/>
      <c r="F268" s="193" t="s">
        <v>693</v>
      </c>
      <c r="G268" s="20" t="s">
        <v>477</v>
      </c>
      <c r="H268" s="193" t="s">
        <v>798</v>
      </c>
      <c r="I268" s="28">
        <v>46070</v>
      </c>
      <c r="J268" s="16">
        <v>7</v>
      </c>
      <c r="K268" s="16">
        <v>38</v>
      </c>
      <c r="L268" s="16">
        <v>247</v>
      </c>
      <c r="M268" s="247" t="str">
        <f t="shared" si="6"/>
        <v>7-38-247</v>
      </c>
      <c r="N268" s="17" t="str">
        <f>IFERROR(VLOOKUP(M268,'LISTA ITEMS (2)'!$E$2:$G$910,2,FALSE),"  ")</f>
        <v>PLACA SOLAR JAM60D42-535LB 535W / 44.13V</v>
      </c>
      <c r="O268" s="30" t="str">
        <f>IFERROR(VLOOKUP(M268,'LISTA ITEMS (2)'!$E$2:$G$910,3,FALSE)," ")</f>
        <v>UND</v>
      </c>
      <c r="P268" s="176">
        <v>12</v>
      </c>
      <c r="Q268" s="181"/>
      <c r="R268" s="17"/>
      <c r="S268" s="156"/>
    </row>
    <row r="269" spans="1:19" ht="24" x14ac:dyDescent="0.3">
      <c r="A269" s="27">
        <v>267</v>
      </c>
      <c r="B269" s="122">
        <v>17</v>
      </c>
      <c r="C269" s="94">
        <v>17</v>
      </c>
      <c r="D269" s="246"/>
      <c r="E269" s="246"/>
      <c r="F269" s="193" t="s">
        <v>693</v>
      </c>
      <c r="G269" s="20" t="s">
        <v>477</v>
      </c>
      <c r="H269" s="193" t="s">
        <v>798</v>
      </c>
      <c r="I269" s="28">
        <v>46070</v>
      </c>
      <c r="J269" s="16">
        <v>14</v>
      </c>
      <c r="K269" s="16">
        <v>24</v>
      </c>
      <c r="L269" s="16">
        <v>193</v>
      </c>
      <c r="M269" s="247" t="str">
        <f t="shared" si="6"/>
        <v>14-24-193</v>
      </c>
      <c r="N269" s="17" t="str">
        <f>IFERROR(VLOOKUP(M269,'LISTA ITEMS (2)'!$E$2:$G$910,2,FALSE),"  ")</f>
        <v>DISCO CORTE ACERO/INOX A1 2EN1</v>
      </c>
      <c r="O269" s="30" t="str">
        <f>IFERROR(VLOOKUP(M269,'LISTA ITEMS (2)'!$E$2:$G$910,3,FALSE)," ")</f>
        <v>UND</v>
      </c>
      <c r="P269" s="176">
        <v>6</v>
      </c>
      <c r="Q269" s="181"/>
      <c r="R269" s="17"/>
      <c r="S269" s="156"/>
    </row>
    <row r="270" spans="1:19" ht="28.8" x14ac:dyDescent="0.3">
      <c r="A270" s="27">
        <v>268</v>
      </c>
      <c r="B270" s="122">
        <v>17</v>
      </c>
      <c r="C270" s="94">
        <v>17</v>
      </c>
      <c r="D270" s="246"/>
      <c r="E270" s="246"/>
      <c r="F270" s="193" t="s">
        <v>693</v>
      </c>
      <c r="G270" s="20" t="s">
        <v>477</v>
      </c>
      <c r="H270" s="193" t="s">
        <v>798</v>
      </c>
      <c r="I270" s="28">
        <v>46070</v>
      </c>
      <c r="J270" s="16">
        <v>7</v>
      </c>
      <c r="K270" s="16">
        <v>35</v>
      </c>
      <c r="L270" s="16">
        <v>286</v>
      </c>
      <c r="M270" s="247" t="str">
        <f t="shared" si="6"/>
        <v>7-35-286</v>
      </c>
      <c r="N270" s="17" t="str">
        <f>IFERROR(VLOOKUP(M270,'LISTA ITEMS (2)'!$E$2:$G$910,2,FALSE),"  ")</f>
        <v>INVERSOR SPH 6000TL BL-UP 6KW (GROWATT)</v>
      </c>
      <c r="O270" s="30" t="str">
        <f>IFERROR(VLOOKUP(M270,'LISTA ITEMS (2)'!$E$2:$G$910,3,FALSE)," ")</f>
        <v>UND</v>
      </c>
      <c r="P270" s="176">
        <v>1</v>
      </c>
      <c r="Q270" s="181"/>
      <c r="R270" s="17" t="s">
        <v>694</v>
      </c>
      <c r="S270" s="156"/>
    </row>
    <row r="271" spans="1:19" ht="28.8" x14ac:dyDescent="0.3">
      <c r="A271" s="27">
        <v>269</v>
      </c>
      <c r="B271" s="122">
        <v>17</v>
      </c>
      <c r="C271" s="94">
        <v>17</v>
      </c>
      <c r="D271" s="246"/>
      <c r="E271" s="246"/>
      <c r="F271" s="193" t="s">
        <v>693</v>
      </c>
      <c r="G271" s="20" t="s">
        <v>477</v>
      </c>
      <c r="H271" s="193" t="s">
        <v>798</v>
      </c>
      <c r="I271" s="28">
        <v>46070</v>
      </c>
      <c r="J271" s="16">
        <v>10</v>
      </c>
      <c r="K271" s="16">
        <v>15</v>
      </c>
      <c r="L271" s="16">
        <v>269</v>
      </c>
      <c r="M271" s="247" t="str">
        <f t="shared" si="6"/>
        <v>10-15-269</v>
      </c>
      <c r="N271" s="17" t="str">
        <f>IFERROR(VLOOKUP(M271,'LISTA ITEMS (2)'!$E$2:$G$910,2,FALSE),"  ")</f>
        <v>BARRA ALUMINIO PARA ESTRUCTURA  3.60mt</v>
      </c>
      <c r="O271" s="30" t="str">
        <f>IFERROR(VLOOKUP(M271,'LISTA ITEMS (2)'!$E$2:$G$910,3,FALSE)," ")</f>
        <v>UND</v>
      </c>
      <c r="P271" s="176">
        <v>8</v>
      </c>
      <c r="Q271" s="181"/>
      <c r="R271" s="17"/>
      <c r="S271" s="156">
        <v>2</v>
      </c>
    </row>
    <row r="272" spans="1:19" ht="28.8" x14ac:dyDescent="0.3">
      <c r="A272" s="27">
        <v>270</v>
      </c>
      <c r="B272" s="122">
        <v>17</v>
      </c>
      <c r="C272" s="94">
        <v>17</v>
      </c>
      <c r="D272" s="246"/>
      <c r="E272" s="246"/>
      <c r="F272" s="193" t="s">
        <v>693</v>
      </c>
      <c r="G272" s="20" t="s">
        <v>477</v>
      </c>
      <c r="H272" s="193" t="s">
        <v>798</v>
      </c>
      <c r="I272" s="28">
        <v>46070</v>
      </c>
      <c r="J272" s="16">
        <v>16</v>
      </c>
      <c r="K272" s="16">
        <v>61</v>
      </c>
      <c r="L272" s="16">
        <v>331</v>
      </c>
      <c r="M272" s="247" t="str">
        <f t="shared" si="6"/>
        <v>16-61-331</v>
      </c>
      <c r="N272" s="17" t="str">
        <f>IFERROR(VLOOKUP(M272,'LISTA ITEMS (2)'!$E$2:$G$910,2,FALSE),"  ")</f>
        <v>CONECTOR FOTOVOLTAICO HEMBRA M4 NEGRO</v>
      </c>
      <c r="O272" s="30" t="str">
        <f>IFERROR(VLOOKUP(M272,'LISTA ITEMS (2)'!$E$2:$G$910,3,FALSE)," ")</f>
        <v>UND</v>
      </c>
      <c r="P272" s="176">
        <v>10</v>
      </c>
      <c r="Q272" s="181"/>
      <c r="R272" s="17"/>
      <c r="S272" s="156"/>
    </row>
    <row r="273" spans="1:19" ht="28.8" x14ac:dyDescent="0.3">
      <c r="A273" s="27">
        <v>271</v>
      </c>
      <c r="B273" s="122">
        <v>17</v>
      </c>
      <c r="C273" s="94">
        <v>17</v>
      </c>
      <c r="D273" s="246"/>
      <c r="E273" s="246"/>
      <c r="F273" s="193" t="s">
        <v>693</v>
      </c>
      <c r="G273" s="20" t="s">
        <v>477</v>
      </c>
      <c r="H273" s="193" t="s">
        <v>798</v>
      </c>
      <c r="I273" s="28">
        <v>46070</v>
      </c>
      <c r="J273" s="16">
        <v>16</v>
      </c>
      <c r="K273" s="16">
        <v>61</v>
      </c>
      <c r="L273" s="16">
        <v>332</v>
      </c>
      <c r="M273" s="247" t="str">
        <f t="shared" si="6"/>
        <v>16-61-332</v>
      </c>
      <c r="N273" s="17" t="str">
        <f>IFERROR(VLOOKUP(M273,'LISTA ITEMS (2)'!$E$2:$G$910,2,FALSE),"  ")</f>
        <v>CONECTOR FOTOVOLTAICO MACHO M4 NEGRO</v>
      </c>
      <c r="O273" s="30" t="str">
        <f>IFERROR(VLOOKUP(M273,'LISTA ITEMS (2)'!$E$2:$G$910,3,FALSE)," ")</f>
        <v>UND</v>
      </c>
      <c r="P273" s="176">
        <v>10</v>
      </c>
      <c r="Q273" s="181"/>
      <c r="R273" s="17"/>
      <c r="S273" s="156"/>
    </row>
    <row r="274" spans="1:19" ht="24" x14ac:dyDescent="0.3">
      <c r="A274" s="27">
        <v>272</v>
      </c>
      <c r="B274" s="122">
        <v>17</v>
      </c>
      <c r="C274" s="94">
        <v>17</v>
      </c>
      <c r="D274" s="246"/>
      <c r="E274" s="246"/>
      <c r="F274" s="193" t="s">
        <v>693</v>
      </c>
      <c r="G274" s="20" t="s">
        <v>477</v>
      </c>
      <c r="H274" s="193" t="s">
        <v>798</v>
      </c>
      <c r="I274" s="28">
        <v>46070</v>
      </c>
      <c r="J274" s="16">
        <v>16</v>
      </c>
      <c r="K274" s="16">
        <v>45</v>
      </c>
      <c r="L274" s="16">
        <v>294</v>
      </c>
      <c r="M274" s="247" t="str">
        <f t="shared" si="6"/>
        <v>16-45-294</v>
      </c>
      <c r="N274" s="17" t="str">
        <f>IFERROR(VLOOKUP(M274,'LISTA ITEMS (2)'!$E$2:$G$910,2,FALSE),"  ")</f>
        <v>CAJA DE ESTANCA 133X180X80 EV161 (IDE)</v>
      </c>
      <c r="O274" s="30" t="str">
        <f>IFERROR(VLOOKUP(M274,'LISTA ITEMS (2)'!$E$2:$G$910,3,FALSE)," ")</f>
        <v>UND</v>
      </c>
      <c r="P274" s="176">
        <v>1</v>
      </c>
      <c r="Q274" s="181"/>
      <c r="R274" s="17"/>
      <c r="S274" s="156">
        <v>1</v>
      </c>
    </row>
    <row r="275" spans="1:19" ht="24" x14ac:dyDescent="0.3">
      <c r="A275" s="27">
        <v>273</v>
      </c>
      <c r="B275" s="122">
        <v>17</v>
      </c>
      <c r="C275" s="94">
        <v>17</v>
      </c>
      <c r="D275" s="246"/>
      <c r="E275" s="246"/>
      <c r="F275" s="193" t="s">
        <v>693</v>
      </c>
      <c r="G275" s="20" t="s">
        <v>477</v>
      </c>
      <c r="H275" s="193" t="s">
        <v>798</v>
      </c>
      <c r="I275" s="28">
        <v>46070</v>
      </c>
      <c r="J275" s="16">
        <v>10</v>
      </c>
      <c r="K275" s="16">
        <v>43</v>
      </c>
      <c r="L275" s="16">
        <v>270</v>
      </c>
      <c r="M275" s="247" t="str">
        <f t="shared" si="6"/>
        <v>10-43-270</v>
      </c>
      <c r="N275" s="17" t="str">
        <f>IFERROR(VLOOKUP(M275,'LISTA ITEMS (2)'!$E$2:$G$910,2,FALSE),"  ")</f>
        <v>EMPALME ALUMINIO P/BARRA</v>
      </c>
      <c r="O275" s="30" t="str">
        <f>IFERROR(VLOOKUP(M275,'LISTA ITEMS (2)'!$E$2:$G$910,3,FALSE)," ")</f>
        <v>UND</v>
      </c>
      <c r="P275" s="176">
        <v>6</v>
      </c>
      <c r="Q275" s="181"/>
      <c r="R275" s="17"/>
      <c r="S275" s="156">
        <v>4</v>
      </c>
    </row>
    <row r="276" spans="1:19" ht="24" x14ac:dyDescent="0.3">
      <c r="A276" s="27">
        <v>274</v>
      </c>
      <c r="B276" s="122">
        <v>17</v>
      </c>
      <c r="C276" s="94">
        <v>17</v>
      </c>
      <c r="D276" s="246"/>
      <c r="E276" s="246"/>
      <c r="F276" s="193" t="s">
        <v>693</v>
      </c>
      <c r="G276" s="20" t="s">
        <v>477</v>
      </c>
      <c r="H276" s="193" t="s">
        <v>798</v>
      </c>
      <c r="I276" s="28">
        <v>46070</v>
      </c>
      <c r="J276" s="16">
        <v>6</v>
      </c>
      <c r="K276" s="16">
        <v>23</v>
      </c>
      <c r="L276" s="16">
        <v>192</v>
      </c>
      <c r="M276" s="247" t="str">
        <f t="shared" si="6"/>
        <v>6-23-192</v>
      </c>
      <c r="N276" s="17" t="str">
        <f>IFERROR(VLOOKUP(M276,'LISTA ITEMS (2)'!$E$2:$G$910,2,FALSE),"  ")</f>
        <v xml:space="preserve">CINTA ACERO PERFORADA PARA MONTAJE </v>
      </c>
      <c r="O276" s="30" t="str">
        <f>IFERROR(VLOOKUP(M276,'LISTA ITEMS (2)'!$E$2:$G$910,3,FALSE)," ")</f>
        <v>UND</v>
      </c>
      <c r="P276" s="176">
        <v>1</v>
      </c>
      <c r="Q276" s="181"/>
      <c r="R276" s="17"/>
      <c r="S276" s="156">
        <v>1</v>
      </c>
    </row>
    <row r="277" spans="1:19" ht="24" x14ac:dyDescent="0.3">
      <c r="A277" s="27">
        <v>275</v>
      </c>
      <c r="B277" s="122">
        <v>17</v>
      </c>
      <c r="C277" s="94">
        <v>17</v>
      </c>
      <c r="D277" s="246"/>
      <c r="E277" s="246"/>
      <c r="F277" s="193" t="s">
        <v>693</v>
      </c>
      <c r="G277" s="20" t="s">
        <v>477</v>
      </c>
      <c r="H277" s="193" t="s">
        <v>798</v>
      </c>
      <c r="I277" s="28">
        <v>46070</v>
      </c>
      <c r="J277" s="16">
        <v>13</v>
      </c>
      <c r="K277" s="16">
        <v>22</v>
      </c>
      <c r="L277" s="16">
        <v>184</v>
      </c>
      <c r="M277" s="247" t="str">
        <f t="shared" si="6"/>
        <v>13-22-184</v>
      </c>
      <c r="N277" s="17" t="str">
        <f>IFERROR(VLOOKUP(M277,'LISTA ITEMS (2)'!$E$2:$G$910,2,FALSE),"  ")</f>
        <v>BRIDA P/EXTERIOR NEGRA</v>
      </c>
      <c r="O277" s="30" t="str">
        <f>IFERROR(VLOOKUP(M277,'LISTA ITEMS (2)'!$E$2:$G$910,3,FALSE)," ")</f>
        <v>UND</v>
      </c>
      <c r="P277" s="176">
        <v>200</v>
      </c>
      <c r="Q277" s="181"/>
      <c r="R277" s="17"/>
      <c r="S277" s="156">
        <v>100</v>
      </c>
    </row>
    <row r="278" spans="1:19" ht="24" x14ac:dyDescent="0.3">
      <c r="A278" s="27">
        <v>276</v>
      </c>
      <c r="B278" s="122">
        <v>17</v>
      </c>
      <c r="C278" s="94">
        <v>17</v>
      </c>
      <c r="D278" s="246"/>
      <c r="E278" s="246"/>
      <c r="F278" s="193" t="s">
        <v>693</v>
      </c>
      <c r="G278" s="20" t="s">
        <v>477</v>
      </c>
      <c r="H278" s="193" t="s">
        <v>798</v>
      </c>
      <c r="I278" s="28">
        <v>46070</v>
      </c>
      <c r="J278" s="16">
        <v>13</v>
      </c>
      <c r="K278" s="16">
        <v>21</v>
      </c>
      <c r="L278" s="16">
        <v>181</v>
      </c>
      <c r="M278" s="247" t="str">
        <f t="shared" si="6"/>
        <v>13-21-181</v>
      </c>
      <c r="N278" s="17" t="str">
        <f>IFERROR(VLOOKUP(M278,'LISTA ITEMS (2)'!$E$2:$G$910,2,FALSE),"  ")</f>
        <v>TACO P/BRIDA NEGRO</v>
      </c>
      <c r="O278" s="30" t="str">
        <f>IFERROR(VLOOKUP(M278,'LISTA ITEMS (2)'!$E$2:$G$910,3,FALSE)," ")</f>
        <v>UND</v>
      </c>
      <c r="P278" s="176">
        <v>100</v>
      </c>
      <c r="Q278" s="181"/>
      <c r="R278" s="17"/>
      <c r="S278" s="156">
        <v>100</v>
      </c>
    </row>
    <row r="279" spans="1:19" ht="24" x14ac:dyDescent="0.3">
      <c r="A279" s="27">
        <v>277</v>
      </c>
      <c r="B279" s="122">
        <v>17</v>
      </c>
      <c r="C279" s="94">
        <v>17</v>
      </c>
      <c r="D279" s="246"/>
      <c r="E279" s="246"/>
      <c r="F279" s="193" t="s">
        <v>693</v>
      </c>
      <c r="G279" s="20" t="s">
        <v>477</v>
      </c>
      <c r="H279" s="193" t="s">
        <v>798</v>
      </c>
      <c r="I279" s="28">
        <v>46070</v>
      </c>
      <c r="J279" s="16">
        <v>13</v>
      </c>
      <c r="K279" s="16">
        <v>23</v>
      </c>
      <c r="L279" s="16">
        <v>190</v>
      </c>
      <c r="M279" s="247" t="str">
        <f t="shared" si="6"/>
        <v>13-23-190</v>
      </c>
      <c r="N279" s="17" t="str">
        <f>IFERROR(VLOOKUP(M279,'LISTA ITEMS (2)'!$E$2:$G$910,2,FALSE),"  ")</f>
        <v>CINTA BLANCA AISLANTE PVC 19MM</v>
      </c>
      <c r="O279" s="30" t="str">
        <f>IFERROR(VLOOKUP(M279,'LISTA ITEMS (2)'!$E$2:$G$910,3,FALSE)," ")</f>
        <v>UND</v>
      </c>
      <c r="P279" s="176">
        <v>1</v>
      </c>
      <c r="Q279" s="181"/>
      <c r="R279" s="17"/>
      <c r="S279" s="156"/>
    </row>
    <row r="280" spans="1:19" ht="24" x14ac:dyDescent="0.3">
      <c r="A280" s="27">
        <v>278</v>
      </c>
      <c r="B280" s="122">
        <v>17</v>
      </c>
      <c r="C280" s="94">
        <v>17</v>
      </c>
      <c r="D280" s="246"/>
      <c r="E280" s="246"/>
      <c r="F280" s="193" t="s">
        <v>693</v>
      </c>
      <c r="G280" s="20" t="s">
        <v>477</v>
      </c>
      <c r="H280" s="193" t="s">
        <v>798</v>
      </c>
      <c r="I280" s="28">
        <v>46070</v>
      </c>
      <c r="J280" s="16">
        <v>10</v>
      </c>
      <c r="K280" s="16">
        <v>37</v>
      </c>
      <c r="L280" s="16">
        <v>330</v>
      </c>
      <c r="M280" s="247" t="str">
        <f t="shared" si="6"/>
        <v>10-37-330</v>
      </c>
      <c r="N280" s="17" t="str">
        <f>IFERROR(VLOOKUP(M280,'LISTA ITEMS (2)'!$E$2:$G$910,2,FALSE),"  ")</f>
        <v>SOPORTE EN L ALUMINIO GRIS</v>
      </c>
      <c r="O280" s="30" t="str">
        <f>IFERROR(VLOOKUP(M280,'LISTA ITEMS (2)'!$E$2:$G$910,3,FALSE)," ")</f>
        <v>UND</v>
      </c>
      <c r="P280" s="176">
        <v>40</v>
      </c>
      <c r="Q280" s="181"/>
      <c r="R280" s="17"/>
      <c r="S280" s="156">
        <v>18</v>
      </c>
    </row>
    <row r="281" spans="1:19" ht="24" x14ac:dyDescent="0.3">
      <c r="A281" s="27">
        <v>279</v>
      </c>
      <c r="B281" s="122">
        <v>17</v>
      </c>
      <c r="C281" s="94">
        <v>17</v>
      </c>
      <c r="D281" s="246"/>
      <c r="E281" s="246"/>
      <c r="F281" s="193" t="s">
        <v>693</v>
      </c>
      <c r="G281" s="20" t="s">
        <v>477</v>
      </c>
      <c r="H281" s="193" t="s">
        <v>798</v>
      </c>
      <c r="I281" s="28">
        <v>46070</v>
      </c>
      <c r="J281" s="16">
        <v>10</v>
      </c>
      <c r="K281" s="16">
        <v>37</v>
      </c>
      <c r="L281" s="16">
        <v>232</v>
      </c>
      <c r="M281" s="247" t="str">
        <f t="shared" si="6"/>
        <v>10-37-232</v>
      </c>
      <c r="N281" s="17" t="str">
        <f>IFERROR(VLOOKUP(M281,'LISTA ITEMS (2)'!$E$2:$G$910,2,FALSE),"  ")</f>
        <v>SOPORTE CENTRAL NEGRO</v>
      </c>
      <c r="O281" s="30" t="str">
        <f>IFERROR(VLOOKUP(M281,'LISTA ITEMS (2)'!$E$2:$G$910,3,FALSE)," ")</f>
        <v>UND</v>
      </c>
      <c r="P281" s="176">
        <v>40</v>
      </c>
      <c r="Q281" s="181"/>
      <c r="R281" s="17"/>
      <c r="S281" s="156">
        <v>26</v>
      </c>
    </row>
    <row r="282" spans="1:19" ht="24" x14ac:dyDescent="0.3">
      <c r="A282" s="27">
        <v>280</v>
      </c>
      <c r="B282" s="122">
        <v>17</v>
      </c>
      <c r="C282" s="94">
        <v>17</v>
      </c>
      <c r="D282" s="246"/>
      <c r="E282" s="246"/>
      <c r="F282" s="193" t="s">
        <v>693</v>
      </c>
      <c r="G282" s="20" t="s">
        <v>477</v>
      </c>
      <c r="H282" s="193" t="s">
        <v>798</v>
      </c>
      <c r="I282" s="28">
        <v>46070</v>
      </c>
      <c r="J282" s="16">
        <v>10</v>
      </c>
      <c r="K282" s="16">
        <v>37</v>
      </c>
      <c r="L282" s="16">
        <v>315</v>
      </c>
      <c r="M282" s="247" t="str">
        <f t="shared" si="6"/>
        <v>10-37-315</v>
      </c>
      <c r="N282" s="17" t="str">
        <f>IFERROR(VLOOKUP(M282,'LISTA ITEMS (2)'!$E$2:$G$910,2,FALSE),"  ")</f>
        <v>SOPORTE FINAL NEGRO</v>
      </c>
      <c r="O282" s="30" t="str">
        <f>IFERROR(VLOOKUP(M282,'LISTA ITEMS (2)'!$E$2:$G$910,3,FALSE)," ")</f>
        <v>UND</v>
      </c>
      <c r="P282" s="176">
        <v>30</v>
      </c>
      <c r="Q282" s="181"/>
      <c r="R282" s="17"/>
      <c r="S282" s="156">
        <v>15</v>
      </c>
    </row>
    <row r="283" spans="1:19" ht="28.8" x14ac:dyDescent="0.3">
      <c r="A283" s="27">
        <v>281</v>
      </c>
      <c r="B283" s="122">
        <v>17</v>
      </c>
      <c r="C283" s="94">
        <v>17</v>
      </c>
      <c r="D283" s="246"/>
      <c r="E283" s="246"/>
      <c r="F283" s="193" t="s">
        <v>693</v>
      </c>
      <c r="G283" s="20" t="s">
        <v>477</v>
      </c>
      <c r="H283" s="193" t="s">
        <v>798</v>
      </c>
      <c r="I283" s="28">
        <v>46070</v>
      </c>
      <c r="J283" s="16">
        <v>10</v>
      </c>
      <c r="K283" s="16">
        <v>42</v>
      </c>
      <c r="L283" s="16">
        <v>268</v>
      </c>
      <c r="M283" s="247" t="str">
        <f t="shared" si="6"/>
        <v>10-42-268</v>
      </c>
      <c r="N283" s="17" t="str">
        <f>IFERROR(VLOOKUP(M283,'LISTA ITEMS (2)'!$E$2:$G$910,2,FALSE),"  ")</f>
        <v>PATA ALUMINIO PARA ESTRUCTURA PLACA SOLAR ANGULO 30º</v>
      </c>
      <c r="O283" s="30" t="str">
        <f>IFERROR(VLOOKUP(M283,'LISTA ITEMS (2)'!$E$2:$G$910,3,FALSE)," ")</f>
        <v>UND</v>
      </c>
      <c r="P283" s="176">
        <v>6</v>
      </c>
      <c r="Q283" s="181"/>
      <c r="R283" s="17"/>
      <c r="S283" s="156">
        <v>6</v>
      </c>
    </row>
    <row r="284" spans="1:19" ht="24" x14ac:dyDescent="0.3">
      <c r="A284" s="27">
        <v>282</v>
      </c>
      <c r="B284" s="122">
        <v>17</v>
      </c>
      <c r="C284" s="94">
        <v>17</v>
      </c>
      <c r="D284" s="246"/>
      <c r="E284" s="246"/>
      <c r="F284" s="193" t="s">
        <v>693</v>
      </c>
      <c r="G284" s="20" t="s">
        <v>477</v>
      </c>
      <c r="H284" s="193" t="s">
        <v>798</v>
      </c>
      <c r="I284" s="28">
        <v>46070</v>
      </c>
      <c r="J284" s="16">
        <v>17</v>
      </c>
      <c r="K284" s="16">
        <v>44</v>
      </c>
      <c r="L284" s="16">
        <v>271</v>
      </c>
      <c r="M284" s="247" t="str">
        <f t="shared" si="6"/>
        <v>17-44-271</v>
      </c>
      <c r="N284" s="17" t="str">
        <f>IFERROR(VLOOKUP(M284,'LISTA ITEMS (2)'!$E$2:$G$910,2,FALSE),"  ")</f>
        <v>SELLANTE QUIMICO BLANCO</v>
      </c>
      <c r="O284" s="30" t="str">
        <f>IFERROR(VLOOKUP(M284,'LISTA ITEMS (2)'!$E$2:$G$910,3,FALSE)," ")</f>
        <v>UND</v>
      </c>
      <c r="P284" s="176">
        <v>1</v>
      </c>
      <c r="Q284" s="181"/>
      <c r="R284" s="17"/>
      <c r="S284" s="156"/>
    </row>
    <row r="285" spans="1:19" ht="24" x14ac:dyDescent="0.3">
      <c r="A285" s="27">
        <v>283</v>
      </c>
      <c r="B285" s="122">
        <v>17</v>
      </c>
      <c r="C285" s="94">
        <v>17</v>
      </c>
      <c r="D285" s="246"/>
      <c r="E285" s="246"/>
      <c r="F285" s="193" t="s">
        <v>693</v>
      </c>
      <c r="G285" s="20" t="s">
        <v>477</v>
      </c>
      <c r="H285" s="193" t="s">
        <v>798</v>
      </c>
      <c r="I285" s="28">
        <v>46070</v>
      </c>
      <c r="J285" s="16">
        <v>17</v>
      </c>
      <c r="K285" s="16">
        <v>44</v>
      </c>
      <c r="L285" s="16">
        <v>272</v>
      </c>
      <c r="M285" s="247" t="str">
        <f t="shared" si="6"/>
        <v>17-44-272</v>
      </c>
      <c r="N285" s="17" t="str">
        <f>IFERROR(VLOOKUP(M285,'LISTA ITEMS (2)'!$E$2:$G$910,2,FALSE),"  ")</f>
        <v>SELLANTE QUIMICO GRIS</v>
      </c>
      <c r="O285" s="30" t="str">
        <f>IFERROR(VLOOKUP(M285,'LISTA ITEMS (2)'!$E$2:$G$910,3,FALSE)," ")</f>
        <v>UND</v>
      </c>
      <c r="P285" s="176">
        <v>2</v>
      </c>
      <c r="Q285" s="181"/>
      <c r="R285" s="17"/>
      <c r="S285" s="156">
        <v>2</v>
      </c>
    </row>
    <row r="286" spans="1:19" ht="28.8" x14ac:dyDescent="0.3">
      <c r="A286" s="27">
        <v>284</v>
      </c>
      <c r="B286" s="122">
        <v>17</v>
      </c>
      <c r="C286" s="94">
        <v>17</v>
      </c>
      <c r="D286" s="246"/>
      <c r="E286" s="246"/>
      <c r="F286" s="193" t="s">
        <v>693</v>
      </c>
      <c r="G286" s="20" t="s">
        <v>477</v>
      </c>
      <c r="H286" s="193" t="s">
        <v>798</v>
      </c>
      <c r="I286" s="28">
        <v>46070</v>
      </c>
      <c r="J286" s="16">
        <v>16</v>
      </c>
      <c r="K286" s="16">
        <v>45</v>
      </c>
      <c r="L286" s="16">
        <v>276</v>
      </c>
      <c r="M286" s="247" t="str">
        <f t="shared" si="6"/>
        <v>16-45-276</v>
      </c>
      <c r="N286" s="17" t="str">
        <f>IFERROR(VLOOKUP(M286,'LISTA ITEMS (2)'!$E$2:$G$910,2,FALSE),"  ")</f>
        <v>CAJA ESTANCA (COCHERA) EXTERIOR 18PT (IDE)</v>
      </c>
      <c r="O286" s="30" t="str">
        <f>IFERROR(VLOOKUP(M286,'LISTA ITEMS (2)'!$E$2:$G$910,3,FALSE)," ")</f>
        <v>UND</v>
      </c>
      <c r="P286" s="176">
        <v>1</v>
      </c>
      <c r="Q286" s="181"/>
      <c r="R286" s="17"/>
      <c r="S286" s="156"/>
    </row>
    <row r="287" spans="1:19" ht="28.8" x14ac:dyDescent="0.3">
      <c r="A287" s="27">
        <v>285</v>
      </c>
      <c r="B287" s="122">
        <v>17</v>
      </c>
      <c r="C287" s="94">
        <v>17</v>
      </c>
      <c r="D287" s="246"/>
      <c r="E287" s="246"/>
      <c r="F287" s="193" t="s">
        <v>693</v>
      </c>
      <c r="G287" s="20" t="s">
        <v>477</v>
      </c>
      <c r="H287" s="193" t="s">
        <v>798</v>
      </c>
      <c r="I287" s="28">
        <v>46070</v>
      </c>
      <c r="J287" s="16">
        <v>16</v>
      </c>
      <c r="K287" s="16">
        <v>49</v>
      </c>
      <c r="L287" s="16">
        <v>288</v>
      </c>
      <c r="M287" s="247" t="str">
        <f t="shared" si="6"/>
        <v>16-49-288</v>
      </c>
      <c r="N287" s="17" t="str">
        <f>IFERROR(VLOOKUP(M287,'LISTA ITEMS (2)'!$E$2:$G$910,2,FALSE),"  ")</f>
        <v>CONTACTOR MODULAR EPC1-6322-P7 (MAXGE)</v>
      </c>
      <c r="O287" s="30" t="str">
        <f>IFERROR(VLOOKUP(M287,'LISTA ITEMS (2)'!$E$2:$G$910,3,FALSE)," ")</f>
        <v>UND</v>
      </c>
      <c r="P287" s="176">
        <v>1</v>
      </c>
      <c r="Q287" s="181"/>
      <c r="R287" s="17"/>
      <c r="S287" s="156"/>
    </row>
    <row r="288" spans="1:19" ht="28.8" x14ac:dyDescent="0.3">
      <c r="A288" s="27">
        <v>286</v>
      </c>
      <c r="B288" s="122">
        <v>17</v>
      </c>
      <c r="C288" s="94">
        <v>17</v>
      </c>
      <c r="D288" s="246"/>
      <c r="E288" s="246"/>
      <c r="F288" s="193" t="s">
        <v>693</v>
      </c>
      <c r="G288" s="20" t="s">
        <v>477</v>
      </c>
      <c r="H288" s="193" t="s">
        <v>798</v>
      </c>
      <c r="I288" s="28">
        <v>46070</v>
      </c>
      <c r="J288" s="16">
        <v>16</v>
      </c>
      <c r="K288" s="16">
        <v>47</v>
      </c>
      <c r="L288" s="16">
        <v>318</v>
      </c>
      <c r="M288" s="247" t="str">
        <f t="shared" si="6"/>
        <v>16-47-318</v>
      </c>
      <c r="N288" s="17" t="str">
        <f>IFERROR(VLOOKUP(M288,'LISTA ITEMS (2)'!$E$2:$G$910,2,FALSE),"  ")</f>
        <v>DIFERENCIAL EPR2A040030 2P-40A-30mA (MAXGE)</v>
      </c>
      <c r="O288" s="30" t="str">
        <f>IFERROR(VLOOKUP(M288,'LISTA ITEMS (2)'!$E$2:$G$910,3,FALSE)," ")</f>
        <v>UND</v>
      </c>
      <c r="P288" s="176">
        <v>1</v>
      </c>
      <c r="Q288" s="181"/>
      <c r="R288" s="17"/>
      <c r="S288" s="156">
        <v>1</v>
      </c>
    </row>
    <row r="289" spans="1:19" ht="28.8" x14ac:dyDescent="0.3">
      <c r="A289" s="27">
        <v>287</v>
      </c>
      <c r="B289" s="122">
        <v>17</v>
      </c>
      <c r="C289" s="94">
        <v>17</v>
      </c>
      <c r="D289" s="246"/>
      <c r="E289" s="246"/>
      <c r="F289" s="193" t="s">
        <v>693</v>
      </c>
      <c r="G289" s="20" t="s">
        <v>477</v>
      </c>
      <c r="H289" s="193" t="s">
        <v>798</v>
      </c>
      <c r="I289" s="28">
        <v>46070</v>
      </c>
      <c r="J289" s="16">
        <v>16</v>
      </c>
      <c r="K289" s="16">
        <v>52</v>
      </c>
      <c r="L289" s="16">
        <v>292</v>
      </c>
      <c r="M289" s="247" t="str">
        <f t="shared" si="6"/>
        <v>16-52-292</v>
      </c>
      <c r="N289" s="17" t="str">
        <f>IFERROR(VLOOKUP(M289,'LISTA ITEMS (2)'!$E$2:$G$910,2,FALSE),"  ")</f>
        <v>TERMICO EPBE63M1NC63M1NC40 1P+N C40 (MAXGE)</v>
      </c>
      <c r="O289" s="30" t="str">
        <f>IFERROR(VLOOKUP(M289,'LISTA ITEMS (2)'!$E$2:$G$910,3,FALSE)," ")</f>
        <v>UND</v>
      </c>
      <c r="P289" s="176">
        <v>1</v>
      </c>
      <c r="Q289" s="181"/>
      <c r="R289" s="17"/>
      <c r="S289" s="156">
        <v>1</v>
      </c>
    </row>
    <row r="290" spans="1:19" ht="28.8" x14ac:dyDescent="0.3">
      <c r="A290" s="27">
        <v>288</v>
      </c>
      <c r="B290" s="122">
        <v>17</v>
      </c>
      <c r="C290" s="94">
        <v>17</v>
      </c>
      <c r="D290" s="246"/>
      <c r="E290" s="246"/>
      <c r="F290" s="193" t="s">
        <v>693</v>
      </c>
      <c r="G290" s="20" t="s">
        <v>477</v>
      </c>
      <c r="H290" s="193" t="s">
        <v>798</v>
      </c>
      <c r="I290" s="28">
        <v>46070</v>
      </c>
      <c r="J290" s="16">
        <v>16</v>
      </c>
      <c r="K290" s="16">
        <v>52</v>
      </c>
      <c r="L290" s="16">
        <v>293</v>
      </c>
      <c r="M290" s="247" t="str">
        <f t="shared" si="6"/>
        <v>16-52-293</v>
      </c>
      <c r="N290" s="17" t="str">
        <f>IFERROR(VLOOKUP(M290,'LISTA ITEMS (2)'!$E$2:$G$910,2,FALSE),"  ")</f>
        <v>TERMICO EPBE63M1NC63M1NC32 1P+N C32 (MAXGE)</v>
      </c>
      <c r="O290" s="30" t="str">
        <f>IFERROR(VLOOKUP(M290,'LISTA ITEMS (2)'!$E$2:$G$910,3,FALSE)," ")</f>
        <v>UND</v>
      </c>
      <c r="P290" s="176">
        <v>1</v>
      </c>
      <c r="Q290" s="181"/>
      <c r="R290" s="17"/>
      <c r="S290" s="156"/>
    </row>
    <row r="291" spans="1:19" ht="24" x14ac:dyDescent="0.3">
      <c r="A291" s="27">
        <v>289</v>
      </c>
      <c r="B291" s="122">
        <v>17</v>
      </c>
      <c r="C291" s="94">
        <v>17</v>
      </c>
      <c r="D291" s="246"/>
      <c r="E291" s="246"/>
      <c r="F291" s="193" t="s">
        <v>693</v>
      </c>
      <c r="G291" s="20" t="s">
        <v>477</v>
      </c>
      <c r="H291" s="193" t="s">
        <v>798</v>
      </c>
      <c r="I291" s="28">
        <v>46070</v>
      </c>
      <c r="J291" s="16">
        <v>16</v>
      </c>
      <c r="K291" s="16">
        <v>48</v>
      </c>
      <c r="L291" s="16">
        <v>281</v>
      </c>
      <c r="M291" s="247" t="str">
        <f t="shared" si="6"/>
        <v>16-48-281</v>
      </c>
      <c r="N291" s="17" t="str">
        <f>IFERROR(VLOOKUP(M291,'LISTA ITEMS (2)'!$E$2:$G$910,2,FALSE),"  ")</f>
        <v>PORTA FUSIBLE SGF-32-DC (MAXGE)</v>
      </c>
      <c r="O291" s="30" t="str">
        <f>IFERROR(VLOOKUP(M291,'LISTA ITEMS (2)'!$E$2:$G$910,3,FALSE)," ")</f>
        <v>UND</v>
      </c>
      <c r="P291" s="176">
        <v>2</v>
      </c>
      <c r="Q291" s="181"/>
      <c r="R291" s="17"/>
      <c r="S291" s="156">
        <v>2</v>
      </c>
    </row>
    <row r="292" spans="1:19" ht="24" x14ac:dyDescent="0.3">
      <c r="A292" s="27">
        <v>290</v>
      </c>
      <c r="B292" s="122">
        <v>17</v>
      </c>
      <c r="C292" s="94">
        <v>17</v>
      </c>
      <c r="D292" s="246"/>
      <c r="E292" s="246"/>
      <c r="F292" s="193" t="s">
        <v>693</v>
      </c>
      <c r="G292" s="20" t="s">
        <v>477</v>
      </c>
      <c r="H292" s="193" t="s">
        <v>798</v>
      </c>
      <c r="I292" s="28">
        <v>46070</v>
      </c>
      <c r="J292" s="16">
        <v>16</v>
      </c>
      <c r="K292" s="16">
        <v>50</v>
      </c>
      <c r="L292" s="16">
        <v>314</v>
      </c>
      <c r="M292" s="247" t="str">
        <f t="shared" si="6"/>
        <v>16-50-314</v>
      </c>
      <c r="N292" s="17" t="str">
        <f>IFERROR(VLOOKUP(M292,'LISTA ITEMS (2)'!$E$2:$G$910,2,FALSE),"  ")</f>
        <v>FUSIBLE MG10PV32A (MAXGE)</v>
      </c>
      <c r="O292" s="30" t="str">
        <f>IFERROR(VLOOKUP(M292,'LISTA ITEMS (2)'!$E$2:$G$910,3,FALSE)," ")</f>
        <v>UND</v>
      </c>
      <c r="P292" s="176">
        <v>2</v>
      </c>
      <c r="Q292" s="181"/>
      <c r="R292" s="17"/>
      <c r="S292" s="156">
        <v>2</v>
      </c>
    </row>
    <row r="293" spans="1:19" ht="28.8" x14ac:dyDescent="0.3">
      <c r="A293" s="27">
        <v>291</v>
      </c>
      <c r="B293" s="122">
        <v>17</v>
      </c>
      <c r="C293" s="94">
        <v>17</v>
      </c>
      <c r="D293" s="246"/>
      <c r="E293" s="246"/>
      <c r="F293" s="193" t="s">
        <v>693</v>
      </c>
      <c r="G293" s="20" t="s">
        <v>477</v>
      </c>
      <c r="H293" s="193" t="s">
        <v>798</v>
      </c>
      <c r="I293" s="28">
        <v>46070</v>
      </c>
      <c r="J293" s="16">
        <v>16</v>
      </c>
      <c r="K293" s="16">
        <v>51</v>
      </c>
      <c r="L293" s="16">
        <v>309</v>
      </c>
      <c r="M293" s="247" t="str">
        <f t="shared" si="6"/>
        <v>16-51-309</v>
      </c>
      <c r="N293" s="17" t="str">
        <f>IFERROR(VLOOKUP(M293,'LISTA ITEMS (2)'!$E$2:$G$910,2,FALSE),"  ")</f>
        <v>LIMITADOR MONOFASICO EPS1 C/2 - 275-40 (MAXGE)</v>
      </c>
      <c r="O293" s="30" t="str">
        <f>IFERROR(VLOOKUP(M293,'LISTA ITEMS (2)'!$E$2:$G$910,3,FALSE)," ")</f>
        <v>UND</v>
      </c>
      <c r="P293" s="176">
        <v>1</v>
      </c>
      <c r="Q293" s="181"/>
      <c r="R293" s="17"/>
      <c r="S293" s="156"/>
    </row>
    <row r="294" spans="1:19" ht="24" x14ac:dyDescent="0.3">
      <c r="A294" s="27">
        <v>292</v>
      </c>
      <c r="B294" s="122">
        <v>17</v>
      </c>
      <c r="C294" s="94">
        <v>17</v>
      </c>
      <c r="D294" s="246"/>
      <c r="E294" s="246"/>
      <c r="F294" s="193" t="s">
        <v>693</v>
      </c>
      <c r="G294" s="20" t="s">
        <v>477</v>
      </c>
      <c r="H294" s="193" t="s">
        <v>798</v>
      </c>
      <c r="I294" s="28">
        <v>46070</v>
      </c>
      <c r="J294" s="16">
        <v>9</v>
      </c>
      <c r="K294" s="16">
        <v>32</v>
      </c>
      <c r="L294" s="16">
        <v>224</v>
      </c>
      <c r="M294" s="247" t="str">
        <f t="shared" si="6"/>
        <v>9-32-224</v>
      </c>
      <c r="N294" s="17" t="str">
        <f>IFERROR(VLOOKUP(M294,'LISTA ITEMS (2)'!$E$2:$G$910,2,FALSE),"  ")</f>
        <v>CURVA PVC M-25 GRIS TIPO B</v>
      </c>
      <c r="O294" s="30" t="str">
        <f>IFERROR(VLOOKUP(M294,'LISTA ITEMS (2)'!$E$2:$G$910,3,FALSE)," ")</f>
        <v>UND</v>
      </c>
      <c r="P294" s="176">
        <v>30</v>
      </c>
      <c r="Q294" s="181"/>
      <c r="R294" s="17"/>
      <c r="S294" s="156">
        <v>1</v>
      </c>
    </row>
    <row r="295" spans="1:19" ht="24" x14ac:dyDescent="0.3">
      <c r="A295" s="27">
        <v>293</v>
      </c>
      <c r="B295" s="122">
        <v>17</v>
      </c>
      <c r="C295" s="94">
        <v>17</v>
      </c>
      <c r="D295" s="246"/>
      <c r="E295" s="246"/>
      <c r="F295" s="193" t="s">
        <v>693</v>
      </c>
      <c r="G295" s="20" t="s">
        <v>477</v>
      </c>
      <c r="H295" s="193" t="s">
        <v>798</v>
      </c>
      <c r="I295" s="28">
        <v>46070</v>
      </c>
      <c r="J295" s="16">
        <v>3</v>
      </c>
      <c r="K295" s="16">
        <v>31</v>
      </c>
      <c r="L295" s="16">
        <v>277</v>
      </c>
      <c r="M295" s="247" t="str">
        <f t="shared" si="6"/>
        <v>3-31-277</v>
      </c>
      <c r="N295" s="17" t="str">
        <f>IFERROR(VLOOKUP(M295,'LISTA ITEMS (2)'!$E$2:$G$910,2,FALSE),"  ")</f>
        <v>CABLE Nª 6 P/PLACA SOLAR NEGRO</v>
      </c>
      <c r="O295" s="30" t="str">
        <f>IFERROR(VLOOKUP(M295,'LISTA ITEMS (2)'!$E$2:$G$910,3,FALSE)," ")</f>
        <v>MT</v>
      </c>
      <c r="P295" s="176">
        <v>40</v>
      </c>
      <c r="Q295" s="181"/>
      <c r="R295" s="17"/>
      <c r="S295" s="156"/>
    </row>
    <row r="296" spans="1:19" ht="24" x14ac:dyDescent="0.3">
      <c r="A296" s="27">
        <v>294</v>
      </c>
      <c r="B296" s="122">
        <v>17</v>
      </c>
      <c r="C296" s="94">
        <v>17</v>
      </c>
      <c r="D296" s="246"/>
      <c r="E296" s="246"/>
      <c r="F296" s="193" t="s">
        <v>693</v>
      </c>
      <c r="G296" s="20" t="s">
        <v>477</v>
      </c>
      <c r="H296" s="193" t="s">
        <v>798</v>
      </c>
      <c r="I296" s="28">
        <v>46070</v>
      </c>
      <c r="J296" s="16">
        <v>9</v>
      </c>
      <c r="K296" s="16">
        <v>2</v>
      </c>
      <c r="L296" s="16">
        <v>291</v>
      </c>
      <c r="M296" s="247" t="str">
        <f t="shared" si="6"/>
        <v>9-2-291</v>
      </c>
      <c r="N296" s="17" t="str">
        <f>IFERROR(VLOOKUP(M296,'LISTA ITEMS (2)'!$E$2:$G$910,2,FALSE),"  ")</f>
        <v>TUBO ELECTRICO PVC 25mm - 3mt(AISCAN)</v>
      </c>
      <c r="O296" s="30" t="str">
        <f>IFERROR(VLOOKUP(M296,'LISTA ITEMS (2)'!$E$2:$G$910,3,FALSE)," ")</f>
        <v>UND</v>
      </c>
      <c r="P296" s="176">
        <v>20</v>
      </c>
      <c r="Q296" s="181"/>
      <c r="R296" s="17"/>
      <c r="S296" s="156">
        <v>13</v>
      </c>
    </row>
    <row r="297" spans="1:19" ht="24" x14ac:dyDescent="0.3">
      <c r="A297" s="27">
        <v>295</v>
      </c>
      <c r="B297" s="122">
        <v>17</v>
      </c>
      <c r="C297" s="94">
        <v>17</v>
      </c>
      <c r="D297" s="246"/>
      <c r="E297" s="246"/>
      <c r="F297" s="193" t="s">
        <v>693</v>
      </c>
      <c r="G297" s="20" t="s">
        <v>477</v>
      </c>
      <c r="H297" s="193" t="s">
        <v>798</v>
      </c>
      <c r="I297" s="28">
        <v>46070</v>
      </c>
      <c r="J297" s="16">
        <v>3</v>
      </c>
      <c r="K297" s="16">
        <v>31</v>
      </c>
      <c r="L297" s="16">
        <v>278</v>
      </c>
      <c r="M297" s="247" t="str">
        <f t="shared" si="6"/>
        <v>3-31-278</v>
      </c>
      <c r="N297" s="17" t="str">
        <f>IFERROR(VLOOKUP(M297,'LISTA ITEMS (2)'!$E$2:$G$910,2,FALSE),"  ")</f>
        <v>CABLE Nª 6 P/PLACA SOLAR ROJO</v>
      </c>
      <c r="O297" s="30" t="str">
        <f>IFERROR(VLOOKUP(M297,'LISTA ITEMS (2)'!$E$2:$G$910,3,FALSE)," ")</f>
        <v>MT</v>
      </c>
      <c r="P297" s="176">
        <v>40</v>
      </c>
      <c r="Q297" s="181"/>
      <c r="R297" s="17"/>
      <c r="S297" s="156"/>
    </row>
    <row r="298" spans="1:19" ht="18" x14ac:dyDescent="0.3">
      <c r="A298" s="27">
        <v>296</v>
      </c>
      <c r="B298" s="110">
        <v>18</v>
      </c>
      <c r="C298" s="111">
        <v>18</v>
      </c>
      <c r="D298" s="221"/>
      <c r="E298" s="221"/>
      <c r="F298" s="276" t="s">
        <v>769</v>
      </c>
      <c r="G298" s="113" t="s">
        <v>261</v>
      </c>
      <c r="H298" s="276" t="s">
        <v>770</v>
      </c>
      <c r="I298" s="114">
        <v>46070</v>
      </c>
      <c r="J298" s="115">
        <v>10</v>
      </c>
      <c r="K298" s="115">
        <v>43</v>
      </c>
      <c r="L298" s="115">
        <v>270</v>
      </c>
      <c r="M298" s="116" t="str">
        <f t="shared" si="6"/>
        <v>10-43-270</v>
      </c>
      <c r="N298" s="117" t="str">
        <f>IFERROR(VLOOKUP(M298,'LISTA ITEMS (2)'!$E$2:$G$910,2,FALSE),"  ")</f>
        <v>EMPALME ALUMINIO P/BARRA</v>
      </c>
      <c r="O298" s="118" t="str">
        <f>IFERROR(VLOOKUP(M298,'LISTA ITEMS (2)'!$E$2:$G$910,3,FALSE)," ")</f>
        <v>UND</v>
      </c>
      <c r="P298" s="173">
        <v>4</v>
      </c>
      <c r="Q298" s="112"/>
      <c r="R298" s="117"/>
      <c r="S298" s="156"/>
    </row>
    <row r="299" spans="1:19" ht="18" x14ac:dyDescent="0.3">
      <c r="A299" s="27">
        <v>297</v>
      </c>
      <c r="B299" s="110">
        <v>18</v>
      </c>
      <c r="C299" s="111">
        <v>18</v>
      </c>
      <c r="D299" s="221"/>
      <c r="E299" s="221"/>
      <c r="F299" s="276" t="s">
        <v>769</v>
      </c>
      <c r="G299" s="113" t="s">
        <v>261</v>
      </c>
      <c r="H299" s="276" t="s">
        <v>770</v>
      </c>
      <c r="I299" s="114">
        <v>46070</v>
      </c>
      <c r="J299" s="115">
        <v>17</v>
      </c>
      <c r="K299" s="115">
        <v>44</v>
      </c>
      <c r="L299" s="115">
        <v>271</v>
      </c>
      <c r="M299" s="116" t="str">
        <f t="shared" si="6"/>
        <v>17-44-271</v>
      </c>
      <c r="N299" s="117" t="str">
        <f>IFERROR(VLOOKUP(M299,'LISTA ITEMS (2)'!$E$2:$G$910,2,FALSE),"  ")</f>
        <v>SELLANTE QUIMICO BLANCO</v>
      </c>
      <c r="O299" s="118" t="str">
        <f>IFERROR(VLOOKUP(M299,'LISTA ITEMS (2)'!$E$2:$G$910,3,FALSE)," ")</f>
        <v>UND</v>
      </c>
      <c r="P299" s="173">
        <v>1</v>
      </c>
      <c r="Q299" s="112"/>
      <c r="R299" s="117"/>
      <c r="S299" s="156"/>
    </row>
    <row r="300" spans="1:19" ht="18" x14ac:dyDescent="0.3">
      <c r="A300" s="27">
        <v>298</v>
      </c>
      <c r="B300" s="110">
        <v>18</v>
      </c>
      <c r="C300" s="111">
        <v>18</v>
      </c>
      <c r="D300" s="221"/>
      <c r="E300" s="221"/>
      <c r="F300" s="276" t="s">
        <v>769</v>
      </c>
      <c r="G300" s="113" t="s">
        <v>261</v>
      </c>
      <c r="H300" s="276" t="s">
        <v>770</v>
      </c>
      <c r="I300" s="114">
        <v>46070</v>
      </c>
      <c r="J300" s="115">
        <v>17</v>
      </c>
      <c r="K300" s="115">
        <v>44</v>
      </c>
      <c r="L300" s="115">
        <v>272</v>
      </c>
      <c r="M300" s="116" t="str">
        <f t="shared" si="6"/>
        <v>17-44-272</v>
      </c>
      <c r="N300" s="117" t="str">
        <f>IFERROR(VLOOKUP(M300,'LISTA ITEMS (2)'!$E$2:$G$910,2,FALSE),"  ")</f>
        <v>SELLANTE QUIMICO GRIS</v>
      </c>
      <c r="O300" s="118" t="str">
        <f>IFERROR(VLOOKUP(M300,'LISTA ITEMS (2)'!$E$2:$G$910,3,FALSE)," ")</f>
        <v>UND</v>
      </c>
      <c r="P300" s="173">
        <v>1</v>
      </c>
      <c r="Q300" s="112"/>
      <c r="R300" s="117"/>
      <c r="S300" s="156"/>
    </row>
    <row r="301" spans="1:19" ht="18" x14ac:dyDescent="0.3">
      <c r="A301" s="27">
        <v>299</v>
      </c>
      <c r="B301" s="110">
        <v>18</v>
      </c>
      <c r="C301" s="111">
        <v>18</v>
      </c>
      <c r="D301" s="221"/>
      <c r="E301" s="221"/>
      <c r="F301" s="276" t="s">
        <v>769</v>
      </c>
      <c r="G301" s="113" t="s">
        <v>261</v>
      </c>
      <c r="H301" s="276" t="s">
        <v>770</v>
      </c>
      <c r="I301" s="114">
        <v>46070</v>
      </c>
      <c r="J301" s="115">
        <v>16</v>
      </c>
      <c r="K301" s="115">
        <v>45</v>
      </c>
      <c r="L301" s="115">
        <v>294</v>
      </c>
      <c r="M301" s="116" t="str">
        <f t="shared" si="6"/>
        <v>16-45-294</v>
      </c>
      <c r="N301" s="117" t="str">
        <f>IFERROR(VLOOKUP(M301,'LISTA ITEMS (2)'!$E$2:$G$910,2,FALSE),"  ")</f>
        <v>CAJA DE ESTANCA 133X180X80 EV161 (IDE)</v>
      </c>
      <c r="O301" s="118" t="str">
        <f>IFERROR(VLOOKUP(M301,'LISTA ITEMS (2)'!$E$2:$G$910,3,FALSE)," ")</f>
        <v>UND</v>
      </c>
      <c r="P301" s="173">
        <v>1</v>
      </c>
      <c r="Q301" s="112"/>
      <c r="R301" s="117"/>
      <c r="S301" s="156"/>
    </row>
    <row r="302" spans="1:19" ht="18" x14ac:dyDescent="0.3">
      <c r="A302" s="27">
        <v>300</v>
      </c>
      <c r="B302" s="110">
        <v>18</v>
      </c>
      <c r="C302" s="111">
        <v>18</v>
      </c>
      <c r="D302" s="221"/>
      <c r="E302" s="221"/>
      <c r="F302" s="276" t="s">
        <v>769</v>
      </c>
      <c r="G302" s="113" t="s">
        <v>261</v>
      </c>
      <c r="H302" s="276" t="s">
        <v>770</v>
      </c>
      <c r="I302" s="114">
        <v>46070</v>
      </c>
      <c r="J302" s="115">
        <v>10</v>
      </c>
      <c r="K302" s="115">
        <v>37</v>
      </c>
      <c r="L302" s="115">
        <v>232</v>
      </c>
      <c r="M302" s="116" t="str">
        <f t="shared" si="6"/>
        <v>10-37-232</v>
      </c>
      <c r="N302" s="117" t="str">
        <f>IFERROR(VLOOKUP(M302,'LISTA ITEMS (2)'!$E$2:$G$910,2,FALSE),"  ")</f>
        <v>SOPORTE CENTRAL NEGRO</v>
      </c>
      <c r="O302" s="118" t="str">
        <f>IFERROR(VLOOKUP(M302,'LISTA ITEMS (2)'!$E$2:$G$910,3,FALSE)," ")</f>
        <v>UND</v>
      </c>
      <c r="P302" s="173">
        <v>20</v>
      </c>
      <c r="Q302" s="112"/>
      <c r="R302" s="117"/>
      <c r="S302" s="156">
        <v>5</v>
      </c>
    </row>
    <row r="303" spans="1:19" ht="18" x14ac:dyDescent="0.3">
      <c r="A303" s="27">
        <v>301</v>
      </c>
      <c r="B303" s="110">
        <v>18</v>
      </c>
      <c r="C303" s="111">
        <v>18</v>
      </c>
      <c r="D303" s="221"/>
      <c r="E303" s="221"/>
      <c r="F303" s="276" t="s">
        <v>769</v>
      </c>
      <c r="G303" s="113" t="s">
        <v>261</v>
      </c>
      <c r="H303" s="276" t="s">
        <v>770</v>
      </c>
      <c r="I303" s="114">
        <v>46070</v>
      </c>
      <c r="J303" s="115">
        <v>10</v>
      </c>
      <c r="K303" s="115">
        <v>37</v>
      </c>
      <c r="L303" s="115">
        <v>315</v>
      </c>
      <c r="M303" s="116" t="str">
        <f t="shared" si="6"/>
        <v>10-37-315</v>
      </c>
      <c r="N303" s="117" t="str">
        <f>IFERROR(VLOOKUP(M303,'LISTA ITEMS (2)'!$E$2:$G$910,2,FALSE),"  ")</f>
        <v>SOPORTE FINAL NEGRO</v>
      </c>
      <c r="O303" s="118" t="str">
        <f>IFERROR(VLOOKUP(M303,'LISTA ITEMS (2)'!$E$2:$G$910,3,FALSE)," ")</f>
        <v>UND</v>
      </c>
      <c r="P303" s="173">
        <v>15</v>
      </c>
      <c r="Q303" s="112"/>
      <c r="R303" s="117"/>
      <c r="S303" s="156">
        <v>5</v>
      </c>
    </row>
    <row r="304" spans="1:19" ht="18" x14ac:dyDescent="0.3">
      <c r="A304" s="27">
        <v>302</v>
      </c>
      <c r="B304" s="110">
        <v>18</v>
      </c>
      <c r="C304" s="111">
        <v>18</v>
      </c>
      <c r="D304" s="221"/>
      <c r="E304" s="221"/>
      <c r="F304" s="276" t="s">
        <v>769</v>
      </c>
      <c r="G304" s="113" t="s">
        <v>261</v>
      </c>
      <c r="H304" s="276" t="s">
        <v>770</v>
      </c>
      <c r="I304" s="114">
        <v>46070</v>
      </c>
      <c r="J304" s="115">
        <v>6</v>
      </c>
      <c r="K304" s="115">
        <v>23</v>
      </c>
      <c r="L304" s="115">
        <v>192</v>
      </c>
      <c r="M304" s="116" t="str">
        <f t="shared" si="6"/>
        <v>6-23-192</v>
      </c>
      <c r="N304" s="117" t="str">
        <f>IFERROR(VLOOKUP(M304,'LISTA ITEMS (2)'!$E$2:$G$910,2,FALSE),"  ")</f>
        <v xml:space="preserve">CINTA ACERO PERFORADA PARA MONTAJE </v>
      </c>
      <c r="O304" s="118" t="str">
        <f>IFERROR(VLOOKUP(M304,'LISTA ITEMS (2)'!$E$2:$G$910,3,FALSE)," ")</f>
        <v>UND</v>
      </c>
      <c r="P304" s="173">
        <v>1</v>
      </c>
      <c r="Q304" s="112"/>
      <c r="R304" s="117"/>
      <c r="S304" s="156"/>
    </row>
    <row r="305" spans="1:19" ht="28.8" x14ac:dyDescent="0.3">
      <c r="A305" s="27">
        <v>303</v>
      </c>
      <c r="B305" s="110">
        <v>18</v>
      </c>
      <c r="C305" s="111">
        <v>18</v>
      </c>
      <c r="D305" s="221"/>
      <c r="E305" s="221"/>
      <c r="F305" s="276" t="s">
        <v>769</v>
      </c>
      <c r="G305" s="113" t="s">
        <v>261</v>
      </c>
      <c r="H305" s="276" t="s">
        <v>770</v>
      </c>
      <c r="I305" s="114">
        <v>46070</v>
      </c>
      <c r="J305" s="115">
        <v>4</v>
      </c>
      <c r="K305" s="115">
        <v>15</v>
      </c>
      <c r="L305" s="115">
        <v>326</v>
      </c>
      <c r="M305" s="116" t="str">
        <f t="shared" si="6"/>
        <v>4-15-326</v>
      </c>
      <c r="N305" s="117" t="str">
        <f>IFERROR(VLOOKUP(M305,'LISTA ITEMS (2)'!$E$2:$G$910,2,FALSE),"  ")</f>
        <v>BARRA PERFORADA PARA REFUERZO 27x18x2MT GALV.</v>
      </c>
      <c r="O305" s="118" t="str">
        <f>IFERROR(VLOOKUP(M305,'LISTA ITEMS (2)'!$E$2:$G$910,3,FALSE)," ")</f>
        <v>UND</v>
      </c>
      <c r="P305" s="173">
        <v>4</v>
      </c>
      <c r="Q305" s="112"/>
      <c r="R305" s="117"/>
      <c r="S305" s="156">
        <v>1</v>
      </c>
    </row>
    <row r="306" spans="1:19" ht="28.8" x14ac:dyDescent="0.3">
      <c r="A306" s="27">
        <v>304</v>
      </c>
      <c r="B306" s="110">
        <v>18</v>
      </c>
      <c r="C306" s="111">
        <v>18</v>
      </c>
      <c r="D306" s="221"/>
      <c r="E306" s="221"/>
      <c r="F306" s="276" t="s">
        <v>769</v>
      </c>
      <c r="G306" s="113" t="s">
        <v>261</v>
      </c>
      <c r="H306" s="276" t="s">
        <v>770</v>
      </c>
      <c r="I306" s="114">
        <v>46070</v>
      </c>
      <c r="J306" s="115">
        <v>7</v>
      </c>
      <c r="K306" s="115">
        <v>38</v>
      </c>
      <c r="L306" s="115">
        <v>247</v>
      </c>
      <c r="M306" s="116" t="str">
        <f t="shared" ref="M306:M369" si="7">CONCATENATE(J306,"-",K306,"-",L306)</f>
        <v>7-38-247</v>
      </c>
      <c r="N306" s="117" t="str">
        <f>IFERROR(VLOOKUP(M306,'LISTA ITEMS (2)'!$E$2:$G$910,2,FALSE),"  ")</f>
        <v>PLACA SOLAR JAM60D42-535LB 535W / 44.13V</v>
      </c>
      <c r="O306" s="118" t="str">
        <f>IFERROR(VLOOKUP(M306,'LISTA ITEMS (2)'!$E$2:$G$910,3,FALSE)," ")</f>
        <v>UND</v>
      </c>
      <c r="P306" s="173">
        <v>4</v>
      </c>
      <c r="Q306" s="112"/>
      <c r="R306" s="117"/>
      <c r="S306" s="156"/>
    </row>
    <row r="307" spans="1:19" ht="18" x14ac:dyDescent="0.3">
      <c r="A307" s="27">
        <v>305</v>
      </c>
      <c r="B307" s="110">
        <v>18</v>
      </c>
      <c r="C307" s="111">
        <v>18</v>
      </c>
      <c r="D307" s="221"/>
      <c r="E307" s="221"/>
      <c r="F307" s="276" t="s">
        <v>769</v>
      </c>
      <c r="G307" s="113" t="s">
        <v>261</v>
      </c>
      <c r="H307" s="276" t="s">
        <v>770</v>
      </c>
      <c r="I307" s="114">
        <v>46070</v>
      </c>
      <c r="J307" s="115">
        <v>13</v>
      </c>
      <c r="K307" s="115">
        <v>22</v>
      </c>
      <c r="L307" s="115">
        <v>184</v>
      </c>
      <c r="M307" s="116" t="str">
        <f t="shared" si="7"/>
        <v>13-22-184</v>
      </c>
      <c r="N307" s="117" t="str">
        <f>IFERROR(VLOOKUP(M307,'LISTA ITEMS (2)'!$E$2:$G$910,2,FALSE),"  ")</f>
        <v>BRIDA P/EXTERIOR NEGRA</v>
      </c>
      <c r="O307" s="118" t="str">
        <f>IFERROR(VLOOKUP(M307,'LISTA ITEMS (2)'!$E$2:$G$910,3,FALSE)," ")</f>
        <v>UND</v>
      </c>
      <c r="P307" s="173">
        <v>100</v>
      </c>
      <c r="Q307" s="112"/>
      <c r="R307" s="117"/>
      <c r="S307" s="156"/>
    </row>
    <row r="308" spans="1:19" ht="18" x14ac:dyDescent="0.3">
      <c r="A308" s="27">
        <v>306</v>
      </c>
      <c r="B308" s="110">
        <v>18</v>
      </c>
      <c r="C308" s="111">
        <v>18</v>
      </c>
      <c r="D308" s="221"/>
      <c r="E308" s="221"/>
      <c r="F308" s="276" t="s">
        <v>769</v>
      </c>
      <c r="G308" s="113" t="s">
        <v>261</v>
      </c>
      <c r="H308" s="276" t="s">
        <v>770</v>
      </c>
      <c r="I308" s="114">
        <v>46070</v>
      </c>
      <c r="J308" s="115">
        <v>13</v>
      </c>
      <c r="K308" s="115">
        <v>21</v>
      </c>
      <c r="L308" s="115">
        <v>181</v>
      </c>
      <c r="M308" s="116" t="str">
        <f t="shared" si="7"/>
        <v>13-21-181</v>
      </c>
      <c r="N308" s="117" t="str">
        <f>IFERROR(VLOOKUP(M308,'LISTA ITEMS (2)'!$E$2:$G$910,2,FALSE),"  ")</f>
        <v>TACO P/BRIDA NEGRO</v>
      </c>
      <c r="O308" s="118" t="str">
        <f>IFERROR(VLOOKUP(M308,'LISTA ITEMS (2)'!$E$2:$G$910,3,FALSE)," ")</f>
        <v>UND</v>
      </c>
      <c r="P308" s="173">
        <v>100</v>
      </c>
      <c r="Q308" s="112"/>
      <c r="R308" s="117"/>
      <c r="S308" s="156"/>
    </row>
    <row r="309" spans="1:19" ht="18" x14ac:dyDescent="0.3">
      <c r="A309" s="27">
        <v>307</v>
      </c>
      <c r="B309" s="110">
        <v>18</v>
      </c>
      <c r="C309" s="111">
        <v>18</v>
      </c>
      <c r="D309" s="221"/>
      <c r="E309" s="221"/>
      <c r="F309" s="276" t="s">
        <v>769</v>
      </c>
      <c r="G309" s="113" t="s">
        <v>261</v>
      </c>
      <c r="H309" s="276" t="s">
        <v>770</v>
      </c>
      <c r="I309" s="114">
        <v>46070</v>
      </c>
      <c r="J309" s="115">
        <v>3</v>
      </c>
      <c r="K309" s="115">
        <v>31</v>
      </c>
      <c r="L309" s="115">
        <v>277</v>
      </c>
      <c r="M309" s="116" t="str">
        <f t="shared" si="7"/>
        <v>3-31-277</v>
      </c>
      <c r="N309" s="117" t="str">
        <f>IFERROR(VLOOKUP(M309,'LISTA ITEMS (2)'!$E$2:$G$910,2,FALSE),"  ")</f>
        <v>CABLE Nª 6 P/PLACA SOLAR NEGRO</v>
      </c>
      <c r="O309" s="118" t="str">
        <f>IFERROR(VLOOKUP(M309,'LISTA ITEMS (2)'!$E$2:$G$910,3,FALSE)," ")</f>
        <v>MT</v>
      </c>
      <c r="P309" s="173">
        <v>15</v>
      </c>
      <c r="Q309" s="112"/>
      <c r="R309" s="117"/>
      <c r="S309" s="156"/>
    </row>
    <row r="310" spans="1:19" ht="18" x14ac:dyDescent="0.3">
      <c r="A310" s="27">
        <v>308</v>
      </c>
      <c r="B310" s="110">
        <v>18</v>
      </c>
      <c r="C310" s="111">
        <v>18</v>
      </c>
      <c r="D310" s="221"/>
      <c r="E310" s="221"/>
      <c r="F310" s="276" t="s">
        <v>769</v>
      </c>
      <c r="G310" s="113" t="s">
        <v>261</v>
      </c>
      <c r="H310" s="276" t="s">
        <v>770</v>
      </c>
      <c r="I310" s="114">
        <v>46070</v>
      </c>
      <c r="J310" s="115">
        <v>3</v>
      </c>
      <c r="K310" s="115">
        <v>31</v>
      </c>
      <c r="L310" s="115">
        <v>278</v>
      </c>
      <c r="M310" s="116" t="str">
        <f t="shared" si="7"/>
        <v>3-31-278</v>
      </c>
      <c r="N310" s="117" t="str">
        <f>IFERROR(VLOOKUP(M310,'LISTA ITEMS (2)'!$E$2:$G$910,2,FALSE),"  ")</f>
        <v>CABLE Nª 6 P/PLACA SOLAR ROJO</v>
      </c>
      <c r="O310" s="118" t="str">
        <f>IFERROR(VLOOKUP(M310,'LISTA ITEMS (2)'!$E$2:$G$910,3,FALSE)," ")</f>
        <v>MT</v>
      </c>
      <c r="P310" s="173">
        <v>15</v>
      </c>
      <c r="Q310" s="112"/>
      <c r="R310" s="117"/>
      <c r="S310" s="156"/>
    </row>
    <row r="311" spans="1:19" ht="28.8" x14ac:dyDescent="0.3">
      <c r="A311" s="27">
        <v>309</v>
      </c>
      <c r="B311" s="122">
        <v>19</v>
      </c>
      <c r="C311" s="94">
        <v>19</v>
      </c>
      <c r="D311" s="246"/>
      <c r="E311" s="246"/>
      <c r="F311" s="193" t="s">
        <v>772</v>
      </c>
      <c r="G311" s="20" t="s">
        <v>773</v>
      </c>
      <c r="H311" s="193" t="s">
        <v>798</v>
      </c>
      <c r="I311" s="28">
        <v>46071</v>
      </c>
      <c r="J311" s="16">
        <v>16</v>
      </c>
      <c r="K311" s="16">
        <v>53</v>
      </c>
      <c r="L311" s="16">
        <v>290</v>
      </c>
      <c r="M311" s="247" t="str">
        <f t="shared" si="7"/>
        <v>16-53-290</v>
      </c>
      <c r="N311" s="17" t="str">
        <f>IFERROR(VLOOKUP(M311,'LISTA ITEMS (2)'!$E$2:$G$910,2,FALSE),"  ")</f>
        <v>PINCHO DE COMUNICACIÓN WIFI SHINEWILAN X2 (GROWATT)</v>
      </c>
      <c r="O311" s="30" t="str">
        <f>IFERROR(VLOOKUP(M311,'LISTA ITEMS (2)'!$E$2:$G$910,3,FALSE)," ")</f>
        <v>UND</v>
      </c>
      <c r="P311" s="176">
        <v>1</v>
      </c>
      <c r="Q311" s="181"/>
      <c r="R311" s="17" t="s">
        <v>771</v>
      </c>
      <c r="S311" s="156"/>
    </row>
    <row r="312" spans="1:19" ht="18" x14ac:dyDescent="0.3">
      <c r="A312" s="27">
        <v>310</v>
      </c>
      <c r="B312" s="122">
        <v>19</v>
      </c>
      <c r="C312" s="94">
        <v>19</v>
      </c>
      <c r="D312" s="246"/>
      <c r="E312" s="246"/>
      <c r="F312" s="193" t="s">
        <v>772</v>
      </c>
      <c r="G312" s="20" t="s">
        <v>773</v>
      </c>
      <c r="H312" s="193" t="s">
        <v>798</v>
      </c>
      <c r="I312" s="28">
        <v>46071</v>
      </c>
      <c r="J312" s="16">
        <v>16</v>
      </c>
      <c r="K312" s="16">
        <v>45</v>
      </c>
      <c r="L312" s="16">
        <v>294</v>
      </c>
      <c r="M312" s="247" t="str">
        <f t="shared" si="7"/>
        <v>16-45-294</v>
      </c>
      <c r="N312" s="17" t="str">
        <f>IFERROR(VLOOKUP(M312,'LISTA ITEMS (2)'!$E$2:$G$910,2,FALSE),"  ")</f>
        <v>CAJA DE ESTANCA 133X180X80 EV161 (IDE)</v>
      </c>
      <c r="O312" s="30" t="str">
        <f>IFERROR(VLOOKUP(M312,'LISTA ITEMS (2)'!$E$2:$G$910,3,FALSE)," ")</f>
        <v>UND</v>
      </c>
      <c r="P312" s="176">
        <v>2</v>
      </c>
      <c r="Q312" s="181"/>
      <c r="R312" s="17"/>
      <c r="S312" s="156"/>
    </row>
    <row r="313" spans="1:19" ht="18" x14ac:dyDescent="0.3">
      <c r="A313" s="27">
        <v>311</v>
      </c>
      <c r="B313" s="122">
        <v>19</v>
      </c>
      <c r="C313" s="94">
        <v>19</v>
      </c>
      <c r="D313" s="246"/>
      <c r="E313" s="246"/>
      <c r="F313" s="193" t="s">
        <v>772</v>
      </c>
      <c r="G313" s="20" t="s">
        <v>773</v>
      </c>
      <c r="H313" s="193" t="s">
        <v>798</v>
      </c>
      <c r="I313" s="28">
        <v>46071</v>
      </c>
      <c r="J313" s="16">
        <v>16</v>
      </c>
      <c r="K313" s="16">
        <v>48</v>
      </c>
      <c r="L313" s="16">
        <v>281</v>
      </c>
      <c r="M313" s="247" t="str">
        <f t="shared" si="7"/>
        <v>16-48-281</v>
      </c>
      <c r="N313" s="17" t="str">
        <f>IFERROR(VLOOKUP(M313,'LISTA ITEMS (2)'!$E$2:$G$910,2,FALSE),"  ")</f>
        <v>PORTA FUSIBLE SGF-32-DC (MAXGE)</v>
      </c>
      <c r="O313" s="30" t="str">
        <f>IFERROR(VLOOKUP(M313,'LISTA ITEMS (2)'!$E$2:$G$910,3,FALSE)," ")</f>
        <v>UND</v>
      </c>
      <c r="P313" s="176">
        <v>4</v>
      </c>
      <c r="Q313" s="181"/>
      <c r="R313" s="17"/>
      <c r="S313" s="156">
        <v>1</v>
      </c>
    </row>
    <row r="314" spans="1:19" ht="18" x14ac:dyDescent="0.3">
      <c r="A314" s="27">
        <v>312</v>
      </c>
      <c r="B314" s="122">
        <v>19</v>
      </c>
      <c r="C314" s="94">
        <v>19</v>
      </c>
      <c r="D314" s="246"/>
      <c r="E314" s="246"/>
      <c r="F314" s="193" t="s">
        <v>772</v>
      </c>
      <c r="G314" s="20" t="s">
        <v>773</v>
      </c>
      <c r="H314" s="193" t="s">
        <v>798</v>
      </c>
      <c r="I314" s="28">
        <v>46071</v>
      </c>
      <c r="J314" s="16">
        <v>16</v>
      </c>
      <c r="K314" s="16">
        <v>50</v>
      </c>
      <c r="L314" s="16">
        <v>314</v>
      </c>
      <c r="M314" s="247" t="str">
        <f t="shared" si="7"/>
        <v>16-50-314</v>
      </c>
      <c r="N314" s="17" t="str">
        <f>IFERROR(VLOOKUP(M314,'LISTA ITEMS (2)'!$E$2:$G$910,2,FALSE),"  ")</f>
        <v>FUSIBLE MG10PV32A (MAXGE)</v>
      </c>
      <c r="O314" s="30" t="str">
        <f>IFERROR(VLOOKUP(M314,'LISTA ITEMS (2)'!$E$2:$G$910,3,FALSE)," ")</f>
        <v>UND</v>
      </c>
      <c r="P314" s="176">
        <v>4</v>
      </c>
      <c r="Q314" s="181"/>
      <c r="R314" s="17"/>
      <c r="S314" s="156">
        <v>1</v>
      </c>
    </row>
    <row r="315" spans="1:19" ht="28.8" x14ac:dyDescent="0.3">
      <c r="A315" s="27">
        <v>313</v>
      </c>
      <c r="B315" s="122">
        <v>19</v>
      </c>
      <c r="C315" s="94">
        <v>19</v>
      </c>
      <c r="D315" s="246"/>
      <c r="E315" s="246"/>
      <c r="F315" s="193" t="s">
        <v>772</v>
      </c>
      <c r="G315" s="20" t="s">
        <v>773</v>
      </c>
      <c r="H315" s="193" t="s">
        <v>798</v>
      </c>
      <c r="I315" s="28">
        <v>46071</v>
      </c>
      <c r="J315" s="16">
        <v>16</v>
      </c>
      <c r="K315" s="16">
        <v>61</v>
      </c>
      <c r="L315" s="16">
        <v>331</v>
      </c>
      <c r="M315" s="247" t="str">
        <f t="shared" si="7"/>
        <v>16-61-331</v>
      </c>
      <c r="N315" s="17" t="str">
        <f>IFERROR(VLOOKUP(M315,'LISTA ITEMS (2)'!$E$2:$G$910,2,FALSE),"  ")</f>
        <v>CONECTOR FOTOVOLTAICO HEMBRA M4 NEGRO</v>
      </c>
      <c r="O315" s="30" t="str">
        <f>IFERROR(VLOOKUP(M315,'LISTA ITEMS (2)'!$E$2:$G$910,3,FALSE)," ")</f>
        <v>UND</v>
      </c>
      <c r="P315" s="176">
        <v>6</v>
      </c>
      <c r="Q315" s="181"/>
      <c r="R315" s="17"/>
      <c r="S315" s="156">
        <v>2</v>
      </c>
    </row>
    <row r="316" spans="1:19" ht="28.8" x14ac:dyDescent="0.3">
      <c r="A316" s="27">
        <v>314</v>
      </c>
      <c r="B316" s="122">
        <v>19</v>
      </c>
      <c r="C316" s="94">
        <v>19</v>
      </c>
      <c r="D316" s="246"/>
      <c r="E316" s="246"/>
      <c r="F316" s="193" t="s">
        <v>772</v>
      </c>
      <c r="G316" s="20" t="s">
        <v>773</v>
      </c>
      <c r="H316" s="193" t="s">
        <v>798</v>
      </c>
      <c r="I316" s="28">
        <v>46071</v>
      </c>
      <c r="J316" s="16">
        <v>16</v>
      </c>
      <c r="K316" s="16">
        <v>61</v>
      </c>
      <c r="L316" s="16">
        <v>332</v>
      </c>
      <c r="M316" s="247" t="str">
        <f t="shared" si="7"/>
        <v>16-61-332</v>
      </c>
      <c r="N316" s="17" t="str">
        <f>IFERROR(VLOOKUP(M316,'LISTA ITEMS (2)'!$E$2:$G$910,2,FALSE),"  ")</f>
        <v>CONECTOR FOTOVOLTAICO MACHO M4 NEGRO</v>
      </c>
      <c r="O316" s="30" t="str">
        <f>IFERROR(VLOOKUP(M316,'LISTA ITEMS (2)'!$E$2:$G$910,3,FALSE)," ")</f>
        <v>UND</v>
      </c>
      <c r="P316" s="176">
        <v>6</v>
      </c>
      <c r="Q316" s="181"/>
      <c r="R316" s="17"/>
      <c r="S316" s="156">
        <v>2</v>
      </c>
    </row>
    <row r="317" spans="1:19" ht="28.8" x14ac:dyDescent="0.3">
      <c r="A317" s="27">
        <v>315</v>
      </c>
      <c r="B317" s="122">
        <v>19</v>
      </c>
      <c r="C317" s="94">
        <v>19</v>
      </c>
      <c r="D317" s="246"/>
      <c r="E317" s="246"/>
      <c r="F317" s="193" t="s">
        <v>772</v>
      </c>
      <c r="G317" s="20" t="s">
        <v>773</v>
      </c>
      <c r="H317" s="193" t="s">
        <v>798</v>
      </c>
      <c r="I317" s="28">
        <v>46071</v>
      </c>
      <c r="J317" s="16">
        <v>16</v>
      </c>
      <c r="K317" s="16">
        <v>47</v>
      </c>
      <c r="L317" s="16">
        <v>318</v>
      </c>
      <c r="M317" s="247" t="str">
        <f t="shared" si="7"/>
        <v>16-47-318</v>
      </c>
      <c r="N317" s="17" t="str">
        <f>IFERROR(VLOOKUP(M317,'LISTA ITEMS (2)'!$E$2:$G$910,2,FALSE),"  ")</f>
        <v>DIFERENCIAL EPR2A040030 2P-40A-30mA (MAXGE)</v>
      </c>
      <c r="O317" s="30" t="str">
        <f>IFERROR(VLOOKUP(M317,'LISTA ITEMS (2)'!$E$2:$G$910,3,FALSE)," ")</f>
        <v>UND</v>
      </c>
      <c r="P317" s="176">
        <v>1</v>
      </c>
      <c r="Q317" s="181"/>
      <c r="R317" s="17"/>
      <c r="S317" s="156"/>
    </row>
    <row r="318" spans="1:19" ht="18" x14ac:dyDescent="0.3">
      <c r="A318" s="27">
        <v>316</v>
      </c>
      <c r="B318" s="122">
        <v>19</v>
      </c>
      <c r="C318" s="94">
        <v>19</v>
      </c>
      <c r="D318" s="246"/>
      <c r="E318" s="246"/>
      <c r="F318" s="193" t="s">
        <v>772</v>
      </c>
      <c r="G318" s="20" t="s">
        <v>773</v>
      </c>
      <c r="H318" s="193" t="s">
        <v>798</v>
      </c>
      <c r="I318" s="28">
        <v>46071</v>
      </c>
      <c r="J318" s="16">
        <v>10</v>
      </c>
      <c r="K318" s="16">
        <v>37</v>
      </c>
      <c r="L318" s="16">
        <v>330</v>
      </c>
      <c r="M318" s="247" t="str">
        <f t="shared" si="7"/>
        <v>10-37-330</v>
      </c>
      <c r="N318" s="17" t="str">
        <f>IFERROR(VLOOKUP(M318,'LISTA ITEMS (2)'!$E$2:$G$910,2,FALSE),"  ")</f>
        <v>SOPORTE EN L ALUMINIO GRIS</v>
      </c>
      <c r="O318" s="30" t="str">
        <f>IFERROR(VLOOKUP(M318,'LISTA ITEMS (2)'!$E$2:$G$910,3,FALSE)," ")</f>
        <v>UND</v>
      </c>
      <c r="P318" s="176">
        <v>20</v>
      </c>
      <c r="Q318" s="181"/>
      <c r="R318" s="17"/>
      <c r="S318" s="156">
        <v>6</v>
      </c>
    </row>
    <row r="319" spans="1:19" ht="18" x14ac:dyDescent="0.3">
      <c r="A319" s="27">
        <v>317</v>
      </c>
      <c r="B319" s="122">
        <v>19</v>
      </c>
      <c r="C319" s="94">
        <v>19</v>
      </c>
      <c r="D319" s="246"/>
      <c r="E319" s="246"/>
      <c r="F319" s="193" t="s">
        <v>772</v>
      </c>
      <c r="G319" s="20" t="s">
        <v>773</v>
      </c>
      <c r="H319" s="193" t="s">
        <v>798</v>
      </c>
      <c r="I319" s="28">
        <v>46071</v>
      </c>
      <c r="J319" s="16">
        <v>10</v>
      </c>
      <c r="K319" s="16">
        <v>34</v>
      </c>
      <c r="L319" s="16">
        <v>227</v>
      </c>
      <c r="M319" s="247" t="str">
        <f t="shared" si="7"/>
        <v>10-34-227</v>
      </c>
      <c r="N319" s="17" t="str">
        <f>IFERROR(VLOOKUP(M319,'LISTA ITEMS (2)'!$E$2:$G$910,2,FALSE),"  ")</f>
        <v>MICRORAIL 2X30 PERFORADO</v>
      </c>
      <c r="O319" s="30" t="str">
        <f>IFERROR(VLOOKUP(M319,'LISTA ITEMS (2)'!$E$2:$G$910,3,FALSE)," ")</f>
        <v>UND</v>
      </c>
      <c r="P319" s="176">
        <v>20</v>
      </c>
      <c r="Q319" s="181"/>
      <c r="R319" s="17"/>
      <c r="S319" s="156">
        <v>6</v>
      </c>
    </row>
    <row r="320" spans="1:19" ht="18" x14ac:dyDescent="0.3">
      <c r="A320" s="27">
        <v>318</v>
      </c>
      <c r="B320" s="122">
        <v>19</v>
      </c>
      <c r="C320" s="94">
        <v>19</v>
      </c>
      <c r="D320" s="246"/>
      <c r="E320" s="246"/>
      <c r="F320" s="193" t="s">
        <v>772</v>
      </c>
      <c r="G320" s="20" t="s">
        <v>773</v>
      </c>
      <c r="H320" s="193" t="s">
        <v>798</v>
      </c>
      <c r="I320" s="28">
        <v>46071</v>
      </c>
      <c r="J320" s="16">
        <v>16</v>
      </c>
      <c r="K320" s="16">
        <v>31</v>
      </c>
      <c r="L320" s="16">
        <v>412</v>
      </c>
      <c r="M320" s="247" t="str">
        <f t="shared" si="7"/>
        <v>16-31-412</v>
      </c>
      <c r="N320" s="17" t="str">
        <f>IFERROR(VLOOKUP(M320,'LISTA ITEMS (2)'!$E$2:$G$910,2,FALSE),"  ")</f>
        <v>CABLE UTP RJ45 1.8m (VICTRON ENERGY)</v>
      </c>
      <c r="O320" s="30" t="str">
        <f>IFERROR(VLOOKUP(M320,'LISTA ITEMS (2)'!$E$2:$G$910,3,FALSE)," ")</f>
        <v>UND</v>
      </c>
      <c r="P320" s="176">
        <v>4</v>
      </c>
      <c r="Q320" s="181"/>
      <c r="R320" s="17"/>
      <c r="S320" s="156"/>
    </row>
    <row r="321" spans="1:19" ht="28.8" x14ac:dyDescent="0.3">
      <c r="A321" s="27">
        <v>319</v>
      </c>
      <c r="B321" s="122">
        <v>19</v>
      </c>
      <c r="C321" s="94">
        <v>19</v>
      </c>
      <c r="D321" s="246"/>
      <c r="E321" s="246"/>
      <c r="F321" s="193" t="s">
        <v>772</v>
      </c>
      <c r="G321" s="20" t="s">
        <v>773</v>
      </c>
      <c r="H321" s="193" t="s">
        <v>798</v>
      </c>
      <c r="I321" s="28">
        <v>46071</v>
      </c>
      <c r="J321" s="16">
        <v>16</v>
      </c>
      <c r="K321" s="16">
        <v>45</v>
      </c>
      <c r="L321" s="16">
        <v>275</v>
      </c>
      <c r="M321" s="247" t="str">
        <f t="shared" si="7"/>
        <v>16-45-275</v>
      </c>
      <c r="N321" s="17" t="str">
        <f>IFERROR(VLOOKUP(M321,'LISTA ITEMS (2)'!$E$2:$G$910,2,FALSE),"  ")</f>
        <v>CAJA DISTRIBUCION INTERIOR 18 ELEM. (SOLERA)</v>
      </c>
      <c r="O321" s="30" t="str">
        <f>IFERROR(VLOOKUP(M321,'LISTA ITEMS (2)'!$E$2:$G$910,3,FALSE)," ")</f>
        <v>UND</v>
      </c>
      <c r="P321" s="176">
        <v>1</v>
      </c>
      <c r="Q321" s="181"/>
      <c r="R321" s="17"/>
      <c r="S321" s="156"/>
    </row>
    <row r="322" spans="1:19" ht="28.8" x14ac:dyDescent="0.3">
      <c r="A322" s="27">
        <v>320</v>
      </c>
      <c r="B322" s="122">
        <v>19</v>
      </c>
      <c r="C322" s="94">
        <v>19</v>
      </c>
      <c r="D322" s="246"/>
      <c r="E322" s="246"/>
      <c r="F322" s="193" t="s">
        <v>772</v>
      </c>
      <c r="G322" s="20" t="s">
        <v>773</v>
      </c>
      <c r="H322" s="193" t="s">
        <v>798</v>
      </c>
      <c r="I322" s="28">
        <v>46071</v>
      </c>
      <c r="J322" s="16">
        <v>10</v>
      </c>
      <c r="K322" s="16">
        <v>42</v>
      </c>
      <c r="L322" s="16">
        <v>268</v>
      </c>
      <c r="M322" s="247" t="str">
        <f t="shared" si="7"/>
        <v>10-42-268</v>
      </c>
      <c r="N322" s="17" t="str">
        <f>IFERROR(VLOOKUP(M322,'LISTA ITEMS (2)'!$E$2:$G$910,2,FALSE),"  ")</f>
        <v>PATA ALUMINIO PARA ESTRUCTURA PLACA SOLAR ANGULO 30º</v>
      </c>
      <c r="O322" s="30" t="str">
        <f>IFERROR(VLOOKUP(M322,'LISTA ITEMS (2)'!$E$2:$G$910,3,FALSE)," ")</f>
        <v>UND</v>
      </c>
      <c r="P322" s="176">
        <v>6</v>
      </c>
      <c r="Q322" s="181"/>
      <c r="R322" s="17"/>
      <c r="S322" s="156">
        <v>1</v>
      </c>
    </row>
    <row r="323" spans="1:19" ht="28.8" x14ac:dyDescent="0.3">
      <c r="A323" s="27">
        <v>321</v>
      </c>
      <c r="B323" s="122">
        <v>19</v>
      </c>
      <c r="C323" s="94">
        <v>19</v>
      </c>
      <c r="D323" s="246"/>
      <c r="E323" s="246"/>
      <c r="F323" s="193" t="s">
        <v>772</v>
      </c>
      <c r="G323" s="20" t="s">
        <v>773</v>
      </c>
      <c r="H323" s="193" t="s">
        <v>798</v>
      </c>
      <c r="I323" s="28">
        <v>46071</v>
      </c>
      <c r="J323" s="16">
        <v>10</v>
      </c>
      <c r="K323" s="16">
        <v>15</v>
      </c>
      <c r="L323" s="16">
        <v>269</v>
      </c>
      <c r="M323" s="247" t="str">
        <f t="shared" si="7"/>
        <v>10-15-269</v>
      </c>
      <c r="N323" s="17" t="str">
        <f>IFERROR(VLOOKUP(M323,'LISTA ITEMS (2)'!$E$2:$G$910,2,FALSE),"  ")</f>
        <v>BARRA ALUMINIO PARA ESTRUCTURA  3.60mt</v>
      </c>
      <c r="O323" s="30" t="str">
        <f>IFERROR(VLOOKUP(M323,'LISTA ITEMS (2)'!$E$2:$G$910,3,FALSE)," ")</f>
        <v>UND</v>
      </c>
      <c r="P323" s="176">
        <v>4</v>
      </c>
      <c r="Q323" s="181"/>
      <c r="R323" s="17"/>
      <c r="S323" s="156">
        <v>1</v>
      </c>
    </row>
    <row r="324" spans="1:19" ht="18" x14ac:dyDescent="0.3">
      <c r="A324" s="27">
        <v>322</v>
      </c>
      <c r="B324" s="122">
        <v>19</v>
      </c>
      <c r="C324" s="94">
        <v>19</v>
      </c>
      <c r="D324" s="246"/>
      <c r="E324" s="246"/>
      <c r="F324" s="193" t="s">
        <v>772</v>
      </c>
      <c r="G324" s="20" t="s">
        <v>773</v>
      </c>
      <c r="H324" s="193" t="s">
        <v>798</v>
      </c>
      <c r="I324" s="28">
        <v>46071</v>
      </c>
      <c r="J324" s="16">
        <v>13</v>
      </c>
      <c r="K324" s="16">
        <v>22</v>
      </c>
      <c r="L324" s="16">
        <v>184</v>
      </c>
      <c r="M324" s="247" t="str">
        <f t="shared" si="7"/>
        <v>13-22-184</v>
      </c>
      <c r="N324" s="17" t="str">
        <f>IFERROR(VLOOKUP(M324,'LISTA ITEMS (2)'!$E$2:$G$910,2,FALSE),"  ")</f>
        <v>BRIDA P/EXTERIOR NEGRA</v>
      </c>
      <c r="O324" s="30" t="str">
        <f>IFERROR(VLOOKUP(M324,'LISTA ITEMS (2)'!$E$2:$G$910,3,FALSE)," ")</f>
        <v>UND</v>
      </c>
      <c r="P324" s="176">
        <v>100</v>
      </c>
      <c r="Q324" s="181"/>
      <c r="R324" s="17"/>
      <c r="S324" s="156"/>
    </row>
    <row r="325" spans="1:19" ht="18" x14ac:dyDescent="0.3">
      <c r="A325" s="27">
        <v>323</v>
      </c>
      <c r="B325" s="122">
        <v>19</v>
      </c>
      <c r="C325" s="94">
        <v>19</v>
      </c>
      <c r="D325" s="246"/>
      <c r="E325" s="246"/>
      <c r="F325" s="193" t="s">
        <v>772</v>
      </c>
      <c r="G325" s="20" t="s">
        <v>773</v>
      </c>
      <c r="H325" s="193" t="s">
        <v>798</v>
      </c>
      <c r="I325" s="28">
        <v>46071</v>
      </c>
      <c r="J325" s="16">
        <v>13</v>
      </c>
      <c r="K325" s="16">
        <v>21</v>
      </c>
      <c r="L325" s="16">
        <v>181</v>
      </c>
      <c r="M325" s="247" t="str">
        <f t="shared" si="7"/>
        <v>13-21-181</v>
      </c>
      <c r="N325" s="17" t="str">
        <f>IFERROR(VLOOKUP(M325,'LISTA ITEMS (2)'!$E$2:$G$910,2,FALSE),"  ")</f>
        <v>TACO P/BRIDA NEGRO</v>
      </c>
      <c r="O325" s="30" t="str">
        <f>IFERROR(VLOOKUP(M325,'LISTA ITEMS (2)'!$E$2:$G$910,3,FALSE)," ")</f>
        <v>UND</v>
      </c>
      <c r="P325" s="176">
        <v>100</v>
      </c>
      <c r="Q325" s="181"/>
      <c r="R325" s="17"/>
      <c r="S325" s="156"/>
    </row>
    <row r="326" spans="1:19" ht="18" x14ac:dyDescent="0.3">
      <c r="A326" s="27">
        <v>324</v>
      </c>
      <c r="B326" s="122">
        <v>19</v>
      </c>
      <c r="C326" s="94">
        <v>19</v>
      </c>
      <c r="D326" s="246"/>
      <c r="E326" s="246"/>
      <c r="F326" s="193" t="s">
        <v>772</v>
      </c>
      <c r="G326" s="20" t="s">
        <v>773</v>
      </c>
      <c r="H326" s="193" t="s">
        <v>798</v>
      </c>
      <c r="I326" s="28">
        <v>46071</v>
      </c>
      <c r="J326" s="16">
        <v>10</v>
      </c>
      <c r="K326" s="16">
        <v>37</v>
      </c>
      <c r="L326" s="16">
        <v>232</v>
      </c>
      <c r="M326" s="247" t="str">
        <f t="shared" si="7"/>
        <v>10-37-232</v>
      </c>
      <c r="N326" s="17" t="str">
        <f>IFERROR(VLOOKUP(M326,'LISTA ITEMS (2)'!$E$2:$G$910,2,FALSE),"  ")</f>
        <v>SOPORTE CENTRAL NEGRO</v>
      </c>
      <c r="O326" s="30" t="str">
        <f>IFERROR(VLOOKUP(M326,'LISTA ITEMS (2)'!$E$2:$G$910,3,FALSE)," ")</f>
        <v>UND</v>
      </c>
      <c r="P326" s="176">
        <v>35</v>
      </c>
      <c r="Q326" s="181"/>
      <c r="R326" s="17"/>
      <c r="S326" s="156">
        <v>15</v>
      </c>
    </row>
    <row r="327" spans="1:19" ht="18" x14ac:dyDescent="0.3">
      <c r="A327" s="27">
        <v>325</v>
      </c>
      <c r="B327" s="122">
        <v>19</v>
      </c>
      <c r="C327" s="94">
        <v>19</v>
      </c>
      <c r="D327" s="246"/>
      <c r="E327" s="246"/>
      <c r="F327" s="193" t="s">
        <v>772</v>
      </c>
      <c r="G327" s="20" t="s">
        <v>773</v>
      </c>
      <c r="H327" s="193" t="s">
        <v>798</v>
      </c>
      <c r="I327" s="28">
        <v>46071</v>
      </c>
      <c r="J327" s="16">
        <v>10</v>
      </c>
      <c r="K327" s="16">
        <v>37</v>
      </c>
      <c r="L327" s="16">
        <v>315</v>
      </c>
      <c r="M327" s="247" t="str">
        <f t="shared" si="7"/>
        <v>10-37-315</v>
      </c>
      <c r="N327" s="17" t="str">
        <f>IFERROR(VLOOKUP(M327,'LISTA ITEMS (2)'!$E$2:$G$910,2,FALSE),"  ")</f>
        <v>SOPORTE FINAL NEGRO</v>
      </c>
      <c r="O327" s="30" t="str">
        <f>IFERROR(VLOOKUP(M327,'LISTA ITEMS (2)'!$E$2:$G$910,3,FALSE)," ")</f>
        <v>UND</v>
      </c>
      <c r="P327" s="176">
        <v>20</v>
      </c>
      <c r="Q327" s="181"/>
      <c r="R327" s="17"/>
      <c r="S327" s="156">
        <v>5</v>
      </c>
    </row>
    <row r="328" spans="1:19" ht="18" x14ac:dyDescent="0.3">
      <c r="A328" s="27">
        <v>326</v>
      </c>
      <c r="B328" s="122">
        <v>19</v>
      </c>
      <c r="C328" s="94">
        <v>19</v>
      </c>
      <c r="D328" s="246"/>
      <c r="E328" s="246"/>
      <c r="F328" s="193" t="s">
        <v>772</v>
      </c>
      <c r="G328" s="20" t="s">
        <v>773</v>
      </c>
      <c r="H328" s="193" t="s">
        <v>798</v>
      </c>
      <c r="I328" s="28">
        <v>46071</v>
      </c>
      <c r="J328" s="16">
        <v>17</v>
      </c>
      <c r="K328" s="16">
        <v>44</v>
      </c>
      <c r="L328" s="16">
        <v>271</v>
      </c>
      <c r="M328" s="247" t="str">
        <f t="shared" si="7"/>
        <v>17-44-271</v>
      </c>
      <c r="N328" s="17" t="str">
        <f>IFERROR(VLOOKUP(M328,'LISTA ITEMS (2)'!$E$2:$G$910,2,FALSE),"  ")</f>
        <v>SELLANTE QUIMICO BLANCO</v>
      </c>
      <c r="O328" s="30" t="str">
        <f>IFERROR(VLOOKUP(M328,'LISTA ITEMS (2)'!$E$2:$G$910,3,FALSE)," ")</f>
        <v>UND</v>
      </c>
      <c r="P328" s="176">
        <v>1</v>
      </c>
      <c r="Q328" s="181"/>
      <c r="R328" s="17"/>
      <c r="S328" s="156"/>
    </row>
    <row r="329" spans="1:19" ht="18" x14ac:dyDescent="0.3">
      <c r="A329" s="27">
        <v>327</v>
      </c>
      <c r="B329" s="122">
        <v>19</v>
      </c>
      <c r="C329" s="94">
        <v>19</v>
      </c>
      <c r="D329" s="246"/>
      <c r="E329" s="246"/>
      <c r="F329" s="193" t="s">
        <v>772</v>
      </c>
      <c r="G329" s="20" t="s">
        <v>773</v>
      </c>
      <c r="H329" s="193" t="s">
        <v>798</v>
      </c>
      <c r="I329" s="28">
        <v>46071</v>
      </c>
      <c r="J329" s="16">
        <v>17</v>
      </c>
      <c r="K329" s="16">
        <v>44</v>
      </c>
      <c r="L329" s="16">
        <v>272</v>
      </c>
      <c r="M329" s="247" t="str">
        <f t="shared" si="7"/>
        <v>17-44-272</v>
      </c>
      <c r="N329" s="17" t="str">
        <f>IFERROR(VLOOKUP(M329,'LISTA ITEMS (2)'!$E$2:$G$910,2,FALSE),"  ")</f>
        <v>SELLANTE QUIMICO GRIS</v>
      </c>
      <c r="O329" s="30" t="str">
        <f>IFERROR(VLOOKUP(M329,'LISTA ITEMS (2)'!$E$2:$G$910,3,FALSE)," ")</f>
        <v>UND</v>
      </c>
      <c r="P329" s="176">
        <v>1</v>
      </c>
      <c r="Q329" s="181"/>
      <c r="R329" s="17"/>
      <c r="S329" s="156"/>
    </row>
    <row r="330" spans="1:19" ht="28.8" x14ac:dyDescent="0.3">
      <c r="A330" s="27">
        <v>328</v>
      </c>
      <c r="B330" s="122">
        <v>19</v>
      </c>
      <c r="C330" s="94">
        <v>19</v>
      </c>
      <c r="D330" s="246"/>
      <c r="E330" s="246"/>
      <c r="F330" s="193" t="s">
        <v>772</v>
      </c>
      <c r="G330" s="20" t="s">
        <v>773</v>
      </c>
      <c r="H330" s="193" t="s">
        <v>798</v>
      </c>
      <c r="I330" s="28">
        <v>46071</v>
      </c>
      <c r="J330" s="16">
        <v>7</v>
      </c>
      <c r="K330" s="16">
        <v>38</v>
      </c>
      <c r="L330" s="16">
        <v>247</v>
      </c>
      <c r="M330" s="247" t="str">
        <f t="shared" si="7"/>
        <v>7-38-247</v>
      </c>
      <c r="N330" s="17" t="str">
        <f>IFERROR(VLOOKUP(M330,'LISTA ITEMS (2)'!$E$2:$G$910,2,FALSE),"  ")</f>
        <v>PLACA SOLAR JAM60D42-535LB 535W / 44.13V</v>
      </c>
      <c r="O330" s="30" t="str">
        <f>IFERROR(VLOOKUP(M330,'LISTA ITEMS (2)'!$E$2:$G$910,3,FALSE)," ")</f>
        <v>UND</v>
      </c>
      <c r="P330" s="176">
        <v>6</v>
      </c>
      <c r="Q330" s="181"/>
      <c r="R330" s="17"/>
      <c r="S330" s="156"/>
    </row>
    <row r="331" spans="1:19" ht="43.2" x14ac:dyDescent="0.3">
      <c r="A331" s="27">
        <v>329</v>
      </c>
      <c r="B331" s="122">
        <v>19</v>
      </c>
      <c r="C331" s="94">
        <v>19</v>
      </c>
      <c r="D331" s="246"/>
      <c r="E331" s="246"/>
      <c r="F331" s="193" t="s">
        <v>772</v>
      </c>
      <c r="G331" s="20" t="s">
        <v>773</v>
      </c>
      <c r="H331" s="193" t="s">
        <v>798</v>
      </c>
      <c r="I331" s="28">
        <v>46071</v>
      </c>
      <c r="J331" s="16">
        <v>8</v>
      </c>
      <c r="K331" s="16">
        <v>27</v>
      </c>
      <c r="L331" s="16">
        <v>203</v>
      </c>
      <c r="M331" s="247" t="str">
        <f t="shared" si="7"/>
        <v>8-27-203</v>
      </c>
      <c r="N331" s="17" t="str">
        <f>IFERROR(VLOOKUP(M331,'LISTA ITEMS (2)'!$E$2:$G$910,2,FALSE),"  ")</f>
        <v>TORNILLO A/GALVANIZADO CON C/HEZAGONAL, R/COMPLETA, C/ARANDELA Y AUTOTALADRANTE 6.3X90</v>
      </c>
      <c r="O331" s="30" t="str">
        <f>IFERROR(VLOOKUP(M331,'LISTA ITEMS (2)'!$E$2:$G$910,3,FALSE)," ")</f>
        <v>UND</v>
      </c>
      <c r="P331" s="176">
        <v>100</v>
      </c>
      <c r="Q331" s="181"/>
      <c r="R331" s="17"/>
      <c r="S331" s="156">
        <v>100</v>
      </c>
    </row>
    <row r="332" spans="1:19" ht="28.8" x14ac:dyDescent="0.3">
      <c r="A332" s="27">
        <v>330</v>
      </c>
      <c r="B332" s="122">
        <v>19</v>
      </c>
      <c r="C332" s="94">
        <v>19</v>
      </c>
      <c r="D332" s="246"/>
      <c r="E332" s="246"/>
      <c r="F332" s="193" t="s">
        <v>772</v>
      </c>
      <c r="G332" s="20" t="s">
        <v>773</v>
      </c>
      <c r="H332" s="193" t="s">
        <v>798</v>
      </c>
      <c r="I332" s="28">
        <v>46071</v>
      </c>
      <c r="J332" s="16">
        <v>7</v>
      </c>
      <c r="K332" s="16">
        <v>35</v>
      </c>
      <c r="L332" s="16">
        <v>327</v>
      </c>
      <c r="M332" s="247" t="str">
        <f t="shared" si="7"/>
        <v>7-35-327</v>
      </c>
      <c r="N332" s="17" t="str">
        <f>IFERROR(VLOOKUP(M332,'LISTA ITEMS (2)'!$E$2:$G$910,2,FALSE),"  ")</f>
        <v xml:space="preserve">INVERSOR 48/5000/70-50-230V MULTIPLUS (VICTROM ENERGY)  </v>
      </c>
      <c r="O332" s="30" t="str">
        <f>IFERROR(VLOOKUP(M332,'LISTA ITEMS (2)'!$E$2:$G$910,3,FALSE)," ")</f>
        <v>UND</v>
      </c>
      <c r="P332" s="176">
        <v>1</v>
      </c>
      <c r="Q332" s="181"/>
      <c r="R332" s="17" t="s">
        <v>776</v>
      </c>
      <c r="S332" s="156"/>
    </row>
    <row r="333" spans="1:19" ht="28.8" x14ac:dyDescent="0.3">
      <c r="A333" s="27">
        <v>331</v>
      </c>
      <c r="B333" s="122">
        <v>19</v>
      </c>
      <c r="C333" s="94">
        <v>19</v>
      </c>
      <c r="D333" s="246"/>
      <c r="E333" s="246"/>
      <c r="F333" s="193" t="s">
        <v>772</v>
      </c>
      <c r="G333" s="20" t="s">
        <v>773</v>
      </c>
      <c r="H333" s="193" t="s">
        <v>798</v>
      </c>
      <c r="I333" s="28">
        <v>46071</v>
      </c>
      <c r="J333" s="16">
        <v>7</v>
      </c>
      <c r="K333" s="16">
        <v>36</v>
      </c>
      <c r="L333" s="16">
        <v>231</v>
      </c>
      <c r="M333" s="247" t="str">
        <f t="shared" si="7"/>
        <v>7-36-231</v>
      </c>
      <c r="N333" s="17" t="str">
        <f>IFERROR(VLOOKUP(M333,'LISTA ITEMS (2)'!$E$2:$G$910,2,FALSE),"  ")</f>
        <v>CONTROLADOR SMART SOLAR MPPT 250/100-TR VICTROM ENERGY</v>
      </c>
      <c r="O333" s="30" t="str">
        <f>IFERROR(VLOOKUP(M333,'LISTA ITEMS (2)'!$E$2:$G$910,3,FALSE)," ")</f>
        <v>UND</v>
      </c>
      <c r="P333" s="176">
        <v>2</v>
      </c>
      <c r="Q333" s="181"/>
      <c r="R333" s="17" t="s">
        <v>777</v>
      </c>
      <c r="S333" s="156">
        <v>2</v>
      </c>
    </row>
    <row r="334" spans="1:19" ht="18" x14ac:dyDescent="0.3">
      <c r="A334" s="27">
        <v>332</v>
      </c>
      <c r="B334" s="122">
        <v>19</v>
      </c>
      <c r="C334" s="94">
        <v>19</v>
      </c>
      <c r="D334" s="246"/>
      <c r="E334" s="246"/>
      <c r="F334" s="193" t="s">
        <v>772</v>
      </c>
      <c r="G334" s="20" t="s">
        <v>773</v>
      </c>
      <c r="H334" s="193" t="s">
        <v>798</v>
      </c>
      <c r="I334" s="28">
        <v>46071</v>
      </c>
      <c r="J334" s="16">
        <v>3</v>
      </c>
      <c r="K334" s="16">
        <v>31</v>
      </c>
      <c r="L334" s="16">
        <v>277</v>
      </c>
      <c r="M334" s="247" t="str">
        <f t="shared" si="7"/>
        <v>3-31-277</v>
      </c>
      <c r="N334" s="17" t="str">
        <f>IFERROR(VLOOKUP(M334,'LISTA ITEMS (2)'!$E$2:$G$910,2,FALSE),"  ")</f>
        <v>CABLE Nª 6 P/PLACA SOLAR NEGRO</v>
      </c>
      <c r="O334" s="30" t="str">
        <f>IFERROR(VLOOKUP(M334,'LISTA ITEMS (2)'!$E$2:$G$910,3,FALSE)," ")</f>
        <v>MT</v>
      </c>
      <c r="P334" s="176">
        <v>30</v>
      </c>
      <c r="Q334" s="181"/>
      <c r="R334" s="17"/>
      <c r="S334" s="156"/>
    </row>
    <row r="335" spans="1:19" ht="18" x14ac:dyDescent="0.3">
      <c r="A335" s="27">
        <v>333</v>
      </c>
      <c r="B335" s="122">
        <v>19</v>
      </c>
      <c r="C335" s="94">
        <v>19</v>
      </c>
      <c r="D335" s="246"/>
      <c r="E335" s="246"/>
      <c r="F335" s="193" t="s">
        <v>772</v>
      </c>
      <c r="G335" s="20" t="s">
        <v>773</v>
      </c>
      <c r="H335" s="193" t="s">
        <v>798</v>
      </c>
      <c r="I335" s="28">
        <v>46071</v>
      </c>
      <c r="J335" s="16">
        <v>3</v>
      </c>
      <c r="K335" s="16">
        <v>31</v>
      </c>
      <c r="L335" s="16">
        <v>278</v>
      </c>
      <c r="M335" s="247" t="str">
        <f t="shared" si="7"/>
        <v>3-31-278</v>
      </c>
      <c r="N335" s="17" t="str">
        <f>IFERROR(VLOOKUP(M335,'LISTA ITEMS (2)'!$E$2:$G$910,2,FALSE),"  ")</f>
        <v>CABLE Nª 6 P/PLACA SOLAR ROJO</v>
      </c>
      <c r="O335" s="30" t="str">
        <f>IFERROR(VLOOKUP(M335,'LISTA ITEMS (2)'!$E$2:$G$910,3,FALSE)," ")</f>
        <v>MT</v>
      </c>
      <c r="P335" s="176">
        <v>25</v>
      </c>
      <c r="Q335" s="181"/>
      <c r="R335" s="17"/>
      <c r="S335" s="156"/>
    </row>
    <row r="336" spans="1:19" ht="28.8" x14ac:dyDescent="0.3">
      <c r="A336" s="27">
        <v>334</v>
      </c>
      <c r="B336" s="122">
        <v>19</v>
      </c>
      <c r="C336" s="94">
        <v>19</v>
      </c>
      <c r="D336" s="246"/>
      <c r="E336" s="246"/>
      <c r="F336" s="193" t="s">
        <v>772</v>
      </c>
      <c r="G336" s="20" t="s">
        <v>773</v>
      </c>
      <c r="H336" s="193" t="s">
        <v>798</v>
      </c>
      <c r="I336" s="28">
        <v>46071</v>
      </c>
      <c r="J336" s="16">
        <v>7</v>
      </c>
      <c r="K336" s="16">
        <v>54</v>
      </c>
      <c r="L336" s="16">
        <v>295</v>
      </c>
      <c r="M336" s="247" t="str">
        <f t="shared" si="7"/>
        <v>7-54-295</v>
      </c>
      <c r="N336" s="17" t="str">
        <f>IFERROR(VLOOKUP(M336,'LISTA ITEMS (2)'!$E$2:$G$910,2,FALSE),"  ")</f>
        <v>BATERIA LFP LITHIUM DL5.OC (DYNESS)</v>
      </c>
      <c r="O336" s="30" t="str">
        <f>IFERROR(VLOOKUP(M336,'LISTA ITEMS (2)'!$E$2:$G$910,3,FALSE)," ")</f>
        <v>UND</v>
      </c>
      <c r="P336" s="176">
        <v>2</v>
      </c>
      <c r="Q336" s="181"/>
      <c r="R336" s="17" t="s">
        <v>778</v>
      </c>
      <c r="S336" s="156"/>
    </row>
    <row r="337" spans="1:19" ht="28.8" x14ac:dyDescent="0.3">
      <c r="A337" s="27">
        <v>335</v>
      </c>
      <c r="B337" s="122">
        <v>19</v>
      </c>
      <c r="C337" s="94">
        <v>19</v>
      </c>
      <c r="D337" s="246"/>
      <c r="E337" s="246"/>
      <c r="F337" s="193" t="s">
        <v>772</v>
      </c>
      <c r="G337" s="20" t="s">
        <v>773</v>
      </c>
      <c r="H337" s="193" t="s">
        <v>798</v>
      </c>
      <c r="I337" s="28">
        <v>46071</v>
      </c>
      <c r="J337" s="16">
        <v>16</v>
      </c>
      <c r="K337" s="16">
        <v>76</v>
      </c>
      <c r="L337" s="16">
        <v>397</v>
      </c>
      <c r="M337" s="247" t="str">
        <f t="shared" si="7"/>
        <v>16-76-397</v>
      </c>
      <c r="N337" s="17" t="str">
        <f>IFERROR(VLOOKUP(M337,'LISTA ITEMS (2)'!$E$2:$G$910,2,FALSE),"  ")</f>
        <v>RACK MURAL S.ABI1260 12U 635X600X600mm</v>
      </c>
      <c r="O337" s="30" t="str">
        <f>IFERROR(VLOOKUP(M337,'LISTA ITEMS (2)'!$E$2:$G$910,3,FALSE)," ")</f>
        <v>UND</v>
      </c>
      <c r="P337" s="176">
        <v>1</v>
      </c>
      <c r="Q337" s="181"/>
      <c r="R337" s="17"/>
      <c r="S337" s="156"/>
    </row>
    <row r="338" spans="1:19" ht="28.8" x14ac:dyDescent="0.3">
      <c r="A338" s="27">
        <v>336</v>
      </c>
      <c r="B338" s="122">
        <v>19</v>
      </c>
      <c r="C338" s="94">
        <v>19</v>
      </c>
      <c r="D338" s="246"/>
      <c r="E338" s="246"/>
      <c r="F338" s="193" t="s">
        <v>772</v>
      </c>
      <c r="G338" s="20" t="s">
        <v>773</v>
      </c>
      <c r="H338" s="193" t="s">
        <v>798</v>
      </c>
      <c r="I338" s="28">
        <v>46071</v>
      </c>
      <c r="J338" s="16">
        <v>16</v>
      </c>
      <c r="K338" s="16">
        <v>60</v>
      </c>
      <c r="L338" s="16">
        <v>324</v>
      </c>
      <c r="M338" s="247" t="str">
        <f t="shared" si="7"/>
        <v>16-60-324</v>
      </c>
      <c r="N338" s="17" t="str">
        <f>IFERROR(VLOOKUP(M338,'LISTA ITEMS (2)'!$E$2:$G$910,2,FALSE),"  ")</f>
        <v>REGLETA CONEXIÓN ELECTRICA 35mm NEGRA 12Puntos</v>
      </c>
      <c r="O338" s="30" t="str">
        <f>IFERROR(VLOOKUP(M338,'LISTA ITEMS (2)'!$E$2:$G$910,3,FALSE)," ")</f>
        <v>UND</v>
      </c>
      <c r="P338" s="176">
        <v>1</v>
      </c>
      <c r="Q338" s="181"/>
      <c r="R338" s="17"/>
      <c r="S338" s="156"/>
    </row>
    <row r="339" spans="1:19" ht="28.8" x14ac:dyDescent="0.3">
      <c r="A339" s="27">
        <v>337</v>
      </c>
      <c r="B339" s="122">
        <v>19</v>
      </c>
      <c r="C339" s="94">
        <v>19</v>
      </c>
      <c r="D339" s="246"/>
      <c r="E339" s="246"/>
      <c r="F339" s="193" t="s">
        <v>772</v>
      </c>
      <c r="G339" s="20" t="s">
        <v>773</v>
      </c>
      <c r="H339" s="193" t="s">
        <v>798</v>
      </c>
      <c r="I339" s="28">
        <v>46071</v>
      </c>
      <c r="J339" s="16">
        <v>4</v>
      </c>
      <c r="K339" s="16">
        <v>15</v>
      </c>
      <c r="L339" s="16">
        <v>267</v>
      </c>
      <c r="M339" s="247" t="str">
        <f t="shared" si="7"/>
        <v>4-15-267</v>
      </c>
      <c r="N339" s="17" t="str">
        <f>IFERROR(VLOOKUP(M339,'LISTA ITEMS (2)'!$E$2:$G$910,2,FALSE),"  ")</f>
        <v>BARRA PERFORADA PARA REFUERZO 20X10X2MT GALV.</v>
      </c>
      <c r="O339" s="30" t="str">
        <f>IFERROR(VLOOKUP(M339,'LISTA ITEMS (2)'!$E$2:$G$910,3,FALSE)," ")</f>
        <v>UND</v>
      </c>
      <c r="P339" s="176">
        <v>12</v>
      </c>
      <c r="Q339" s="181"/>
      <c r="R339" s="17"/>
      <c r="S339" s="156">
        <v>6</v>
      </c>
    </row>
    <row r="340" spans="1:19" ht="28.8" x14ac:dyDescent="0.3">
      <c r="A340" s="27">
        <v>338</v>
      </c>
      <c r="B340" s="122">
        <v>19</v>
      </c>
      <c r="C340" s="94">
        <v>19</v>
      </c>
      <c r="D340" s="246"/>
      <c r="E340" s="246"/>
      <c r="F340" s="193" t="s">
        <v>772</v>
      </c>
      <c r="G340" s="20" t="s">
        <v>773</v>
      </c>
      <c r="H340" s="193" t="s">
        <v>798</v>
      </c>
      <c r="I340" s="28">
        <v>46071</v>
      </c>
      <c r="J340" s="16">
        <v>4</v>
      </c>
      <c r="K340" s="16">
        <v>15</v>
      </c>
      <c r="L340" s="16">
        <v>326</v>
      </c>
      <c r="M340" s="247" t="str">
        <f t="shared" si="7"/>
        <v>4-15-326</v>
      </c>
      <c r="N340" s="17" t="str">
        <f>IFERROR(VLOOKUP(M340,'LISTA ITEMS (2)'!$E$2:$G$910,2,FALSE),"  ")</f>
        <v>BARRA PERFORADA PARA REFUERZO 27x18x2MT GALV.</v>
      </c>
      <c r="O340" s="30" t="str">
        <f>IFERROR(VLOOKUP(M340,'LISTA ITEMS (2)'!$E$2:$G$910,3,FALSE)," ")</f>
        <v>UND</v>
      </c>
      <c r="P340" s="176">
        <v>1</v>
      </c>
      <c r="Q340" s="181"/>
      <c r="R340" s="17"/>
      <c r="S340" s="156"/>
    </row>
    <row r="341" spans="1:19" ht="28.8" x14ac:dyDescent="0.3">
      <c r="A341" s="27">
        <v>339</v>
      </c>
      <c r="B341" s="206">
        <v>20</v>
      </c>
      <c r="C341" s="207">
        <v>20</v>
      </c>
      <c r="D341" s="224"/>
      <c r="E341" s="224"/>
      <c r="F341" s="208" t="s">
        <v>780</v>
      </c>
      <c r="G341" s="209" t="s">
        <v>781</v>
      </c>
      <c r="H341" s="208" t="s">
        <v>782</v>
      </c>
      <c r="I341" s="210">
        <v>46071</v>
      </c>
      <c r="J341" s="211">
        <v>16</v>
      </c>
      <c r="K341" s="211">
        <v>47</v>
      </c>
      <c r="L341" s="211">
        <v>318</v>
      </c>
      <c r="M341" s="212" t="str">
        <f t="shared" si="7"/>
        <v>16-47-318</v>
      </c>
      <c r="N341" s="213" t="str">
        <f>IFERROR(VLOOKUP(M341,'LISTA ITEMS (2)'!$E$2:$G$910,2,FALSE),"  ")</f>
        <v>DIFERENCIAL EPR2A040030 2P-40A-30mA (MAXGE)</v>
      </c>
      <c r="O341" s="214" t="str">
        <f>IFERROR(VLOOKUP(M341,'LISTA ITEMS (2)'!$E$2:$G$910,3,FALSE)," ")</f>
        <v>UND</v>
      </c>
      <c r="P341" s="215">
        <v>1</v>
      </c>
      <c r="Q341" s="260"/>
      <c r="R341" s="213"/>
      <c r="S341" s="156">
        <v>0</v>
      </c>
    </row>
    <row r="342" spans="1:19" ht="36" x14ac:dyDescent="0.3">
      <c r="A342" s="27">
        <v>340</v>
      </c>
      <c r="B342" s="65">
        <v>21</v>
      </c>
      <c r="C342" s="50">
        <v>21</v>
      </c>
      <c r="D342" s="220"/>
      <c r="E342" s="220"/>
      <c r="F342" s="270" t="s">
        <v>800</v>
      </c>
      <c r="G342" s="270" t="s">
        <v>471</v>
      </c>
      <c r="H342" s="270" t="s">
        <v>799</v>
      </c>
      <c r="I342" s="124">
        <v>46072</v>
      </c>
      <c r="J342" s="72">
        <v>7</v>
      </c>
      <c r="K342" s="72">
        <v>35</v>
      </c>
      <c r="L342" s="72">
        <v>327</v>
      </c>
      <c r="M342" s="89" t="str">
        <f t="shared" si="7"/>
        <v>7-35-327</v>
      </c>
      <c r="N342" s="90" t="str">
        <f>IFERROR(VLOOKUP(M342,'LISTA ITEMS (2)'!$E$2:$G$910,2,FALSE),"  ")</f>
        <v xml:space="preserve">INVERSOR 48/5000/70-50-230V MULTIPLUS (VICTROM ENERGY)  </v>
      </c>
      <c r="O342" s="91" t="str">
        <f>IFERROR(VLOOKUP(M342,'LISTA ITEMS (2)'!$E$2:$G$910,3,FALSE)," ")</f>
        <v>UND</v>
      </c>
      <c r="P342" s="170">
        <v>1</v>
      </c>
      <c r="Q342" s="123"/>
      <c r="R342" s="90" t="s">
        <v>783</v>
      </c>
      <c r="S342" s="156"/>
    </row>
    <row r="343" spans="1:19" ht="36" x14ac:dyDescent="0.3">
      <c r="A343" s="27">
        <v>341</v>
      </c>
      <c r="B343" s="65">
        <v>21</v>
      </c>
      <c r="C343" s="50">
        <v>21</v>
      </c>
      <c r="D343" s="220"/>
      <c r="E343" s="220"/>
      <c r="F343" s="270" t="s">
        <v>800</v>
      </c>
      <c r="G343" s="270" t="s">
        <v>471</v>
      </c>
      <c r="H343" s="270" t="s">
        <v>799</v>
      </c>
      <c r="I343" s="124">
        <v>46072</v>
      </c>
      <c r="J343" s="72">
        <v>10</v>
      </c>
      <c r="K343" s="72">
        <v>37</v>
      </c>
      <c r="L343" s="72">
        <v>330</v>
      </c>
      <c r="M343" s="89" t="str">
        <f t="shared" si="7"/>
        <v>10-37-330</v>
      </c>
      <c r="N343" s="90" t="str">
        <f>IFERROR(VLOOKUP(M343,'LISTA ITEMS (2)'!$E$2:$G$910,2,FALSE),"  ")</f>
        <v>SOPORTE EN L ALUMINIO GRIS</v>
      </c>
      <c r="O343" s="91" t="str">
        <f>IFERROR(VLOOKUP(M343,'LISTA ITEMS (2)'!$E$2:$G$910,3,FALSE)," ")</f>
        <v>UND</v>
      </c>
      <c r="P343" s="170">
        <v>20</v>
      </c>
      <c r="Q343" s="123"/>
      <c r="R343" s="90"/>
      <c r="S343" s="156"/>
    </row>
    <row r="344" spans="1:19" ht="36" x14ac:dyDescent="0.3">
      <c r="A344" s="27">
        <v>342</v>
      </c>
      <c r="B344" s="65">
        <v>21</v>
      </c>
      <c r="C344" s="50">
        <v>21</v>
      </c>
      <c r="D344" s="220"/>
      <c r="E344" s="220"/>
      <c r="F344" s="270" t="s">
        <v>800</v>
      </c>
      <c r="G344" s="270" t="s">
        <v>471</v>
      </c>
      <c r="H344" s="270" t="s">
        <v>799</v>
      </c>
      <c r="I344" s="124">
        <v>46072</v>
      </c>
      <c r="J344" s="72">
        <v>10</v>
      </c>
      <c r="K344" s="72">
        <v>37</v>
      </c>
      <c r="L344" s="72">
        <v>232</v>
      </c>
      <c r="M344" s="89" t="str">
        <f t="shared" si="7"/>
        <v>10-37-232</v>
      </c>
      <c r="N344" s="90" t="str">
        <f>IFERROR(VLOOKUP(M344,'LISTA ITEMS (2)'!$E$2:$G$910,2,FALSE),"  ")</f>
        <v>SOPORTE CENTRAL NEGRO</v>
      </c>
      <c r="O344" s="91" t="str">
        <f>IFERROR(VLOOKUP(M344,'LISTA ITEMS (2)'!$E$2:$G$910,3,FALSE)," ")</f>
        <v>UND</v>
      </c>
      <c r="P344" s="170">
        <v>20</v>
      </c>
      <c r="Q344" s="123"/>
      <c r="R344" s="90"/>
      <c r="S344" s="156"/>
    </row>
    <row r="345" spans="1:19" ht="36" x14ac:dyDescent="0.3">
      <c r="A345" s="27">
        <v>343</v>
      </c>
      <c r="B345" s="65">
        <v>21</v>
      </c>
      <c r="C345" s="50">
        <v>21</v>
      </c>
      <c r="D345" s="220"/>
      <c r="E345" s="220"/>
      <c r="F345" s="270" t="s">
        <v>800</v>
      </c>
      <c r="G345" s="270" t="s">
        <v>471</v>
      </c>
      <c r="H345" s="270" t="s">
        <v>799</v>
      </c>
      <c r="I345" s="124">
        <v>46072</v>
      </c>
      <c r="J345" s="72">
        <v>10</v>
      </c>
      <c r="K345" s="72">
        <v>37</v>
      </c>
      <c r="L345" s="72">
        <v>315</v>
      </c>
      <c r="M345" s="89" t="str">
        <f t="shared" si="7"/>
        <v>10-37-315</v>
      </c>
      <c r="N345" s="90" t="str">
        <f>IFERROR(VLOOKUP(M345,'LISTA ITEMS (2)'!$E$2:$G$910,2,FALSE),"  ")</f>
        <v>SOPORTE FINAL NEGRO</v>
      </c>
      <c r="O345" s="91" t="str">
        <f>IFERROR(VLOOKUP(M345,'LISTA ITEMS (2)'!$E$2:$G$910,3,FALSE)," ")</f>
        <v>UND</v>
      </c>
      <c r="P345" s="170">
        <v>16</v>
      </c>
      <c r="Q345" s="123"/>
      <c r="R345" s="90"/>
      <c r="S345" s="156"/>
    </row>
    <row r="346" spans="1:19" ht="36" x14ac:dyDescent="0.3">
      <c r="A346" s="27">
        <v>344</v>
      </c>
      <c r="B346" s="65">
        <v>21</v>
      </c>
      <c r="C346" s="50">
        <v>21</v>
      </c>
      <c r="D346" s="220"/>
      <c r="E346" s="220"/>
      <c r="F346" s="270" t="s">
        <v>800</v>
      </c>
      <c r="G346" s="270" t="s">
        <v>471</v>
      </c>
      <c r="H346" s="270" t="s">
        <v>799</v>
      </c>
      <c r="I346" s="124">
        <v>46072</v>
      </c>
      <c r="J346" s="72">
        <v>10</v>
      </c>
      <c r="K346" s="72">
        <v>43</v>
      </c>
      <c r="L346" s="72">
        <v>270</v>
      </c>
      <c r="M346" s="89" t="str">
        <f t="shared" si="7"/>
        <v>10-43-270</v>
      </c>
      <c r="N346" s="90" t="str">
        <f>IFERROR(VLOOKUP(M346,'LISTA ITEMS (2)'!$E$2:$G$910,2,FALSE),"  ")</f>
        <v>EMPALME ALUMINIO P/BARRA</v>
      </c>
      <c r="O346" s="91" t="str">
        <f>IFERROR(VLOOKUP(M346,'LISTA ITEMS (2)'!$E$2:$G$910,3,FALSE)," ")</f>
        <v>UND</v>
      </c>
      <c r="P346" s="170">
        <v>8</v>
      </c>
      <c r="Q346" s="123"/>
      <c r="R346" s="90"/>
      <c r="S346" s="156"/>
    </row>
    <row r="347" spans="1:19" ht="36" x14ac:dyDescent="0.3">
      <c r="A347" s="27">
        <v>345</v>
      </c>
      <c r="B347" s="65">
        <v>21</v>
      </c>
      <c r="C347" s="50">
        <v>21</v>
      </c>
      <c r="D347" s="220"/>
      <c r="E347" s="220"/>
      <c r="F347" s="270" t="s">
        <v>800</v>
      </c>
      <c r="G347" s="270" t="s">
        <v>471</v>
      </c>
      <c r="H347" s="270" t="s">
        <v>799</v>
      </c>
      <c r="I347" s="124">
        <v>46072</v>
      </c>
      <c r="J347" s="72">
        <v>6</v>
      </c>
      <c r="K347" s="72">
        <v>23</v>
      </c>
      <c r="L347" s="72">
        <v>192</v>
      </c>
      <c r="M347" s="89" t="str">
        <f t="shared" si="7"/>
        <v>6-23-192</v>
      </c>
      <c r="N347" s="90" t="str">
        <f>IFERROR(VLOOKUP(M347,'LISTA ITEMS (2)'!$E$2:$G$910,2,FALSE),"  ")</f>
        <v xml:space="preserve">CINTA ACERO PERFORADA PARA MONTAJE </v>
      </c>
      <c r="O347" s="91" t="str">
        <f>IFERROR(VLOOKUP(M347,'LISTA ITEMS (2)'!$E$2:$G$910,3,FALSE)," ")</f>
        <v>UND</v>
      </c>
      <c r="P347" s="170">
        <v>1</v>
      </c>
      <c r="Q347" s="123"/>
      <c r="R347" s="90"/>
      <c r="S347" s="156"/>
    </row>
    <row r="348" spans="1:19" ht="36" x14ac:dyDescent="0.3">
      <c r="A348" s="27">
        <v>346</v>
      </c>
      <c r="B348" s="65">
        <v>21</v>
      </c>
      <c r="C348" s="50">
        <v>21</v>
      </c>
      <c r="D348" s="220"/>
      <c r="E348" s="220"/>
      <c r="F348" s="270" t="s">
        <v>800</v>
      </c>
      <c r="G348" s="270" t="s">
        <v>471</v>
      </c>
      <c r="H348" s="270" t="s">
        <v>799</v>
      </c>
      <c r="I348" s="124">
        <v>46072</v>
      </c>
      <c r="J348" s="72">
        <v>10</v>
      </c>
      <c r="K348" s="72">
        <v>15</v>
      </c>
      <c r="L348" s="72">
        <v>269</v>
      </c>
      <c r="M348" s="89" t="str">
        <f t="shared" si="7"/>
        <v>10-15-269</v>
      </c>
      <c r="N348" s="90" t="str">
        <f>IFERROR(VLOOKUP(M348,'LISTA ITEMS (2)'!$E$2:$G$910,2,FALSE),"  ")</f>
        <v>BARRA ALUMINIO PARA ESTRUCTURA  3.60mt</v>
      </c>
      <c r="O348" s="91" t="str">
        <f>IFERROR(VLOOKUP(M348,'LISTA ITEMS (2)'!$E$2:$G$910,3,FALSE)," ")</f>
        <v>UND</v>
      </c>
      <c r="P348" s="170">
        <v>5</v>
      </c>
      <c r="Q348" s="123"/>
      <c r="R348" s="90"/>
      <c r="S348" s="156">
        <v>2</v>
      </c>
    </row>
    <row r="349" spans="1:19" ht="36" x14ac:dyDescent="0.3">
      <c r="A349" s="27">
        <v>347</v>
      </c>
      <c r="B349" s="65">
        <v>21</v>
      </c>
      <c r="C349" s="50">
        <v>21</v>
      </c>
      <c r="D349" s="220"/>
      <c r="E349" s="220"/>
      <c r="F349" s="270" t="s">
        <v>800</v>
      </c>
      <c r="G349" s="270" t="s">
        <v>471</v>
      </c>
      <c r="H349" s="270" t="s">
        <v>799</v>
      </c>
      <c r="I349" s="124">
        <v>46072</v>
      </c>
      <c r="J349" s="72">
        <v>10</v>
      </c>
      <c r="K349" s="72">
        <v>42</v>
      </c>
      <c r="L349" s="72">
        <v>268</v>
      </c>
      <c r="M349" s="89" t="str">
        <f t="shared" si="7"/>
        <v>10-42-268</v>
      </c>
      <c r="N349" s="90" t="str">
        <f>IFERROR(VLOOKUP(M349,'LISTA ITEMS (2)'!$E$2:$G$910,2,FALSE),"  ")</f>
        <v>PATA ALUMINIO PARA ESTRUCTURA PLACA SOLAR ANGULO 30º</v>
      </c>
      <c r="O349" s="91" t="str">
        <f>IFERROR(VLOOKUP(M349,'LISTA ITEMS (2)'!$E$2:$G$910,3,FALSE)," ")</f>
        <v>UND</v>
      </c>
      <c r="P349" s="170">
        <v>7</v>
      </c>
      <c r="Q349" s="123"/>
      <c r="R349" s="90"/>
      <c r="S349" s="156"/>
    </row>
    <row r="350" spans="1:19" ht="36" x14ac:dyDescent="0.3">
      <c r="A350" s="27">
        <v>348</v>
      </c>
      <c r="B350" s="65">
        <v>21</v>
      </c>
      <c r="C350" s="50">
        <v>21</v>
      </c>
      <c r="D350" s="220"/>
      <c r="E350" s="220"/>
      <c r="F350" s="270" t="s">
        <v>800</v>
      </c>
      <c r="G350" s="270" t="s">
        <v>471</v>
      </c>
      <c r="H350" s="270" t="s">
        <v>799</v>
      </c>
      <c r="I350" s="124">
        <v>46072</v>
      </c>
      <c r="J350" s="72">
        <v>7</v>
      </c>
      <c r="K350" s="72">
        <v>38</v>
      </c>
      <c r="L350" s="72">
        <v>247</v>
      </c>
      <c r="M350" s="89" t="str">
        <f t="shared" si="7"/>
        <v>7-38-247</v>
      </c>
      <c r="N350" s="90" t="str">
        <f>IFERROR(VLOOKUP(M350,'LISTA ITEMS (2)'!$E$2:$G$910,2,FALSE),"  ")</f>
        <v>PLACA SOLAR JAM60D42-535LB 535W / 44.13V</v>
      </c>
      <c r="O350" s="91" t="str">
        <f>IFERROR(VLOOKUP(M350,'LISTA ITEMS (2)'!$E$2:$G$910,3,FALSE)," ")</f>
        <v>UND</v>
      </c>
      <c r="P350" s="170">
        <v>8</v>
      </c>
      <c r="Q350" s="123"/>
      <c r="R350" s="90"/>
      <c r="S350" s="156"/>
    </row>
    <row r="351" spans="1:19" ht="36" x14ac:dyDescent="0.3">
      <c r="A351" s="27">
        <v>349</v>
      </c>
      <c r="B351" s="122">
        <v>22</v>
      </c>
      <c r="C351" s="94">
        <v>22</v>
      </c>
      <c r="D351" s="246"/>
      <c r="E351" s="246"/>
      <c r="F351" s="193" t="s">
        <v>802</v>
      </c>
      <c r="G351" s="20" t="s">
        <v>787</v>
      </c>
      <c r="H351" s="193" t="s">
        <v>822</v>
      </c>
      <c r="I351" s="28">
        <v>46072</v>
      </c>
      <c r="J351" s="16">
        <v>10</v>
      </c>
      <c r="K351" s="16">
        <v>37</v>
      </c>
      <c r="L351" s="16">
        <v>330</v>
      </c>
      <c r="M351" s="247" t="str">
        <f t="shared" si="7"/>
        <v>10-37-330</v>
      </c>
      <c r="N351" s="17" t="str">
        <f>IFERROR(VLOOKUP(M351,'LISTA ITEMS (2)'!$E$2:$G$910,2,FALSE),"  ")</f>
        <v>SOPORTE EN L ALUMINIO GRIS</v>
      </c>
      <c r="O351" s="30" t="str">
        <f>IFERROR(VLOOKUP(M351,'LISTA ITEMS (2)'!$E$2:$G$910,3,FALSE)," ")</f>
        <v>UND</v>
      </c>
      <c r="P351" s="176">
        <v>50</v>
      </c>
      <c r="Q351" s="181"/>
      <c r="R351" s="17"/>
      <c r="S351" s="156">
        <v>20</v>
      </c>
    </row>
    <row r="352" spans="1:19" ht="36" x14ac:dyDescent="0.3">
      <c r="A352" s="27">
        <v>350</v>
      </c>
      <c r="B352" s="122">
        <v>22</v>
      </c>
      <c r="C352" s="94">
        <v>22</v>
      </c>
      <c r="D352" s="246"/>
      <c r="E352" s="246"/>
      <c r="F352" s="193" t="s">
        <v>802</v>
      </c>
      <c r="G352" s="20" t="s">
        <v>787</v>
      </c>
      <c r="H352" s="193" t="s">
        <v>822</v>
      </c>
      <c r="I352" s="28">
        <v>46072</v>
      </c>
      <c r="J352" s="16">
        <v>10</v>
      </c>
      <c r="K352" s="16">
        <v>37</v>
      </c>
      <c r="L352" s="16">
        <v>232</v>
      </c>
      <c r="M352" s="247" t="str">
        <f t="shared" si="7"/>
        <v>10-37-232</v>
      </c>
      <c r="N352" s="17" t="str">
        <f>IFERROR(VLOOKUP(M352,'LISTA ITEMS (2)'!$E$2:$G$910,2,FALSE),"  ")</f>
        <v>SOPORTE CENTRAL NEGRO</v>
      </c>
      <c r="O352" s="30" t="str">
        <f>IFERROR(VLOOKUP(M352,'LISTA ITEMS (2)'!$E$2:$G$910,3,FALSE)," ")</f>
        <v>UND</v>
      </c>
      <c r="P352" s="176">
        <v>45</v>
      </c>
      <c r="Q352" s="181"/>
      <c r="R352" s="17"/>
      <c r="S352" s="156">
        <v>15</v>
      </c>
    </row>
    <row r="353" spans="1:19" ht="36" x14ac:dyDescent="0.3">
      <c r="A353" s="27">
        <v>351</v>
      </c>
      <c r="B353" s="122">
        <v>22</v>
      </c>
      <c r="C353" s="94">
        <v>22</v>
      </c>
      <c r="D353" s="246"/>
      <c r="E353" s="246"/>
      <c r="F353" s="193" t="s">
        <v>802</v>
      </c>
      <c r="G353" s="20" t="s">
        <v>787</v>
      </c>
      <c r="H353" s="193" t="s">
        <v>822</v>
      </c>
      <c r="I353" s="28">
        <v>46072</v>
      </c>
      <c r="J353" s="16">
        <v>10</v>
      </c>
      <c r="K353" s="16">
        <v>37</v>
      </c>
      <c r="L353" s="16">
        <v>315</v>
      </c>
      <c r="M353" s="247" t="str">
        <f t="shared" si="7"/>
        <v>10-37-315</v>
      </c>
      <c r="N353" s="17" t="str">
        <f>IFERROR(VLOOKUP(M353,'LISTA ITEMS (2)'!$E$2:$G$910,2,FALSE),"  ")</f>
        <v>SOPORTE FINAL NEGRO</v>
      </c>
      <c r="O353" s="30" t="str">
        <f>IFERROR(VLOOKUP(M353,'LISTA ITEMS (2)'!$E$2:$G$910,3,FALSE)," ")</f>
        <v>UND</v>
      </c>
      <c r="P353" s="176">
        <v>40</v>
      </c>
      <c r="Q353" s="181"/>
      <c r="R353" s="17"/>
      <c r="S353" s="156">
        <v>15</v>
      </c>
    </row>
    <row r="354" spans="1:19" ht="36" x14ac:dyDescent="0.3">
      <c r="A354" s="27">
        <v>352</v>
      </c>
      <c r="B354" s="122">
        <v>22</v>
      </c>
      <c r="C354" s="94">
        <v>22</v>
      </c>
      <c r="D354" s="246"/>
      <c r="E354" s="246"/>
      <c r="F354" s="193" t="s">
        <v>802</v>
      </c>
      <c r="G354" s="20" t="s">
        <v>787</v>
      </c>
      <c r="H354" s="193" t="s">
        <v>822</v>
      </c>
      <c r="I354" s="28">
        <v>46072</v>
      </c>
      <c r="J354" s="16">
        <v>10</v>
      </c>
      <c r="K354" s="16">
        <v>43</v>
      </c>
      <c r="L354" s="16">
        <v>270</v>
      </c>
      <c r="M354" s="247" t="str">
        <f t="shared" si="7"/>
        <v>10-43-270</v>
      </c>
      <c r="N354" s="17" t="str">
        <f>IFERROR(VLOOKUP(M354,'LISTA ITEMS (2)'!$E$2:$G$910,2,FALSE),"  ")</f>
        <v>EMPALME ALUMINIO P/BARRA</v>
      </c>
      <c r="O354" s="30" t="str">
        <f>IFERROR(VLOOKUP(M354,'LISTA ITEMS (2)'!$E$2:$G$910,3,FALSE)," ")</f>
        <v>UND</v>
      </c>
      <c r="P354" s="176">
        <v>12</v>
      </c>
      <c r="Q354" s="181"/>
      <c r="R354" s="17"/>
      <c r="S354" s="156">
        <v>6</v>
      </c>
    </row>
    <row r="355" spans="1:19" ht="36" x14ac:dyDescent="0.3">
      <c r="A355" s="27">
        <v>353</v>
      </c>
      <c r="B355" s="122">
        <v>22</v>
      </c>
      <c r="C355" s="94">
        <v>22</v>
      </c>
      <c r="D355" s="246"/>
      <c r="E355" s="246"/>
      <c r="F355" s="193" t="s">
        <v>802</v>
      </c>
      <c r="G355" s="20" t="s">
        <v>787</v>
      </c>
      <c r="H355" s="193" t="s">
        <v>822</v>
      </c>
      <c r="I355" s="28">
        <v>46072</v>
      </c>
      <c r="J355" s="16">
        <v>6</v>
      </c>
      <c r="K355" s="16">
        <v>23</v>
      </c>
      <c r="L355" s="16">
        <v>192</v>
      </c>
      <c r="M355" s="247" t="str">
        <f t="shared" si="7"/>
        <v>6-23-192</v>
      </c>
      <c r="N355" s="17" t="str">
        <f>IFERROR(VLOOKUP(M355,'LISTA ITEMS (2)'!$E$2:$G$910,2,FALSE),"  ")</f>
        <v xml:space="preserve">CINTA ACERO PERFORADA PARA MONTAJE </v>
      </c>
      <c r="O355" s="30" t="str">
        <f>IFERROR(VLOOKUP(M355,'LISTA ITEMS (2)'!$E$2:$G$910,3,FALSE)," ")</f>
        <v>UND</v>
      </c>
      <c r="P355" s="176">
        <v>1</v>
      </c>
      <c r="Q355" s="181"/>
      <c r="R355" s="17"/>
      <c r="S355" s="156"/>
    </row>
    <row r="356" spans="1:19" ht="36" x14ac:dyDescent="0.3">
      <c r="A356" s="27">
        <v>354</v>
      </c>
      <c r="B356" s="122">
        <v>22</v>
      </c>
      <c r="C356" s="94">
        <v>22</v>
      </c>
      <c r="D356" s="246"/>
      <c r="E356" s="246"/>
      <c r="F356" s="193" t="s">
        <v>802</v>
      </c>
      <c r="G356" s="20" t="s">
        <v>787</v>
      </c>
      <c r="H356" s="193" t="s">
        <v>822</v>
      </c>
      <c r="I356" s="28">
        <v>46072</v>
      </c>
      <c r="J356" s="16">
        <v>10</v>
      </c>
      <c r="K356" s="16">
        <v>15</v>
      </c>
      <c r="L356" s="16">
        <v>269</v>
      </c>
      <c r="M356" s="247" t="str">
        <f t="shared" si="7"/>
        <v>10-15-269</v>
      </c>
      <c r="N356" s="17" t="str">
        <f>IFERROR(VLOOKUP(M356,'LISTA ITEMS (2)'!$E$2:$G$910,2,FALSE),"  ")</f>
        <v>BARRA ALUMINIO PARA ESTRUCTURA  3.60mt</v>
      </c>
      <c r="O356" s="30" t="str">
        <f>IFERROR(VLOOKUP(M356,'LISTA ITEMS (2)'!$E$2:$G$910,3,FALSE)," ")</f>
        <v>UND</v>
      </c>
      <c r="P356" s="176">
        <v>12</v>
      </c>
      <c r="Q356" s="181"/>
      <c r="R356" s="17"/>
      <c r="S356" s="156">
        <v>6</v>
      </c>
    </row>
    <row r="357" spans="1:19" ht="36" x14ac:dyDescent="0.3">
      <c r="A357" s="27">
        <v>355</v>
      </c>
      <c r="B357" s="122">
        <v>22</v>
      </c>
      <c r="C357" s="94">
        <v>22</v>
      </c>
      <c r="D357" s="246"/>
      <c r="E357" s="246"/>
      <c r="F357" s="193" t="s">
        <v>802</v>
      </c>
      <c r="G357" s="20" t="s">
        <v>787</v>
      </c>
      <c r="H357" s="193" t="s">
        <v>822</v>
      </c>
      <c r="I357" s="28">
        <v>46072</v>
      </c>
      <c r="J357" s="16">
        <v>16</v>
      </c>
      <c r="K357" s="16">
        <v>45</v>
      </c>
      <c r="L357" s="16">
        <v>294</v>
      </c>
      <c r="M357" s="247" t="str">
        <f t="shared" si="7"/>
        <v>16-45-294</v>
      </c>
      <c r="N357" s="17" t="str">
        <f>IFERROR(VLOOKUP(M357,'LISTA ITEMS (2)'!$E$2:$G$910,2,FALSE),"  ")</f>
        <v>CAJA DE ESTANCA 133X180X80 EV161 (IDE)</v>
      </c>
      <c r="O357" s="30" t="str">
        <f>IFERROR(VLOOKUP(M357,'LISTA ITEMS (2)'!$E$2:$G$910,3,FALSE)," ")</f>
        <v>UND</v>
      </c>
      <c r="P357" s="176">
        <v>1</v>
      </c>
      <c r="Q357" s="181"/>
      <c r="R357" s="17"/>
      <c r="S357" s="156"/>
    </row>
    <row r="358" spans="1:19" ht="36" x14ac:dyDescent="0.3">
      <c r="A358" s="27">
        <v>356</v>
      </c>
      <c r="B358" s="122">
        <v>22</v>
      </c>
      <c r="C358" s="94">
        <v>22</v>
      </c>
      <c r="D358" s="246"/>
      <c r="E358" s="246"/>
      <c r="F358" s="193" t="s">
        <v>802</v>
      </c>
      <c r="G358" s="20" t="s">
        <v>787</v>
      </c>
      <c r="H358" s="193" t="s">
        <v>822</v>
      </c>
      <c r="I358" s="28">
        <v>46072</v>
      </c>
      <c r="J358" s="16">
        <v>13</v>
      </c>
      <c r="K358" s="16">
        <v>21</v>
      </c>
      <c r="L358" s="16">
        <v>181</v>
      </c>
      <c r="M358" s="247" t="str">
        <f t="shared" si="7"/>
        <v>13-21-181</v>
      </c>
      <c r="N358" s="17" t="str">
        <f>IFERROR(VLOOKUP(M358,'LISTA ITEMS (2)'!$E$2:$G$910,2,FALSE),"  ")</f>
        <v>TACO P/BRIDA NEGRO</v>
      </c>
      <c r="O358" s="30" t="str">
        <f>IFERROR(VLOOKUP(M358,'LISTA ITEMS (2)'!$E$2:$G$910,3,FALSE)," ")</f>
        <v>UND</v>
      </c>
      <c r="P358" s="176">
        <v>100</v>
      </c>
      <c r="Q358" s="181"/>
      <c r="R358" s="17"/>
      <c r="S358" s="156"/>
    </row>
    <row r="359" spans="1:19" ht="36" x14ac:dyDescent="0.3">
      <c r="A359" s="27">
        <v>357</v>
      </c>
      <c r="B359" s="122">
        <v>22</v>
      </c>
      <c r="C359" s="94">
        <v>22</v>
      </c>
      <c r="D359" s="246"/>
      <c r="E359" s="246"/>
      <c r="F359" s="193" t="s">
        <v>802</v>
      </c>
      <c r="G359" s="20" t="s">
        <v>787</v>
      </c>
      <c r="H359" s="193" t="s">
        <v>822</v>
      </c>
      <c r="I359" s="28">
        <v>46072</v>
      </c>
      <c r="J359" s="16">
        <v>13</v>
      </c>
      <c r="K359" s="16">
        <v>22</v>
      </c>
      <c r="L359" s="16">
        <v>184</v>
      </c>
      <c r="M359" s="247" t="str">
        <f t="shared" si="7"/>
        <v>13-22-184</v>
      </c>
      <c r="N359" s="17" t="str">
        <f>IFERROR(VLOOKUP(M359,'LISTA ITEMS (2)'!$E$2:$G$910,2,FALSE),"  ")</f>
        <v>BRIDA P/EXTERIOR NEGRA</v>
      </c>
      <c r="O359" s="30" t="str">
        <f>IFERROR(VLOOKUP(M359,'LISTA ITEMS (2)'!$E$2:$G$910,3,FALSE)," ")</f>
        <v>UND</v>
      </c>
      <c r="P359" s="176">
        <v>200</v>
      </c>
      <c r="Q359" s="181"/>
      <c r="R359" s="17"/>
      <c r="S359" s="156">
        <v>100</v>
      </c>
    </row>
    <row r="360" spans="1:19" ht="36" x14ac:dyDescent="0.3">
      <c r="A360" s="27">
        <v>358</v>
      </c>
      <c r="B360" s="122">
        <v>22</v>
      </c>
      <c r="C360" s="94">
        <v>22</v>
      </c>
      <c r="D360" s="246"/>
      <c r="E360" s="246"/>
      <c r="F360" s="193" t="s">
        <v>802</v>
      </c>
      <c r="G360" s="20" t="s">
        <v>787</v>
      </c>
      <c r="H360" s="193" t="s">
        <v>822</v>
      </c>
      <c r="I360" s="28">
        <v>46072</v>
      </c>
      <c r="J360" s="16">
        <v>14</v>
      </c>
      <c r="K360" s="16">
        <v>24</v>
      </c>
      <c r="L360" s="16">
        <v>193</v>
      </c>
      <c r="M360" s="247" t="str">
        <f t="shared" si="7"/>
        <v>14-24-193</v>
      </c>
      <c r="N360" s="17" t="str">
        <f>IFERROR(VLOOKUP(M360,'LISTA ITEMS (2)'!$E$2:$G$910,2,FALSE),"  ")</f>
        <v>DISCO CORTE ACERO/INOX A1 2EN1</v>
      </c>
      <c r="O360" s="30" t="str">
        <f>IFERROR(VLOOKUP(M360,'LISTA ITEMS (2)'!$E$2:$G$910,3,FALSE)," ")</f>
        <v>UND</v>
      </c>
      <c r="P360" s="176">
        <v>4</v>
      </c>
      <c r="Q360" s="181"/>
      <c r="R360" s="17"/>
      <c r="S360" s="156">
        <v>2</v>
      </c>
    </row>
    <row r="361" spans="1:19" ht="36" x14ac:dyDescent="0.3">
      <c r="A361" s="27">
        <v>359</v>
      </c>
      <c r="B361" s="122">
        <v>22</v>
      </c>
      <c r="C361" s="94">
        <v>22</v>
      </c>
      <c r="D361" s="246"/>
      <c r="E361" s="246"/>
      <c r="F361" s="193" t="s">
        <v>802</v>
      </c>
      <c r="G361" s="20" t="s">
        <v>787</v>
      </c>
      <c r="H361" s="193" t="s">
        <v>822</v>
      </c>
      <c r="I361" s="28">
        <v>46072</v>
      </c>
      <c r="J361" s="16">
        <v>3</v>
      </c>
      <c r="K361" s="16">
        <v>31</v>
      </c>
      <c r="L361" s="16">
        <v>277</v>
      </c>
      <c r="M361" s="247" t="str">
        <f t="shared" si="7"/>
        <v>3-31-277</v>
      </c>
      <c r="N361" s="17" t="str">
        <f>IFERROR(VLOOKUP(M361,'LISTA ITEMS (2)'!$E$2:$G$910,2,FALSE),"  ")</f>
        <v>CABLE Nª 6 P/PLACA SOLAR NEGRO</v>
      </c>
      <c r="O361" s="30" t="str">
        <f>IFERROR(VLOOKUP(M361,'LISTA ITEMS (2)'!$E$2:$G$910,3,FALSE)," ")</f>
        <v>MT</v>
      </c>
      <c r="P361" s="176">
        <v>30</v>
      </c>
      <c r="Q361" s="181"/>
      <c r="R361" s="17"/>
      <c r="S361" s="156"/>
    </row>
    <row r="362" spans="1:19" ht="36" x14ac:dyDescent="0.3">
      <c r="A362" s="27">
        <v>360</v>
      </c>
      <c r="B362" s="122">
        <v>22</v>
      </c>
      <c r="C362" s="94">
        <v>22</v>
      </c>
      <c r="D362" s="246"/>
      <c r="E362" s="246"/>
      <c r="F362" s="193" t="s">
        <v>802</v>
      </c>
      <c r="G362" s="20" t="s">
        <v>787</v>
      </c>
      <c r="H362" s="193" t="s">
        <v>822</v>
      </c>
      <c r="I362" s="28">
        <v>46072</v>
      </c>
      <c r="J362" s="16">
        <v>17</v>
      </c>
      <c r="K362" s="16">
        <v>44</v>
      </c>
      <c r="L362" s="16">
        <v>273</v>
      </c>
      <c r="M362" s="247" t="str">
        <f t="shared" si="7"/>
        <v>17-44-273</v>
      </c>
      <c r="N362" s="17" t="str">
        <f>IFERROR(VLOOKUP(M362,'LISTA ITEMS (2)'!$E$2:$G$910,2,FALSE),"  ")</f>
        <v>SELLANTE QUIMICO TACO</v>
      </c>
      <c r="O362" s="30" t="str">
        <f>IFERROR(VLOOKUP(M362,'LISTA ITEMS (2)'!$E$2:$G$910,3,FALSE)," ")</f>
        <v>UND</v>
      </c>
      <c r="P362" s="176">
        <v>6</v>
      </c>
      <c r="Q362" s="181"/>
      <c r="R362" s="17"/>
      <c r="S362" s="156">
        <v>3</v>
      </c>
    </row>
    <row r="363" spans="1:19" ht="36" x14ac:dyDescent="0.3">
      <c r="A363" s="27">
        <v>361</v>
      </c>
      <c r="B363" s="122">
        <v>22</v>
      </c>
      <c r="C363" s="94">
        <v>22</v>
      </c>
      <c r="D363" s="246"/>
      <c r="E363" s="246"/>
      <c r="F363" s="193" t="s">
        <v>802</v>
      </c>
      <c r="G363" s="20" t="s">
        <v>787</v>
      </c>
      <c r="H363" s="193" t="s">
        <v>822</v>
      </c>
      <c r="I363" s="28">
        <v>46072</v>
      </c>
      <c r="J363" s="16">
        <v>20</v>
      </c>
      <c r="K363" s="16">
        <v>83</v>
      </c>
      <c r="L363" s="16">
        <v>409</v>
      </c>
      <c r="M363" s="247" t="str">
        <f t="shared" si="7"/>
        <v>20-83-409</v>
      </c>
      <c r="N363" s="17" t="str">
        <f>IFERROR(VLOOKUP(M363,'LISTA ITEMS (2)'!$E$2:$G$910,2,FALSE),"  ")</f>
        <v>TAMIZ NYLON 16X85</v>
      </c>
      <c r="O363" s="30" t="str">
        <f>IFERROR(VLOOKUP(M363,'LISTA ITEMS (2)'!$E$2:$G$910,3,FALSE)," ")</f>
        <v>UND</v>
      </c>
      <c r="P363" s="176">
        <v>20</v>
      </c>
      <c r="Q363" s="181"/>
      <c r="R363" s="17"/>
      <c r="S363" s="156">
        <v>9</v>
      </c>
    </row>
    <row r="364" spans="1:19" ht="36" x14ac:dyDescent="0.3">
      <c r="A364" s="27">
        <v>362</v>
      </c>
      <c r="B364" s="122">
        <v>22</v>
      </c>
      <c r="C364" s="94">
        <v>22</v>
      </c>
      <c r="D364" s="246"/>
      <c r="E364" s="246"/>
      <c r="F364" s="193" t="s">
        <v>802</v>
      </c>
      <c r="G364" s="20" t="s">
        <v>787</v>
      </c>
      <c r="H364" s="193" t="s">
        <v>822</v>
      </c>
      <c r="I364" s="28">
        <v>46072</v>
      </c>
      <c r="J364" s="16">
        <v>17</v>
      </c>
      <c r="K364" s="16">
        <v>44</v>
      </c>
      <c r="L364" s="16">
        <v>271</v>
      </c>
      <c r="M364" s="247" t="str">
        <f t="shared" si="7"/>
        <v>17-44-271</v>
      </c>
      <c r="N364" s="17" t="str">
        <f>IFERROR(VLOOKUP(M364,'LISTA ITEMS (2)'!$E$2:$G$910,2,FALSE),"  ")</f>
        <v>SELLANTE QUIMICO BLANCO</v>
      </c>
      <c r="O364" s="30" t="str">
        <f>IFERROR(VLOOKUP(M364,'LISTA ITEMS (2)'!$E$2:$G$910,3,FALSE)," ")</f>
        <v>UND</v>
      </c>
      <c r="P364" s="176">
        <v>2</v>
      </c>
      <c r="Q364" s="181"/>
      <c r="R364" s="17"/>
      <c r="S364" s="156">
        <v>1</v>
      </c>
    </row>
    <row r="365" spans="1:19" ht="36" x14ac:dyDescent="0.3">
      <c r="A365" s="27">
        <v>363</v>
      </c>
      <c r="B365" s="122">
        <v>22</v>
      </c>
      <c r="C365" s="94">
        <v>22</v>
      </c>
      <c r="D365" s="246"/>
      <c r="E365" s="246"/>
      <c r="F365" s="193" t="s">
        <v>802</v>
      </c>
      <c r="G365" s="20" t="s">
        <v>787</v>
      </c>
      <c r="H365" s="193" t="s">
        <v>822</v>
      </c>
      <c r="I365" s="28">
        <v>46072</v>
      </c>
      <c r="J365" s="16">
        <v>17</v>
      </c>
      <c r="K365" s="16">
        <v>44</v>
      </c>
      <c r="L365" s="16">
        <v>272</v>
      </c>
      <c r="M365" s="247" t="str">
        <f t="shared" si="7"/>
        <v>17-44-272</v>
      </c>
      <c r="N365" s="17" t="str">
        <f>IFERROR(VLOOKUP(M365,'LISTA ITEMS (2)'!$E$2:$G$910,2,FALSE),"  ")</f>
        <v>SELLANTE QUIMICO GRIS</v>
      </c>
      <c r="O365" s="30" t="str">
        <f>IFERROR(VLOOKUP(M365,'LISTA ITEMS (2)'!$E$2:$G$910,3,FALSE)," ")</f>
        <v>UND</v>
      </c>
      <c r="P365" s="176">
        <v>2</v>
      </c>
      <c r="Q365" s="181"/>
      <c r="R365" s="17"/>
      <c r="S365" s="156">
        <v>1</v>
      </c>
    </row>
    <row r="366" spans="1:19" ht="36" x14ac:dyDescent="0.3">
      <c r="A366" s="27">
        <v>364</v>
      </c>
      <c r="B366" s="122">
        <v>22</v>
      </c>
      <c r="C366" s="94">
        <v>22</v>
      </c>
      <c r="D366" s="246"/>
      <c r="E366" s="246"/>
      <c r="F366" s="193" t="s">
        <v>802</v>
      </c>
      <c r="G366" s="20" t="s">
        <v>787</v>
      </c>
      <c r="H366" s="193" t="s">
        <v>822</v>
      </c>
      <c r="I366" s="28">
        <v>46072</v>
      </c>
      <c r="J366" s="16">
        <v>10</v>
      </c>
      <c r="K366" s="16">
        <v>42</v>
      </c>
      <c r="L366" s="16">
        <v>329</v>
      </c>
      <c r="M366" s="247" t="str">
        <f t="shared" si="7"/>
        <v>10-42-329</v>
      </c>
      <c r="N366" s="17" t="str">
        <f>IFERROR(VLOOKUP(M366,'LISTA ITEMS (2)'!$E$2:$G$910,2,FALSE),"  ")</f>
        <v>PATA ALUMINIO PARA ESTRUCTURA PLACA SOLAR VELA ANGULO 15º</v>
      </c>
      <c r="O366" s="30" t="str">
        <f>IFERROR(VLOOKUP(M366,'LISTA ITEMS (2)'!$E$2:$G$910,3,FALSE)," ")</f>
        <v>UND</v>
      </c>
      <c r="P366" s="176">
        <v>4</v>
      </c>
      <c r="Q366" s="181"/>
      <c r="R366" s="17"/>
      <c r="S366" s="156"/>
    </row>
    <row r="367" spans="1:19" ht="36" x14ac:dyDescent="0.3">
      <c r="A367" s="27">
        <v>365</v>
      </c>
      <c r="B367" s="122">
        <v>22</v>
      </c>
      <c r="C367" s="94">
        <v>22</v>
      </c>
      <c r="D367" s="246"/>
      <c r="E367" s="246"/>
      <c r="F367" s="193" t="s">
        <v>802</v>
      </c>
      <c r="G367" s="20" t="s">
        <v>787</v>
      </c>
      <c r="H367" s="193" t="s">
        <v>822</v>
      </c>
      <c r="I367" s="28">
        <v>46072</v>
      </c>
      <c r="J367" s="16">
        <v>16</v>
      </c>
      <c r="K367" s="16">
        <v>61</v>
      </c>
      <c r="L367" s="16">
        <v>331</v>
      </c>
      <c r="M367" s="247" t="str">
        <f t="shared" si="7"/>
        <v>16-61-331</v>
      </c>
      <c r="N367" s="17" t="str">
        <f>IFERROR(VLOOKUP(M367,'LISTA ITEMS (2)'!$E$2:$G$910,2,FALSE),"  ")</f>
        <v>CONECTOR FOTOVOLTAICO HEMBRA M4 NEGRO</v>
      </c>
      <c r="O367" s="30" t="str">
        <f>IFERROR(VLOOKUP(M367,'LISTA ITEMS (2)'!$E$2:$G$910,3,FALSE)," ")</f>
        <v>UND</v>
      </c>
      <c r="P367" s="176">
        <v>10</v>
      </c>
      <c r="Q367" s="181"/>
      <c r="R367" s="17"/>
      <c r="S367" s="156">
        <v>3</v>
      </c>
    </row>
    <row r="368" spans="1:19" ht="36" x14ac:dyDescent="0.3">
      <c r="A368" s="27">
        <v>366</v>
      </c>
      <c r="B368" s="122">
        <v>22</v>
      </c>
      <c r="C368" s="94">
        <v>22</v>
      </c>
      <c r="D368" s="246"/>
      <c r="E368" s="246"/>
      <c r="F368" s="193" t="s">
        <v>802</v>
      </c>
      <c r="G368" s="20" t="s">
        <v>787</v>
      </c>
      <c r="H368" s="193" t="s">
        <v>822</v>
      </c>
      <c r="I368" s="28">
        <v>46072</v>
      </c>
      <c r="J368" s="16">
        <v>16</v>
      </c>
      <c r="K368" s="16">
        <v>61</v>
      </c>
      <c r="L368" s="16">
        <v>332</v>
      </c>
      <c r="M368" s="247" t="str">
        <f t="shared" si="7"/>
        <v>16-61-332</v>
      </c>
      <c r="N368" s="17" t="str">
        <f>IFERROR(VLOOKUP(M368,'LISTA ITEMS (2)'!$E$2:$G$910,2,FALSE),"  ")</f>
        <v>CONECTOR FOTOVOLTAICO MACHO M4 NEGRO</v>
      </c>
      <c r="O368" s="30" t="str">
        <f>IFERROR(VLOOKUP(M368,'LISTA ITEMS (2)'!$E$2:$G$910,3,FALSE)," ")</f>
        <v>UND</v>
      </c>
      <c r="P368" s="176">
        <v>10</v>
      </c>
      <c r="Q368" s="181"/>
      <c r="R368" s="17"/>
      <c r="S368" s="156">
        <v>3</v>
      </c>
    </row>
    <row r="369" spans="1:19" ht="36" x14ac:dyDescent="0.3">
      <c r="A369" s="27">
        <v>367</v>
      </c>
      <c r="B369" s="122">
        <v>22</v>
      </c>
      <c r="C369" s="94">
        <v>22</v>
      </c>
      <c r="D369" s="246"/>
      <c r="E369" s="246"/>
      <c r="F369" s="193" t="s">
        <v>802</v>
      </c>
      <c r="G369" s="20" t="s">
        <v>787</v>
      </c>
      <c r="H369" s="193" t="s">
        <v>822</v>
      </c>
      <c r="I369" s="28">
        <v>46072</v>
      </c>
      <c r="J369" s="16">
        <v>9</v>
      </c>
      <c r="K369" s="16">
        <v>32</v>
      </c>
      <c r="L369" s="16">
        <v>223</v>
      </c>
      <c r="M369" s="247" t="str">
        <f t="shared" si="7"/>
        <v>9-32-223</v>
      </c>
      <c r="N369" s="17" t="str">
        <f>IFERROR(VLOOKUP(M369,'LISTA ITEMS (2)'!$E$2:$G$910,2,FALSE),"  ")</f>
        <v>CURVA PVC M-25 GRIS TIPO A</v>
      </c>
      <c r="O369" s="30" t="str">
        <f>IFERROR(VLOOKUP(M369,'LISTA ITEMS (2)'!$E$2:$G$910,3,FALSE)," ")</f>
        <v>UND</v>
      </c>
      <c r="P369" s="176">
        <v>20</v>
      </c>
      <c r="Q369" s="181"/>
      <c r="R369" s="17"/>
      <c r="S369" s="156">
        <v>8</v>
      </c>
    </row>
    <row r="370" spans="1:19" ht="36" x14ac:dyDescent="0.3">
      <c r="A370" s="27">
        <v>368</v>
      </c>
      <c r="B370" s="122">
        <v>22</v>
      </c>
      <c r="C370" s="94">
        <v>22</v>
      </c>
      <c r="D370" s="246"/>
      <c r="E370" s="246"/>
      <c r="F370" s="193" t="s">
        <v>802</v>
      </c>
      <c r="G370" s="20" t="s">
        <v>787</v>
      </c>
      <c r="H370" s="193" t="s">
        <v>822</v>
      </c>
      <c r="I370" s="28">
        <v>46072</v>
      </c>
      <c r="J370" s="16">
        <v>3</v>
      </c>
      <c r="K370" s="16">
        <v>31</v>
      </c>
      <c r="L370" s="16">
        <v>211</v>
      </c>
      <c r="M370" s="247" t="str">
        <f t="shared" ref="M370:M433" si="8">CONCATENATE(J370,"-",K370,"-",L370)</f>
        <v>3-31-211</v>
      </c>
      <c r="N370" s="17" t="str">
        <f>IFERROR(VLOOKUP(M370,'LISTA ITEMS (2)'!$E$2:$G$910,2,FALSE),"  ")</f>
        <v>CABLE Nª 6 C/ALTERNA VERDE/AMARILLO</v>
      </c>
      <c r="O370" s="30" t="str">
        <f>IFERROR(VLOOKUP(M370,'LISTA ITEMS (2)'!$E$2:$G$910,3,FALSE)," ")</f>
        <v>MT</v>
      </c>
      <c r="P370" s="176">
        <v>100</v>
      </c>
      <c r="Q370" s="181"/>
      <c r="R370" s="17"/>
      <c r="S370" s="156"/>
    </row>
    <row r="371" spans="1:19" ht="36" x14ac:dyDescent="0.3">
      <c r="A371" s="27">
        <v>369</v>
      </c>
      <c r="B371" s="122">
        <v>22</v>
      </c>
      <c r="C371" s="94">
        <v>22</v>
      </c>
      <c r="D371" s="246"/>
      <c r="E371" s="246"/>
      <c r="F371" s="193" t="s">
        <v>802</v>
      </c>
      <c r="G371" s="20" t="s">
        <v>787</v>
      </c>
      <c r="H371" s="193" t="s">
        <v>822</v>
      </c>
      <c r="I371" s="28">
        <v>46072</v>
      </c>
      <c r="J371" s="16">
        <v>3</v>
      </c>
      <c r="K371" s="16">
        <v>31</v>
      </c>
      <c r="L371" s="16">
        <v>213</v>
      </c>
      <c r="M371" s="247" t="str">
        <f t="shared" si="8"/>
        <v>3-31-213</v>
      </c>
      <c r="N371" s="17" t="str">
        <f>IFERROR(VLOOKUP(M371,'LISTA ITEMS (2)'!$E$2:$G$910,2,FALSE),"  ")</f>
        <v>CABLE Nª 6 C/ALTERNA NEGRO</v>
      </c>
      <c r="O371" s="30" t="str">
        <f>IFERROR(VLOOKUP(M371,'LISTA ITEMS (2)'!$E$2:$G$910,3,FALSE)," ")</f>
        <v>MT</v>
      </c>
      <c r="P371" s="176">
        <v>100</v>
      </c>
      <c r="Q371" s="181"/>
      <c r="R371" s="17"/>
      <c r="S371" s="156"/>
    </row>
    <row r="372" spans="1:19" ht="36" x14ac:dyDescent="0.3">
      <c r="A372" s="27">
        <v>370</v>
      </c>
      <c r="B372" s="122">
        <v>22</v>
      </c>
      <c r="C372" s="94">
        <v>22</v>
      </c>
      <c r="D372" s="246"/>
      <c r="E372" s="246"/>
      <c r="F372" s="193" t="s">
        <v>802</v>
      </c>
      <c r="G372" s="20" t="s">
        <v>787</v>
      </c>
      <c r="H372" s="193" t="s">
        <v>822</v>
      </c>
      <c r="I372" s="28">
        <v>46072</v>
      </c>
      <c r="J372" s="16">
        <v>3</v>
      </c>
      <c r="K372" s="16">
        <v>31</v>
      </c>
      <c r="L372" s="16">
        <v>209</v>
      </c>
      <c r="M372" s="247" t="str">
        <f t="shared" si="8"/>
        <v>3-31-209</v>
      </c>
      <c r="N372" s="17" t="str">
        <f>IFERROR(VLOOKUP(M372,'LISTA ITEMS (2)'!$E$2:$G$910,2,FALSE),"  ")</f>
        <v>CABLE Nª 6 C/ALTERNA MARRON</v>
      </c>
      <c r="O372" s="30" t="str">
        <f>IFERROR(VLOOKUP(M372,'LISTA ITEMS (2)'!$E$2:$G$910,3,FALSE)," ")</f>
        <v>MT</v>
      </c>
      <c r="P372" s="176">
        <v>100</v>
      </c>
      <c r="Q372" s="181"/>
      <c r="R372" s="17"/>
      <c r="S372" s="156"/>
    </row>
    <row r="373" spans="1:19" ht="36" x14ac:dyDescent="0.3">
      <c r="A373" s="27">
        <v>371</v>
      </c>
      <c r="B373" s="122">
        <v>22</v>
      </c>
      <c r="C373" s="94">
        <v>22</v>
      </c>
      <c r="D373" s="246"/>
      <c r="E373" s="246"/>
      <c r="F373" s="193" t="s">
        <v>802</v>
      </c>
      <c r="G373" s="20" t="s">
        <v>787</v>
      </c>
      <c r="H373" s="193" t="s">
        <v>822</v>
      </c>
      <c r="I373" s="28">
        <v>46072</v>
      </c>
      <c r="J373" s="16">
        <v>3</v>
      </c>
      <c r="K373" s="16">
        <v>31</v>
      </c>
      <c r="L373" s="16">
        <v>212</v>
      </c>
      <c r="M373" s="247" t="str">
        <f t="shared" si="8"/>
        <v>3-31-212</v>
      </c>
      <c r="N373" s="17" t="str">
        <f>IFERROR(VLOOKUP(M373,'LISTA ITEMS (2)'!$E$2:$G$910,2,FALSE),"  ")</f>
        <v>CABLE Nª 6 C/ALTERNA AZUL</v>
      </c>
      <c r="O373" s="30" t="str">
        <f>IFERROR(VLOOKUP(M373,'LISTA ITEMS (2)'!$E$2:$G$910,3,FALSE)," ")</f>
        <v>MT</v>
      </c>
      <c r="P373" s="176">
        <v>100</v>
      </c>
      <c r="Q373" s="181"/>
      <c r="R373" s="17"/>
      <c r="S373" s="156"/>
    </row>
    <row r="374" spans="1:19" ht="36" x14ac:dyDescent="0.3">
      <c r="A374" s="27">
        <v>372</v>
      </c>
      <c r="B374" s="122">
        <v>22</v>
      </c>
      <c r="C374" s="94">
        <v>22</v>
      </c>
      <c r="D374" s="246"/>
      <c r="E374" s="246"/>
      <c r="F374" s="193" t="s">
        <v>802</v>
      </c>
      <c r="G374" s="20" t="s">
        <v>787</v>
      </c>
      <c r="H374" s="193" t="s">
        <v>822</v>
      </c>
      <c r="I374" s="28">
        <v>46072</v>
      </c>
      <c r="J374" s="16">
        <v>3</v>
      </c>
      <c r="K374" s="16">
        <v>31</v>
      </c>
      <c r="L374" s="16">
        <v>210</v>
      </c>
      <c r="M374" s="247" t="str">
        <f t="shared" si="8"/>
        <v>3-31-210</v>
      </c>
      <c r="N374" s="17" t="str">
        <f>IFERROR(VLOOKUP(M374,'LISTA ITEMS (2)'!$E$2:$G$910,2,FALSE),"  ")</f>
        <v>CABLE Nª 6 C/ALTERNA GRIS</v>
      </c>
      <c r="O374" s="30" t="str">
        <f>IFERROR(VLOOKUP(M374,'LISTA ITEMS (2)'!$E$2:$G$910,3,FALSE)," ")</f>
        <v>MT</v>
      </c>
      <c r="P374" s="176">
        <v>100</v>
      </c>
      <c r="Q374" s="181"/>
      <c r="R374" s="17"/>
      <c r="S374" s="156"/>
    </row>
    <row r="375" spans="1:19" ht="36" x14ac:dyDescent="0.3">
      <c r="A375" s="27">
        <v>373</v>
      </c>
      <c r="B375" s="216">
        <v>23</v>
      </c>
      <c r="C375" s="217">
        <v>23</v>
      </c>
      <c r="D375" s="225"/>
      <c r="E375" s="225"/>
      <c r="F375" s="218" t="s">
        <v>823</v>
      </c>
      <c r="G375" s="138" t="s">
        <v>700</v>
      </c>
      <c r="H375" s="218" t="s">
        <v>824</v>
      </c>
      <c r="I375" s="219">
        <v>46073</v>
      </c>
      <c r="J375" s="143">
        <v>10</v>
      </c>
      <c r="K375" s="143">
        <v>37</v>
      </c>
      <c r="L375" s="143">
        <v>330</v>
      </c>
      <c r="M375" s="144" t="str">
        <f t="shared" si="8"/>
        <v>10-37-330</v>
      </c>
      <c r="N375" s="142" t="str">
        <f>IFERROR(VLOOKUP(M375,'LISTA ITEMS (2)'!$E$2:$G$910,2,FALSE),"  ")</f>
        <v>SOPORTE EN L ALUMINIO GRIS</v>
      </c>
      <c r="O375" s="140" t="str">
        <f>IFERROR(VLOOKUP(M375,'LISTA ITEMS (2)'!$E$2:$G$910,3,FALSE)," ")</f>
        <v>UND</v>
      </c>
      <c r="P375" s="175">
        <v>50</v>
      </c>
      <c r="Q375" s="138"/>
      <c r="R375" s="142"/>
      <c r="S375" s="156">
        <v>30</v>
      </c>
    </row>
    <row r="376" spans="1:19" ht="36" x14ac:dyDescent="0.3">
      <c r="A376" s="27">
        <v>374</v>
      </c>
      <c r="B376" s="216">
        <v>23</v>
      </c>
      <c r="C376" s="217">
        <v>23</v>
      </c>
      <c r="D376" s="225"/>
      <c r="E376" s="225"/>
      <c r="F376" s="218" t="s">
        <v>823</v>
      </c>
      <c r="G376" s="138" t="s">
        <v>700</v>
      </c>
      <c r="H376" s="218" t="s">
        <v>824</v>
      </c>
      <c r="I376" s="219">
        <v>46073</v>
      </c>
      <c r="J376" s="143">
        <v>10</v>
      </c>
      <c r="K376" s="143">
        <v>37</v>
      </c>
      <c r="L376" s="143">
        <v>232</v>
      </c>
      <c r="M376" s="144" t="str">
        <f t="shared" si="8"/>
        <v>10-37-232</v>
      </c>
      <c r="N376" s="142" t="str">
        <f>IFERROR(VLOOKUP(M376,'LISTA ITEMS (2)'!$E$2:$G$910,2,FALSE),"  ")</f>
        <v>SOPORTE CENTRAL NEGRO</v>
      </c>
      <c r="O376" s="140" t="str">
        <f>IFERROR(VLOOKUP(M376,'LISTA ITEMS (2)'!$E$2:$G$910,3,FALSE)," ")</f>
        <v>UND</v>
      </c>
      <c r="P376" s="175">
        <v>60</v>
      </c>
      <c r="Q376" s="138"/>
      <c r="R376" s="142"/>
      <c r="S376" s="156">
        <v>39</v>
      </c>
    </row>
    <row r="377" spans="1:19" ht="36" x14ac:dyDescent="0.3">
      <c r="A377" s="27">
        <v>375</v>
      </c>
      <c r="B377" s="216">
        <v>23</v>
      </c>
      <c r="C377" s="217">
        <v>23</v>
      </c>
      <c r="D377" s="225"/>
      <c r="E377" s="225"/>
      <c r="F377" s="218" t="s">
        <v>823</v>
      </c>
      <c r="G377" s="138" t="s">
        <v>700</v>
      </c>
      <c r="H377" s="218" t="s">
        <v>824</v>
      </c>
      <c r="I377" s="219">
        <v>46073</v>
      </c>
      <c r="J377" s="143">
        <v>10</v>
      </c>
      <c r="K377" s="143">
        <v>37</v>
      </c>
      <c r="L377" s="143">
        <v>315</v>
      </c>
      <c r="M377" s="144" t="str">
        <f t="shared" si="8"/>
        <v>10-37-315</v>
      </c>
      <c r="N377" s="142" t="str">
        <f>IFERROR(VLOOKUP(M377,'LISTA ITEMS (2)'!$E$2:$G$910,2,FALSE),"  ")</f>
        <v>SOPORTE FINAL NEGRO</v>
      </c>
      <c r="O377" s="140" t="str">
        <f>IFERROR(VLOOKUP(M377,'LISTA ITEMS (2)'!$E$2:$G$910,3,FALSE)," ")</f>
        <v>UND</v>
      </c>
      <c r="P377" s="175">
        <v>50</v>
      </c>
      <c r="Q377" s="138"/>
      <c r="R377" s="142"/>
      <c r="S377" s="156">
        <v>32</v>
      </c>
    </row>
    <row r="378" spans="1:19" ht="36" x14ac:dyDescent="0.3">
      <c r="A378" s="27">
        <v>376</v>
      </c>
      <c r="B378" s="216">
        <v>23</v>
      </c>
      <c r="C378" s="217">
        <v>23</v>
      </c>
      <c r="D378" s="225"/>
      <c r="E378" s="225"/>
      <c r="F378" s="218" t="s">
        <v>823</v>
      </c>
      <c r="G378" s="138" t="s">
        <v>700</v>
      </c>
      <c r="H378" s="218" t="s">
        <v>824</v>
      </c>
      <c r="I378" s="219">
        <v>46073</v>
      </c>
      <c r="J378" s="143">
        <v>17</v>
      </c>
      <c r="K378" s="143">
        <v>44</v>
      </c>
      <c r="L378" s="143">
        <v>271</v>
      </c>
      <c r="M378" s="144" t="str">
        <f t="shared" si="8"/>
        <v>17-44-271</v>
      </c>
      <c r="N378" s="142" t="str">
        <f>IFERROR(VLOOKUP(M378,'LISTA ITEMS (2)'!$E$2:$G$910,2,FALSE),"  ")</f>
        <v>SELLANTE QUIMICO BLANCO</v>
      </c>
      <c r="O378" s="140" t="str">
        <f>IFERROR(VLOOKUP(M378,'LISTA ITEMS (2)'!$E$2:$G$910,3,FALSE)," ")</f>
        <v>UND</v>
      </c>
      <c r="P378" s="175">
        <v>2</v>
      </c>
      <c r="Q378" s="138"/>
      <c r="R378" s="142"/>
      <c r="S378" s="156"/>
    </row>
    <row r="379" spans="1:19" ht="36" x14ac:dyDescent="0.3">
      <c r="A379" s="27">
        <v>377</v>
      </c>
      <c r="B379" s="216">
        <v>23</v>
      </c>
      <c r="C379" s="217">
        <v>23</v>
      </c>
      <c r="D379" s="225"/>
      <c r="E379" s="225"/>
      <c r="F379" s="218" t="s">
        <v>823</v>
      </c>
      <c r="G379" s="138" t="s">
        <v>700</v>
      </c>
      <c r="H379" s="218" t="s">
        <v>824</v>
      </c>
      <c r="I379" s="219">
        <v>46073</v>
      </c>
      <c r="J379" s="143">
        <v>17</v>
      </c>
      <c r="K379" s="143">
        <v>44</v>
      </c>
      <c r="L379" s="143">
        <v>272</v>
      </c>
      <c r="M379" s="144" t="str">
        <f t="shared" si="8"/>
        <v>17-44-272</v>
      </c>
      <c r="N379" s="142" t="str">
        <f>IFERROR(VLOOKUP(M379,'LISTA ITEMS (2)'!$E$2:$G$910,2,FALSE),"  ")</f>
        <v>SELLANTE QUIMICO GRIS</v>
      </c>
      <c r="O379" s="140" t="str">
        <f>IFERROR(VLOOKUP(M379,'LISTA ITEMS (2)'!$E$2:$G$910,3,FALSE)," ")</f>
        <v>UND</v>
      </c>
      <c r="P379" s="175">
        <v>2</v>
      </c>
      <c r="Q379" s="138"/>
      <c r="R379" s="142"/>
      <c r="S379" s="156">
        <v>1</v>
      </c>
    </row>
    <row r="380" spans="1:19" ht="36" x14ac:dyDescent="0.3">
      <c r="A380" s="27">
        <v>378</v>
      </c>
      <c r="B380" s="216">
        <v>23</v>
      </c>
      <c r="C380" s="217">
        <v>23</v>
      </c>
      <c r="D380" s="225"/>
      <c r="E380" s="225"/>
      <c r="F380" s="218" t="s">
        <v>823</v>
      </c>
      <c r="G380" s="138" t="s">
        <v>700</v>
      </c>
      <c r="H380" s="218" t="s">
        <v>824</v>
      </c>
      <c r="I380" s="219">
        <v>46073</v>
      </c>
      <c r="J380" s="143">
        <v>16</v>
      </c>
      <c r="K380" s="143">
        <v>45</v>
      </c>
      <c r="L380" s="143">
        <v>294</v>
      </c>
      <c r="M380" s="144" t="str">
        <f t="shared" si="8"/>
        <v>16-45-294</v>
      </c>
      <c r="N380" s="142" t="str">
        <f>IFERROR(VLOOKUP(M380,'LISTA ITEMS (2)'!$E$2:$G$910,2,FALSE),"  ")</f>
        <v>CAJA DE ESTANCA 133X180X80 EV161 (IDE)</v>
      </c>
      <c r="O380" s="140" t="str">
        <f>IFERROR(VLOOKUP(M380,'LISTA ITEMS (2)'!$E$2:$G$910,3,FALSE)," ")</f>
        <v>UND</v>
      </c>
      <c r="P380" s="175">
        <v>1</v>
      </c>
      <c r="Q380" s="138"/>
      <c r="R380" s="142"/>
      <c r="S380" s="156"/>
    </row>
    <row r="381" spans="1:19" ht="36" x14ac:dyDescent="0.3">
      <c r="A381" s="27">
        <v>379</v>
      </c>
      <c r="B381" s="216">
        <v>23</v>
      </c>
      <c r="C381" s="217">
        <v>23</v>
      </c>
      <c r="D381" s="225"/>
      <c r="E381" s="225"/>
      <c r="F381" s="218" t="s">
        <v>823</v>
      </c>
      <c r="G381" s="138" t="s">
        <v>700</v>
      </c>
      <c r="H381" s="218" t="s">
        <v>824</v>
      </c>
      <c r="I381" s="219">
        <v>46073</v>
      </c>
      <c r="J381" s="143">
        <v>13</v>
      </c>
      <c r="K381" s="143">
        <v>22</v>
      </c>
      <c r="L381" s="143">
        <v>184</v>
      </c>
      <c r="M381" s="144" t="str">
        <f t="shared" si="8"/>
        <v>13-22-184</v>
      </c>
      <c r="N381" s="142" t="str">
        <f>IFERROR(VLOOKUP(M381,'LISTA ITEMS (2)'!$E$2:$G$910,2,FALSE),"  ")</f>
        <v>BRIDA P/EXTERIOR NEGRA</v>
      </c>
      <c r="O381" s="140" t="str">
        <f>IFERROR(VLOOKUP(M381,'LISTA ITEMS (2)'!$E$2:$G$910,3,FALSE)," ")</f>
        <v>UND</v>
      </c>
      <c r="P381" s="175">
        <v>200</v>
      </c>
      <c r="Q381" s="138"/>
      <c r="R381" s="142"/>
      <c r="S381" s="156"/>
    </row>
    <row r="382" spans="1:19" ht="36" x14ac:dyDescent="0.3">
      <c r="A382" s="27">
        <v>380</v>
      </c>
      <c r="B382" s="216">
        <v>23</v>
      </c>
      <c r="C382" s="217">
        <v>23</v>
      </c>
      <c r="D382" s="225"/>
      <c r="E382" s="225"/>
      <c r="F382" s="218" t="s">
        <v>823</v>
      </c>
      <c r="G382" s="138" t="s">
        <v>700</v>
      </c>
      <c r="H382" s="218" t="s">
        <v>824</v>
      </c>
      <c r="I382" s="219">
        <v>46073</v>
      </c>
      <c r="J382" s="143">
        <v>16</v>
      </c>
      <c r="K382" s="143">
        <v>61</v>
      </c>
      <c r="L382" s="143">
        <v>331</v>
      </c>
      <c r="M382" s="144" t="str">
        <f t="shared" si="8"/>
        <v>16-61-331</v>
      </c>
      <c r="N382" s="142" t="str">
        <f>IFERROR(VLOOKUP(M382,'LISTA ITEMS (2)'!$E$2:$G$910,2,FALSE),"  ")</f>
        <v>CONECTOR FOTOVOLTAICO HEMBRA M4 NEGRO</v>
      </c>
      <c r="O382" s="140" t="str">
        <f>IFERROR(VLOOKUP(M382,'LISTA ITEMS (2)'!$E$2:$G$910,3,FALSE)," ")</f>
        <v>UND</v>
      </c>
      <c r="P382" s="175">
        <v>5</v>
      </c>
      <c r="Q382" s="138"/>
      <c r="R382" s="142"/>
      <c r="S382" s="156"/>
    </row>
    <row r="383" spans="1:19" ht="36" x14ac:dyDescent="0.3">
      <c r="A383" s="27">
        <v>381</v>
      </c>
      <c r="B383" s="216">
        <v>23</v>
      </c>
      <c r="C383" s="217">
        <v>23</v>
      </c>
      <c r="D383" s="225"/>
      <c r="E383" s="225"/>
      <c r="F383" s="218" t="s">
        <v>823</v>
      </c>
      <c r="G383" s="138" t="s">
        <v>700</v>
      </c>
      <c r="H383" s="218" t="s">
        <v>824</v>
      </c>
      <c r="I383" s="219">
        <v>46073</v>
      </c>
      <c r="J383" s="143">
        <v>16</v>
      </c>
      <c r="K383" s="143">
        <v>61</v>
      </c>
      <c r="L383" s="143">
        <v>332</v>
      </c>
      <c r="M383" s="144" t="str">
        <f t="shared" si="8"/>
        <v>16-61-332</v>
      </c>
      <c r="N383" s="142" t="str">
        <f>IFERROR(VLOOKUP(M383,'LISTA ITEMS (2)'!$E$2:$G$910,2,FALSE),"  ")</f>
        <v>CONECTOR FOTOVOLTAICO MACHO M4 NEGRO</v>
      </c>
      <c r="O383" s="140" t="str">
        <f>IFERROR(VLOOKUP(M383,'LISTA ITEMS (2)'!$E$2:$G$910,3,FALSE)," ")</f>
        <v>UND</v>
      </c>
      <c r="P383" s="175">
        <v>5</v>
      </c>
      <c r="Q383" s="138"/>
      <c r="R383" s="142"/>
      <c r="S383" s="156"/>
    </row>
    <row r="384" spans="1:19" ht="36" x14ac:dyDescent="0.3">
      <c r="A384" s="27">
        <v>382</v>
      </c>
      <c r="B384" s="216">
        <v>23</v>
      </c>
      <c r="C384" s="217">
        <v>23</v>
      </c>
      <c r="D384" s="225"/>
      <c r="E384" s="225"/>
      <c r="F384" s="218" t="s">
        <v>823</v>
      </c>
      <c r="G384" s="138" t="s">
        <v>700</v>
      </c>
      <c r="H384" s="218" t="s">
        <v>824</v>
      </c>
      <c r="I384" s="219">
        <v>46073</v>
      </c>
      <c r="J384" s="143">
        <v>10</v>
      </c>
      <c r="K384" s="143">
        <v>43</v>
      </c>
      <c r="L384" s="143">
        <v>270</v>
      </c>
      <c r="M384" s="144" t="str">
        <f t="shared" si="8"/>
        <v>10-43-270</v>
      </c>
      <c r="N384" s="142" t="str">
        <f>IFERROR(VLOOKUP(M384,'LISTA ITEMS (2)'!$E$2:$G$910,2,FALSE),"  ")</f>
        <v>EMPALME ALUMINIO P/BARRA</v>
      </c>
      <c r="O384" s="140" t="str">
        <f>IFERROR(VLOOKUP(M384,'LISTA ITEMS (2)'!$E$2:$G$910,3,FALSE)," ")</f>
        <v>UND</v>
      </c>
      <c r="P384" s="175">
        <v>8</v>
      </c>
      <c r="Q384" s="138"/>
      <c r="R384" s="142"/>
      <c r="S384" s="156">
        <v>3</v>
      </c>
    </row>
    <row r="385" spans="1:19" ht="36" x14ac:dyDescent="0.3">
      <c r="A385" s="27">
        <v>383</v>
      </c>
      <c r="B385" s="216">
        <v>23</v>
      </c>
      <c r="C385" s="217">
        <v>23</v>
      </c>
      <c r="D385" s="225"/>
      <c r="E385" s="225"/>
      <c r="F385" s="218" t="s">
        <v>823</v>
      </c>
      <c r="G385" s="138" t="s">
        <v>700</v>
      </c>
      <c r="H385" s="218" t="s">
        <v>824</v>
      </c>
      <c r="I385" s="219">
        <v>46073</v>
      </c>
      <c r="J385" s="143">
        <v>14</v>
      </c>
      <c r="K385" s="143">
        <v>24</v>
      </c>
      <c r="L385" s="143">
        <v>193</v>
      </c>
      <c r="M385" s="144" t="str">
        <f t="shared" si="8"/>
        <v>14-24-193</v>
      </c>
      <c r="N385" s="142" t="str">
        <f>IFERROR(VLOOKUP(M385,'LISTA ITEMS (2)'!$E$2:$G$910,2,FALSE),"  ")</f>
        <v>DISCO CORTE ACERO/INOX A1 2EN1</v>
      </c>
      <c r="O385" s="140" t="str">
        <f>IFERROR(VLOOKUP(M385,'LISTA ITEMS (2)'!$E$2:$G$910,3,FALSE)," ")</f>
        <v>UND</v>
      </c>
      <c r="P385" s="175">
        <v>5</v>
      </c>
      <c r="Q385" s="138"/>
      <c r="R385" s="142"/>
      <c r="S385" s="156">
        <v>5</v>
      </c>
    </row>
    <row r="386" spans="1:19" ht="36" x14ac:dyDescent="0.3">
      <c r="A386" s="27">
        <v>384</v>
      </c>
      <c r="B386" s="216">
        <v>23</v>
      </c>
      <c r="C386" s="217">
        <v>23</v>
      </c>
      <c r="D386" s="225"/>
      <c r="E386" s="225"/>
      <c r="F386" s="218" t="s">
        <v>823</v>
      </c>
      <c r="G386" s="138" t="s">
        <v>700</v>
      </c>
      <c r="H386" s="218" t="s">
        <v>824</v>
      </c>
      <c r="I386" s="219">
        <v>46073</v>
      </c>
      <c r="J386" s="143">
        <v>10</v>
      </c>
      <c r="K386" s="143">
        <v>15</v>
      </c>
      <c r="L386" s="143">
        <v>269</v>
      </c>
      <c r="M386" s="144" t="str">
        <f t="shared" si="8"/>
        <v>10-15-269</v>
      </c>
      <c r="N386" s="142" t="str">
        <f>IFERROR(VLOOKUP(M386,'LISTA ITEMS (2)'!$E$2:$G$910,2,FALSE),"  ")</f>
        <v>BARRA ALUMINIO PARA ESTRUCTURA  3.60mt</v>
      </c>
      <c r="O386" s="140" t="str">
        <f>IFERROR(VLOOKUP(M386,'LISTA ITEMS (2)'!$E$2:$G$910,3,FALSE)," ")</f>
        <v>UND</v>
      </c>
      <c r="P386" s="175">
        <v>14</v>
      </c>
      <c r="Q386" s="138"/>
      <c r="R386" s="142"/>
      <c r="S386" s="156"/>
    </row>
    <row r="387" spans="1:19" ht="36" x14ac:dyDescent="0.3">
      <c r="A387" s="27">
        <v>385</v>
      </c>
      <c r="B387" s="216">
        <v>23</v>
      </c>
      <c r="C387" s="217">
        <v>23</v>
      </c>
      <c r="D387" s="225"/>
      <c r="E387" s="225"/>
      <c r="F387" s="218" t="s">
        <v>823</v>
      </c>
      <c r="G387" s="138" t="s">
        <v>700</v>
      </c>
      <c r="H387" s="218" t="s">
        <v>824</v>
      </c>
      <c r="I387" s="219">
        <v>46073</v>
      </c>
      <c r="J387" s="143">
        <v>13</v>
      </c>
      <c r="K387" s="143">
        <v>21</v>
      </c>
      <c r="L387" s="143">
        <v>181</v>
      </c>
      <c r="M387" s="144" t="str">
        <f t="shared" si="8"/>
        <v>13-21-181</v>
      </c>
      <c r="N387" s="142" t="str">
        <f>IFERROR(VLOOKUP(M387,'LISTA ITEMS (2)'!$E$2:$G$910,2,FALSE),"  ")</f>
        <v>TACO P/BRIDA NEGRO</v>
      </c>
      <c r="O387" s="140" t="str">
        <f>IFERROR(VLOOKUP(M387,'LISTA ITEMS (2)'!$E$2:$G$910,3,FALSE)," ")</f>
        <v>UND</v>
      </c>
      <c r="P387" s="175">
        <v>100</v>
      </c>
      <c r="Q387" s="138"/>
      <c r="R387" s="142"/>
      <c r="S387" s="156"/>
    </row>
    <row r="388" spans="1:19" ht="36" x14ac:dyDescent="0.3">
      <c r="A388" s="27">
        <v>386</v>
      </c>
      <c r="B388" s="216">
        <v>23</v>
      </c>
      <c r="C388" s="217">
        <v>23</v>
      </c>
      <c r="D388" s="225"/>
      <c r="E388" s="225"/>
      <c r="F388" s="218" t="s">
        <v>823</v>
      </c>
      <c r="G388" s="138" t="s">
        <v>700</v>
      </c>
      <c r="H388" s="218" t="s">
        <v>824</v>
      </c>
      <c r="I388" s="219">
        <v>46073</v>
      </c>
      <c r="J388" s="143">
        <v>7</v>
      </c>
      <c r="K388" s="143">
        <v>38</v>
      </c>
      <c r="L388" s="143">
        <v>247</v>
      </c>
      <c r="M388" s="144" t="str">
        <f t="shared" si="8"/>
        <v>7-38-247</v>
      </c>
      <c r="N388" s="142" t="str">
        <f>IFERROR(VLOOKUP(M388,'LISTA ITEMS (2)'!$E$2:$G$910,2,FALSE),"  ")</f>
        <v>PLACA SOLAR JAM60D42-535LB 535W / 44.13V</v>
      </c>
      <c r="O388" s="140" t="str">
        <f>IFERROR(VLOOKUP(M388,'LISTA ITEMS (2)'!$E$2:$G$910,3,FALSE)," ")</f>
        <v>UND</v>
      </c>
      <c r="P388" s="175">
        <v>14</v>
      </c>
      <c r="Q388" s="138"/>
      <c r="R388" s="142"/>
      <c r="S388" s="156"/>
    </row>
    <row r="389" spans="1:19" ht="36" x14ac:dyDescent="0.3">
      <c r="A389" s="27">
        <v>387</v>
      </c>
      <c r="B389" s="216">
        <v>23</v>
      </c>
      <c r="C389" s="217">
        <v>23</v>
      </c>
      <c r="D389" s="225"/>
      <c r="E389" s="225"/>
      <c r="F389" s="218" t="s">
        <v>823</v>
      </c>
      <c r="G389" s="138" t="s">
        <v>700</v>
      </c>
      <c r="H389" s="218" t="s">
        <v>824</v>
      </c>
      <c r="I389" s="219">
        <v>46073</v>
      </c>
      <c r="J389" s="143">
        <v>9</v>
      </c>
      <c r="K389" s="143">
        <v>32</v>
      </c>
      <c r="L389" s="143">
        <v>224</v>
      </c>
      <c r="M389" s="144" t="str">
        <f t="shared" si="8"/>
        <v>9-32-224</v>
      </c>
      <c r="N389" s="142" t="str">
        <f>IFERROR(VLOOKUP(M389,'LISTA ITEMS (2)'!$E$2:$G$910,2,FALSE),"  ")</f>
        <v>CURVA PVC M-25 GRIS TIPO B</v>
      </c>
      <c r="O389" s="140" t="str">
        <f>IFERROR(VLOOKUP(M389,'LISTA ITEMS (2)'!$E$2:$G$910,3,FALSE)," ")</f>
        <v>UND</v>
      </c>
      <c r="P389" s="175">
        <v>10</v>
      </c>
      <c r="Q389" s="138"/>
      <c r="R389" s="142"/>
      <c r="S389" s="156">
        <v>1</v>
      </c>
    </row>
    <row r="390" spans="1:19" ht="36" x14ac:dyDescent="0.3">
      <c r="A390" s="27">
        <v>388</v>
      </c>
      <c r="B390" s="122">
        <v>24</v>
      </c>
      <c r="C390" s="94">
        <v>24</v>
      </c>
      <c r="D390" s="246"/>
      <c r="E390" s="246"/>
      <c r="F390" s="193" t="s">
        <v>825</v>
      </c>
      <c r="G390" s="181" t="s">
        <v>805</v>
      </c>
      <c r="H390" s="193" t="s">
        <v>803</v>
      </c>
      <c r="I390" s="28">
        <v>46076</v>
      </c>
      <c r="J390" s="16">
        <v>10</v>
      </c>
      <c r="K390" s="16">
        <v>15</v>
      </c>
      <c r="L390" s="16">
        <v>269</v>
      </c>
      <c r="M390" s="247" t="str">
        <f t="shared" si="8"/>
        <v>10-15-269</v>
      </c>
      <c r="N390" s="17" t="str">
        <f>IFERROR(VLOOKUP(M390,'LISTA ITEMS (2)'!$E$2:$G$910,2,FALSE),"  ")</f>
        <v>BARRA ALUMINIO PARA ESTRUCTURA  3.60mt</v>
      </c>
      <c r="O390" s="30" t="str">
        <f>IFERROR(VLOOKUP(M390,'LISTA ITEMS (2)'!$E$2:$G$910,3,FALSE)," ")</f>
        <v>UND</v>
      </c>
      <c r="P390" s="176">
        <v>7</v>
      </c>
      <c r="Q390" s="181"/>
      <c r="R390" s="17"/>
      <c r="S390" s="156">
        <v>1</v>
      </c>
    </row>
    <row r="391" spans="1:19" ht="36" x14ac:dyDescent="0.3">
      <c r="A391" s="27">
        <v>389</v>
      </c>
      <c r="B391" s="122">
        <v>24</v>
      </c>
      <c r="C391" s="94">
        <v>24</v>
      </c>
      <c r="D391" s="246"/>
      <c r="E391" s="246"/>
      <c r="F391" s="193" t="s">
        <v>825</v>
      </c>
      <c r="G391" s="181" t="s">
        <v>805</v>
      </c>
      <c r="H391" s="193" t="s">
        <v>803</v>
      </c>
      <c r="I391" s="28">
        <v>46076</v>
      </c>
      <c r="J391" s="16">
        <v>7</v>
      </c>
      <c r="K391" s="16">
        <v>38</v>
      </c>
      <c r="L391" s="16">
        <v>247</v>
      </c>
      <c r="M391" s="247" t="str">
        <f t="shared" si="8"/>
        <v>7-38-247</v>
      </c>
      <c r="N391" s="17" t="str">
        <f>IFERROR(VLOOKUP(M391,'LISTA ITEMS (2)'!$E$2:$G$910,2,FALSE),"  ")</f>
        <v>PLACA SOLAR JAM60D42-535LB 535W / 44.13V</v>
      </c>
      <c r="O391" s="30" t="str">
        <f>IFERROR(VLOOKUP(M391,'LISTA ITEMS (2)'!$E$2:$G$910,3,FALSE)," ")</f>
        <v>UND</v>
      </c>
      <c r="P391" s="176">
        <v>8</v>
      </c>
      <c r="Q391" s="181"/>
      <c r="R391" s="17"/>
      <c r="S391" s="156"/>
    </row>
    <row r="392" spans="1:19" ht="36" x14ac:dyDescent="0.3">
      <c r="A392" s="27">
        <v>390</v>
      </c>
      <c r="B392" s="122">
        <v>24</v>
      </c>
      <c r="C392" s="94">
        <v>24</v>
      </c>
      <c r="D392" s="246"/>
      <c r="E392" s="246"/>
      <c r="F392" s="193" t="s">
        <v>825</v>
      </c>
      <c r="G392" s="181" t="s">
        <v>805</v>
      </c>
      <c r="H392" s="193" t="s">
        <v>803</v>
      </c>
      <c r="I392" s="28">
        <v>46076</v>
      </c>
      <c r="J392" s="16">
        <v>16</v>
      </c>
      <c r="K392" s="16">
        <v>48</v>
      </c>
      <c r="L392" s="16">
        <v>281</v>
      </c>
      <c r="M392" s="247" t="str">
        <f t="shared" si="8"/>
        <v>16-48-281</v>
      </c>
      <c r="N392" s="17" t="str">
        <f>IFERROR(VLOOKUP(M392,'LISTA ITEMS (2)'!$E$2:$G$910,2,FALSE),"  ")</f>
        <v>PORTA FUSIBLE SGF-32-DC (MAXGE)</v>
      </c>
      <c r="O392" s="30" t="str">
        <f>IFERROR(VLOOKUP(M392,'LISTA ITEMS (2)'!$E$2:$G$910,3,FALSE)," ")</f>
        <v>UND</v>
      </c>
      <c r="P392" s="176">
        <v>4</v>
      </c>
      <c r="Q392" s="181"/>
      <c r="R392" s="17"/>
      <c r="S392" s="156">
        <v>1</v>
      </c>
    </row>
    <row r="393" spans="1:19" ht="36" x14ac:dyDescent="0.3">
      <c r="A393" s="27">
        <v>391</v>
      </c>
      <c r="B393" s="122">
        <v>24</v>
      </c>
      <c r="C393" s="94">
        <v>24</v>
      </c>
      <c r="D393" s="246"/>
      <c r="E393" s="246"/>
      <c r="F393" s="193" t="s">
        <v>825</v>
      </c>
      <c r="G393" s="181" t="s">
        <v>805</v>
      </c>
      <c r="H393" s="193" t="s">
        <v>803</v>
      </c>
      <c r="I393" s="28">
        <v>46076</v>
      </c>
      <c r="J393" s="16">
        <v>16</v>
      </c>
      <c r="K393" s="16">
        <v>50</v>
      </c>
      <c r="L393" s="16">
        <v>314</v>
      </c>
      <c r="M393" s="247" t="str">
        <f t="shared" si="8"/>
        <v>16-50-314</v>
      </c>
      <c r="N393" s="17" t="str">
        <f>IFERROR(VLOOKUP(M393,'LISTA ITEMS (2)'!$E$2:$G$910,2,FALSE),"  ")</f>
        <v>FUSIBLE MG10PV32A (MAXGE)</v>
      </c>
      <c r="O393" s="30" t="str">
        <f>IFERROR(VLOOKUP(M393,'LISTA ITEMS (2)'!$E$2:$G$910,3,FALSE)," ")</f>
        <v>UND</v>
      </c>
      <c r="P393" s="176">
        <v>4</v>
      </c>
      <c r="Q393" s="181"/>
      <c r="R393" s="17"/>
      <c r="S393" s="156">
        <v>1</v>
      </c>
    </row>
    <row r="394" spans="1:19" ht="36" x14ac:dyDescent="0.3">
      <c r="A394" s="27">
        <v>392</v>
      </c>
      <c r="B394" s="122">
        <v>24</v>
      </c>
      <c r="C394" s="94">
        <v>24</v>
      </c>
      <c r="D394" s="246"/>
      <c r="E394" s="246"/>
      <c r="F394" s="193" t="s">
        <v>825</v>
      </c>
      <c r="G394" s="181" t="s">
        <v>805</v>
      </c>
      <c r="H394" s="193" t="s">
        <v>803</v>
      </c>
      <c r="I394" s="28">
        <v>46076</v>
      </c>
      <c r="J394" s="16">
        <v>16</v>
      </c>
      <c r="K394" s="16">
        <v>49</v>
      </c>
      <c r="L394" s="16">
        <v>288</v>
      </c>
      <c r="M394" s="247" t="str">
        <f t="shared" si="8"/>
        <v>16-49-288</v>
      </c>
      <c r="N394" s="17" t="str">
        <f>IFERROR(VLOOKUP(M394,'LISTA ITEMS (2)'!$E$2:$G$910,2,FALSE),"  ")</f>
        <v>CONTACTOR MODULAR EPC1-6322-P7 (MAXGE)</v>
      </c>
      <c r="O394" s="30" t="str">
        <f>IFERROR(VLOOKUP(M394,'LISTA ITEMS (2)'!$E$2:$G$910,3,FALSE)," ")</f>
        <v>UND</v>
      </c>
      <c r="P394" s="176">
        <v>1</v>
      </c>
      <c r="Q394" s="181"/>
      <c r="R394" s="17"/>
      <c r="S394" s="156"/>
    </row>
    <row r="395" spans="1:19" ht="36" x14ac:dyDescent="0.3">
      <c r="A395" s="27">
        <v>393</v>
      </c>
      <c r="B395" s="122">
        <v>24</v>
      </c>
      <c r="C395" s="94">
        <v>24</v>
      </c>
      <c r="D395" s="246"/>
      <c r="E395" s="246"/>
      <c r="F395" s="193" t="s">
        <v>825</v>
      </c>
      <c r="G395" s="181" t="s">
        <v>805</v>
      </c>
      <c r="H395" s="193" t="s">
        <v>803</v>
      </c>
      <c r="I395" s="28">
        <v>46076</v>
      </c>
      <c r="J395" s="16">
        <v>16</v>
      </c>
      <c r="K395" s="16">
        <v>47</v>
      </c>
      <c r="L395" s="16">
        <v>318</v>
      </c>
      <c r="M395" s="247" t="str">
        <f t="shared" si="8"/>
        <v>16-47-318</v>
      </c>
      <c r="N395" s="17" t="str">
        <f>IFERROR(VLOOKUP(M395,'LISTA ITEMS (2)'!$E$2:$G$910,2,FALSE),"  ")</f>
        <v>DIFERENCIAL EPR2A040030 2P-40A-30mA (MAXGE)</v>
      </c>
      <c r="O395" s="30" t="str">
        <f>IFERROR(VLOOKUP(M395,'LISTA ITEMS (2)'!$E$2:$G$910,3,FALSE)," ")</f>
        <v>UND</v>
      </c>
      <c r="P395" s="176">
        <v>1</v>
      </c>
      <c r="Q395" s="181"/>
      <c r="R395" s="17"/>
      <c r="S395" s="156"/>
    </row>
    <row r="396" spans="1:19" ht="36" x14ac:dyDescent="0.3">
      <c r="A396" s="27">
        <v>394</v>
      </c>
      <c r="B396" s="122">
        <v>24</v>
      </c>
      <c r="C396" s="94">
        <v>24</v>
      </c>
      <c r="D396" s="246"/>
      <c r="E396" s="246"/>
      <c r="F396" s="193" t="s">
        <v>825</v>
      </c>
      <c r="G396" s="181" t="s">
        <v>805</v>
      </c>
      <c r="H396" s="193" t="s">
        <v>803</v>
      </c>
      <c r="I396" s="28">
        <v>46076</v>
      </c>
      <c r="J396" s="16">
        <v>16</v>
      </c>
      <c r="K396" s="16">
        <v>52</v>
      </c>
      <c r="L396" s="16">
        <v>292</v>
      </c>
      <c r="M396" s="247" t="str">
        <f t="shared" si="8"/>
        <v>16-52-292</v>
      </c>
      <c r="N396" s="17" t="str">
        <f>IFERROR(VLOOKUP(M396,'LISTA ITEMS (2)'!$E$2:$G$910,2,FALSE),"  ")</f>
        <v>TERMICO EPBE63M1NC63M1NC40 1P+N C40 (MAXGE)</v>
      </c>
      <c r="O396" s="30" t="str">
        <f>IFERROR(VLOOKUP(M396,'LISTA ITEMS (2)'!$E$2:$G$910,3,FALSE)," ")</f>
        <v>UND</v>
      </c>
      <c r="P396" s="176">
        <v>1</v>
      </c>
      <c r="Q396" s="181"/>
      <c r="R396" s="17"/>
      <c r="S396" s="156"/>
    </row>
    <row r="397" spans="1:19" ht="36" x14ac:dyDescent="0.3">
      <c r="A397" s="27">
        <v>395</v>
      </c>
      <c r="B397" s="122">
        <v>24</v>
      </c>
      <c r="C397" s="94">
        <v>24</v>
      </c>
      <c r="D397" s="246"/>
      <c r="E397" s="246"/>
      <c r="F397" s="193" t="s">
        <v>825</v>
      </c>
      <c r="G397" s="181" t="s">
        <v>805</v>
      </c>
      <c r="H397" s="193" t="s">
        <v>803</v>
      </c>
      <c r="I397" s="28">
        <v>46076</v>
      </c>
      <c r="J397" s="16">
        <v>16</v>
      </c>
      <c r="K397" s="16">
        <v>52</v>
      </c>
      <c r="L397" s="16">
        <v>293</v>
      </c>
      <c r="M397" s="247" t="str">
        <f t="shared" si="8"/>
        <v>16-52-293</v>
      </c>
      <c r="N397" s="17" t="str">
        <f>IFERROR(VLOOKUP(M397,'LISTA ITEMS (2)'!$E$2:$G$910,2,FALSE),"  ")</f>
        <v>TERMICO EPBE63M1NC63M1NC32 1P+N C32 (MAXGE)</v>
      </c>
      <c r="O397" s="30" t="str">
        <f>IFERROR(VLOOKUP(M397,'LISTA ITEMS (2)'!$E$2:$G$910,3,FALSE)," ")</f>
        <v>UND</v>
      </c>
      <c r="P397" s="176">
        <v>1</v>
      </c>
      <c r="Q397" s="181"/>
      <c r="R397" s="17"/>
      <c r="S397" s="156"/>
    </row>
    <row r="398" spans="1:19" ht="36" x14ac:dyDescent="0.3">
      <c r="A398" s="27">
        <v>396</v>
      </c>
      <c r="B398" s="122">
        <v>24</v>
      </c>
      <c r="C398" s="94">
        <v>24</v>
      </c>
      <c r="D398" s="246"/>
      <c r="E398" s="246"/>
      <c r="F398" s="193" t="s">
        <v>825</v>
      </c>
      <c r="G398" s="181" t="s">
        <v>805</v>
      </c>
      <c r="H398" s="193" t="s">
        <v>803</v>
      </c>
      <c r="I398" s="28">
        <v>46076</v>
      </c>
      <c r="J398" s="16">
        <v>16</v>
      </c>
      <c r="K398" s="16">
        <v>51</v>
      </c>
      <c r="L398" s="16">
        <v>309</v>
      </c>
      <c r="M398" s="247" t="str">
        <f t="shared" si="8"/>
        <v>16-51-309</v>
      </c>
      <c r="N398" s="17" t="str">
        <f>IFERROR(VLOOKUP(M398,'LISTA ITEMS (2)'!$E$2:$G$910,2,FALSE),"  ")</f>
        <v>LIMITADOR MONOFASICO EPS1 C/2 - 275-40 (MAXGE)</v>
      </c>
      <c r="O398" s="30" t="str">
        <f>IFERROR(VLOOKUP(M398,'LISTA ITEMS (2)'!$E$2:$G$910,3,FALSE)," ")</f>
        <v>UND</v>
      </c>
      <c r="P398" s="176">
        <v>1</v>
      </c>
      <c r="Q398" s="181"/>
      <c r="R398" s="17"/>
      <c r="S398" s="156"/>
    </row>
    <row r="399" spans="1:19" ht="36" x14ac:dyDescent="0.3">
      <c r="A399" s="27">
        <v>397</v>
      </c>
      <c r="B399" s="122">
        <v>24</v>
      </c>
      <c r="C399" s="94">
        <v>24</v>
      </c>
      <c r="D399" s="246"/>
      <c r="E399" s="246"/>
      <c r="F399" s="193" t="s">
        <v>825</v>
      </c>
      <c r="G399" s="181" t="s">
        <v>805</v>
      </c>
      <c r="H399" s="193" t="s">
        <v>803</v>
      </c>
      <c r="I399" s="28">
        <v>46076</v>
      </c>
      <c r="J399" s="16">
        <v>16</v>
      </c>
      <c r="K399" s="16">
        <v>53</v>
      </c>
      <c r="L399" s="16">
        <v>290</v>
      </c>
      <c r="M399" s="247" t="str">
        <f t="shared" si="8"/>
        <v>16-53-290</v>
      </c>
      <c r="N399" s="17" t="str">
        <f>IFERROR(VLOOKUP(M399,'LISTA ITEMS (2)'!$E$2:$G$910,2,FALSE),"  ")</f>
        <v>PINCHO DE COMUNICACIÓN WIFI SHINEWILAN X2 (GROWATT)</v>
      </c>
      <c r="O399" s="30" t="str">
        <f>IFERROR(VLOOKUP(M399,'LISTA ITEMS (2)'!$E$2:$G$910,3,FALSE)," ")</f>
        <v>UND</v>
      </c>
      <c r="P399" s="176">
        <v>2</v>
      </c>
      <c r="Q399" s="181"/>
      <c r="R399" s="17"/>
      <c r="S399" s="156"/>
    </row>
    <row r="400" spans="1:19" ht="36" x14ac:dyDescent="0.3">
      <c r="A400" s="27">
        <v>398</v>
      </c>
      <c r="B400" s="122">
        <v>24</v>
      </c>
      <c r="C400" s="94">
        <v>24</v>
      </c>
      <c r="D400" s="246"/>
      <c r="E400" s="246"/>
      <c r="F400" s="193" t="s">
        <v>825</v>
      </c>
      <c r="G400" s="181" t="s">
        <v>805</v>
      </c>
      <c r="H400" s="193" t="s">
        <v>803</v>
      </c>
      <c r="I400" s="28">
        <v>46076</v>
      </c>
      <c r="J400" s="16">
        <v>10</v>
      </c>
      <c r="K400" s="16">
        <v>37</v>
      </c>
      <c r="L400" s="16">
        <v>330</v>
      </c>
      <c r="M400" s="247" t="str">
        <f t="shared" si="8"/>
        <v>10-37-330</v>
      </c>
      <c r="N400" s="17" t="str">
        <f>IFERROR(VLOOKUP(M400,'LISTA ITEMS (2)'!$E$2:$G$910,2,FALSE),"  ")</f>
        <v>SOPORTE EN L ALUMINIO GRIS</v>
      </c>
      <c r="O400" s="30" t="str">
        <f>IFERROR(VLOOKUP(M400,'LISTA ITEMS (2)'!$E$2:$G$910,3,FALSE)," ")</f>
        <v>UND</v>
      </c>
      <c r="P400" s="176">
        <v>35</v>
      </c>
      <c r="Q400" s="181"/>
      <c r="R400" s="17"/>
      <c r="S400" s="156">
        <v>15</v>
      </c>
    </row>
    <row r="401" spans="1:19" ht="36" x14ac:dyDescent="0.3">
      <c r="A401" s="27">
        <v>399</v>
      </c>
      <c r="B401" s="122">
        <v>24</v>
      </c>
      <c r="C401" s="94">
        <v>24</v>
      </c>
      <c r="D401" s="246"/>
      <c r="E401" s="246"/>
      <c r="F401" s="193" t="s">
        <v>825</v>
      </c>
      <c r="G401" s="181" t="s">
        <v>805</v>
      </c>
      <c r="H401" s="193" t="s">
        <v>803</v>
      </c>
      <c r="I401" s="28">
        <v>46076</v>
      </c>
      <c r="J401" s="16">
        <v>10</v>
      </c>
      <c r="K401" s="16">
        <v>37</v>
      </c>
      <c r="L401" s="16">
        <v>232</v>
      </c>
      <c r="M401" s="247" t="str">
        <f t="shared" si="8"/>
        <v>10-37-232</v>
      </c>
      <c r="N401" s="17" t="str">
        <f>IFERROR(VLOOKUP(M401,'LISTA ITEMS (2)'!$E$2:$G$910,2,FALSE),"  ")</f>
        <v>SOPORTE CENTRAL NEGRO</v>
      </c>
      <c r="O401" s="30" t="str">
        <f>IFERROR(VLOOKUP(M401,'LISTA ITEMS (2)'!$E$2:$G$910,3,FALSE)," ")</f>
        <v>UND</v>
      </c>
      <c r="P401" s="176">
        <v>35</v>
      </c>
      <c r="Q401" s="181"/>
      <c r="R401" s="17"/>
      <c r="S401" s="156">
        <v>23</v>
      </c>
    </row>
    <row r="402" spans="1:19" ht="36" x14ac:dyDescent="0.3">
      <c r="A402" s="27">
        <v>400</v>
      </c>
      <c r="B402" s="122">
        <v>24</v>
      </c>
      <c r="C402" s="94">
        <v>24</v>
      </c>
      <c r="D402" s="246"/>
      <c r="E402" s="246"/>
      <c r="F402" s="193" t="s">
        <v>825</v>
      </c>
      <c r="G402" s="181" t="s">
        <v>805</v>
      </c>
      <c r="H402" s="193" t="s">
        <v>803</v>
      </c>
      <c r="I402" s="28">
        <v>46076</v>
      </c>
      <c r="J402" s="16">
        <v>10</v>
      </c>
      <c r="K402" s="16">
        <v>37</v>
      </c>
      <c r="L402" s="16">
        <v>315</v>
      </c>
      <c r="M402" s="247" t="str">
        <f t="shared" si="8"/>
        <v>10-37-315</v>
      </c>
      <c r="N402" s="17" t="str">
        <f>IFERROR(VLOOKUP(M402,'LISTA ITEMS (2)'!$E$2:$G$910,2,FALSE),"  ")</f>
        <v>SOPORTE FINAL NEGRO</v>
      </c>
      <c r="O402" s="30" t="str">
        <f>IFERROR(VLOOKUP(M402,'LISTA ITEMS (2)'!$E$2:$G$910,3,FALSE)," ")</f>
        <v>UND</v>
      </c>
      <c r="P402" s="176">
        <v>20</v>
      </c>
      <c r="Q402" s="181"/>
      <c r="R402" s="17"/>
      <c r="S402" s="156">
        <v>12</v>
      </c>
    </row>
    <row r="403" spans="1:19" ht="36" x14ac:dyDescent="0.3">
      <c r="A403" s="27">
        <v>401</v>
      </c>
      <c r="B403" s="122">
        <v>24</v>
      </c>
      <c r="C403" s="94">
        <v>24</v>
      </c>
      <c r="D403" s="246"/>
      <c r="E403" s="246"/>
      <c r="F403" s="193" t="s">
        <v>825</v>
      </c>
      <c r="G403" s="181" t="s">
        <v>805</v>
      </c>
      <c r="H403" s="193" t="s">
        <v>803</v>
      </c>
      <c r="I403" s="28">
        <v>46076</v>
      </c>
      <c r="J403" s="16">
        <v>10</v>
      </c>
      <c r="K403" s="16">
        <v>43</v>
      </c>
      <c r="L403" s="16">
        <v>270</v>
      </c>
      <c r="M403" s="247" t="str">
        <f t="shared" si="8"/>
        <v>10-43-270</v>
      </c>
      <c r="N403" s="17" t="str">
        <f>IFERROR(VLOOKUP(M403,'LISTA ITEMS (2)'!$E$2:$G$910,2,FALSE),"  ")</f>
        <v>EMPALME ALUMINIO P/BARRA</v>
      </c>
      <c r="O403" s="30" t="str">
        <f>IFERROR(VLOOKUP(M403,'LISTA ITEMS (2)'!$E$2:$G$910,3,FALSE)," ")</f>
        <v>UND</v>
      </c>
      <c r="P403" s="176">
        <v>8</v>
      </c>
      <c r="Q403" s="181"/>
      <c r="R403" s="17"/>
      <c r="S403" s="156">
        <v>4</v>
      </c>
    </row>
    <row r="404" spans="1:19" ht="36" x14ac:dyDescent="0.3">
      <c r="A404" s="27">
        <v>402</v>
      </c>
      <c r="B404" s="122">
        <v>24</v>
      </c>
      <c r="C404" s="94">
        <v>24</v>
      </c>
      <c r="D404" s="246"/>
      <c r="E404" s="246"/>
      <c r="F404" s="193" t="s">
        <v>825</v>
      </c>
      <c r="G404" s="181" t="s">
        <v>805</v>
      </c>
      <c r="H404" s="193" t="s">
        <v>803</v>
      </c>
      <c r="I404" s="28">
        <v>46076</v>
      </c>
      <c r="J404" s="16">
        <v>16</v>
      </c>
      <c r="K404" s="16">
        <v>45</v>
      </c>
      <c r="L404" s="16">
        <v>294</v>
      </c>
      <c r="M404" s="247" t="str">
        <f t="shared" si="8"/>
        <v>16-45-294</v>
      </c>
      <c r="N404" s="17" t="str">
        <f>IFERROR(VLOOKUP(M404,'LISTA ITEMS (2)'!$E$2:$G$910,2,FALSE),"  ")</f>
        <v>CAJA DE ESTANCA 133X180X80 EV161 (IDE)</v>
      </c>
      <c r="O404" s="30" t="str">
        <f>IFERROR(VLOOKUP(M404,'LISTA ITEMS (2)'!$E$2:$G$910,3,FALSE)," ")</f>
        <v>UND</v>
      </c>
      <c r="P404" s="176">
        <v>1</v>
      </c>
      <c r="Q404" s="181"/>
      <c r="R404" s="17"/>
      <c r="S404" s="156"/>
    </row>
    <row r="405" spans="1:19" ht="36" x14ac:dyDescent="0.3">
      <c r="A405" s="27">
        <v>403</v>
      </c>
      <c r="B405" s="122">
        <v>24</v>
      </c>
      <c r="C405" s="94">
        <v>24</v>
      </c>
      <c r="D405" s="246"/>
      <c r="E405" s="246"/>
      <c r="F405" s="193" t="s">
        <v>825</v>
      </c>
      <c r="G405" s="181" t="s">
        <v>805</v>
      </c>
      <c r="H405" s="193" t="s">
        <v>803</v>
      </c>
      <c r="I405" s="28">
        <v>46076</v>
      </c>
      <c r="J405" s="16">
        <v>17</v>
      </c>
      <c r="K405" s="16">
        <v>44</v>
      </c>
      <c r="L405" s="16">
        <v>271</v>
      </c>
      <c r="M405" s="247" t="str">
        <f t="shared" si="8"/>
        <v>17-44-271</v>
      </c>
      <c r="N405" s="17" t="str">
        <f>IFERROR(VLOOKUP(M405,'LISTA ITEMS (2)'!$E$2:$G$910,2,FALSE),"  ")</f>
        <v>SELLANTE QUIMICO BLANCO</v>
      </c>
      <c r="O405" s="30" t="str">
        <f>IFERROR(VLOOKUP(M405,'LISTA ITEMS (2)'!$E$2:$G$910,3,FALSE)," ")</f>
        <v>UND</v>
      </c>
      <c r="P405" s="176">
        <v>2</v>
      </c>
      <c r="Q405" s="181"/>
      <c r="R405" s="17"/>
      <c r="S405" s="156"/>
    </row>
    <row r="406" spans="1:19" ht="36" x14ac:dyDescent="0.3">
      <c r="A406" s="27">
        <v>404</v>
      </c>
      <c r="B406" s="122">
        <v>24</v>
      </c>
      <c r="C406" s="94">
        <v>24</v>
      </c>
      <c r="D406" s="246"/>
      <c r="E406" s="246"/>
      <c r="F406" s="193" t="s">
        <v>825</v>
      </c>
      <c r="G406" s="181" t="s">
        <v>805</v>
      </c>
      <c r="H406" s="193" t="s">
        <v>803</v>
      </c>
      <c r="I406" s="28">
        <v>46076</v>
      </c>
      <c r="J406" s="16">
        <v>17</v>
      </c>
      <c r="K406" s="16">
        <v>44</v>
      </c>
      <c r="L406" s="16">
        <v>272</v>
      </c>
      <c r="M406" s="247" t="str">
        <f t="shared" si="8"/>
        <v>17-44-272</v>
      </c>
      <c r="N406" s="17" t="str">
        <f>IFERROR(VLOOKUP(M406,'LISTA ITEMS (2)'!$E$2:$G$910,2,FALSE),"  ")</f>
        <v>SELLANTE QUIMICO GRIS</v>
      </c>
      <c r="O406" s="30" t="str">
        <f>IFERROR(VLOOKUP(M406,'LISTA ITEMS (2)'!$E$2:$G$910,3,FALSE)," ")</f>
        <v>UND</v>
      </c>
      <c r="P406" s="176">
        <v>1</v>
      </c>
      <c r="Q406" s="181"/>
      <c r="R406" s="17"/>
      <c r="S406" s="156"/>
    </row>
    <row r="407" spans="1:19" ht="36" x14ac:dyDescent="0.3">
      <c r="A407" s="27">
        <v>405</v>
      </c>
      <c r="B407" s="122">
        <v>24</v>
      </c>
      <c r="C407" s="94">
        <v>24</v>
      </c>
      <c r="D407" s="246"/>
      <c r="E407" s="246"/>
      <c r="F407" s="193" t="s">
        <v>825</v>
      </c>
      <c r="G407" s="181" t="s">
        <v>805</v>
      </c>
      <c r="H407" s="193" t="s">
        <v>803</v>
      </c>
      <c r="I407" s="28">
        <v>46076</v>
      </c>
      <c r="J407" s="16">
        <v>14</v>
      </c>
      <c r="K407" s="16">
        <v>24</v>
      </c>
      <c r="L407" s="16">
        <v>193</v>
      </c>
      <c r="M407" s="247" t="str">
        <f t="shared" si="8"/>
        <v>14-24-193</v>
      </c>
      <c r="N407" s="17" t="str">
        <f>IFERROR(VLOOKUP(M407,'LISTA ITEMS (2)'!$E$2:$G$910,2,FALSE),"  ")</f>
        <v>DISCO CORTE ACERO/INOX A1 2EN1</v>
      </c>
      <c r="O407" s="30" t="str">
        <f>IFERROR(VLOOKUP(M407,'LISTA ITEMS (2)'!$E$2:$G$910,3,FALSE)," ")</f>
        <v>UND</v>
      </c>
      <c r="P407" s="176">
        <v>3</v>
      </c>
      <c r="Q407" s="181"/>
      <c r="R407" s="17"/>
      <c r="S407" s="156"/>
    </row>
    <row r="408" spans="1:19" ht="36" x14ac:dyDescent="0.3">
      <c r="A408" s="27">
        <v>406</v>
      </c>
      <c r="B408" s="122">
        <v>24</v>
      </c>
      <c r="C408" s="94">
        <v>24</v>
      </c>
      <c r="D408" s="246"/>
      <c r="E408" s="246"/>
      <c r="F408" s="193" t="s">
        <v>825</v>
      </c>
      <c r="G408" s="181" t="s">
        <v>805</v>
      </c>
      <c r="H408" s="193" t="s">
        <v>803</v>
      </c>
      <c r="I408" s="28">
        <v>46076</v>
      </c>
      <c r="J408" s="16">
        <v>13</v>
      </c>
      <c r="K408" s="16">
        <v>21</v>
      </c>
      <c r="L408" s="16">
        <v>181</v>
      </c>
      <c r="M408" s="247" t="str">
        <f t="shared" si="8"/>
        <v>13-21-181</v>
      </c>
      <c r="N408" s="17" t="str">
        <f>IFERROR(VLOOKUP(M408,'LISTA ITEMS (2)'!$E$2:$G$910,2,FALSE),"  ")</f>
        <v>TACO P/BRIDA NEGRO</v>
      </c>
      <c r="O408" s="30" t="str">
        <f>IFERROR(VLOOKUP(M408,'LISTA ITEMS (2)'!$E$2:$G$910,3,FALSE)," ")</f>
        <v>UND</v>
      </c>
      <c r="P408" s="176">
        <v>100</v>
      </c>
      <c r="Q408" s="181"/>
      <c r="R408" s="17"/>
      <c r="S408" s="156"/>
    </row>
    <row r="409" spans="1:19" ht="36" x14ac:dyDescent="0.3">
      <c r="A409" s="27">
        <v>407</v>
      </c>
      <c r="B409" s="122">
        <v>24</v>
      </c>
      <c r="C409" s="94">
        <v>24</v>
      </c>
      <c r="D409" s="246"/>
      <c r="E409" s="246"/>
      <c r="F409" s="193" t="s">
        <v>825</v>
      </c>
      <c r="G409" s="181" t="s">
        <v>805</v>
      </c>
      <c r="H409" s="193" t="s">
        <v>803</v>
      </c>
      <c r="I409" s="28">
        <v>46076</v>
      </c>
      <c r="J409" s="16">
        <v>13</v>
      </c>
      <c r="K409" s="16">
        <v>22</v>
      </c>
      <c r="L409" s="16">
        <v>184</v>
      </c>
      <c r="M409" s="247" t="str">
        <f t="shared" si="8"/>
        <v>13-22-184</v>
      </c>
      <c r="N409" s="17" t="str">
        <f>IFERROR(VLOOKUP(M409,'LISTA ITEMS (2)'!$E$2:$G$910,2,FALSE),"  ")</f>
        <v>BRIDA P/EXTERIOR NEGRA</v>
      </c>
      <c r="O409" s="30" t="str">
        <f>IFERROR(VLOOKUP(M409,'LISTA ITEMS (2)'!$E$2:$G$910,3,FALSE)," ")</f>
        <v>UND</v>
      </c>
      <c r="P409" s="176">
        <v>100</v>
      </c>
      <c r="Q409" s="181"/>
      <c r="R409" s="17"/>
      <c r="S409" s="156"/>
    </row>
    <row r="410" spans="1:19" ht="36" x14ac:dyDescent="0.3">
      <c r="A410" s="27">
        <v>408</v>
      </c>
      <c r="B410" s="122">
        <v>24</v>
      </c>
      <c r="C410" s="94">
        <v>24</v>
      </c>
      <c r="D410" s="246"/>
      <c r="E410" s="246"/>
      <c r="F410" s="193" t="s">
        <v>825</v>
      </c>
      <c r="G410" s="181" t="s">
        <v>805</v>
      </c>
      <c r="H410" s="193" t="s">
        <v>803</v>
      </c>
      <c r="I410" s="28">
        <v>46076</v>
      </c>
      <c r="J410" s="16">
        <v>16</v>
      </c>
      <c r="K410" s="16">
        <v>61</v>
      </c>
      <c r="L410" s="16">
        <v>331</v>
      </c>
      <c r="M410" s="247" t="str">
        <f t="shared" si="8"/>
        <v>16-61-331</v>
      </c>
      <c r="N410" s="17" t="str">
        <f>IFERROR(VLOOKUP(M410,'LISTA ITEMS (2)'!$E$2:$G$910,2,FALSE),"  ")</f>
        <v>CONECTOR FOTOVOLTAICO HEMBRA M4 NEGRO</v>
      </c>
      <c r="O410" s="30" t="str">
        <f>IFERROR(VLOOKUP(M410,'LISTA ITEMS (2)'!$E$2:$G$910,3,FALSE)," ")</f>
        <v>UND</v>
      </c>
      <c r="P410" s="176">
        <v>10</v>
      </c>
      <c r="Q410" s="181"/>
      <c r="R410" s="17"/>
      <c r="S410" s="156"/>
    </row>
    <row r="411" spans="1:19" ht="36" x14ac:dyDescent="0.3">
      <c r="A411" s="27">
        <v>409</v>
      </c>
      <c r="B411" s="122">
        <v>24</v>
      </c>
      <c r="C411" s="94">
        <v>24</v>
      </c>
      <c r="D411" s="246"/>
      <c r="E411" s="246"/>
      <c r="F411" s="193" t="s">
        <v>825</v>
      </c>
      <c r="G411" s="181" t="s">
        <v>805</v>
      </c>
      <c r="H411" s="193" t="s">
        <v>803</v>
      </c>
      <c r="I411" s="28">
        <v>46076</v>
      </c>
      <c r="J411" s="16">
        <v>16</v>
      </c>
      <c r="K411" s="16">
        <v>61</v>
      </c>
      <c r="L411" s="16">
        <v>332</v>
      </c>
      <c r="M411" s="247" t="str">
        <f t="shared" si="8"/>
        <v>16-61-332</v>
      </c>
      <c r="N411" s="17" t="str">
        <f>IFERROR(VLOOKUP(M411,'LISTA ITEMS (2)'!$E$2:$G$910,2,FALSE),"  ")</f>
        <v>CONECTOR FOTOVOLTAICO MACHO M4 NEGRO</v>
      </c>
      <c r="O411" s="30" t="str">
        <f>IFERROR(VLOOKUP(M411,'LISTA ITEMS (2)'!$E$2:$G$910,3,FALSE)," ")</f>
        <v>UND</v>
      </c>
      <c r="P411" s="176">
        <v>10</v>
      </c>
      <c r="Q411" s="181"/>
      <c r="R411" s="17"/>
      <c r="S411" s="156"/>
    </row>
    <row r="412" spans="1:19" ht="36" x14ac:dyDescent="0.3">
      <c r="A412" s="27">
        <v>410</v>
      </c>
      <c r="B412" s="122">
        <v>24</v>
      </c>
      <c r="C412" s="94">
        <v>24</v>
      </c>
      <c r="D412" s="246"/>
      <c r="E412" s="246"/>
      <c r="F412" s="193" t="s">
        <v>825</v>
      </c>
      <c r="G412" s="181" t="s">
        <v>805</v>
      </c>
      <c r="H412" s="193" t="s">
        <v>803</v>
      </c>
      <c r="I412" s="28">
        <v>46076</v>
      </c>
      <c r="J412" s="16">
        <v>20</v>
      </c>
      <c r="K412" s="16">
        <v>83</v>
      </c>
      <c r="L412" s="16">
        <v>409</v>
      </c>
      <c r="M412" s="247" t="str">
        <f t="shared" si="8"/>
        <v>20-83-409</v>
      </c>
      <c r="N412" s="17" t="str">
        <f>IFERROR(VLOOKUP(M412,'LISTA ITEMS (2)'!$E$2:$G$910,2,FALSE),"  ")</f>
        <v>TAMIZ NYLON 16X85</v>
      </c>
      <c r="O412" s="30" t="str">
        <f>IFERROR(VLOOKUP(M412,'LISTA ITEMS (2)'!$E$2:$G$910,3,FALSE)," ")</f>
        <v>UND</v>
      </c>
      <c r="P412" s="176">
        <v>20</v>
      </c>
      <c r="Q412" s="181"/>
      <c r="R412" s="17"/>
      <c r="S412" s="156"/>
    </row>
    <row r="413" spans="1:19" ht="36" x14ac:dyDescent="0.3">
      <c r="A413" s="27">
        <v>411</v>
      </c>
      <c r="B413" s="122">
        <v>24</v>
      </c>
      <c r="C413" s="94">
        <v>24</v>
      </c>
      <c r="D413" s="246"/>
      <c r="E413" s="246"/>
      <c r="F413" s="193" t="s">
        <v>825</v>
      </c>
      <c r="G413" s="181" t="s">
        <v>805</v>
      </c>
      <c r="H413" s="193" t="s">
        <v>803</v>
      </c>
      <c r="I413" s="28">
        <v>46076</v>
      </c>
      <c r="J413" s="16">
        <v>17</v>
      </c>
      <c r="K413" s="16">
        <v>44</v>
      </c>
      <c r="L413" s="16">
        <v>273</v>
      </c>
      <c r="M413" s="247" t="str">
        <f t="shared" si="8"/>
        <v>17-44-273</v>
      </c>
      <c r="N413" s="17" t="str">
        <f>IFERROR(VLOOKUP(M413,'LISTA ITEMS (2)'!$E$2:$G$910,2,FALSE),"  ")</f>
        <v>SELLANTE QUIMICO TACO</v>
      </c>
      <c r="O413" s="30" t="str">
        <f>IFERROR(VLOOKUP(M413,'LISTA ITEMS (2)'!$E$2:$G$910,3,FALSE)," ")</f>
        <v>UND</v>
      </c>
      <c r="P413" s="176">
        <v>5</v>
      </c>
      <c r="Q413" s="181"/>
      <c r="R413" s="17"/>
      <c r="S413" s="156">
        <v>5</v>
      </c>
    </row>
    <row r="414" spans="1:19" ht="36" x14ac:dyDescent="0.3">
      <c r="A414" s="27">
        <v>412</v>
      </c>
      <c r="B414" s="122">
        <v>24</v>
      </c>
      <c r="C414" s="94">
        <v>24</v>
      </c>
      <c r="D414" s="246"/>
      <c r="E414" s="246"/>
      <c r="F414" s="193" t="s">
        <v>825</v>
      </c>
      <c r="G414" s="181" t="s">
        <v>805</v>
      </c>
      <c r="H414" s="193" t="s">
        <v>803</v>
      </c>
      <c r="I414" s="28">
        <v>46076</v>
      </c>
      <c r="J414" s="16">
        <v>9</v>
      </c>
      <c r="K414" s="16">
        <v>32</v>
      </c>
      <c r="L414" s="16">
        <v>223</v>
      </c>
      <c r="M414" s="247" t="str">
        <f t="shared" si="8"/>
        <v>9-32-223</v>
      </c>
      <c r="N414" s="17" t="str">
        <f>IFERROR(VLOOKUP(M414,'LISTA ITEMS (2)'!$E$2:$G$910,2,FALSE),"  ")</f>
        <v>CURVA PVC M-25 GRIS TIPO A</v>
      </c>
      <c r="O414" s="30" t="str">
        <f>IFERROR(VLOOKUP(M414,'LISTA ITEMS (2)'!$E$2:$G$910,3,FALSE)," ")</f>
        <v>UND</v>
      </c>
      <c r="P414" s="176">
        <v>14</v>
      </c>
      <c r="Q414" s="181"/>
      <c r="R414" s="17"/>
      <c r="S414" s="156"/>
    </row>
    <row r="415" spans="1:19" ht="36" x14ac:dyDescent="0.3">
      <c r="A415" s="27">
        <v>413</v>
      </c>
      <c r="B415" s="122">
        <v>24</v>
      </c>
      <c r="C415" s="94">
        <v>24</v>
      </c>
      <c r="D415" s="246"/>
      <c r="E415" s="246"/>
      <c r="F415" s="193" t="s">
        <v>825</v>
      </c>
      <c r="G415" s="181" t="s">
        <v>805</v>
      </c>
      <c r="H415" s="193" t="s">
        <v>803</v>
      </c>
      <c r="I415" s="28">
        <v>46076</v>
      </c>
      <c r="J415" s="16">
        <v>9</v>
      </c>
      <c r="K415" s="16">
        <v>32</v>
      </c>
      <c r="L415" s="16">
        <v>224</v>
      </c>
      <c r="M415" s="247" t="str">
        <f t="shared" si="8"/>
        <v>9-32-224</v>
      </c>
      <c r="N415" s="17" t="str">
        <f>IFERROR(VLOOKUP(M415,'LISTA ITEMS (2)'!$E$2:$G$910,2,FALSE),"  ")</f>
        <v>CURVA PVC M-25 GRIS TIPO B</v>
      </c>
      <c r="O415" s="30" t="str">
        <f>IFERROR(VLOOKUP(M415,'LISTA ITEMS (2)'!$E$2:$G$910,3,FALSE)," ")</f>
        <v>UND</v>
      </c>
      <c r="P415" s="176">
        <v>10</v>
      </c>
      <c r="Q415" s="181"/>
      <c r="R415" s="17"/>
      <c r="S415" s="156"/>
    </row>
    <row r="416" spans="1:19" ht="36" x14ac:dyDescent="0.3">
      <c r="A416" s="27">
        <v>414</v>
      </c>
      <c r="B416" s="122">
        <v>24</v>
      </c>
      <c r="C416" s="94">
        <v>24</v>
      </c>
      <c r="D416" s="246"/>
      <c r="E416" s="246"/>
      <c r="F416" s="193" t="s">
        <v>825</v>
      </c>
      <c r="G416" s="181" t="s">
        <v>805</v>
      </c>
      <c r="H416" s="193" t="s">
        <v>803</v>
      </c>
      <c r="I416" s="28">
        <v>46076</v>
      </c>
      <c r="J416" s="16">
        <v>16</v>
      </c>
      <c r="K416" s="16">
        <v>33</v>
      </c>
      <c r="L416" s="16">
        <v>369</v>
      </c>
      <c r="M416" s="247" t="str">
        <f t="shared" si="8"/>
        <v>16-33-369</v>
      </c>
      <c r="N416" s="17" t="str">
        <f>IFERROR(VLOOKUP(M416,'LISTA ITEMS (2)'!$E$2:$G$910,2,FALSE),"  ")</f>
        <v>OPTIMIZADOR TS4-A-O (TIGO)</v>
      </c>
      <c r="O416" s="30" t="str">
        <f>IFERROR(VLOOKUP(M416,'LISTA ITEMS (2)'!$E$2:$G$910,3,FALSE)," ")</f>
        <v>UND</v>
      </c>
      <c r="P416" s="176">
        <v>2</v>
      </c>
      <c r="Q416" s="181"/>
      <c r="R416" s="17"/>
      <c r="S416" s="156"/>
    </row>
    <row r="417" spans="1:19" ht="36" x14ac:dyDescent="0.3">
      <c r="A417" s="27">
        <v>415</v>
      </c>
      <c r="B417" s="122">
        <v>24</v>
      </c>
      <c r="C417" s="94">
        <v>24</v>
      </c>
      <c r="D417" s="246"/>
      <c r="E417" s="246"/>
      <c r="F417" s="193" t="s">
        <v>825</v>
      </c>
      <c r="G417" s="181" t="s">
        <v>805</v>
      </c>
      <c r="H417" s="193" t="s">
        <v>803</v>
      </c>
      <c r="I417" s="28">
        <v>46076</v>
      </c>
      <c r="J417" s="16">
        <v>7</v>
      </c>
      <c r="K417" s="16">
        <v>54</v>
      </c>
      <c r="L417" s="16">
        <v>295</v>
      </c>
      <c r="M417" s="247" t="str">
        <f t="shared" si="8"/>
        <v>7-54-295</v>
      </c>
      <c r="N417" s="17" t="str">
        <f>IFERROR(VLOOKUP(M417,'LISTA ITEMS (2)'!$E$2:$G$910,2,FALSE),"  ")</f>
        <v>BATERIA LFP LITHIUM DL5.OC (DYNESS)</v>
      </c>
      <c r="O417" s="30" t="str">
        <f>IFERROR(VLOOKUP(M417,'LISTA ITEMS (2)'!$E$2:$G$910,3,FALSE)," ")</f>
        <v>UND</v>
      </c>
      <c r="P417" s="176">
        <v>1</v>
      </c>
      <c r="Q417" s="181"/>
      <c r="R417" s="17"/>
      <c r="S417" s="156"/>
    </row>
    <row r="418" spans="1:19" ht="36" x14ac:dyDescent="0.3">
      <c r="A418" s="27">
        <v>416</v>
      </c>
      <c r="B418" s="122">
        <v>24</v>
      </c>
      <c r="C418" s="94">
        <v>24</v>
      </c>
      <c r="D418" s="246"/>
      <c r="E418" s="246"/>
      <c r="F418" s="193" t="s">
        <v>825</v>
      </c>
      <c r="G418" s="181" t="s">
        <v>805</v>
      </c>
      <c r="H418" s="193" t="s">
        <v>803</v>
      </c>
      <c r="I418" s="28">
        <v>46076</v>
      </c>
      <c r="J418" s="16">
        <v>7</v>
      </c>
      <c r="K418" s="16">
        <v>35</v>
      </c>
      <c r="L418" s="16">
        <v>286</v>
      </c>
      <c r="M418" s="247" t="str">
        <f t="shared" si="8"/>
        <v>7-35-286</v>
      </c>
      <c r="N418" s="17" t="str">
        <f>IFERROR(VLOOKUP(M418,'LISTA ITEMS (2)'!$E$2:$G$910,2,FALSE),"  ")</f>
        <v>INVERSOR SPH 6000TL BL-UP 6KW (GROWATT)</v>
      </c>
      <c r="O418" s="30" t="str">
        <f>IFERROR(VLOOKUP(M418,'LISTA ITEMS (2)'!$E$2:$G$910,3,FALSE)," ")</f>
        <v>UND</v>
      </c>
      <c r="P418" s="176">
        <v>1</v>
      </c>
      <c r="Q418" s="181"/>
      <c r="R418" s="17"/>
      <c r="S418" s="156"/>
    </row>
    <row r="419" spans="1:19" ht="36" x14ac:dyDescent="0.3">
      <c r="A419" s="27">
        <v>417</v>
      </c>
      <c r="B419" s="122">
        <v>24</v>
      </c>
      <c r="C419" s="94">
        <v>24</v>
      </c>
      <c r="D419" s="246"/>
      <c r="E419" s="246"/>
      <c r="F419" s="193" t="s">
        <v>825</v>
      </c>
      <c r="G419" s="181" t="s">
        <v>805</v>
      </c>
      <c r="H419" s="193" t="s">
        <v>803</v>
      </c>
      <c r="I419" s="28">
        <v>46076</v>
      </c>
      <c r="J419" s="16">
        <v>16</v>
      </c>
      <c r="K419" s="16">
        <v>45</v>
      </c>
      <c r="L419" s="16">
        <v>317</v>
      </c>
      <c r="M419" s="247" t="str">
        <f t="shared" si="8"/>
        <v>16-45-317</v>
      </c>
      <c r="N419" s="17" t="str">
        <f>IFERROR(VLOOKUP(M419,'LISTA ITEMS (2)'!$E$2:$G$910,2,FALSE),"  ")</f>
        <v>CAJA DISTRIBUCION INTERIOR 8 ELEM. (SOLERA)</v>
      </c>
      <c r="O419" s="30" t="str">
        <f>IFERROR(VLOOKUP(M419,'LISTA ITEMS (2)'!$E$2:$G$910,3,FALSE)," ")</f>
        <v>UND</v>
      </c>
      <c r="P419" s="176">
        <v>1</v>
      </c>
      <c r="Q419" s="181"/>
      <c r="R419" s="17"/>
      <c r="S419" s="156"/>
    </row>
    <row r="420" spans="1:19" ht="36" x14ac:dyDescent="0.3">
      <c r="A420" s="27">
        <v>418</v>
      </c>
      <c r="B420" s="122">
        <v>24</v>
      </c>
      <c r="C420" s="94">
        <v>24</v>
      </c>
      <c r="D420" s="246"/>
      <c r="E420" s="246"/>
      <c r="F420" s="193" t="s">
        <v>825</v>
      </c>
      <c r="G420" s="181" t="s">
        <v>805</v>
      </c>
      <c r="H420" s="193" t="s">
        <v>803</v>
      </c>
      <c r="I420" s="28">
        <v>46076</v>
      </c>
      <c r="J420" s="16">
        <v>16</v>
      </c>
      <c r="K420" s="16">
        <v>13</v>
      </c>
      <c r="L420" s="16">
        <v>372</v>
      </c>
      <c r="M420" s="247" t="str">
        <f t="shared" si="8"/>
        <v>16-13-372</v>
      </c>
      <c r="N420" s="17" t="str">
        <f>IFERROR(VLOOKUP(M420,'LISTA ITEMS (2)'!$E$2:$G$910,2,FALSE),"  ")</f>
        <v>KIT CABLE BATERIA ARK</v>
      </c>
      <c r="O420" s="30" t="str">
        <f>IFERROR(VLOOKUP(M420,'LISTA ITEMS (2)'!$E$2:$G$910,3,FALSE)," ")</f>
        <v>UND</v>
      </c>
      <c r="P420" s="176">
        <v>1</v>
      </c>
      <c r="Q420" s="181"/>
      <c r="R420" s="17"/>
      <c r="S420" s="156"/>
    </row>
    <row r="421" spans="1:19" ht="36" x14ac:dyDescent="0.3">
      <c r="A421" s="27">
        <v>419</v>
      </c>
      <c r="B421" s="122">
        <v>24</v>
      </c>
      <c r="C421" s="94">
        <v>24</v>
      </c>
      <c r="D421" s="246"/>
      <c r="E421" s="246"/>
      <c r="F421" s="193" t="s">
        <v>825</v>
      </c>
      <c r="G421" s="181" t="s">
        <v>805</v>
      </c>
      <c r="H421" s="193" t="s">
        <v>803</v>
      </c>
      <c r="I421" s="28">
        <v>46076</v>
      </c>
      <c r="J421" s="16">
        <v>17</v>
      </c>
      <c r="K421" s="16">
        <v>44</v>
      </c>
      <c r="L421" s="16">
        <v>271</v>
      </c>
      <c r="M421" s="247" t="str">
        <f t="shared" si="8"/>
        <v>17-44-271</v>
      </c>
      <c r="N421" s="17" t="str">
        <f>IFERROR(VLOOKUP(M421,'LISTA ITEMS (2)'!$E$2:$G$910,2,FALSE),"  ")</f>
        <v>SELLANTE QUIMICO BLANCO</v>
      </c>
      <c r="O421" s="30" t="str">
        <f>IFERROR(VLOOKUP(M421,'LISTA ITEMS (2)'!$E$2:$G$910,3,FALSE)," ")</f>
        <v>UND</v>
      </c>
      <c r="P421" s="176">
        <v>2</v>
      </c>
      <c r="Q421" s="181"/>
      <c r="R421" s="17"/>
      <c r="S421" s="156">
        <v>1</v>
      </c>
    </row>
    <row r="422" spans="1:19" ht="36" x14ac:dyDescent="0.3">
      <c r="A422" s="27">
        <v>420</v>
      </c>
      <c r="B422" s="122">
        <v>24</v>
      </c>
      <c r="C422" s="94">
        <v>24</v>
      </c>
      <c r="D422" s="246"/>
      <c r="E422" s="246"/>
      <c r="F422" s="193" t="s">
        <v>825</v>
      </c>
      <c r="G422" s="181" t="s">
        <v>805</v>
      </c>
      <c r="H422" s="193" t="s">
        <v>803</v>
      </c>
      <c r="I422" s="28">
        <v>46076</v>
      </c>
      <c r="J422" s="16">
        <v>17</v>
      </c>
      <c r="K422" s="16">
        <v>44</v>
      </c>
      <c r="L422" s="16">
        <v>272</v>
      </c>
      <c r="M422" s="247" t="str">
        <f t="shared" si="8"/>
        <v>17-44-272</v>
      </c>
      <c r="N422" s="17" t="str">
        <f>IFERROR(VLOOKUP(M422,'LISTA ITEMS (2)'!$E$2:$G$910,2,FALSE),"  ")</f>
        <v>SELLANTE QUIMICO GRIS</v>
      </c>
      <c r="O422" s="30" t="str">
        <f>IFERROR(VLOOKUP(M422,'LISTA ITEMS (2)'!$E$2:$G$910,3,FALSE)," ")</f>
        <v>UND</v>
      </c>
      <c r="P422" s="176">
        <v>2</v>
      </c>
      <c r="Q422" s="181"/>
      <c r="R422" s="17"/>
      <c r="S422" s="156">
        <v>1</v>
      </c>
    </row>
    <row r="423" spans="1:19" ht="18" x14ac:dyDescent="0.3">
      <c r="A423" s="27">
        <v>421</v>
      </c>
      <c r="B423" s="264">
        <v>25</v>
      </c>
      <c r="C423" s="217">
        <v>25</v>
      </c>
      <c r="D423" s="225"/>
      <c r="E423" s="225" t="s">
        <v>828</v>
      </c>
      <c r="F423" s="218" t="s">
        <v>826</v>
      </c>
      <c r="G423" s="145" t="s">
        <v>787</v>
      </c>
      <c r="H423" s="218" t="s">
        <v>784</v>
      </c>
      <c r="I423" s="219">
        <v>46073</v>
      </c>
      <c r="J423" s="143">
        <v>9</v>
      </c>
      <c r="K423" s="143">
        <v>32</v>
      </c>
      <c r="L423" s="143">
        <v>224</v>
      </c>
      <c r="M423" s="144" t="str">
        <f t="shared" si="8"/>
        <v>9-32-224</v>
      </c>
      <c r="N423" s="142" t="str">
        <f>IFERROR(VLOOKUP(M423,'LISTA ITEMS (2)'!$E$2:$G$910,2,FALSE),"  ")</f>
        <v>CURVA PVC M-25 GRIS TIPO B</v>
      </c>
      <c r="O423" s="140" t="str">
        <f>IFERROR(VLOOKUP(M423,'LISTA ITEMS (2)'!$E$2:$G$910,3,FALSE)," ")</f>
        <v>UND</v>
      </c>
      <c r="P423" s="175">
        <v>22</v>
      </c>
      <c r="Q423" s="138"/>
      <c r="R423" s="142"/>
      <c r="S423" s="156">
        <v>0</v>
      </c>
    </row>
    <row r="424" spans="1:19" ht="43.2" x14ac:dyDescent="0.3">
      <c r="A424" s="27">
        <v>422</v>
      </c>
      <c r="B424" s="122">
        <v>26</v>
      </c>
      <c r="C424" s="94">
        <v>26</v>
      </c>
      <c r="D424" s="246" t="s">
        <v>831</v>
      </c>
      <c r="E424" s="246" t="s">
        <v>829</v>
      </c>
      <c r="F424" s="193" t="s">
        <v>809</v>
      </c>
      <c r="G424" s="181" t="s">
        <v>810</v>
      </c>
      <c r="H424" s="193" t="s">
        <v>808</v>
      </c>
      <c r="I424" s="28">
        <v>46077</v>
      </c>
      <c r="J424" s="16">
        <v>16</v>
      </c>
      <c r="K424" s="16">
        <v>47</v>
      </c>
      <c r="L424" s="16">
        <v>318</v>
      </c>
      <c r="M424" s="247" t="str">
        <f t="shared" si="8"/>
        <v>16-47-318</v>
      </c>
      <c r="N424" s="17" t="str">
        <f>IFERROR(VLOOKUP(M424,'LISTA ITEMS (2)'!$E$2:$G$910,2,FALSE),"  ")</f>
        <v>DIFERENCIAL EPR2A040030 2P-40A-30mA (MAXGE)</v>
      </c>
      <c r="O424" s="30" t="str">
        <f>IFERROR(VLOOKUP(M424,'LISTA ITEMS (2)'!$E$2:$G$910,3,FALSE)," ")</f>
        <v>UND</v>
      </c>
      <c r="P424" s="176">
        <v>1</v>
      </c>
      <c r="Q424" s="181"/>
      <c r="R424" s="17"/>
      <c r="S424" s="156"/>
    </row>
    <row r="425" spans="1:19" ht="43.2" x14ac:dyDescent="0.3">
      <c r="A425" s="27">
        <v>423</v>
      </c>
      <c r="B425" s="122">
        <v>26</v>
      </c>
      <c r="C425" s="94">
        <v>26</v>
      </c>
      <c r="D425" s="246" t="s">
        <v>831</v>
      </c>
      <c r="E425" s="246" t="s">
        <v>829</v>
      </c>
      <c r="F425" s="193" t="s">
        <v>809</v>
      </c>
      <c r="G425" s="181" t="s">
        <v>810</v>
      </c>
      <c r="H425" s="193" t="s">
        <v>808</v>
      </c>
      <c r="I425" s="28">
        <v>46077</v>
      </c>
      <c r="J425" s="16">
        <v>16</v>
      </c>
      <c r="K425" s="16">
        <v>48</v>
      </c>
      <c r="L425" s="16">
        <v>281</v>
      </c>
      <c r="M425" s="247" t="str">
        <f t="shared" si="8"/>
        <v>16-48-281</v>
      </c>
      <c r="N425" s="17" t="str">
        <f>IFERROR(VLOOKUP(M425,'LISTA ITEMS (2)'!$E$2:$G$910,2,FALSE),"  ")</f>
        <v>PORTA FUSIBLE SGF-32-DC (MAXGE)</v>
      </c>
      <c r="O425" s="30" t="str">
        <f>IFERROR(VLOOKUP(M425,'LISTA ITEMS (2)'!$E$2:$G$910,3,FALSE)," ")</f>
        <v>UND</v>
      </c>
      <c r="P425" s="176">
        <v>4</v>
      </c>
      <c r="Q425" s="181"/>
      <c r="R425" s="17"/>
      <c r="S425" s="156">
        <v>1</v>
      </c>
    </row>
    <row r="426" spans="1:19" ht="43.2" x14ac:dyDescent="0.3">
      <c r="A426" s="27">
        <v>424</v>
      </c>
      <c r="B426" s="122">
        <v>26</v>
      </c>
      <c r="C426" s="94">
        <v>26</v>
      </c>
      <c r="D426" s="246" t="s">
        <v>831</v>
      </c>
      <c r="E426" s="246" t="s">
        <v>829</v>
      </c>
      <c r="F426" s="193" t="s">
        <v>809</v>
      </c>
      <c r="G426" s="181" t="s">
        <v>810</v>
      </c>
      <c r="H426" s="193" t="s">
        <v>808</v>
      </c>
      <c r="I426" s="28">
        <v>46077</v>
      </c>
      <c r="J426" s="16">
        <v>16</v>
      </c>
      <c r="K426" s="16">
        <v>50</v>
      </c>
      <c r="L426" s="16">
        <v>314</v>
      </c>
      <c r="M426" s="247" t="str">
        <f t="shared" si="8"/>
        <v>16-50-314</v>
      </c>
      <c r="N426" s="17" t="str">
        <f>IFERROR(VLOOKUP(M426,'LISTA ITEMS (2)'!$E$2:$G$910,2,FALSE),"  ")</f>
        <v>FUSIBLE MG10PV32A (MAXGE)</v>
      </c>
      <c r="O426" s="30" t="str">
        <f>IFERROR(VLOOKUP(M426,'LISTA ITEMS (2)'!$E$2:$G$910,3,FALSE)," ")</f>
        <v>UND</v>
      </c>
      <c r="P426" s="176">
        <v>4</v>
      </c>
      <c r="Q426" s="181"/>
      <c r="R426" s="17"/>
      <c r="S426" s="156">
        <v>1</v>
      </c>
    </row>
    <row r="427" spans="1:19" ht="43.2" x14ac:dyDescent="0.3">
      <c r="A427" s="27">
        <v>425</v>
      </c>
      <c r="B427" s="122">
        <v>26</v>
      </c>
      <c r="C427" s="94">
        <v>26</v>
      </c>
      <c r="D427" s="246" t="s">
        <v>831</v>
      </c>
      <c r="E427" s="246" t="s">
        <v>829</v>
      </c>
      <c r="F427" s="193" t="s">
        <v>809</v>
      </c>
      <c r="G427" s="181" t="s">
        <v>810</v>
      </c>
      <c r="H427" s="193" t="s">
        <v>808</v>
      </c>
      <c r="I427" s="28">
        <v>46077</v>
      </c>
      <c r="J427" s="16">
        <v>16</v>
      </c>
      <c r="K427" s="16">
        <v>52</v>
      </c>
      <c r="L427" s="16">
        <v>292</v>
      </c>
      <c r="M427" s="247" t="str">
        <f t="shared" si="8"/>
        <v>16-52-292</v>
      </c>
      <c r="N427" s="17" t="str">
        <f>IFERROR(VLOOKUP(M427,'LISTA ITEMS (2)'!$E$2:$G$910,2,FALSE),"  ")</f>
        <v>TERMICO EPBE63M1NC63M1NC40 1P+N C40 (MAXGE)</v>
      </c>
      <c r="O427" s="30" t="str">
        <f>IFERROR(VLOOKUP(M427,'LISTA ITEMS (2)'!$E$2:$G$910,3,FALSE)," ")</f>
        <v>UND</v>
      </c>
      <c r="P427" s="176">
        <v>1</v>
      </c>
      <c r="Q427" s="181"/>
      <c r="R427" s="17"/>
      <c r="S427" s="156"/>
    </row>
    <row r="428" spans="1:19" ht="43.2" x14ac:dyDescent="0.3">
      <c r="A428" s="27">
        <v>426</v>
      </c>
      <c r="B428" s="122">
        <v>26</v>
      </c>
      <c r="C428" s="94">
        <v>26</v>
      </c>
      <c r="D428" s="246" t="s">
        <v>831</v>
      </c>
      <c r="E428" s="246" t="s">
        <v>829</v>
      </c>
      <c r="F428" s="193" t="s">
        <v>809</v>
      </c>
      <c r="G428" s="181" t="s">
        <v>810</v>
      </c>
      <c r="H428" s="193" t="s">
        <v>808</v>
      </c>
      <c r="I428" s="28">
        <v>46077</v>
      </c>
      <c r="J428" s="16">
        <v>16</v>
      </c>
      <c r="K428" s="16">
        <v>52</v>
      </c>
      <c r="L428" s="16">
        <v>293</v>
      </c>
      <c r="M428" s="247" t="str">
        <f t="shared" si="8"/>
        <v>16-52-293</v>
      </c>
      <c r="N428" s="17" t="str">
        <f>IFERROR(VLOOKUP(M428,'LISTA ITEMS (2)'!$E$2:$G$910,2,FALSE),"  ")</f>
        <v>TERMICO EPBE63M1NC63M1NC32 1P+N C32 (MAXGE)</v>
      </c>
      <c r="O428" s="30" t="str">
        <f>IFERROR(VLOOKUP(M428,'LISTA ITEMS (2)'!$E$2:$G$910,3,FALSE)," ")</f>
        <v>UND</v>
      </c>
      <c r="P428" s="176">
        <v>1</v>
      </c>
      <c r="Q428" s="181"/>
      <c r="R428" s="17"/>
      <c r="S428" s="156"/>
    </row>
    <row r="429" spans="1:19" ht="43.2" x14ac:dyDescent="0.3">
      <c r="A429" s="27">
        <v>427</v>
      </c>
      <c r="B429" s="122">
        <v>26</v>
      </c>
      <c r="C429" s="94">
        <v>26</v>
      </c>
      <c r="D429" s="246" t="s">
        <v>831</v>
      </c>
      <c r="E429" s="246" t="s">
        <v>829</v>
      </c>
      <c r="F429" s="193" t="s">
        <v>809</v>
      </c>
      <c r="G429" s="181" t="s">
        <v>810</v>
      </c>
      <c r="H429" s="193" t="s">
        <v>808</v>
      </c>
      <c r="I429" s="28">
        <v>46077</v>
      </c>
      <c r="J429" s="16">
        <v>16</v>
      </c>
      <c r="K429" s="16">
        <v>49</v>
      </c>
      <c r="L429" s="16">
        <v>288</v>
      </c>
      <c r="M429" s="247" t="str">
        <f t="shared" si="8"/>
        <v>16-49-288</v>
      </c>
      <c r="N429" s="17" t="str">
        <f>IFERROR(VLOOKUP(M429,'LISTA ITEMS (2)'!$E$2:$G$910,2,FALSE),"  ")</f>
        <v>CONTACTOR MODULAR EPC1-6322-P7 (MAXGE)</v>
      </c>
      <c r="O429" s="30" t="str">
        <f>IFERROR(VLOOKUP(M429,'LISTA ITEMS (2)'!$E$2:$G$910,3,FALSE)," ")</f>
        <v>UND</v>
      </c>
      <c r="P429" s="176">
        <v>1</v>
      </c>
      <c r="Q429" s="181"/>
      <c r="R429" s="17"/>
      <c r="S429" s="156"/>
    </row>
    <row r="430" spans="1:19" ht="43.2" x14ac:dyDescent="0.3">
      <c r="A430" s="27">
        <v>428</v>
      </c>
      <c r="B430" s="122">
        <v>26</v>
      </c>
      <c r="C430" s="94">
        <v>26</v>
      </c>
      <c r="D430" s="246" t="s">
        <v>831</v>
      </c>
      <c r="E430" s="246" t="s">
        <v>829</v>
      </c>
      <c r="F430" s="193" t="s">
        <v>809</v>
      </c>
      <c r="G430" s="181" t="s">
        <v>810</v>
      </c>
      <c r="H430" s="193" t="s">
        <v>808</v>
      </c>
      <c r="I430" s="28">
        <v>46077</v>
      </c>
      <c r="J430" s="16">
        <v>16</v>
      </c>
      <c r="K430" s="16">
        <v>53</v>
      </c>
      <c r="L430" s="16">
        <v>290</v>
      </c>
      <c r="M430" s="247" t="str">
        <f t="shared" si="8"/>
        <v>16-53-290</v>
      </c>
      <c r="N430" s="17" t="str">
        <f>IFERROR(VLOOKUP(M430,'LISTA ITEMS (2)'!$E$2:$G$910,2,FALSE),"  ")</f>
        <v>PINCHO DE COMUNICACIÓN WIFI SHINEWILAN X2 (GROWATT)</v>
      </c>
      <c r="O430" s="30" t="str">
        <f>IFERROR(VLOOKUP(M430,'LISTA ITEMS (2)'!$E$2:$G$910,3,FALSE)," ")</f>
        <v>UND</v>
      </c>
      <c r="P430" s="176">
        <v>2</v>
      </c>
      <c r="Q430" s="181"/>
      <c r="R430" s="17"/>
      <c r="S430" s="156"/>
    </row>
    <row r="431" spans="1:19" ht="43.2" x14ac:dyDescent="0.3">
      <c r="A431" s="27">
        <v>429</v>
      </c>
      <c r="B431" s="122">
        <v>26</v>
      </c>
      <c r="C431" s="94">
        <v>26</v>
      </c>
      <c r="D431" s="246" t="s">
        <v>831</v>
      </c>
      <c r="E431" s="246" t="s">
        <v>829</v>
      </c>
      <c r="F431" s="193" t="s">
        <v>809</v>
      </c>
      <c r="G431" s="181" t="s">
        <v>810</v>
      </c>
      <c r="H431" s="193" t="s">
        <v>808</v>
      </c>
      <c r="I431" s="28">
        <v>46077</v>
      </c>
      <c r="J431" s="16">
        <v>7</v>
      </c>
      <c r="K431" s="16">
        <v>54</v>
      </c>
      <c r="L431" s="16">
        <v>295</v>
      </c>
      <c r="M431" s="247" t="str">
        <f t="shared" si="8"/>
        <v>7-54-295</v>
      </c>
      <c r="N431" s="17" t="str">
        <f>IFERROR(VLOOKUP(M431,'LISTA ITEMS (2)'!$E$2:$G$910,2,FALSE),"  ")</f>
        <v>BATERIA LFP LITHIUM DL5.OC (DYNESS)</v>
      </c>
      <c r="O431" s="30" t="str">
        <f>IFERROR(VLOOKUP(M431,'LISTA ITEMS (2)'!$E$2:$G$910,3,FALSE)," ")</f>
        <v>UND</v>
      </c>
      <c r="P431" s="176">
        <v>1</v>
      </c>
      <c r="Q431" s="181"/>
      <c r="R431" s="17" t="s">
        <v>788</v>
      </c>
      <c r="S431" s="156"/>
    </row>
    <row r="432" spans="1:19" ht="43.2" x14ac:dyDescent="0.3">
      <c r="A432" s="27">
        <v>430</v>
      </c>
      <c r="B432" s="122">
        <v>26</v>
      </c>
      <c r="C432" s="94">
        <v>26</v>
      </c>
      <c r="D432" s="246" t="s">
        <v>831</v>
      </c>
      <c r="E432" s="246" t="s">
        <v>829</v>
      </c>
      <c r="F432" s="193" t="s">
        <v>809</v>
      </c>
      <c r="G432" s="181" t="s">
        <v>810</v>
      </c>
      <c r="H432" s="193" t="s">
        <v>808</v>
      </c>
      <c r="I432" s="28">
        <v>46077</v>
      </c>
      <c r="J432" s="16">
        <v>7</v>
      </c>
      <c r="K432" s="16">
        <v>35</v>
      </c>
      <c r="L432" s="16">
        <v>286</v>
      </c>
      <c r="M432" s="247" t="str">
        <f t="shared" si="8"/>
        <v>7-35-286</v>
      </c>
      <c r="N432" s="17" t="str">
        <f>IFERROR(VLOOKUP(M432,'LISTA ITEMS (2)'!$E$2:$G$910,2,FALSE),"  ")</f>
        <v>INVERSOR SPH 6000TL BL-UP 6KW (GROWATT)</v>
      </c>
      <c r="O432" s="30" t="str">
        <f>IFERROR(VLOOKUP(M432,'LISTA ITEMS (2)'!$E$2:$G$910,3,FALSE)," ")</f>
        <v>UND</v>
      </c>
      <c r="P432" s="176">
        <v>1</v>
      </c>
      <c r="Q432" s="181"/>
      <c r="R432" s="17" t="s">
        <v>789</v>
      </c>
      <c r="S432" s="156"/>
    </row>
    <row r="433" spans="1:19" ht="43.2" x14ac:dyDescent="0.3">
      <c r="A433" s="27">
        <v>431</v>
      </c>
      <c r="B433" s="122">
        <v>26</v>
      </c>
      <c r="C433" s="94">
        <v>26</v>
      </c>
      <c r="D433" s="246" t="s">
        <v>831</v>
      </c>
      <c r="E433" s="246" t="s">
        <v>829</v>
      </c>
      <c r="F433" s="193" t="s">
        <v>809</v>
      </c>
      <c r="G433" s="181" t="s">
        <v>810</v>
      </c>
      <c r="H433" s="193" t="s">
        <v>808</v>
      </c>
      <c r="I433" s="28">
        <v>46077</v>
      </c>
      <c r="J433" s="16">
        <v>6</v>
      </c>
      <c r="K433" s="16">
        <v>23</v>
      </c>
      <c r="L433" s="16">
        <v>192</v>
      </c>
      <c r="M433" s="247" t="str">
        <f t="shared" si="8"/>
        <v>6-23-192</v>
      </c>
      <c r="N433" s="17" t="str">
        <f>IFERROR(VLOOKUP(M433,'LISTA ITEMS (2)'!$E$2:$G$910,2,FALSE),"  ")</f>
        <v xml:space="preserve">CINTA ACERO PERFORADA PARA MONTAJE </v>
      </c>
      <c r="O433" s="30" t="str">
        <f>IFERROR(VLOOKUP(M433,'LISTA ITEMS (2)'!$E$2:$G$910,3,FALSE)," ")</f>
        <v>UND</v>
      </c>
      <c r="P433" s="176">
        <v>2</v>
      </c>
      <c r="Q433" s="181"/>
      <c r="R433" s="17"/>
      <c r="S433" s="156"/>
    </row>
    <row r="434" spans="1:19" ht="43.2" x14ac:dyDescent="0.3">
      <c r="A434" s="27">
        <v>432</v>
      </c>
      <c r="B434" s="122">
        <v>26</v>
      </c>
      <c r="C434" s="94">
        <v>26</v>
      </c>
      <c r="D434" s="246" t="s">
        <v>831</v>
      </c>
      <c r="E434" s="246" t="s">
        <v>829</v>
      </c>
      <c r="F434" s="193" t="s">
        <v>809</v>
      </c>
      <c r="G434" s="181" t="s">
        <v>810</v>
      </c>
      <c r="H434" s="193" t="s">
        <v>808</v>
      </c>
      <c r="I434" s="28">
        <v>46077</v>
      </c>
      <c r="J434" s="16">
        <v>13</v>
      </c>
      <c r="K434" s="16">
        <v>21</v>
      </c>
      <c r="L434" s="16">
        <v>181</v>
      </c>
      <c r="M434" s="247" t="str">
        <f t="shared" ref="M434:M497" si="9">CONCATENATE(J434,"-",K434,"-",L434)</f>
        <v>13-21-181</v>
      </c>
      <c r="N434" s="17" t="str">
        <f>IFERROR(VLOOKUP(M434,'LISTA ITEMS (2)'!$E$2:$G$910,2,FALSE),"  ")</f>
        <v>TACO P/BRIDA NEGRO</v>
      </c>
      <c r="O434" s="30" t="str">
        <f>IFERROR(VLOOKUP(M434,'LISTA ITEMS (2)'!$E$2:$G$910,3,FALSE)," ")</f>
        <v>UND</v>
      </c>
      <c r="P434" s="176">
        <v>100</v>
      </c>
      <c r="Q434" s="181"/>
      <c r="R434" s="17"/>
      <c r="S434" s="156"/>
    </row>
    <row r="435" spans="1:19" ht="43.2" x14ac:dyDescent="0.3">
      <c r="A435" s="27">
        <v>433</v>
      </c>
      <c r="B435" s="122">
        <v>26</v>
      </c>
      <c r="C435" s="94">
        <v>26</v>
      </c>
      <c r="D435" s="246" t="s">
        <v>831</v>
      </c>
      <c r="E435" s="246" t="s">
        <v>829</v>
      </c>
      <c r="F435" s="193" t="s">
        <v>809</v>
      </c>
      <c r="G435" s="181" t="s">
        <v>810</v>
      </c>
      <c r="H435" s="193" t="s">
        <v>808</v>
      </c>
      <c r="I435" s="28">
        <v>46077</v>
      </c>
      <c r="J435" s="16">
        <v>13</v>
      </c>
      <c r="K435" s="16">
        <v>22</v>
      </c>
      <c r="L435" s="16">
        <v>184</v>
      </c>
      <c r="M435" s="247" t="str">
        <f t="shared" si="9"/>
        <v>13-22-184</v>
      </c>
      <c r="N435" s="17" t="str">
        <f>IFERROR(VLOOKUP(M435,'LISTA ITEMS (2)'!$E$2:$G$910,2,FALSE),"  ")</f>
        <v>BRIDA P/EXTERIOR NEGRA</v>
      </c>
      <c r="O435" s="30" t="str">
        <f>IFERROR(VLOOKUP(M435,'LISTA ITEMS (2)'!$E$2:$G$910,3,FALSE)," ")</f>
        <v>UND</v>
      </c>
      <c r="P435" s="176">
        <v>300</v>
      </c>
      <c r="Q435" s="181"/>
      <c r="R435" s="17"/>
      <c r="S435" s="156">
        <v>200</v>
      </c>
    </row>
    <row r="436" spans="1:19" ht="43.2" x14ac:dyDescent="0.3">
      <c r="A436" s="27">
        <v>434</v>
      </c>
      <c r="B436" s="122">
        <v>26</v>
      </c>
      <c r="C436" s="94">
        <v>26</v>
      </c>
      <c r="D436" s="246" t="s">
        <v>831</v>
      </c>
      <c r="E436" s="246" t="s">
        <v>829</v>
      </c>
      <c r="F436" s="193" t="s">
        <v>809</v>
      </c>
      <c r="G436" s="181" t="s">
        <v>810</v>
      </c>
      <c r="H436" s="193" t="s">
        <v>808</v>
      </c>
      <c r="I436" s="28">
        <v>46077</v>
      </c>
      <c r="J436" s="16">
        <v>16</v>
      </c>
      <c r="K436" s="16">
        <v>61</v>
      </c>
      <c r="L436" s="16">
        <v>331</v>
      </c>
      <c r="M436" s="247" t="str">
        <f t="shared" si="9"/>
        <v>16-61-331</v>
      </c>
      <c r="N436" s="17" t="str">
        <f>IFERROR(VLOOKUP(M436,'LISTA ITEMS (2)'!$E$2:$G$910,2,FALSE),"  ")</f>
        <v>CONECTOR FOTOVOLTAICO HEMBRA M4 NEGRO</v>
      </c>
      <c r="O436" s="30" t="str">
        <f>IFERROR(VLOOKUP(M436,'LISTA ITEMS (2)'!$E$2:$G$910,3,FALSE)," ")</f>
        <v>UND</v>
      </c>
      <c r="P436" s="176">
        <v>10</v>
      </c>
      <c r="Q436" s="181"/>
      <c r="R436" s="17"/>
      <c r="S436" s="156">
        <v>9</v>
      </c>
    </row>
    <row r="437" spans="1:19" ht="43.2" x14ac:dyDescent="0.3">
      <c r="A437" s="27">
        <v>435</v>
      </c>
      <c r="B437" s="122">
        <v>26</v>
      </c>
      <c r="C437" s="94">
        <v>26</v>
      </c>
      <c r="D437" s="246" t="s">
        <v>831</v>
      </c>
      <c r="E437" s="246" t="s">
        <v>829</v>
      </c>
      <c r="F437" s="193" t="s">
        <v>809</v>
      </c>
      <c r="G437" s="181" t="s">
        <v>810</v>
      </c>
      <c r="H437" s="193" t="s">
        <v>808</v>
      </c>
      <c r="I437" s="28">
        <v>46077</v>
      </c>
      <c r="J437" s="16">
        <v>16</v>
      </c>
      <c r="K437" s="16">
        <v>61</v>
      </c>
      <c r="L437" s="16">
        <v>332</v>
      </c>
      <c r="M437" s="247" t="str">
        <f t="shared" si="9"/>
        <v>16-61-332</v>
      </c>
      <c r="N437" s="17" t="str">
        <f>IFERROR(VLOOKUP(M437,'LISTA ITEMS (2)'!$E$2:$G$910,2,FALSE),"  ")</f>
        <v>CONECTOR FOTOVOLTAICO MACHO M4 NEGRO</v>
      </c>
      <c r="O437" s="30" t="str">
        <f>IFERROR(VLOOKUP(M437,'LISTA ITEMS (2)'!$E$2:$G$910,3,FALSE)," ")</f>
        <v>UND</v>
      </c>
      <c r="P437" s="176">
        <v>10</v>
      </c>
      <c r="Q437" s="181"/>
      <c r="R437" s="17"/>
      <c r="S437" s="156">
        <v>4</v>
      </c>
    </row>
    <row r="438" spans="1:19" ht="43.2" x14ac:dyDescent="0.3">
      <c r="A438" s="27">
        <v>436</v>
      </c>
      <c r="B438" s="122">
        <v>26</v>
      </c>
      <c r="C438" s="94">
        <v>26</v>
      </c>
      <c r="D438" s="246" t="s">
        <v>831</v>
      </c>
      <c r="E438" s="246" t="s">
        <v>829</v>
      </c>
      <c r="F438" s="193" t="s">
        <v>809</v>
      </c>
      <c r="G438" s="181" t="s">
        <v>810</v>
      </c>
      <c r="H438" s="193" t="s">
        <v>808</v>
      </c>
      <c r="I438" s="28">
        <v>46077</v>
      </c>
      <c r="J438" s="16">
        <v>10</v>
      </c>
      <c r="K438" s="16">
        <v>43</v>
      </c>
      <c r="L438" s="16">
        <v>270</v>
      </c>
      <c r="M438" s="247" t="str">
        <f t="shared" si="9"/>
        <v>10-43-270</v>
      </c>
      <c r="N438" s="17" t="str">
        <f>IFERROR(VLOOKUP(M438,'LISTA ITEMS (2)'!$E$2:$G$910,2,FALSE),"  ")</f>
        <v>EMPALME ALUMINIO P/BARRA</v>
      </c>
      <c r="O438" s="30" t="str">
        <f>IFERROR(VLOOKUP(M438,'LISTA ITEMS (2)'!$E$2:$G$910,3,FALSE)," ")</f>
        <v>UND</v>
      </c>
      <c r="P438" s="176">
        <v>8</v>
      </c>
      <c r="Q438" s="181"/>
      <c r="R438" s="17"/>
      <c r="S438" s="156">
        <v>2</v>
      </c>
    </row>
    <row r="439" spans="1:19" ht="43.2" x14ac:dyDescent="0.3">
      <c r="A439" s="27">
        <v>437</v>
      </c>
      <c r="B439" s="122">
        <v>26</v>
      </c>
      <c r="C439" s="94">
        <v>26</v>
      </c>
      <c r="D439" s="246" t="s">
        <v>831</v>
      </c>
      <c r="E439" s="246" t="s">
        <v>829</v>
      </c>
      <c r="F439" s="193" t="s">
        <v>809</v>
      </c>
      <c r="G439" s="181" t="s">
        <v>810</v>
      </c>
      <c r="H439" s="193" t="s">
        <v>808</v>
      </c>
      <c r="I439" s="28">
        <v>46077</v>
      </c>
      <c r="J439" s="16">
        <v>7</v>
      </c>
      <c r="K439" s="16">
        <v>38</v>
      </c>
      <c r="L439" s="16">
        <v>247</v>
      </c>
      <c r="M439" s="247" t="str">
        <f t="shared" si="9"/>
        <v>7-38-247</v>
      </c>
      <c r="N439" s="17" t="str">
        <f>IFERROR(VLOOKUP(M439,'LISTA ITEMS (2)'!$E$2:$G$910,2,FALSE),"  ")</f>
        <v>PLACA SOLAR JAM60D42-535LB 535W / 44.13V</v>
      </c>
      <c r="O439" s="30" t="str">
        <f>IFERROR(VLOOKUP(M439,'LISTA ITEMS (2)'!$E$2:$G$910,3,FALSE)," ")</f>
        <v>UND</v>
      </c>
      <c r="P439" s="176">
        <v>14</v>
      </c>
      <c r="Q439" s="181"/>
      <c r="R439" s="17"/>
      <c r="S439" s="156"/>
    </row>
    <row r="440" spans="1:19" ht="43.2" x14ac:dyDescent="0.3">
      <c r="A440" s="27">
        <v>438</v>
      </c>
      <c r="B440" s="122">
        <v>26</v>
      </c>
      <c r="C440" s="94">
        <v>26</v>
      </c>
      <c r="D440" s="246" t="s">
        <v>831</v>
      </c>
      <c r="E440" s="246" t="s">
        <v>829</v>
      </c>
      <c r="F440" s="193" t="s">
        <v>809</v>
      </c>
      <c r="G440" s="181" t="s">
        <v>810</v>
      </c>
      <c r="H440" s="193" t="s">
        <v>808</v>
      </c>
      <c r="I440" s="28">
        <v>46077</v>
      </c>
      <c r="J440" s="16">
        <v>10</v>
      </c>
      <c r="K440" s="16">
        <v>15</v>
      </c>
      <c r="L440" s="16">
        <v>269</v>
      </c>
      <c r="M440" s="247" t="str">
        <f t="shared" si="9"/>
        <v>10-15-269</v>
      </c>
      <c r="N440" s="17" t="str">
        <f>IFERROR(VLOOKUP(M440,'LISTA ITEMS (2)'!$E$2:$G$910,2,FALSE),"  ")</f>
        <v>BARRA ALUMINIO PARA ESTRUCTURA  3.60mt</v>
      </c>
      <c r="O440" s="30" t="str">
        <f>IFERROR(VLOOKUP(M440,'LISTA ITEMS (2)'!$E$2:$G$910,3,FALSE)," ")</f>
        <v>UND</v>
      </c>
      <c r="P440" s="176">
        <v>12</v>
      </c>
      <c r="Q440" s="181"/>
      <c r="R440" s="17"/>
      <c r="S440" s="156">
        <v>3</v>
      </c>
    </row>
    <row r="441" spans="1:19" ht="43.2" x14ac:dyDescent="0.3">
      <c r="A441" s="27">
        <v>439</v>
      </c>
      <c r="B441" s="122">
        <v>26</v>
      </c>
      <c r="C441" s="94">
        <v>26</v>
      </c>
      <c r="D441" s="246" t="s">
        <v>831</v>
      </c>
      <c r="E441" s="246" t="s">
        <v>829</v>
      </c>
      <c r="F441" s="193" t="s">
        <v>809</v>
      </c>
      <c r="G441" s="181" t="s">
        <v>810</v>
      </c>
      <c r="H441" s="193" t="s">
        <v>808</v>
      </c>
      <c r="I441" s="28">
        <v>46077</v>
      </c>
      <c r="J441" s="16">
        <v>10</v>
      </c>
      <c r="K441" s="16">
        <v>37</v>
      </c>
      <c r="L441" s="16">
        <v>330</v>
      </c>
      <c r="M441" s="247" t="str">
        <f t="shared" si="9"/>
        <v>10-37-330</v>
      </c>
      <c r="N441" s="17" t="str">
        <f>IFERROR(VLOOKUP(M441,'LISTA ITEMS (2)'!$E$2:$G$910,2,FALSE),"  ")</f>
        <v>SOPORTE EN L ALUMINIO GRIS</v>
      </c>
      <c r="O441" s="30" t="str">
        <f>IFERROR(VLOOKUP(M441,'LISTA ITEMS (2)'!$E$2:$G$910,3,FALSE)," ")</f>
        <v>UND</v>
      </c>
      <c r="P441" s="176">
        <v>30</v>
      </c>
      <c r="Q441" s="181"/>
      <c r="R441" s="17"/>
      <c r="S441" s="156">
        <v>5</v>
      </c>
    </row>
    <row r="442" spans="1:19" ht="43.2" x14ac:dyDescent="0.3">
      <c r="A442" s="27">
        <v>440</v>
      </c>
      <c r="B442" s="122">
        <v>26</v>
      </c>
      <c r="C442" s="94">
        <v>26</v>
      </c>
      <c r="D442" s="246" t="s">
        <v>831</v>
      </c>
      <c r="E442" s="246" t="s">
        <v>829</v>
      </c>
      <c r="F442" s="193" t="s">
        <v>809</v>
      </c>
      <c r="G442" s="181" t="s">
        <v>810</v>
      </c>
      <c r="H442" s="193" t="s">
        <v>808</v>
      </c>
      <c r="I442" s="28">
        <v>46077</v>
      </c>
      <c r="J442" s="16">
        <v>10</v>
      </c>
      <c r="K442" s="16">
        <v>37</v>
      </c>
      <c r="L442" s="16">
        <v>232</v>
      </c>
      <c r="M442" s="247" t="str">
        <f t="shared" si="9"/>
        <v>10-37-232</v>
      </c>
      <c r="N442" s="17" t="str">
        <f>IFERROR(VLOOKUP(M442,'LISTA ITEMS (2)'!$E$2:$G$910,2,FALSE),"  ")</f>
        <v>SOPORTE CENTRAL NEGRO</v>
      </c>
      <c r="O442" s="30" t="str">
        <f>IFERROR(VLOOKUP(M442,'LISTA ITEMS (2)'!$E$2:$G$910,3,FALSE)," ")</f>
        <v>UND</v>
      </c>
      <c r="P442" s="176">
        <v>33</v>
      </c>
      <c r="Q442" s="181"/>
      <c r="R442" s="17"/>
      <c r="S442" s="156">
        <v>6</v>
      </c>
    </row>
    <row r="443" spans="1:19" ht="43.2" x14ac:dyDescent="0.3">
      <c r="A443" s="27">
        <v>441</v>
      </c>
      <c r="B443" s="122">
        <v>26</v>
      </c>
      <c r="C443" s="94">
        <v>26</v>
      </c>
      <c r="D443" s="246" t="s">
        <v>831</v>
      </c>
      <c r="E443" s="246" t="s">
        <v>829</v>
      </c>
      <c r="F443" s="193" t="s">
        <v>809</v>
      </c>
      <c r="G443" s="181" t="s">
        <v>810</v>
      </c>
      <c r="H443" s="193" t="s">
        <v>808</v>
      </c>
      <c r="I443" s="28">
        <v>46077</v>
      </c>
      <c r="J443" s="16">
        <v>10</v>
      </c>
      <c r="K443" s="16">
        <v>37</v>
      </c>
      <c r="L443" s="16">
        <v>315</v>
      </c>
      <c r="M443" s="247" t="str">
        <f t="shared" si="9"/>
        <v>10-37-315</v>
      </c>
      <c r="N443" s="17" t="str">
        <f>IFERROR(VLOOKUP(M443,'LISTA ITEMS (2)'!$E$2:$G$910,2,FALSE),"  ")</f>
        <v>SOPORTE FINAL NEGRO</v>
      </c>
      <c r="O443" s="30" t="str">
        <f>IFERROR(VLOOKUP(M443,'LISTA ITEMS (2)'!$E$2:$G$910,3,FALSE)," ")</f>
        <v>UND</v>
      </c>
      <c r="P443" s="176">
        <v>20</v>
      </c>
      <c r="Q443" s="181"/>
      <c r="R443" s="17"/>
      <c r="S443" s="156">
        <v>5</v>
      </c>
    </row>
    <row r="444" spans="1:19" ht="43.2" x14ac:dyDescent="0.3">
      <c r="A444" s="27">
        <v>442</v>
      </c>
      <c r="B444" s="122">
        <v>26</v>
      </c>
      <c r="C444" s="94">
        <v>26</v>
      </c>
      <c r="D444" s="246" t="s">
        <v>831</v>
      </c>
      <c r="E444" s="246" t="s">
        <v>829</v>
      </c>
      <c r="F444" s="193" t="s">
        <v>809</v>
      </c>
      <c r="G444" s="181" t="s">
        <v>810</v>
      </c>
      <c r="H444" s="193" t="s">
        <v>808</v>
      </c>
      <c r="I444" s="28">
        <v>46077</v>
      </c>
      <c r="J444" s="16">
        <v>4</v>
      </c>
      <c r="K444" s="16">
        <v>15</v>
      </c>
      <c r="L444" s="16">
        <v>267</v>
      </c>
      <c r="M444" s="247" t="str">
        <f t="shared" si="9"/>
        <v>4-15-267</v>
      </c>
      <c r="N444" s="17" t="str">
        <f>IFERROR(VLOOKUP(M444,'LISTA ITEMS (2)'!$E$2:$G$910,2,FALSE),"  ")</f>
        <v>BARRA PERFORADA PARA REFUERZO 20X10X2MT GALV.</v>
      </c>
      <c r="O444" s="30" t="str">
        <f>IFERROR(VLOOKUP(M444,'LISTA ITEMS (2)'!$E$2:$G$910,3,FALSE)," ")</f>
        <v>UND</v>
      </c>
      <c r="P444" s="176">
        <v>12</v>
      </c>
      <c r="Q444" s="181"/>
      <c r="R444" s="17"/>
      <c r="S444" s="156">
        <v>3</v>
      </c>
    </row>
    <row r="445" spans="1:19" ht="43.2" x14ac:dyDescent="0.3">
      <c r="A445" s="27">
        <v>443</v>
      </c>
      <c r="B445" s="122">
        <v>26</v>
      </c>
      <c r="C445" s="94">
        <v>26</v>
      </c>
      <c r="D445" s="246" t="s">
        <v>831</v>
      </c>
      <c r="E445" s="246" t="s">
        <v>829</v>
      </c>
      <c r="F445" s="193" t="s">
        <v>809</v>
      </c>
      <c r="G445" s="181" t="s">
        <v>810</v>
      </c>
      <c r="H445" s="193" t="s">
        <v>808</v>
      </c>
      <c r="I445" s="28">
        <v>46077</v>
      </c>
      <c r="J445" s="16">
        <v>9</v>
      </c>
      <c r="K445" s="16">
        <v>2</v>
      </c>
      <c r="L445" s="16">
        <v>291</v>
      </c>
      <c r="M445" s="247" t="str">
        <f t="shared" si="9"/>
        <v>9-2-291</v>
      </c>
      <c r="N445" s="17" t="str">
        <f>IFERROR(VLOOKUP(M445,'LISTA ITEMS (2)'!$E$2:$G$910,2,FALSE),"  ")</f>
        <v>TUBO ELECTRICO PVC 25mm - 3mt(AISCAN)</v>
      </c>
      <c r="O445" s="30" t="str">
        <f>IFERROR(VLOOKUP(M445,'LISTA ITEMS (2)'!$E$2:$G$910,3,FALSE)," ")</f>
        <v>UND</v>
      </c>
      <c r="P445" s="176">
        <v>18</v>
      </c>
      <c r="Q445" s="181"/>
      <c r="R445" s="17"/>
      <c r="S445" s="156">
        <v>3</v>
      </c>
    </row>
    <row r="446" spans="1:19" ht="43.2" x14ac:dyDescent="0.3">
      <c r="A446" s="27">
        <v>444</v>
      </c>
      <c r="B446" s="122">
        <v>26</v>
      </c>
      <c r="C446" s="94">
        <v>26</v>
      </c>
      <c r="D446" s="246" t="s">
        <v>831</v>
      </c>
      <c r="E446" s="246" t="s">
        <v>829</v>
      </c>
      <c r="F446" s="193" t="s">
        <v>809</v>
      </c>
      <c r="G446" s="181" t="s">
        <v>810</v>
      </c>
      <c r="H446" s="193" t="s">
        <v>808</v>
      </c>
      <c r="I446" s="28">
        <v>46077</v>
      </c>
      <c r="J446" s="16">
        <v>10</v>
      </c>
      <c r="K446" s="16">
        <v>43</v>
      </c>
      <c r="L446" s="16">
        <v>270</v>
      </c>
      <c r="M446" s="247" t="str">
        <f t="shared" si="9"/>
        <v>10-43-270</v>
      </c>
      <c r="N446" s="17" t="str">
        <f>IFERROR(VLOOKUP(M446,'LISTA ITEMS (2)'!$E$2:$G$910,2,FALSE),"  ")</f>
        <v>EMPALME ALUMINIO P/BARRA</v>
      </c>
      <c r="O446" s="30" t="str">
        <f>IFERROR(VLOOKUP(M446,'LISTA ITEMS (2)'!$E$2:$G$910,3,FALSE)," ")</f>
        <v>UND</v>
      </c>
      <c r="P446" s="176">
        <v>4</v>
      </c>
      <c r="Q446" s="181"/>
      <c r="R446" s="17"/>
      <c r="S446" s="156">
        <v>1</v>
      </c>
    </row>
    <row r="447" spans="1:19" ht="43.2" x14ac:dyDescent="0.3">
      <c r="A447" s="27">
        <v>445</v>
      </c>
      <c r="B447" s="122">
        <v>26</v>
      </c>
      <c r="C447" s="94">
        <v>26</v>
      </c>
      <c r="D447" s="246" t="s">
        <v>831</v>
      </c>
      <c r="E447" s="246" t="s">
        <v>829</v>
      </c>
      <c r="F447" s="193" t="s">
        <v>809</v>
      </c>
      <c r="G447" s="181" t="s">
        <v>810</v>
      </c>
      <c r="H447" s="193" t="s">
        <v>808</v>
      </c>
      <c r="I447" s="28">
        <v>46077</v>
      </c>
      <c r="J447" s="16">
        <v>10</v>
      </c>
      <c r="K447" s="16">
        <v>42</v>
      </c>
      <c r="L447" s="16">
        <v>268</v>
      </c>
      <c r="M447" s="247" t="str">
        <f t="shared" si="9"/>
        <v>10-42-268</v>
      </c>
      <c r="N447" s="17" t="str">
        <f>IFERROR(VLOOKUP(M447,'LISTA ITEMS (2)'!$E$2:$G$910,2,FALSE),"  ")</f>
        <v>PATA ALUMINIO PARA ESTRUCTURA PLACA SOLAR ANGULO 30º</v>
      </c>
      <c r="O447" s="30" t="str">
        <f>IFERROR(VLOOKUP(M447,'LISTA ITEMS (2)'!$E$2:$G$910,3,FALSE)," ")</f>
        <v>UND</v>
      </c>
      <c r="P447" s="176">
        <v>12</v>
      </c>
      <c r="Q447" s="181"/>
      <c r="R447" s="17"/>
      <c r="S447" s="156">
        <v>2</v>
      </c>
    </row>
    <row r="448" spans="1:19" ht="43.2" x14ac:dyDescent="0.3">
      <c r="A448" s="27">
        <v>446</v>
      </c>
      <c r="B448" s="122">
        <v>26</v>
      </c>
      <c r="C448" s="94">
        <v>26</v>
      </c>
      <c r="D448" s="246" t="s">
        <v>831</v>
      </c>
      <c r="E448" s="246" t="s">
        <v>829</v>
      </c>
      <c r="F448" s="193" t="s">
        <v>809</v>
      </c>
      <c r="G448" s="181" t="s">
        <v>810</v>
      </c>
      <c r="H448" s="193" t="s">
        <v>808</v>
      </c>
      <c r="I448" s="28">
        <v>46077</v>
      </c>
      <c r="J448" s="16">
        <v>14</v>
      </c>
      <c r="K448" s="16">
        <v>24</v>
      </c>
      <c r="L448" s="16">
        <v>193</v>
      </c>
      <c r="M448" s="247" t="str">
        <f t="shared" si="9"/>
        <v>14-24-193</v>
      </c>
      <c r="N448" s="17" t="str">
        <f>IFERROR(VLOOKUP(M448,'LISTA ITEMS (2)'!$E$2:$G$910,2,FALSE),"  ")</f>
        <v>DISCO CORTE ACERO/INOX A1 2EN1</v>
      </c>
      <c r="O448" s="30" t="str">
        <f>IFERROR(VLOOKUP(M448,'LISTA ITEMS (2)'!$E$2:$G$910,3,FALSE)," ")</f>
        <v>UND</v>
      </c>
      <c r="P448" s="176">
        <v>3</v>
      </c>
      <c r="Q448" s="181"/>
      <c r="R448" s="17"/>
      <c r="S448" s="156">
        <v>1</v>
      </c>
    </row>
    <row r="449" spans="1:19" ht="43.2" x14ac:dyDescent="0.3">
      <c r="A449" s="27">
        <v>447</v>
      </c>
      <c r="B449" s="122">
        <v>26</v>
      </c>
      <c r="C449" s="94">
        <v>26</v>
      </c>
      <c r="D449" s="246" t="s">
        <v>831</v>
      </c>
      <c r="E449" s="246" t="s">
        <v>829</v>
      </c>
      <c r="F449" s="193" t="s">
        <v>809</v>
      </c>
      <c r="G449" s="181" t="s">
        <v>810</v>
      </c>
      <c r="H449" s="193" t="s">
        <v>808</v>
      </c>
      <c r="I449" s="28">
        <v>46077</v>
      </c>
      <c r="J449" s="16">
        <v>3</v>
      </c>
      <c r="K449" s="16">
        <v>31</v>
      </c>
      <c r="L449" s="16">
        <v>277</v>
      </c>
      <c r="M449" s="247" t="str">
        <f t="shared" si="9"/>
        <v>3-31-277</v>
      </c>
      <c r="N449" s="17" t="str">
        <f>IFERROR(VLOOKUP(M449,'LISTA ITEMS (2)'!$E$2:$G$910,2,FALSE),"  ")</f>
        <v>CABLE Nª 6 P/PLACA SOLAR NEGRO</v>
      </c>
      <c r="O449" s="30" t="str">
        <f>IFERROR(VLOOKUP(M449,'LISTA ITEMS (2)'!$E$2:$G$910,3,FALSE)," ")</f>
        <v>MT</v>
      </c>
      <c r="P449" s="176">
        <v>30</v>
      </c>
      <c r="Q449" s="181"/>
      <c r="R449" s="17"/>
      <c r="S449" s="156"/>
    </row>
    <row r="450" spans="1:19" ht="43.2" x14ac:dyDescent="0.3">
      <c r="A450" s="27">
        <v>448</v>
      </c>
      <c r="B450" s="122">
        <v>26</v>
      </c>
      <c r="C450" s="94">
        <v>26</v>
      </c>
      <c r="D450" s="246" t="s">
        <v>831</v>
      </c>
      <c r="E450" s="246" t="s">
        <v>829</v>
      </c>
      <c r="F450" s="193" t="s">
        <v>809</v>
      </c>
      <c r="G450" s="181" t="s">
        <v>810</v>
      </c>
      <c r="H450" s="193" t="s">
        <v>808</v>
      </c>
      <c r="I450" s="28">
        <v>46077</v>
      </c>
      <c r="J450" s="16">
        <v>3</v>
      </c>
      <c r="K450" s="16">
        <v>31</v>
      </c>
      <c r="L450" s="16">
        <v>278</v>
      </c>
      <c r="M450" s="247" t="str">
        <f t="shared" si="9"/>
        <v>3-31-278</v>
      </c>
      <c r="N450" s="17" t="str">
        <f>IFERROR(VLOOKUP(M450,'LISTA ITEMS (2)'!$E$2:$G$910,2,FALSE),"  ")</f>
        <v>CABLE Nª 6 P/PLACA SOLAR ROJO</v>
      </c>
      <c r="O450" s="30" t="str">
        <f>IFERROR(VLOOKUP(M450,'LISTA ITEMS (2)'!$E$2:$G$910,3,FALSE)," ")</f>
        <v>MT</v>
      </c>
      <c r="P450" s="176">
        <v>30</v>
      </c>
      <c r="Q450" s="181"/>
      <c r="R450" s="17"/>
      <c r="S450" s="156"/>
    </row>
    <row r="451" spans="1:19" ht="43.2" x14ac:dyDescent="0.3">
      <c r="A451" s="27">
        <v>449</v>
      </c>
      <c r="B451" s="122">
        <v>26</v>
      </c>
      <c r="C451" s="94">
        <v>26</v>
      </c>
      <c r="D451" s="246" t="s">
        <v>831</v>
      </c>
      <c r="E451" s="246" t="s">
        <v>829</v>
      </c>
      <c r="F451" s="193" t="s">
        <v>809</v>
      </c>
      <c r="G451" s="181" t="s">
        <v>810</v>
      </c>
      <c r="H451" s="193" t="s">
        <v>808</v>
      </c>
      <c r="I451" s="28">
        <v>46077</v>
      </c>
      <c r="J451" s="16">
        <v>16</v>
      </c>
      <c r="K451" s="16">
        <v>45</v>
      </c>
      <c r="L451" s="16">
        <v>294</v>
      </c>
      <c r="M451" s="247" t="str">
        <f t="shared" si="9"/>
        <v>16-45-294</v>
      </c>
      <c r="N451" s="17" t="str">
        <f>IFERROR(VLOOKUP(M451,'LISTA ITEMS (2)'!$E$2:$G$910,2,FALSE),"  ")</f>
        <v>CAJA DE ESTANCA 133X180X80 EV161 (IDE)</v>
      </c>
      <c r="O451" s="30" t="str">
        <f>IFERROR(VLOOKUP(M451,'LISTA ITEMS (2)'!$E$2:$G$910,3,FALSE)," ")</f>
        <v>UND</v>
      </c>
      <c r="P451" s="176">
        <v>2</v>
      </c>
      <c r="Q451" s="181"/>
      <c r="R451" s="17"/>
      <c r="S451" s="156"/>
    </row>
    <row r="452" spans="1:19" ht="43.2" x14ac:dyDescent="0.3">
      <c r="A452" s="27">
        <v>450</v>
      </c>
      <c r="B452" s="122">
        <v>26</v>
      </c>
      <c r="C452" s="94">
        <v>26</v>
      </c>
      <c r="D452" s="246" t="s">
        <v>831</v>
      </c>
      <c r="E452" s="246" t="s">
        <v>829</v>
      </c>
      <c r="F452" s="193" t="s">
        <v>809</v>
      </c>
      <c r="G452" s="181" t="s">
        <v>810</v>
      </c>
      <c r="H452" s="193" t="s">
        <v>808</v>
      </c>
      <c r="I452" s="28">
        <v>46077</v>
      </c>
      <c r="J452" s="16">
        <v>16</v>
      </c>
      <c r="K452" s="16">
        <v>45</v>
      </c>
      <c r="L452" s="16">
        <v>276</v>
      </c>
      <c r="M452" s="247" t="str">
        <f t="shared" si="9"/>
        <v>16-45-276</v>
      </c>
      <c r="N452" s="17" t="str">
        <f>IFERROR(VLOOKUP(M452,'LISTA ITEMS (2)'!$E$2:$G$910,2,FALSE),"  ")</f>
        <v>CAJA ESTANCA (COCHERA) EXTERIOR 18PT (IDE)</v>
      </c>
      <c r="O452" s="30" t="str">
        <f>IFERROR(VLOOKUP(M452,'LISTA ITEMS (2)'!$E$2:$G$910,3,FALSE)," ")</f>
        <v>UND</v>
      </c>
      <c r="P452" s="176">
        <v>1</v>
      </c>
      <c r="Q452" s="181"/>
      <c r="R452" s="17"/>
      <c r="S452" s="156"/>
    </row>
    <row r="453" spans="1:19" ht="43.2" x14ac:dyDescent="0.3">
      <c r="A453" s="27">
        <v>451</v>
      </c>
      <c r="B453" s="122">
        <v>26</v>
      </c>
      <c r="C453" s="94">
        <v>26</v>
      </c>
      <c r="D453" s="246" t="s">
        <v>831</v>
      </c>
      <c r="E453" s="246" t="s">
        <v>829</v>
      </c>
      <c r="F453" s="193" t="s">
        <v>809</v>
      </c>
      <c r="G453" s="181" t="s">
        <v>810</v>
      </c>
      <c r="H453" s="193" t="s">
        <v>808</v>
      </c>
      <c r="I453" s="28">
        <v>46077</v>
      </c>
      <c r="J453" s="16">
        <v>16</v>
      </c>
      <c r="K453" s="16">
        <v>45</v>
      </c>
      <c r="L453" s="16">
        <v>299</v>
      </c>
      <c r="M453" s="247" t="str">
        <f t="shared" si="9"/>
        <v>16-45-299</v>
      </c>
      <c r="N453" s="17" t="str">
        <f>IFERROR(VLOOKUP(M453,'LISTA ITEMS (2)'!$E$2:$G$910,2,FALSE),"  ")</f>
        <v>CAJA ESTANCA (COCHERA) EXTERIOR 8PT (IDE)</v>
      </c>
      <c r="O453" s="30" t="str">
        <f>IFERROR(VLOOKUP(M453,'LISTA ITEMS (2)'!$E$2:$G$910,3,FALSE)," ")</f>
        <v>UND</v>
      </c>
      <c r="P453" s="176">
        <v>1</v>
      </c>
      <c r="Q453" s="181"/>
      <c r="R453" s="17"/>
      <c r="S453" s="156"/>
    </row>
    <row r="454" spans="1:19" ht="43.2" x14ac:dyDescent="0.3">
      <c r="A454" s="27">
        <v>452</v>
      </c>
      <c r="B454" s="122">
        <v>26</v>
      </c>
      <c r="C454" s="94">
        <v>26</v>
      </c>
      <c r="D454" s="246" t="s">
        <v>831</v>
      </c>
      <c r="E454" s="246" t="s">
        <v>829</v>
      </c>
      <c r="F454" s="193" t="s">
        <v>809</v>
      </c>
      <c r="G454" s="181" t="s">
        <v>810</v>
      </c>
      <c r="H454" s="193" t="s">
        <v>808</v>
      </c>
      <c r="I454" s="28">
        <v>46077</v>
      </c>
      <c r="J454" s="16">
        <v>16</v>
      </c>
      <c r="K454" s="16">
        <v>45</v>
      </c>
      <c r="L454" s="16">
        <v>275</v>
      </c>
      <c r="M454" s="247" t="str">
        <f t="shared" si="9"/>
        <v>16-45-275</v>
      </c>
      <c r="N454" s="17" t="str">
        <f>IFERROR(VLOOKUP(M454,'LISTA ITEMS (2)'!$E$2:$G$910,2,FALSE),"  ")</f>
        <v>CAJA DISTRIBUCION INTERIOR 18 ELEM. (SOLERA)</v>
      </c>
      <c r="O454" s="30" t="str">
        <f>IFERROR(VLOOKUP(M454,'LISTA ITEMS (2)'!$E$2:$G$910,3,FALSE)," ")</f>
        <v>UND</v>
      </c>
      <c r="P454" s="176">
        <v>1</v>
      </c>
      <c r="Q454" s="181"/>
      <c r="R454" s="17"/>
      <c r="S454" s="156"/>
    </row>
    <row r="455" spans="1:19" ht="43.2" x14ac:dyDescent="0.3">
      <c r="A455" s="27">
        <v>453</v>
      </c>
      <c r="B455" s="122">
        <v>26</v>
      </c>
      <c r="C455" s="94">
        <v>26</v>
      </c>
      <c r="D455" s="246" t="s">
        <v>831</v>
      </c>
      <c r="E455" s="246" t="s">
        <v>829</v>
      </c>
      <c r="F455" s="193" t="s">
        <v>809</v>
      </c>
      <c r="G455" s="181" t="s">
        <v>810</v>
      </c>
      <c r="H455" s="193" t="s">
        <v>808</v>
      </c>
      <c r="I455" s="28">
        <v>46077</v>
      </c>
      <c r="J455" s="16">
        <v>16</v>
      </c>
      <c r="K455" s="16">
        <v>45</v>
      </c>
      <c r="L455" s="16">
        <v>317</v>
      </c>
      <c r="M455" s="247" t="str">
        <f t="shared" si="9"/>
        <v>16-45-317</v>
      </c>
      <c r="N455" s="17" t="str">
        <f>IFERROR(VLOOKUP(M455,'LISTA ITEMS (2)'!$E$2:$G$910,2,FALSE),"  ")</f>
        <v>CAJA DISTRIBUCION INTERIOR 8 ELEM. (SOLERA)</v>
      </c>
      <c r="O455" s="30" t="str">
        <f>IFERROR(VLOOKUP(M455,'LISTA ITEMS (2)'!$E$2:$G$910,3,FALSE)," ")</f>
        <v>UND</v>
      </c>
      <c r="P455" s="176">
        <v>1</v>
      </c>
      <c r="Q455" s="181"/>
      <c r="R455" s="17"/>
      <c r="S455" s="156"/>
    </row>
    <row r="456" spans="1:19" ht="41.4" x14ac:dyDescent="0.3">
      <c r="A456" s="27">
        <v>454</v>
      </c>
      <c r="B456" s="228">
        <v>27</v>
      </c>
      <c r="C456" s="229">
        <v>27</v>
      </c>
      <c r="D456" s="230" t="s">
        <v>832</v>
      </c>
      <c r="E456" s="231" t="s">
        <v>833</v>
      </c>
      <c r="F456" s="232" t="s">
        <v>814</v>
      </c>
      <c r="G456" s="233" t="s">
        <v>807</v>
      </c>
      <c r="H456" s="232" t="s">
        <v>834</v>
      </c>
      <c r="I456" s="234">
        <v>46077</v>
      </c>
      <c r="J456" s="235">
        <v>7</v>
      </c>
      <c r="K456" s="235">
        <v>85</v>
      </c>
      <c r="L456" s="235">
        <v>413</v>
      </c>
      <c r="M456" s="236" t="str">
        <f t="shared" si="9"/>
        <v>7-85-413</v>
      </c>
      <c r="N456" s="237" t="str">
        <f>IFERROR(VLOOKUP(M456,'LISTA ITEMS (2)'!$E$2:$G$910,2,FALSE),"  ")</f>
        <v>UNIDAD EXTERIOR DE BAMBA DE CALOR WH-UD12HE5 (PANASONIC)</v>
      </c>
      <c r="O456" s="238" t="str">
        <f>IFERROR(VLOOKUP(M456,'LISTA ITEMS (2)'!$E$2:$G$910,3,FALSE)," ")</f>
        <v>UND</v>
      </c>
      <c r="P456" s="239">
        <v>1</v>
      </c>
      <c r="Q456" s="261"/>
      <c r="R456" s="237" t="s">
        <v>793</v>
      </c>
      <c r="S456" s="156">
        <v>0</v>
      </c>
    </row>
    <row r="457" spans="1:19" ht="36" x14ac:dyDescent="0.3">
      <c r="A457" s="27">
        <v>455</v>
      </c>
      <c r="B457" s="122">
        <v>28</v>
      </c>
      <c r="C457" s="94">
        <v>28</v>
      </c>
      <c r="D457" s="246" t="s">
        <v>831</v>
      </c>
      <c r="E457" s="249" t="s">
        <v>833</v>
      </c>
      <c r="F457" s="193" t="s">
        <v>814</v>
      </c>
      <c r="G457" s="193" t="s">
        <v>807</v>
      </c>
      <c r="H457" s="193" t="s">
        <v>835</v>
      </c>
      <c r="I457" s="28">
        <v>46078</v>
      </c>
      <c r="J457" s="16">
        <v>7</v>
      </c>
      <c r="K457" s="16">
        <v>35</v>
      </c>
      <c r="L457" s="16">
        <v>286</v>
      </c>
      <c r="M457" s="247" t="str">
        <f t="shared" si="9"/>
        <v>7-35-286</v>
      </c>
      <c r="N457" s="17" t="str">
        <f>IFERROR(VLOOKUP(M457,'LISTA ITEMS (2)'!$E$2:$G$910,2,FALSE),"  ")</f>
        <v>INVERSOR SPH 6000TL BL-UP 6KW (GROWATT)</v>
      </c>
      <c r="O457" s="30" t="str">
        <f>IFERROR(VLOOKUP(M457,'LISTA ITEMS (2)'!$E$2:$G$910,3,FALSE)," ")</f>
        <v>UND</v>
      </c>
      <c r="P457" s="176">
        <v>1</v>
      </c>
      <c r="Q457" s="181"/>
      <c r="R457" s="17" t="s">
        <v>794</v>
      </c>
      <c r="S457" s="156"/>
    </row>
    <row r="458" spans="1:19" ht="36" x14ac:dyDescent="0.3">
      <c r="A458" s="27">
        <v>456</v>
      </c>
      <c r="B458" s="122">
        <v>28</v>
      </c>
      <c r="C458" s="94">
        <v>28</v>
      </c>
      <c r="D458" s="246" t="s">
        <v>831</v>
      </c>
      <c r="E458" s="249" t="s">
        <v>833</v>
      </c>
      <c r="F458" s="193" t="s">
        <v>814</v>
      </c>
      <c r="G458" s="193" t="s">
        <v>807</v>
      </c>
      <c r="H458" s="193" t="s">
        <v>835</v>
      </c>
      <c r="I458" s="28">
        <v>46078</v>
      </c>
      <c r="J458" s="16">
        <v>7</v>
      </c>
      <c r="K458" s="16">
        <v>54</v>
      </c>
      <c r="L458" s="16">
        <v>295</v>
      </c>
      <c r="M458" s="247" t="str">
        <f t="shared" si="9"/>
        <v>7-54-295</v>
      </c>
      <c r="N458" s="17" t="str">
        <f>IFERROR(VLOOKUP(M458,'LISTA ITEMS (2)'!$E$2:$G$910,2,FALSE),"  ")</f>
        <v>BATERIA LFP LITHIUM DL5.OC (DYNESS)</v>
      </c>
      <c r="O458" s="30" t="str">
        <f>IFERROR(VLOOKUP(M458,'LISTA ITEMS (2)'!$E$2:$G$910,3,FALSE)," ")</f>
        <v>UND</v>
      </c>
      <c r="P458" s="176">
        <v>1</v>
      </c>
      <c r="Q458" s="181"/>
      <c r="R458" s="17" t="s">
        <v>795</v>
      </c>
      <c r="S458" s="156"/>
    </row>
    <row r="459" spans="1:19" ht="36" x14ac:dyDescent="0.3">
      <c r="A459" s="27">
        <v>457</v>
      </c>
      <c r="B459" s="122">
        <v>28</v>
      </c>
      <c r="C459" s="94">
        <v>28</v>
      </c>
      <c r="D459" s="246" t="s">
        <v>831</v>
      </c>
      <c r="E459" s="249" t="s">
        <v>833</v>
      </c>
      <c r="F459" s="193" t="s">
        <v>814</v>
      </c>
      <c r="G459" s="193" t="s">
        <v>807</v>
      </c>
      <c r="H459" s="193" t="s">
        <v>835</v>
      </c>
      <c r="I459" s="28">
        <v>46078</v>
      </c>
      <c r="J459" s="16">
        <v>10</v>
      </c>
      <c r="K459" s="16">
        <v>15</v>
      </c>
      <c r="L459" s="16">
        <v>269</v>
      </c>
      <c r="M459" s="247" t="str">
        <f t="shared" si="9"/>
        <v>10-15-269</v>
      </c>
      <c r="N459" s="17" t="str">
        <f>IFERROR(VLOOKUP(M459,'LISTA ITEMS (2)'!$E$2:$G$910,2,FALSE),"  ")</f>
        <v>BARRA ALUMINIO PARA ESTRUCTURA  3.60mt</v>
      </c>
      <c r="O459" s="30" t="str">
        <f>IFERROR(VLOOKUP(M459,'LISTA ITEMS (2)'!$E$2:$G$910,3,FALSE)," ")</f>
        <v>UND</v>
      </c>
      <c r="P459" s="176">
        <v>12</v>
      </c>
      <c r="Q459" s="181"/>
      <c r="R459" s="17"/>
      <c r="S459" s="156">
        <v>3</v>
      </c>
    </row>
    <row r="460" spans="1:19" ht="36" x14ac:dyDescent="0.3">
      <c r="A460" s="27">
        <v>458</v>
      </c>
      <c r="B460" s="122">
        <v>28</v>
      </c>
      <c r="C460" s="94">
        <v>28</v>
      </c>
      <c r="D460" s="246" t="s">
        <v>831</v>
      </c>
      <c r="E460" s="249" t="s">
        <v>833</v>
      </c>
      <c r="F460" s="193" t="s">
        <v>814</v>
      </c>
      <c r="G460" s="193" t="s">
        <v>807</v>
      </c>
      <c r="H460" s="193" t="s">
        <v>835</v>
      </c>
      <c r="I460" s="28">
        <v>46078</v>
      </c>
      <c r="J460" s="16">
        <v>10</v>
      </c>
      <c r="K460" s="16">
        <v>37</v>
      </c>
      <c r="L460" s="16">
        <v>330</v>
      </c>
      <c r="M460" s="247" t="str">
        <f t="shared" si="9"/>
        <v>10-37-330</v>
      </c>
      <c r="N460" s="17" t="str">
        <f>IFERROR(VLOOKUP(M460,'LISTA ITEMS (2)'!$E$2:$G$910,2,FALSE),"  ")</f>
        <v>SOPORTE EN L ALUMINIO GRIS</v>
      </c>
      <c r="O460" s="30" t="str">
        <f>IFERROR(VLOOKUP(M460,'LISTA ITEMS (2)'!$E$2:$G$910,3,FALSE)," ")</f>
        <v>UND</v>
      </c>
      <c r="P460" s="176">
        <v>36</v>
      </c>
      <c r="Q460" s="181"/>
      <c r="R460" s="17"/>
      <c r="S460" s="156">
        <v>15</v>
      </c>
    </row>
    <row r="461" spans="1:19" ht="36" x14ac:dyDescent="0.3">
      <c r="A461" s="27">
        <v>459</v>
      </c>
      <c r="B461" s="122">
        <v>28</v>
      </c>
      <c r="C461" s="94">
        <v>28</v>
      </c>
      <c r="D461" s="246" t="s">
        <v>831</v>
      </c>
      <c r="E461" s="249" t="s">
        <v>833</v>
      </c>
      <c r="F461" s="193" t="s">
        <v>814</v>
      </c>
      <c r="G461" s="193" t="s">
        <v>807</v>
      </c>
      <c r="H461" s="193" t="s">
        <v>835</v>
      </c>
      <c r="I461" s="28">
        <v>46078</v>
      </c>
      <c r="J461" s="16">
        <v>10</v>
      </c>
      <c r="K461" s="16">
        <v>37</v>
      </c>
      <c r="L461" s="16">
        <v>232</v>
      </c>
      <c r="M461" s="247" t="str">
        <f t="shared" si="9"/>
        <v>10-37-232</v>
      </c>
      <c r="N461" s="17" t="str">
        <f>IFERROR(VLOOKUP(M461,'LISTA ITEMS (2)'!$E$2:$G$910,2,FALSE),"  ")</f>
        <v>SOPORTE CENTRAL NEGRO</v>
      </c>
      <c r="O461" s="30" t="str">
        <f>IFERROR(VLOOKUP(M461,'LISTA ITEMS (2)'!$E$2:$G$910,3,FALSE)," ")</f>
        <v>UND</v>
      </c>
      <c r="P461" s="176">
        <v>50</v>
      </c>
      <c r="Q461" s="181"/>
      <c r="R461" s="17"/>
      <c r="S461" s="156">
        <v>25</v>
      </c>
    </row>
    <row r="462" spans="1:19" ht="36" x14ac:dyDescent="0.3">
      <c r="A462" s="27">
        <v>460</v>
      </c>
      <c r="B462" s="122">
        <v>28</v>
      </c>
      <c r="C462" s="94">
        <v>28</v>
      </c>
      <c r="D462" s="246" t="s">
        <v>831</v>
      </c>
      <c r="E462" s="249" t="s">
        <v>833</v>
      </c>
      <c r="F462" s="193" t="s">
        <v>814</v>
      </c>
      <c r="G462" s="193" t="s">
        <v>807</v>
      </c>
      <c r="H462" s="193" t="s">
        <v>835</v>
      </c>
      <c r="I462" s="28">
        <v>46078</v>
      </c>
      <c r="J462" s="16">
        <v>10</v>
      </c>
      <c r="K462" s="16">
        <v>37</v>
      </c>
      <c r="L462" s="16">
        <v>315</v>
      </c>
      <c r="M462" s="247" t="str">
        <f t="shared" si="9"/>
        <v>10-37-315</v>
      </c>
      <c r="N462" s="17" t="str">
        <f>IFERROR(VLOOKUP(M462,'LISTA ITEMS (2)'!$E$2:$G$910,2,FALSE),"  ")</f>
        <v>SOPORTE FINAL NEGRO</v>
      </c>
      <c r="O462" s="30" t="str">
        <f>IFERROR(VLOOKUP(M462,'LISTA ITEMS (2)'!$E$2:$G$910,3,FALSE)," ")</f>
        <v>UND</v>
      </c>
      <c r="P462" s="176">
        <v>40</v>
      </c>
      <c r="Q462" s="181"/>
      <c r="R462" s="17"/>
      <c r="S462" s="156">
        <v>15</v>
      </c>
    </row>
    <row r="463" spans="1:19" ht="36" x14ac:dyDescent="0.3">
      <c r="A463" s="27">
        <v>461</v>
      </c>
      <c r="B463" s="122">
        <v>28</v>
      </c>
      <c r="C463" s="94">
        <v>28</v>
      </c>
      <c r="D463" s="246" t="s">
        <v>831</v>
      </c>
      <c r="E463" s="249" t="s">
        <v>833</v>
      </c>
      <c r="F463" s="193" t="s">
        <v>814</v>
      </c>
      <c r="G463" s="193" t="s">
        <v>807</v>
      </c>
      <c r="H463" s="193" t="s">
        <v>835</v>
      </c>
      <c r="I463" s="28">
        <v>46078</v>
      </c>
      <c r="J463" s="16">
        <v>10</v>
      </c>
      <c r="K463" s="16">
        <v>43</v>
      </c>
      <c r="L463" s="16">
        <v>270</v>
      </c>
      <c r="M463" s="247" t="str">
        <f t="shared" si="9"/>
        <v>10-43-270</v>
      </c>
      <c r="N463" s="17" t="str">
        <f>IFERROR(VLOOKUP(M463,'LISTA ITEMS (2)'!$E$2:$G$910,2,FALSE),"  ")</f>
        <v>EMPALME ALUMINIO P/BARRA</v>
      </c>
      <c r="O463" s="30" t="str">
        <f>IFERROR(VLOOKUP(M463,'LISTA ITEMS (2)'!$E$2:$G$910,3,FALSE)," ")</f>
        <v>UND</v>
      </c>
      <c r="P463" s="176">
        <v>8</v>
      </c>
      <c r="Q463" s="181"/>
      <c r="R463" s="17"/>
      <c r="S463" s="156">
        <v>2</v>
      </c>
    </row>
    <row r="464" spans="1:19" ht="36" x14ac:dyDescent="0.3">
      <c r="A464" s="27">
        <v>462</v>
      </c>
      <c r="B464" s="122">
        <v>28</v>
      </c>
      <c r="C464" s="94">
        <v>28</v>
      </c>
      <c r="D464" s="246" t="s">
        <v>831</v>
      </c>
      <c r="E464" s="249" t="s">
        <v>833</v>
      </c>
      <c r="F464" s="193" t="s">
        <v>814</v>
      </c>
      <c r="G464" s="193" t="s">
        <v>807</v>
      </c>
      <c r="H464" s="193" t="s">
        <v>835</v>
      </c>
      <c r="I464" s="28">
        <v>46078</v>
      </c>
      <c r="J464" s="16">
        <v>16</v>
      </c>
      <c r="K464" s="16">
        <v>45</v>
      </c>
      <c r="L464" s="16">
        <v>294</v>
      </c>
      <c r="M464" s="247" t="str">
        <f t="shared" si="9"/>
        <v>16-45-294</v>
      </c>
      <c r="N464" s="17" t="str">
        <f>IFERROR(VLOOKUP(M464,'LISTA ITEMS (2)'!$E$2:$G$910,2,FALSE),"  ")</f>
        <v>CAJA DE ESTANCA 133X180X80 EV161 (IDE)</v>
      </c>
      <c r="O464" s="30" t="str">
        <f>IFERROR(VLOOKUP(M464,'LISTA ITEMS (2)'!$E$2:$G$910,3,FALSE)," ")</f>
        <v>UND</v>
      </c>
      <c r="P464" s="176">
        <v>1</v>
      </c>
      <c r="Q464" s="181"/>
      <c r="R464" s="17"/>
      <c r="S464" s="156"/>
    </row>
    <row r="465" spans="1:19" ht="36" x14ac:dyDescent="0.3">
      <c r="A465" s="27">
        <v>463</v>
      </c>
      <c r="B465" s="122">
        <v>28</v>
      </c>
      <c r="C465" s="94">
        <v>28</v>
      </c>
      <c r="D465" s="246" t="s">
        <v>831</v>
      </c>
      <c r="E465" s="249" t="s">
        <v>833</v>
      </c>
      <c r="F465" s="193" t="s">
        <v>814</v>
      </c>
      <c r="G465" s="193" t="s">
        <v>807</v>
      </c>
      <c r="H465" s="193" t="s">
        <v>835</v>
      </c>
      <c r="I465" s="28">
        <v>46078</v>
      </c>
      <c r="J465" s="16">
        <v>17</v>
      </c>
      <c r="K465" s="16">
        <v>44</v>
      </c>
      <c r="L465" s="16">
        <v>271</v>
      </c>
      <c r="M465" s="247" t="str">
        <f t="shared" si="9"/>
        <v>17-44-271</v>
      </c>
      <c r="N465" s="17" t="str">
        <f>IFERROR(VLOOKUP(M465,'LISTA ITEMS (2)'!$E$2:$G$910,2,FALSE),"  ")</f>
        <v>SELLANTE QUIMICO BLANCO</v>
      </c>
      <c r="O465" s="30" t="str">
        <f>IFERROR(VLOOKUP(M465,'LISTA ITEMS (2)'!$E$2:$G$910,3,FALSE)," ")</f>
        <v>UND</v>
      </c>
      <c r="P465" s="176">
        <v>1</v>
      </c>
      <c r="Q465" s="181"/>
      <c r="R465" s="17"/>
      <c r="S465" s="156"/>
    </row>
    <row r="466" spans="1:19" ht="36" x14ac:dyDescent="0.3">
      <c r="A466" s="27">
        <v>464</v>
      </c>
      <c r="B466" s="122">
        <v>28</v>
      </c>
      <c r="C466" s="94">
        <v>28</v>
      </c>
      <c r="D466" s="246" t="s">
        <v>831</v>
      </c>
      <c r="E466" s="249" t="s">
        <v>833</v>
      </c>
      <c r="F466" s="193" t="s">
        <v>814</v>
      </c>
      <c r="G466" s="193" t="s">
        <v>807</v>
      </c>
      <c r="H466" s="193" t="s">
        <v>835</v>
      </c>
      <c r="I466" s="28">
        <v>46078</v>
      </c>
      <c r="J466" s="16">
        <v>17</v>
      </c>
      <c r="K466" s="16">
        <v>44</v>
      </c>
      <c r="L466" s="16">
        <v>272</v>
      </c>
      <c r="M466" s="247" t="str">
        <f t="shared" si="9"/>
        <v>17-44-272</v>
      </c>
      <c r="N466" s="17" t="str">
        <f>IFERROR(VLOOKUP(M466,'LISTA ITEMS (2)'!$E$2:$G$910,2,FALSE),"  ")</f>
        <v>SELLANTE QUIMICO GRIS</v>
      </c>
      <c r="O466" s="30" t="str">
        <f>IFERROR(VLOOKUP(M466,'LISTA ITEMS (2)'!$E$2:$G$910,3,FALSE)," ")</f>
        <v>UND</v>
      </c>
      <c r="P466" s="176">
        <v>2</v>
      </c>
      <c r="Q466" s="181"/>
      <c r="R466" s="17"/>
      <c r="S466" s="156">
        <v>1</v>
      </c>
    </row>
    <row r="467" spans="1:19" ht="36" x14ac:dyDescent="0.3">
      <c r="A467" s="27">
        <v>465</v>
      </c>
      <c r="B467" s="122">
        <v>28</v>
      </c>
      <c r="C467" s="94">
        <v>28</v>
      </c>
      <c r="D467" s="246" t="s">
        <v>831</v>
      </c>
      <c r="E467" s="249" t="s">
        <v>833</v>
      </c>
      <c r="F467" s="193" t="s">
        <v>814</v>
      </c>
      <c r="G467" s="193" t="s">
        <v>807</v>
      </c>
      <c r="H467" s="193" t="s">
        <v>835</v>
      </c>
      <c r="I467" s="28">
        <v>46078</v>
      </c>
      <c r="J467" s="16">
        <v>13</v>
      </c>
      <c r="K467" s="16">
        <v>21</v>
      </c>
      <c r="L467" s="16">
        <v>181</v>
      </c>
      <c r="M467" s="247" t="str">
        <f t="shared" si="9"/>
        <v>13-21-181</v>
      </c>
      <c r="N467" s="17" t="str">
        <f>IFERROR(VLOOKUP(M467,'LISTA ITEMS (2)'!$E$2:$G$910,2,FALSE),"  ")</f>
        <v>TACO P/BRIDA NEGRO</v>
      </c>
      <c r="O467" s="30" t="str">
        <f>IFERROR(VLOOKUP(M467,'LISTA ITEMS (2)'!$E$2:$G$910,3,FALSE)," ")</f>
        <v>UND</v>
      </c>
      <c r="P467" s="176">
        <v>100</v>
      </c>
      <c r="Q467" s="181"/>
      <c r="R467" s="17"/>
      <c r="S467" s="156"/>
    </row>
    <row r="468" spans="1:19" ht="36" x14ac:dyDescent="0.3">
      <c r="A468" s="27">
        <v>466</v>
      </c>
      <c r="B468" s="122">
        <v>28</v>
      </c>
      <c r="C468" s="94">
        <v>28</v>
      </c>
      <c r="D468" s="246" t="s">
        <v>831</v>
      </c>
      <c r="E468" s="249" t="s">
        <v>833</v>
      </c>
      <c r="F468" s="193" t="s">
        <v>814</v>
      </c>
      <c r="G468" s="193" t="s">
        <v>807</v>
      </c>
      <c r="H468" s="193" t="s">
        <v>835</v>
      </c>
      <c r="I468" s="28">
        <v>46078</v>
      </c>
      <c r="J468" s="16">
        <v>13</v>
      </c>
      <c r="K468" s="16">
        <v>22</v>
      </c>
      <c r="L468" s="16">
        <v>184</v>
      </c>
      <c r="M468" s="247" t="str">
        <f t="shared" si="9"/>
        <v>13-22-184</v>
      </c>
      <c r="N468" s="17" t="str">
        <f>IFERROR(VLOOKUP(M468,'LISTA ITEMS (2)'!$E$2:$G$910,2,FALSE),"  ")</f>
        <v>BRIDA P/EXTERIOR NEGRA</v>
      </c>
      <c r="O468" s="30" t="str">
        <f>IFERROR(VLOOKUP(M468,'LISTA ITEMS (2)'!$E$2:$G$910,3,FALSE)," ")</f>
        <v>UND</v>
      </c>
      <c r="P468" s="176">
        <v>100</v>
      </c>
      <c r="Q468" s="181"/>
      <c r="R468" s="17"/>
      <c r="S468" s="156"/>
    </row>
    <row r="469" spans="1:19" ht="36" x14ac:dyDescent="0.3">
      <c r="A469" s="27">
        <v>467</v>
      </c>
      <c r="B469" s="122">
        <v>28</v>
      </c>
      <c r="C469" s="94">
        <v>28</v>
      </c>
      <c r="D469" s="246" t="s">
        <v>831</v>
      </c>
      <c r="E469" s="249" t="s">
        <v>833</v>
      </c>
      <c r="F469" s="193" t="s">
        <v>814</v>
      </c>
      <c r="G469" s="193" t="s">
        <v>807</v>
      </c>
      <c r="H469" s="193" t="s">
        <v>835</v>
      </c>
      <c r="I469" s="28">
        <v>46078</v>
      </c>
      <c r="J469" s="16">
        <v>6</v>
      </c>
      <c r="K469" s="16">
        <v>23</v>
      </c>
      <c r="L469" s="16">
        <v>192</v>
      </c>
      <c r="M469" s="247" t="str">
        <f t="shared" si="9"/>
        <v>6-23-192</v>
      </c>
      <c r="N469" s="17" t="str">
        <f>IFERROR(VLOOKUP(M469,'LISTA ITEMS (2)'!$E$2:$G$910,2,FALSE),"  ")</f>
        <v xml:space="preserve">CINTA ACERO PERFORADA PARA MONTAJE </v>
      </c>
      <c r="O469" s="30" t="str">
        <f>IFERROR(VLOOKUP(M469,'LISTA ITEMS (2)'!$E$2:$G$910,3,FALSE)," ")</f>
        <v>UND</v>
      </c>
      <c r="P469" s="176">
        <v>1</v>
      </c>
      <c r="Q469" s="181"/>
      <c r="R469" s="17"/>
      <c r="S469" s="156"/>
    </row>
    <row r="470" spans="1:19" ht="36" x14ac:dyDescent="0.3">
      <c r="A470" s="27">
        <v>468</v>
      </c>
      <c r="B470" s="122">
        <v>28</v>
      </c>
      <c r="C470" s="94">
        <v>28</v>
      </c>
      <c r="D470" s="246" t="s">
        <v>831</v>
      </c>
      <c r="E470" s="249" t="s">
        <v>833</v>
      </c>
      <c r="F470" s="193" t="s">
        <v>814</v>
      </c>
      <c r="G470" s="193" t="s">
        <v>807</v>
      </c>
      <c r="H470" s="193" t="s">
        <v>835</v>
      </c>
      <c r="I470" s="28">
        <v>46078</v>
      </c>
      <c r="J470" s="16">
        <v>16</v>
      </c>
      <c r="K470" s="16">
        <v>61</v>
      </c>
      <c r="L470" s="16">
        <v>331</v>
      </c>
      <c r="M470" s="247" t="str">
        <f t="shared" si="9"/>
        <v>16-61-331</v>
      </c>
      <c r="N470" s="17" t="str">
        <f>IFERROR(VLOOKUP(M470,'LISTA ITEMS (2)'!$E$2:$G$910,2,FALSE),"  ")</f>
        <v>CONECTOR FOTOVOLTAICO HEMBRA M4 NEGRO</v>
      </c>
      <c r="O470" s="30" t="str">
        <f>IFERROR(VLOOKUP(M470,'LISTA ITEMS (2)'!$E$2:$G$910,3,FALSE)," ")</f>
        <v>UND</v>
      </c>
      <c r="P470" s="176">
        <v>10</v>
      </c>
      <c r="Q470" s="181"/>
      <c r="R470" s="17"/>
      <c r="S470" s="156">
        <v>3</v>
      </c>
    </row>
    <row r="471" spans="1:19" ht="36" x14ac:dyDescent="0.3">
      <c r="A471" s="27">
        <v>469</v>
      </c>
      <c r="B471" s="122">
        <v>28</v>
      </c>
      <c r="C471" s="94">
        <v>28</v>
      </c>
      <c r="D471" s="246" t="s">
        <v>831</v>
      </c>
      <c r="E471" s="249" t="s">
        <v>833</v>
      </c>
      <c r="F471" s="193" t="s">
        <v>814</v>
      </c>
      <c r="G471" s="193" t="s">
        <v>807</v>
      </c>
      <c r="H471" s="193" t="s">
        <v>835</v>
      </c>
      <c r="I471" s="28">
        <v>46078</v>
      </c>
      <c r="J471" s="16">
        <v>16</v>
      </c>
      <c r="K471" s="16">
        <v>61</v>
      </c>
      <c r="L471" s="16">
        <v>332</v>
      </c>
      <c r="M471" s="247" t="str">
        <f t="shared" si="9"/>
        <v>16-61-332</v>
      </c>
      <c r="N471" s="17" t="str">
        <f>IFERROR(VLOOKUP(M471,'LISTA ITEMS (2)'!$E$2:$G$910,2,FALSE),"  ")</f>
        <v>CONECTOR FOTOVOLTAICO MACHO M4 NEGRO</v>
      </c>
      <c r="O471" s="30" t="str">
        <f>IFERROR(VLOOKUP(M471,'LISTA ITEMS (2)'!$E$2:$G$910,3,FALSE)," ")</f>
        <v>UND</v>
      </c>
      <c r="P471" s="176">
        <v>10</v>
      </c>
      <c r="Q471" s="181"/>
      <c r="R471" s="17"/>
      <c r="S471" s="156">
        <v>3</v>
      </c>
    </row>
    <row r="472" spans="1:19" ht="36" x14ac:dyDescent="0.3">
      <c r="A472" s="27">
        <v>470</v>
      </c>
      <c r="B472" s="122">
        <v>28</v>
      </c>
      <c r="C472" s="94">
        <v>28</v>
      </c>
      <c r="D472" s="246" t="s">
        <v>831</v>
      </c>
      <c r="E472" s="249" t="s">
        <v>833</v>
      </c>
      <c r="F472" s="193" t="s">
        <v>814</v>
      </c>
      <c r="G472" s="193" t="s">
        <v>807</v>
      </c>
      <c r="H472" s="193" t="s">
        <v>835</v>
      </c>
      <c r="I472" s="28">
        <v>46078</v>
      </c>
      <c r="J472" s="16">
        <v>14</v>
      </c>
      <c r="K472" s="16">
        <v>24</v>
      </c>
      <c r="L472" s="16">
        <v>193</v>
      </c>
      <c r="M472" s="247" t="str">
        <f t="shared" si="9"/>
        <v>14-24-193</v>
      </c>
      <c r="N472" s="17" t="str">
        <f>IFERROR(VLOOKUP(M472,'LISTA ITEMS (2)'!$E$2:$G$910,2,FALSE),"  ")</f>
        <v>DISCO CORTE ACERO/INOX A1 2EN1</v>
      </c>
      <c r="O472" s="30" t="str">
        <f>IFERROR(VLOOKUP(M472,'LISTA ITEMS (2)'!$E$2:$G$910,3,FALSE)," ")</f>
        <v>UND</v>
      </c>
      <c r="P472" s="176">
        <v>3</v>
      </c>
      <c r="Q472" s="181"/>
      <c r="R472" s="17"/>
      <c r="S472" s="156"/>
    </row>
    <row r="473" spans="1:19" ht="36" x14ac:dyDescent="0.3">
      <c r="A473" s="27">
        <v>471</v>
      </c>
      <c r="B473" s="122">
        <v>28</v>
      </c>
      <c r="C473" s="94">
        <v>28</v>
      </c>
      <c r="D473" s="246" t="s">
        <v>831</v>
      </c>
      <c r="E473" s="249" t="s">
        <v>833</v>
      </c>
      <c r="F473" s="193" t="s">
        <v>814</v>
      </c>
      <c r="G473" s="193" t="s">
        <v>807</v>
      </c>
      <c r="H473" s="193" t="s">
        <v>835</v>
      </c>
      <c r="I473" s="28">
        <v>46078</v>
      </c>
      <c r="J473" s="16">
        <v>10</v>
      </c>
      <c r="K473" s="16">
        <v>42</v>
      </c>
      <c r="L473" s="16">
        <v>268</v>
      </c>
      <c r="M473" s="247" t="str">
        <f t="shared" si="9"/>
        <v>10-42-268</v>
      </c>
      <c r="N473" s="17" t="str">
        <f>IFERROR(VLOOKUP(M473,'LISTA ITEMS (2)'!$E$2:$G$910,2,FALSE),"  ")</f>
        <v>PATA ALUMINIO PARA ESTRUCTURA PLACA SOLAR ANGULO 30º</v>
      </c>
      <c r="O473" s="30" t="str">
        <f>IFERROR(VLOOKUP(M473,'LISTA ITEMS (2)'!$E$2:$G$910,3,FALSE)," ")</f>
        <v>UND</v>
      </c>
      <c r="P473" s="176">
        <v>12</v>
      </c>
      <c r="Q473" s="181"/>
      <c r="R473" s="17"/>
      <c r="S473" s="156">
        <v>2</v>
      </c>
    </row>
    <row r="474" spans="1:19" ht="36" x14ac:dyDescent="0.3">
      <c r="A474" s="27">
        <v>472</v>
      </c>
      <c r="B474" s="122">
        <v>28</v>
      </c>
      <c r="C474" s="94">
        <v>28</v>
      </c>
      <c r="D474" s="246" t="s">
        <v>831</v>
      </c>
      <c r="E474" s="249" t="s">
        <v>833</v>
      </c>
      <c r="F474" s="193" t="s">
        <v>814</v>
      </c>
      <c r="G474" s="193" t="s">
        <v>807</v>
      </c>
      <c r="H474" s="193" t="s">
        <v>835</v>
      </c>
      <c r="I474" s="28">
        <v>46078</v>
      </c>
      <c r="J474" s="16">
        <v>3</v>
      </c>
      <c r="K474" s="16">
        <v>31</v>
      </c>
      <c r="L474" s="16">
        <v>277</v>
      </c>
      <c r="M474" s="247" t="str">
        <f t="shared" si="9"/>
        <v>3-31-277</v>
      </c>
      <c r="N474" s="17" t="str">
        <f>IFERROR(VLOOKUP(M474,'LISTA ITEMS (2)'!$E$2:$G$910,2,FALSE),"  ")</f>
        <v>CABLE Nª 6 P/PLACA SOLAR NEGRO</v>
      </c>
      <c r="O474" s="30" t="str">
        <f>IFERROR(VLOOKUP(M474,'LISTA ITEMS (2)'!$E$2:$G$910,3,FALSE)," ")</f>
        <v>MT</v>
      </c>
      <c r="P474" s="176">
        <v>25</v>
      </c>
      <c r="Q474" s="181"/>
      <c r="R474" s="17"/>
      <c r="S474" s="156"/>
    </row>
    <row r="475" spans="1:19" ht="36" x14ac:dyDescent="0.3">
      <c r="A475" s="27">
        <v>473</v>
      </c>
      <c r="B475" s="122">
        <v>28</v>
      </c>
      <c r="C475" s="94">
        <v>28</v>
      </c>
      <c r="D475" s="246" t="s">
        <v>831</v>
      </c>
      <c r="E475" s="249" t="s">
        <v>833</v>
      </c>
      <c r="F475" s="193" t="s">
        <v>814</v>
      </c>
      <c r="G475" s="193" t="s">
        <v>807</v>
      </c>
      <c r="H475" s="193" t="s">
        <v>835</v>
      </c>
      <c r="I475" s="28">
        <v>46078</v>
      </c>
      <c r="J475" s="16">
        <v>3</v>
      </c>
      <c r="K475" s="16">
        <v>31</v>
      </c>
      <c r="L475" s="16">
        <v>278</v>
      </c>
      <c r="M475" s="247" t="str">
        <f t="shared" si="9"/>
        <v>3-31-278</v>
      </c>
      <c r="N475" s="17" t="str">
        <f>IFERROR(VLOOKUP(M475,'LISTA ITEMS (2)'!$E$2:$G$910,2,FALSE),"  ")</f>
        <v>CABLE Nª 6 P/PLACA SOLAR ROJO</v>
      </c>
      <c r="O475" s="30" t="str">
        <f>IFERROR(VLOOKUP(M475,'LISTA ITEMS (2)'!$E$2:$G$910,3,FALSE)," ")</f>
        <v>MT</v>
      </c>
      <c r="P475" s="176">
        <v>25</v>
      </c>
      <c r="Q475" s="181"/>
      <c r="R475" s="17"/>
      <c r="S475" s="156"/>
    </row>
    <row r="476" spans="1:19" ht="36" x14ac:dyDescent="0.3">
      <c r="A476" s="27">
        <v>474</v>
      </c>
      <c r="B476" s="122">
        <v>28</v>
      </c>
      <c r="C476" s="94">
        <v>28</v>
      </c>
      <c r="D476" s="246" t="s">
        <v>831</v>
      </c>
      <c r="E476" s="249" t="s">
        <v>833</v>
      </c>
      <c r="F476" s="193" t="s">
        <v>814</v>
      </c>
      <c r="G476" s="193" t="s">
        <v>807</v>
      </c>
      <c r="H476" s="193" t="s">
        <v>835</v>
      </c>
      <c r="I476" s="28">
        <v>46078</v>
      </c>
      <c r="J476" s="16">
        <v>9</v>
      </c>
      <c r="K476" s="16">
        <v>2</v>
      </c>
      <c r="L476" s="16">
        <v>291</v>
      </c>
      <c r="M476" s="247" t="str">
        <f t="shared" si="9"/>
        <v>9-2-291</v>
      </c>
      <c r="N476" s="17" t="str">
        <f>IFERROR(VLOOKUP(M476,'LISTA ITEMS (2)'!$E$2:$G$910,2,FALSE),"  ")</f>
        <v>TUBO ELECTRICO PVC 25mm - 3mt(AISCAN)</v>
      </c>
      <c r="O476" s="30" t="str">
        <f>IFERROR(VLOOKUP(M476,'LISTA ITEMS (2)'!$E$2:$G$910,3,FALSE)," ")</f>
        <v>UND</v>
      </c>
      <c r="P476" s="176">
        <v>15</v>
      </c>
      <c r="Q476" s="181"/>
      <c r="R476" s="17"/>
      <c r="S476" s="156">
        <v>4</v>
      </c>
    </row>
    <row r="477" spans="1:19" ht="36" x14ac:dyDescent="0.3">
      <c r="A477" s="27">
        <v>475</v>
      </c>
      <c r="B477" s="122">
        <v>28</v>
      </c>
      <c r="C477" s="94">
        <v>28</v>
      </c>
      <c r="D477" s="246" t="s">
        <v>831</v>
      </c>
      <c r="E477" s="249" t="s">
        <v>833</v>
      </c>
      <c r="F477" s="193" t="s">
        <v>814</v>
      </c>
      <c r="G477" s="193" t="s">
        <v>807</v>
      </c>
      <c r="H477" s="193" t="s">
        <v>835</v>
      </c>
      <c r="I477" s="28">
        <v>46078</v>
      </c>
      <c r="J477" s="16">
        <v>4</v>
      </c>
      <c r="K477" s="16">
        <v>15</v>
      </c>
      <c r="L477" s="16">
        <v>267</v>
      </c>
      <c r="M477" s="247" t="str">
        <f t="shared" si="9"/>
        <v>4-15-267</v>
      </c>
      <c r="N477" s="17" t="str">
        <f>IFERROR(VLOOKUP(M477,'LISTA ITEMS (2)'!$E$2:$G$910,2,FALSE),"  ")</f>
        <v>BARRA PERFORADA PARA REFUERZO 20X10X2MT GALV.</v>
      </c>
      <c r="O477" s="30" t="str">
        <f>IFERROR(VLOOKUP(M477,'LISTA ITEMS (2)'!$E$2:$G$910,3,FALSE)," ")</f>
        <v>UND</v>
      </c>
      <c r="P477" s="176">
        <v>9</v>
      </c>
      <c r="Q477" s="181"/>
      <c r="R477" s="17"/>
      <c r="S477" s="156">
        <v>3</v>
      </c>
    </row>
    <row r="478" spans="1:19" ht="24" x14ac:dyDescent="0.3">
      <c r="A478" s="27">
        <v>476</v>
      </c>
      <c r="B478" s="110">
        <v>29</v>
      </c>
      <c r="C478" s="111">
        <v>29</v>
      </c>
      <c r="D478" s="221" t="s">
        <v>831</v>
      </c>
      <c r="E478" s="221" t="s">
        <v>828</v>
      </c>
      <c r="F478" s="276" t="s">
        <v>811</v>
      </c>
      <c r="G478" s="276" t="s">
        <v>836</v>
      </c>
      <c r="H478" s="276" t="s">
        <v>837</v>
      </c>
      <c r="I478" s="114">
        <v>46078</v>
      </c>
      <c r="J478" s="115">
        <v>10</v>
      </c>
      <c r="K478" s="115">
        <v>37</v>
      </c>
      <c r="L478" s="115">
        <v>330</v>
      </c>
      <c r="M478" s="116" t="str">
        <f t="shared" si="9"/>
        <v>10-37-330</v>
      </c>
      <c r="N478" s="117" t="str">
        <f>IFERROR(VLOOKUP(M478,'LISTA ITEMS (2)'!$E$2:$G$910,2,FALSE),"  ")</f>
        <v>SOPORTE EN L ALUMINIO GRIS</v>
      </c>
      <c r="O478" s="118" t="str">
        <f>IFERROR(VLOOKUP(M478,'LISTA ITEMS (2)'!$E$2:$G$910,3,FALSE)," ")</f>
        <v>UND</v>
      </c>
      <c r="P478" s="173">
        <v>20</v>
      </c>
      <c r="Q478" s="112"/>
      <c r="R478" s="117"/>
      <c r="S478" s="156">
        <v>15</v>
      </c>
    </row>
    <row r="479" spans="1:19" ht="24" x14ac:dyDescent="0.3">
      <c r="A479" s="27">
        <v>477</v>
      </c>
      <c r="B479" s="110">
        <v>29</v>
      </c>
      <c r="C479" s="111">
        <v>29</v>
      </c>
      <c r="D479" s="221" t="s">
        <v>831</v>
      </c>
      <c r="E479" s="221" t="s">
        <v>828</v>
      </c>
      <c r="F479" s="276" t="s">
        <v>811</v>
      </c>
      <c r="G479" s="276" t="s">
        <v>836</v>
      </c>
      <c r="H479" s="276" t="s">
        <v>837</v>
      </c>
      <c r="I479" s="114">
        <v>46078</v>
      </c>
      <c r="J479" s="115">
        <v>17</v>
      </c>
      <c r="K479" s="115">
        <v>44</v>
      </c>
      <c r="L479" s="115">
        <v>273</v>
      </c>
      <c r="M479" s="116" t="str">
        <f t="shared" si="9"/>
        <v>17-44-273</v>
      </c>
      <c r="N479" s="117" t="str">
        <f>IFERROR(VLOOKUP(M479,'LISTA ITEMS (2)'!$E$2:$G$910,2,FALSE),"  ")</f>
        <v>SELLANTE QUIMICO TACO</v>
      </c>
      <c r="O479" s="118" t="str">
        <f>IFERROR(VLOOKUP(M479,'LISTA ITEMS (2)'!$E$2:$G$910,3,FALSE)," ")</f>
        <v>UND</v>
      </c>
      <c r="P479" s="173">
        <v>6</v>
      </c>
      <c r="Q479" s="112"/>
      <c r="R479" s="117"/>
      <c r="S479" s="156">
        <v>4</v>
      </c>
    </row>
    <row r="480" spans="1:19" ht="24" x14ac:dyDescent="0.3">
      <c r="A480" s="27">
        <v>478</v>
      </c>
      <c r="B480" s="110">
        <v>29</v>
      </c>
      <c r="C480" s="111">
        <v>29</v>
      </c>
      <c r="D480" s="221" t="s">
        <v>831</v>
      </c>
      <c r="E480" s="221" t="s">
        <v>828</v>
      </c>
      <c r="F480" s="276" t="s">
        <v>811</v>
      </c>
      <c r="G480" s="276" t="s">
        <v>836</v>
      </c>
      <c r="H480" s="276" t="s">
        <v>837</v>
      </c>
      <c r="I480" s="114">
        <v>46078</v>
      </c>
      <c r="J480" s="115">
        <v>20</v>
      </c>
      <c r="K480" s="115">
        <v>83</v>
      </c>
      <c r="L480" s="115">
        <v>409</v>
      </c>
      <c r="M480" s="116" t="str">
        <f t="shared" si="9"/>
        <v>20-83-409</v>
      </c>
      <c r="N480" s="117" t="str">
        <f>IFERROR(VLOOKUP(M480,'LISTA ITEMS (2)'!$E$2:$G$910,2,FALSE),"  ")</f>
        <v>TAMIZ NYLON 16X85</v>
      </c>
      <c r="O480" s="118" t="str">
        <f>IFERROR(VLOOKUP(M480,'LISTA ITEMS (2)'!$E$2:$G$910,3,FALSE)," ")</f>
        <v>UND</v>
      </c>
      <c r="P480" s="173">
        <v>40</v>
      </c>
      <c r="Q480" s="112"/>
      <c r="R480" s="117"/>
      <c r="S480" s="156">
        <v>25</v>
      </c>
    </row>
    <row r="481" spans="1:19" ht="28.8" x14ac:dyDescent="0.3">
      <c r="A481" s="27">
        <v>479</v>
      </c>
      <c r="B481" s="110">
        <v>29</v>
      </c>
      <c r="C481" s="111">
        <v>29</v>
      </c>
      <c r="D481" s="221" t="s">
        <v>831</v>
      </c>
      <c r="E481" s="221" t="s">
        <v>828</v>
      </c>
      <c r="F481" s="276" t="s">
        <v>811</v>
      </c>
      <c r="G481" s="276" t="s">
        <v>836</v>
      </c>
      <c r="H481" s="276" t="s">
        <v>837</v>
      </c>
      <c r="I481" s="114">
        <v>46078</v>
      </c>
      <c r="J481" s="115">
        <v>4</v>
      </c>
      <c r="K481" s="115">
        <v>15</v>
      </c>
      <c r="L481" s="115">
        <v>326</v>
      </c>
      <c r="M481" s="116" t="str">
        <f t="shared" si="9"/>
        <v>4-15-326</v>
      </c>
      <c r="N481" s="117" t="str">
        <f>IFERROR(VLOOKUP(M481,'LISTA ITEMS (2)'!$E$2:$G$910,2,FALSE),"  ")</f>
        <v>BARRA PERFORADA PARA REFUERZO 27x18x2MT GALV.</v>
      </c>
      <c r="O481" s="118" t="str">
        <f>IFERROR(VLOOKUP(M481,'LISTA ITEMS (2)'!$E$2:$G$910,3,FALSE)," ")</f>
        <v>UND</v>
      </c>
      <c r="P481" s="173">
        <v>18</v>
      </c>
      <c r="Q481" s="112"/>
      <c r="R481" s="117"/>
      <c r="S481" s="156">
        <v>12</v>
      </c>
    </row>
    <row r="482" spans="1:19" ht="24" x14ac:dyDescent="0.3">
      <c r="A482" s="27">
        <v>480</v>
      </c>
      <c r="B482" s="110">
        <v>29</v>
      </c>
      <c r="C482" s="111">
        <v>29</v>
      </c>
      <c r="D482" s="221" t="s">
        <v>831</v>
      </c>
      <c r="E482" s="221" t="s">
        <v>828</v>
      </c>
      <c r="F482" s="276" t="s">
        <v>811</v>
      </c>
      <c r="G482" s="276" t="s">
        <v>836</v>
      </c>
      <c r="H482" s="276" t="s">
        <v>837</v>
      </c>
      <c r="I482" s="114">
        <v>46078</v>
      </c>
      <c r="J482" s="115">
        <v>8</v>
      </c>
      <c r="K482" s="115">
        <v>64</v>
      </c>
      <c r="L482" s="115">
        <v>358</v>
      </c>
      <c r="M482" s="116" t="str">
        <f t="shared" si="9"/>
        <v>8-64-358</v>
      </c>
      <c r="N482" s="117" t="str">
        <f>IFERROR(VLOOKUP(M482,'LISTA ITEMS (2)'!$E$2:$G$910,2,FALSE),"  ")</f>
        <v>BARILLA ROSCADA M8 A/GALV X1000</v>
      </c>
      <c r="O482" s="118" t="str">
        <f>IFERROR(VLOOKUP(M482,'LISTA ITEMS (2)'!$E$2:$G$910,3,FALSE)," ")</f>
        <v>UND</v>
      </c>
      <c r="P482" s="173">
        <v>8</v>
      </c>
      <c r="Q482" s="112"/>
      <c r="R482" s="117"/>
      <c r="S482" s="156">
        <v>3</v>
      </c>
    </row>
    <row r="483" spans="1:19" ht="55.2" x14ac:dyDescent="0.3">
      <c r="A483" s="27">
        <v>481</v>
      </c>
      <c r="B483" s="122">
        <v>30</v>
      </c>
      <c r="C483" s="94">
        <v>30</v>
      </c>
      <c r="D483" s="246" t="s">
        <v>831</v>
      </c>
      <c r="E483" s="246" t="s">
        <v>829</v>
      </c>
      <c r="F483" s="193" t="s">
        <v>817</v>
      </c>
      <c r="G483" s="182" t="s">
        <v>818</v>
      </c>
      <c r="H483" s="193" t="s">
        <v>838</v>
      </c>
      <c r="I483" s="28">
        <v>46079</v>
      </c>
      <c r="J483" s="16">
        <v>10</v>
      </c>
      <c r="K483" s="16">
        <v>15</v>
      </c>
      <c r="L483" s="16">
        <v>269</v>
      </c>
      <c r="M483" s="247" t="str">
        <f t="shared" si="9"/>
        <v>10-15-269</v>
      </c>
      <c r="N483" s="17" t="str">
        <f>IFERROR(VLOOKUP(M483,'LISTA ITEMS (2)'!$E$2:$G$910,2,FALSE),"  ")</f>
        <v>BARRA ALUMINIO PARA ESTRUCTURA  3.60mt</v>
      </c>
      <c r="O483" s="30" t="str">
        <f>IFERROR(VLOOKUP(M483,'LISTA ITEMS (2)'!$E$2:$G$910,3,FALSE)," ")</f>
        <v>UND</v>
      </c>
      <c r="P483" s="176">
        <v>3</v>
      </c>
      <c r="Q483" s="181"/>
      <c r="R483" s="17"/>
      <c r="S483" s="156"/>
    </row>
    <row r="484" spans="1:19" ht="55.2" x14ac:dyDescent="0.3">
      <c r="A484" s="27">
        <v>482</v>
      </c>
      <c r="B484" s="122">
        <v>30</v>
      </c>
      <c r="C484" s="94">
        <v>30</v>
      </c>
      <c r="D484" s="246" t="s">
        <v>831</v>
      </c>
      <c r="E484" s="246" t="s">
        <v>829</v>
      </c>
      <c r="F484" s="193" t="s">
        <v>817</v>
      </c>
      <c r="G484" s="182" t="s">
        <v>818</v>
      </c>
      <c r="H484" s="193" t="s">
        <v>838</v>
      </c>
      <c r="I484" s="28">
        <v>46079</v>
      </c>
      <c r="J484" s="16">
        <v>10</v>
      </c>
      <c r="K484" s="16">
        <v>37</v>
      </c>
      <c r="L484" s="16">
        <v>330</v>
      </c>
      <c r="M484" s="247" t="str">
        <f t="shared" si="9"/>
        <v>10-37-330</v>
      </c>
      <c r="N484" s="17" t="str">
        <f>IFERROR(VLOOKUP(M484,'LISTA ITEMS (2)'!$E$2:$G$910,2,FALSE),"  ")</f>
        <v>SOPORTE EN L ALUMINIO GRIS</v>
      </c>
      <c r="O484" s="30" t="str">
        <f>IFERROR(VLOOKUP(M484,'LISTA ITEMS (2)'!$E$2:$G$910,3,FALSE)," ")</f>
        <v>UND</v>
      </c>
      <c r="P484" s="176">
        <v>24</v>
      </c>
      <c r="Q484" s="181"/>
      <c r="R484" s="17"/>
      <c r="S484" s="156">
        <v>2</v>
      </c>
    </row>
    <row r="485" spans="1:19" ht="55.2" x14ac:dyDescent="0.3">
      <c r="A485" s="27">
        <v>483</v>
      </c>
      <c r="B485" s="122">
        <v>30</v>
      </c>
      <c r="C485" s="94">
        <v>30</v>
      </c>
      <c r="D485" s="246" t="s">
        <v>831</v>
      </c>
      <c r="E485" s="246" t="s">
        <v>829</v>
      </c>
      <c r="F485" s="193" t="s">
        <v>817</v>
      </c>
      <c r="G485" s="182" t="s">
        <v>818</v>
      </c>
      <c r="H485" s="193" t="s">
        <v>838</v>
      </c>
      <c r="I485" s="28">
        <v>46079</v>
      </c>
      <c r="J485" s="16">
        <v>10</v>
      </c>
      <c r="K485" s="16">
        <v>37</v>
      </c>
      <c r="L485" s="16">
        <v>232</v>
      </c>
      <c r="M485" s="247" t="str">
        <f t="shared" si="9"/>
        <v>10-37-232</v>
      </c>
      <c r="N485" s="17" t="str">
        <f>IFERROR(VLOOKUP(M485,'LISTA ITEMS (2)'!$E$2:$G$910,2,FALSE),"  ")</f>
        <v>SOPORTE CENTRAL NEGRO</v>
      </c>
      <c r="O485" s="30" t="str">
        <f>IFERROR(VLOOKUP(M485,'LISTA ITEMS (2)'!$E$2:$G$910,3,FALSE)," ")</f>
        <v>UND</v>
      </c>
      <c r="P485" s="176">
        <v>38</v>
      </c>
      <c r="Q485" s="181"/>
      <c r="R485" s="17"/>
      <c r="S485" s="156">
        <v>18</v>
      </c>
    </row>
    <row r="486" spans="1:19" ht="55.2" x14ac:dyDescent="0.3">
      <c r="A486" s="27">
        <v>484</v>
      </c>
      <c r="B486" s="122">
        <v>30</v>
      </c>
      <c r="C486" s="94">
        <v>30</v>
      </c>
      <c r="D486" s="246" t="s">
        <v>831</v>
      </c>
      <c r="E486" s="246" t="s">
        <v>829</v>
      </c>
      <c r="F486" s="193" t="s">
        <v>817</v>
      </c>
      <c r="G486" s="182" t="s">
        <v>818</v>
      </c>
      <c r="H486" s="193" t="s">
        <v>838</v>
      </c>
      <c r="I486" s="28">
        <v>46079</v>
      </c>
      <c r="J486" s="16">
        <v>10</v>
      </c>
      <c r="K486" s="16">
        <v>37</v>
      </c>
      <c r="L486" s="16">
        <v>315</v>
      </c>
      <c r="M486" s="247" t="str">
        <f t="shared" si="9"/>
        <v>10-37-315</v>
      </c>
      <c r="N486" s="17" t="str">
        <f>IFERROR(VLOOKUP(M486,'LISTA ITEMS (2)'!$E$2:$G$910,2,FALSE),"  ")</f>
        <v>SOPORTE FINAL NEGRO</v>
      </c>
      <c r="O486" s="30" t="str">
        <f>IFERROR(VLOOKUP(M486,'LISTA ITEMS (2)'!$E$2:$G$910,3,FALSE)," ")</f>
        <v>UND</v>
      </c>
      <c r="P486" s="176">
        <v>20</v>
      </c>
      <c r="Q486" s="181"/>
      <c r="R486" s="17"/>
      <c r="S486" s="156">
        <v>2</v>
      </c>
    </row>
    <row r="487" spans="1:19" ht="55.2" x14ac:dyDescent="0.3">
      <c r="A487" s="27">
        <v>485</v>
      </c>
      <c r="B487" s="122">
        <v>30</v>
      </c>
      <c r="C487" s="94">
        <v>30</v>
      </c>
      <c r="D487" s="246" t="s">
        <v>831</v>
      </c>
      <c r="E487" s="246" t="s">
        <v>829</v>
      </c>
      <c r="F487" s="193" t="s">
        <v>817</v>
      </c>
      <c r="G487" s="182" t="s">
        <v>818</v>
      </c>
      <c r="H487" s="193" t="s">
        <v>838</v>
      </c>
      <c r="I487" s="28">
        <v>46079</v>
      </c>
      <c r="J487" s="16">
        <v>10</v>
      </c>
      <c r="K487" s="16">
        <v>43</v>
      </c>
      <c r="L487" s="16">
        <v>270</v>
      </c>
      <c r="M487" s="247" t="str">
        <f t="shared" si="9"/>
        <v>10-43-270</v>
      </c>
      <c r="N487" s="17" t="str">
        <f>IFERROR(VLOOKUP(M487,'LISTA ITEMS (2)'!$E$2:$G$910,2,FALSE),"  ")</f>
        <v>EMPALME ALUMINIO P/BARRA</v>
      </c>
      <c r="O487" s="30" t="str">
        <f>IFERROR(VLOOKUP(M487,'LISTA ITEMS (2)'!$E$2:$G$910,3,FALSE)," ")</f>
        <v>UND</v>
      </c>
      <c r="P487" s="176">
        <v>8</v>
      </c>
      <c r="Q487" s="181"/>
      <c r="R487" s="17"/>
      <c r="S487" s="156">
        <v>2</v>
      </c>
    </row>
    <row r="488" spans="1:19" ht="55.2" x14ac:dyDescent="0.3">
      <c r="A488" s="27">
        <v>486</v>
      </c>
      <c r="B488" s="122">
        <v>30</v>
      </c>
      <c r="C488" s="94">
        <v>30</v>
      </c>
      <c r="D488" s="246" t="s">
        <v>831</v>
      </c>
      <c r="E488" s="246" t="s">
        <v>829</v>
      </c>
      <c r="F488" s="193" t="s">
        <v>817</v>
      </c>
      <c r="G488" s="182" t="s">
        <v>818</v>
      </c>
      <c r="H488" s="193" t="s">
        <v>838</v>
      </c>
      <c r="I488" s="28">
        <v>46079</v>
      </c>
      <c r="J488" s="16">
        <v>16</v>
      </c>
      <c r="K488" s="16">
        <v>45</v>
      </c>
      <c r="L488" s="16">
        <v>294</v>
      </c>
      <c r="M488" s="247" t="str">
        <f t="shared" si="9"/>
        <v>16-45-294</v>
      </c>
      <c r="N488" s="17" t="str">
        <f>IFERROR(VLOOKUP(M488,'LISTA ITEMS (2)'!$E$2:$G$910,2,FALSE),"  ")</f>
        <v>CAJA DE ESTANCA 133X180X80 EV161 (IDE)</v>
      </c>
      <c r="O488" s="30" t="str">
        <f>IFERROR(VLOOKUP(M488,'LISTA ITEMS (2)'!$E$2:$G$910,3,FALSE)," ")</f>
        <v>UND</v>
      </c>
      <c r="P488" s="176">
        <v>2</v>
      </c>
      <c r="Q488" s="181"/>
      <c r="R488" s="17"/>
      <c r="S488" s="156"/>
    </row>
    <row r="489" spans="1:19" ht="55.2" x14ac:dyDescent="0.3">
      <c r="A489" s="27">
        <v>487</v>
      </c>
      <c r="B489" s="122">
        <v>30</v>
      </c>
      <c r="C489" s="94">
        <v>30</v>
      </c>
      <c r="D489" s="246" t="s">
        <v>831</v>
      </c>
      <c r="E489" s="246" t="s">
        <v>829</v>
      </c>
      <c r="F489" s="193" t="s">
        <v>817</v>
      </c>
      <c r="G489" s="182" t="s">
        <v>818</v>
      </c>
      <c r="H489" s="193" t="s">
        <v>838</v>
      </c>
      <c r="I489" s="28">
        <v>46079</v>
      </c>
      <c r="J489" s="16">
        <v>17</v>
      </c>
      <c r="K489" s="16">
        <v>44</v>
      </c>
      <c r="L489" s="16">
        <v>271</v>
      </c>
      <c r="M489" s="247" t="str">
        <f t="shared" si="9"/>
        <v>17-44-271</v>
      </c>
      <c r="N489" s="17" t="str">
        <f>IFERROR(VLOOKUP(M489,'LISTA ITEMS (2)'!$E$2:$G$910,2,FALSE),"  ")</f>
        <v>SELLANTE QUIMICO BLANCO</v>
      </c>
      <c r="O489" s="30" t="str">
        <f>IFERROR(VLOOKUP(M489,'LISTA ITEMS (2)'!$E$2:$G$910,3,FALSE)," ")</f>
        <v>UND</v>
      </c>
      <c r="P489" s="176">
        <v>2</v>
      </c>
      <c r="Q489" s="181"/>
      <c r="R489" s="17"/>
      <c r="S489" s="156"/>
    </row>
    <row r="490" spans="1:19" ht="55.2" x14ac:dyDescent="0.3">
      <c r="A490" s="27">
        <v>488</v>
      </c>
      <c r="B490" s="122">
        <v>30</v>
      </c>
      <c r="C490" s="94">
        <v>30</v>
      </c>
      <c r="D490" s="246" t="s">
        <v>831</v>
      </c>
      <c r="E490" s="246" t="s">
        <v>829</v>
      </c>
      <c r="F490" s="193" t="s">
        <v>817</v>
      </c>
      <c r="G490" s="182" t="s">
        <v>818</v>
      </c>
      <c r="H490" s="193" t="s">
        <v>838</v>
      </c>
      <c r="I490" s="28">
        <v>46079</v>
      </c>
      <c r="J490" s="16">
        <v>17</v>
      </c>
      <c r="K490" s="16">
        <v>44</v>
      </c>
      <c r="L490" s="16">
        <v>272</v>
      </c>
      <c r="M490" s="247" t="str">
        <f t="shared" si="9"/>
        <v>17-44-272</v>
      </c>
      <c r="N490" s="17" t="str">
        <f>IFERROR(VLOOKUP(M490,'LISTA ITEMS (2)'!$E$2:$G$910,2,FALSE),"  ")</f>
        <v>SELLANTE QUIMICO GRIS</v>
      </c>
      <c r="O490" s="30" t="str">
        <f>IFERROR(VLOOKUP(M490,'LISTA ITEMS (2)'!$E$2:$G$910,3,FALSE)," ")</f>
        <v>UND</v>
      </c>
      <c r="P490" s="176">
        <v>2</v>
      </c>
      <c r="Q490" s="181"/>
      <c r="R490" s="17"/>
      <c r="S490" s="156"/>
    </row>
    <row r="491" spans="1:19" ht="55.2" x14ac:dyDescent="0.3">
      <c r="A491" s="27">
        <v>489</v>
      </c>
      <c r="B491" s="122">
        <v>30</v>
      </c>
      <c r="C491" s="94">
        <v>30</v>
      </c>
      <c r="D491" s="246" t="s">
        <v>831</v>
      </c>
      <c r="E491" s="246" t="s">
        <v>829</v>
      </c>
      <c r="F491" s="193" t="s">
        <v>817</v>
      </c>
      <c r="G491" s="182" t="s">
        <v>818</v>
      </c>
      <c r="H491" s="193" t="s">
        <v>838</v>
      </c>
      <c r="I491" s="28">
        <v>46079</v>
      </c>
      <c r="J491" s="16">
        <v>13</v>
      </c>
      <c r="K491" s="16">
        <v>21</v>
      </c>
      <c r="L491" s="16">
        <v>181</v>
      </c>
      <c r="M491" s="247" t="str">
        <f t="shared" si="9"/>
        <v>13-21-181</v>
      </c>
      <c r="N491" s="17" t="str">
        <f>IFERROR(VLOOKUP(M491,'LISTA ITEMS (2)'!$E$2:$G$910,2,FALSE),"  ")</f>
        <v>TACO P/BRIDA NEGRO</v>
      </c>
      <c r="O491" s="30" t="str">
        <f>IFERROR(VLOOKUP(M491,'LISTA ITEMS (2)'!$E$2:$G$910,3,FALSE)," ")</f>
        <v>UND</v>
      </c>
      <c r="P491" s="176">
        <v>100</v>
      </c>
      <c r="Q491" s="181"/>
      <c r="R491" s="17"/>
      <c r="S491" s="156">
        <v>50</v>
      </c>
    </row>
    <row r="492" spans="1:19" ht="55.2" x14ac:dyDescent="0.3">
      <c r="A492" s="27">
        <v>490</v>
      </c>
      <c r="B492" s="122">
        <v>30</v>
      </c>
      <c r="C492" s="94">
        <v>30</v>
      </c>
      <c r="D492" s="246" t="s">
        <v>831</v>
      </c>
      <c r="E492" s="246" t="s">
        <v>829</v>
      </c>
      <c r="F492" s="193" t="s">
        <v>817</v>
      </c>
      <c r="G492" s="182" t="s">
        <v>818</v>
      </c>
      <c r="H492" s="193" t="s">
        <v>838</v>
      </c>
      <c r="I492" s="28">
        <v>46079</v>
      </c>
      <c r="J492" s="16">
        <v>13</v>
      </c>
      <c r="K492" s="16">
        <v>22</v>
      </c>
      <c r="L492" s="16">
        <v>184</v>
      </c>
      <c r="M492" s="247" t="str">
        <f t="shared" si="9"/>
        <v>13-22-184</v>
      </c>
      <c r="N492" s="17" t="str">
        <f>IFERROR(VLOOKUP(M492,'LISTA ITEMS (2)'!$E$2:$G$910,2,FALSE),"  ")</f>
        <v>BRIDA P/EXTERIOR NEGRA</v>
      </c>
      <c r="O492" s="30" t="str">
        <f>IFERROR(VLOOKUP(M492,'LISTA ITEMS (2)'!$E$2:$G$910,3,FALSE)," ")</f>
        <v>UND</v>
      </c>
      <c r="P492" s="176">
        <v>100</v>
      </c>
      <c r="Q492" s="181"/>
      <c r="R492" s="17"/>
      <c r="S492" s="156">
        <v>50</v>
      </c>
    </row>
    <row r="493" spans="1:19" ht="55.2" x14ac:dyDescent="0.3">
      <c r="A493" s="27">
        <v>491</v>
      </c>
      <c r="B493" s="122">
        <v>30</v>
      </c>
      <c r="C493" s="94">
        <v>30</v>
      </c>
      <c r="D493" s="246" t="s">
        <v>831</v>
      </c>
      <c r="E493" s="246" t="s">
        <v>829</v>
      </c>
      <c r="F493" s="193" t="s">
        <v>817</v>
      </c>
      <c r="G493" s="182" t="s">
        <v>818</v>
      </c>
      <c r="H493" s="193" t="s">
        <v>838</v>
      </c>
      <c r="I493" s="28">
        <v>46079</v>
      </c>
      <c r="J493" s="16">
        <v>6</v>
      </c>
      <c r="K493" s="16">
        <v>23</v>
      </c>
      <c r="L493" s="16">
        <v>192</v>
      </c>
      <c r="M493" s="247" t="str">
        <f t="shared" si="9"/>
        <v>6-23-192</v>
      </c>
      <c r="N493" s="17" t="str">
        <f>IFERROR(VLOOKUP(M493,'LISTA ITEMS (2)'!$E$2:$G$910,2,FALSE),"  ")</f>
        <v xml:space="preserve">CINTA ACERO PERFORADA PARA MONTAJE </v>
      </c>
      <c r="O493" s="30" t="str">
        <f>IFERROR(VLOOKUP(M493,'LISTA ITEMS (2)'!$E$2:$G$910,3,FALSE)," ")</f>
        <v>UND</v>
      </c>
      <c r="P493" s="176">
        <v>1</v>
      </c>
      <c r="Q493" s="181"/>
      <c r="R493" s="17"/>
      <c r="S493" s="156"/>
    </row>
    <row r="494" spans="1:19" ht="55.2" x14ac:dyDescent="0.3">
      <c r="A494" s="27">
        <v>492</v>
      </c>
      <c r="B494" s="122">
        <v>30</v>
      </c>
      <c r="C494" s="94">
        <v>30</v>
      </c>
      <c r="D494" s="246" t="s">
        <v>831</v>
      </c>
      <c r="E494" s="246" t="s">
        <v>829</v>
      </c>
      <c r="F494" s="193" t="s">
        <v>817</v>
      </c>
      <c r="G494" s="182" t="s">
        <v>818</v>
      </c>
      <c r="H494" s="193" t="s">
        <v>838</v>
      </c>
      <c r="I494" s="28">
        <v>46079</v>
      </c>
      <c r="J494" s="16">
        <v>16</v>
      </c>
      <c r="K494" s="16">
        <v>61</v>
      </c>
      <c r="L494" s="16">
        <v>331</v>
      </c>
      <c r="M494" s="247" t="str">
        <f t="shared" si="9"/>
        <v>16-61-331</v>
      </c>
      <c r="N494" s="17" t="str">
        <f>IFERROR(VLOOKUP(M494,'LISTA ITEMS (2)'!$E$2:$G$910,2,FALSE),"  ")</f>
        <v>CONECTOR FOTOVOLTAICO HEMBRA M4 NEGRO</v>
      </c>
      <c r="O494" s="30" t="str">
        <f>IFERROR(VLOOKUP(M494,'LISTA ITEMS (2)'!$E$2:$G$910,3,FALSE)," ")</f>
        <v>UND</v>
      </c>
      <c r="P494" s="176">
        <v>7</v>
      </c>
      <c r="Q494" s="181"/>
      <c r="R494" s="17"/>
      <c r="S494" s="156">
        <v>2</v>
      </c>
    </row>
    <row r="495" spans="1:19" ht="55.2" x14ac:dyDescent="0.3">
      <c r="A495" s="27">
        <v>493</v>
      </c>
      <c r="B495" s="122">
        <v>30</v>
      </c>
      <c r="C495" s="94">
        <v>30</v>
      </c>
      <c r="D495" s="246" t="s">
        <v>831</v>
      </c>
      <c r="E495" s="246" t="s">
        <v>829</v>
      </c>
      <c r="F495" s="193" t="s">
        <v>817</v>
      </c>
      <c r="G495" s="182" t="s">
        <v>818</v>
      </c>
      <c r="H495" s="193" t="s">
        <v>838</v>
      </c>
      <c r="I495" s="28">
        <v>46079</v>
      </c>
      <c r="J495" s="16">
        <v>16</v>
      </c>
      <c r="K495" s="16">
        <v>61</v>
      </c>
      <c r="L495" s="16">
        <v>332</v>
      </c>
      <c r="M495" s="247" t="str">
        <f t="shared" si="9"/>
        <v>16-61-332</v>
      </c>
      <c r="N495" s="17" t="str">
        <f>IFERROR(VLOOKUP(M495,'LISTA ITEMS (2)'!$E$2:$G$910,2,FALSE),"  ")</f>
        <v>CONECTOR FOTOVOLTAICO MACHO M4 NEGRO</v>
      </c>
      <c r="O495" s="30" t="str">
        <f>IFERROR(VLOOKUP(M495,'LISTA ITEMS (2)'!$E$2:$G$910,3,FALSE)," ")</f>
        <v>UND</v>
      </c>
      <c r="P495" s="176">
        <v>7</v>
      </c>
      <c r="Q495" s="181"/>
      <c r="R495" s="17"/>
      <c r="S495" s="156">
        <v>2</v>
      </c>
    </row>
    <row r="496" spans="1:19" ht="55.2" x14ac:dyDescent="0.3">
      <c r="A496" s="27">
        <v>494</v>
      </c>
      <c r="B496" s="122">
        <v>30</v>
      </c>
      <c r="C496" s="94">
        <v>30</v>
      </c>
      <c r="D496" s="246" t="s">
        <v>831</v>
      </c>
      <c r="E496" s="246" t="s">
        <v>829</v>
      </c>
      <c r="F496" s="193" t="s">
        <v>817</v>
      </c>
      <c r="G496" s="182" t="s">
        <v>818</v>
      </c>
      <c r="H496" s="193" t="s">
        <v>838</v>
      </c>
      <c r="I496" s="28">
        <v>46079</v>
      </c>
      <c r="J496" s="16">
        <v>14</v>
      </c>
      <c r="K496" s="16">
        <v>24</v>
      </c>
      <c r="L496" s="16">
        <v>193</v>
      </c>
      <c r="M496" s="247" t="str">
        <f t="shared" si="9"/>
        <v>14-24-193</v>
      </c>
      <c r="N496" s="17" t="str">
        <f>IFERROR(VLOOKUP(M496,'LISTA ITEMS (2)'!$E$2:$G$910,2,FALSE),"  ")</f>
        <v>DISCO CORTE ACERO/INOX A1 2EN1</v>
      </c>
      <c r="O496" s="30" t="str">
        <f>IFERROR(VLOOKUP(M496,'LISTA ITEMS (2)'!$E$2:$G$910,3,FALSE)," ")</f>
        <v>UND</v>
      </c>
      <c r="P496" s="176">
        <v>2</v>
      </c>
      <c r="Q496" s="181"/>
      <c r="R496" s="17"/>
      <c r="S496" s="156"/>
    </row>
    <row r="497" spans="1:19" ht="55.2" x14ac:dyDescent="0.3">
      <c r="A497" s="27">
        <v>495</v>
      </c>
      <c r="B497" s="122">
        <v>30</v>
      </c>
      <c r="C497" s="94">
        <v>30</v>
      </c>
      <c r="D497" s="246" t="s">
        <v>831</v>
      </c>
      <c r="E497" s="246" t="s">
        <v>829</v>
      </c>
      <c r="F497" s="193" t="s">
        <v>817</v>
      </c>
      <c r="G497" s="182" t="s">
        <v>818</v>
      </c>
      <c r="H497" s="193" t="s">
        <v>838</v>
      </c>
      <c r="I497" s="28">
        <v>46079</v>
      </c>
      <c r="J497" s="16">
        <v>10</v>
      </c>
      <c r="K497" s="16">
        <v>42</v>
      </c>
      <c r="L497" s="16">
        <v>268</v>
      </c>
      <c r="M497" s="247" t="str">
        <f t="shared" si="9"/>
        <v>10-42-268</v>
      </c>
      <c r="N497" s="17" t="str">
        <f>IFERROR(VLOOKUP(M497,'LISTA ITEMS (2)'!$E$2:$G$910,2,FALSE),"  ")</f>
        <v>PATA ALUMINIO PARA ESTRUCTURA PLACA SOLAR ANGULO 30º</v>
      </c>
      <c r="O497" s="30" t="str">
        <f>IFERROR(VLOOKUP(M497,'LISTA ITEMS (2)'!$E$2:$G$910,3,FALSE)," ")</f>
        <v>UND</v>
      </c>
      <c r="P497" s="176">
        <v>3</v>
      </c>
      <c r="Q497" s="181"/>
      <c r="R497" s="17"/>
      <c r="S497" s="156"/>
    </row>
    <row r="498" spans="1:19" ht="55.2" x14ac:dyDescent="0.3">
      <c r="A498" s="27">
        <v>496</v>
      </c>
      <c r="B498" s="122">
        <v>30</v>
      </c>
      <c r="C498" s="94">
        <v>30</v>
      </c>
      <c r="D498" s="246" t="s">
        <v>831</v>
      </c>
      <c r="E498" s="246" t="s">
        <v>829</v>
      </c>
      <c r="F498" s="193" t="s">
        <v>817</v>
      </c>
      <c r="G498" s="182" t="s">
        <v>818</v>
      </c>
      <c r="H498" s="193" t="s">
        <v>838</v>
      </c>
      <c r="I498" s="28">
        <v>46079</v>
      </c>
      <c r="J498" s="16">
        <v>3</v>
      </c>
      <c r="K498" s="16">
        <v>31</v>
      </c>
      <c r="L498" s="16">
        <v>277</v>
      </c>
      <c r="M498" s="247" t="str">
        <f t="shared" ref="M498:M561" si="10">CONCATENATE(J498,"-",K498,"-",L498)</f>
        <v>3-31-277</v>
      </c>
      <c r="N498" s="17" t="str">
        <f>IFERROR(VLOOKUP(M498,'LISTA ITEMS (2)'!$E$2:$G$910,2,FALSE),"  ")</f>
        <v>CABLE Nª 6 P/PLACA SOLAR NEGRO</v>
      </c>
      <c r="O498" s="30" t="str">
        <f>IFERROR(VLOOKUP(M498,'LISTA ITEMS (2)'!$E$2:$G$910,3,FALSE)," ")</f>
        <v>MT</v>
      </c>
      <c r="P498" s="176">
        <v>20</v>
      </c>
      <c r="Q498" s="181"/>
      <c r="R498" s="17"/>
      <c r="S498" s="156"/>
    </row>
    <row r="499" spans="1:19" ht="55.2" x14ac:dyDescent="0.3">
      <c r="A499" s="27">
        <v>497</v>
      </c>
      <c r="B499" s="122">
        <v>30</v>
      </c>
      <c r="C499" s="94">
        <v>30</v>
      </c>
      <c r="D499" s="246" t="s">
        <v>831</v>
      </c>
      <c r="E499" s="246" t="s">
        <v>829</v>
      </c>
      <c r="F499" s="193" t="s">
        <v>817</v>
      </c>
      <c r="G499" s="182" t="s">
        <v>818</v>
      </c>
      <c r="H499" s="193" t="s">
        <v>838</v>
      </c>
      <c r="I499" s="28">
        <v>46079</v>
      </c>
      <c r="J499" s="16">
        <v>3</v>
      </c>
      <c r="K499" s="16">
        <v>31</v>
      </c>
      <c r="L499" s="16">
        <v>278</v>
      </c>
      <c r="M499" s="247" t="str">
        <f t="shared" si="10"/>
        <v>3-31-278</v>
      </c>
      <c r="N499" s="17" t="str">
        <f>IFERROR(VLOOKUP(M499,'LISTA ITEMS (2)'!$E$2:$G$910,2,FALSE),"  ")</f>
        <v>CABLE Nª 6 P/PLACA SOLAR ROJO</v>
      </c>
      <c r="O499" s="30" t="str">
        <f>IFERROR(VLOOKUP(M499,'LISTA ITEMS (2)'!$E$2:$G$910,3,FALSE)," ")</f>
        <v>MT</v>
      </c>
      <c r="P499" s="176">
        <v>20</v>
      </c>
      <c r="Q499" s="181"/>
      <c r="R499" s="17"/>
      <c r="S499" s="156"/>
    </row>
    <row r="500" spans="1:19" ht="55.2" x14ac:dyDescent="0.3">
      <c r="A500" s="27">
        <v>498</v>
      </c>
      <c r="B500" s="122">
        <v>30</v>
      </c>
      <c r="C500" s="94">
        <v>30</v>
      </c>
      <c r="D500" s="246" t="s">
        <v>831</v>
      </c>
      <c r="E500" s="246" t="s">
        <v>829</v>
      </c>
      <c r="F500" s="193" t="s">
        <v>817</v>
      </c>
      <c r="G500" s="182" t="s">
        <v>818</v>
      </c>
      <c r="H500" s="193" t="s">
        <v>838</v>
      </c>
      <c r="I500" s="28">
        <v>46079</v>
      </c>
      <c r="J500" s="16">
        <v>9</v>
      </c>
      <c r="K500" s="16">
        <v>2</v>
      </c>
      <c r="L500" s="16">
        <v>291</v>
      </c>
      <c r="M500" s="247" t="str">
        <f t="shared" si="10"/>
        <v>9-2-291</v>
      </c>
      <c r="N500" s="17" t="str">
        <f>IFERROR(VLOOKUP(M500,'LISTA ITEMS (2)'!$E$2:$G$910,2,FALSE),"  ")</f>
        <v>TUBO ELECTRICO PVC 25mm - 3mt(AISCAN)</v>
      </c>
      <c r="O500" s="30" t="str">
        <f>IFERROR(VLOOKUP(M500,'LISTA ITEMS (2)'!$E$2:$G$910,3,FALSE)," ")</f>
        <v>UND</v>
      </c>
      <c r="P500" s="176">
        <v>5</v>
      </c>
      <c r="Q500" s="181"/>
      <c r="R500" s="17"/>
      <c r="S500" s="156"/>
    </row>
    <row r="501" spans="1:19" ht="55.2" x14ac:dyDescent="0.3">
      <c r="A501" s="27">
        <v>499</v>
      </c>
      <c r="B501" s="122">
        <v>30</v>
      </c>
      <c r="C501" s="94">
        <v>30</v>
      </c>
      <c r="D501" s="246" t="s">
        <v>831</v>
      </c>
      <c r="E501" s="246" t="s">
        <v>829</v>
      </c>
      <c r="F501" s="193" t="s">
        <v>817</v>
      </c>
      <c r="G501" s="182" t="s">
        <v>818</v>
      </c>
      <c r="H501" s="193" t="s">
        <v>838</v>
      </c>
      <c r="I501" s="28">
        <v>46079</v>
      </c>
      <c r="J501" s="16">
        <v>4</v>
      </c>
      <c r="K501" s="16">
        <v>15</v>
      </c>
      <c r="L501" s="16">
        <v>326</v>
      </c>
      <c r="M501" s="247" t="str">
        <f t="shared" si="10"/>
        <v>4-15-326</v>
      </c>
      <c r="N501" s="17" t="str">
        <f>IFERROR(VLOOKUP(M501,'LISTA ITEMS (2)'!$E$2:$G$910,2,FALSE),"  ")</f>
        <v>BARRA PERFORADA PARA REFUERZO 27x18x2MT GALV.</v>
      </c>
      <c r="O501" s="30" t="str">
        <f>IFERROR(VLOOKUP(M501,'LISTA ITEMS (2)'!$E$2:$G$910,3,FALSE)," ")</f>
        <v>UND</v>
      </c>
      <c r="P501" s="176">
        <v>24</v>
      </c>
      <c r="Q501" s="181"/>
      <c r="R501" s="17"/>
      <c r="S501" s="156">
        <v>6</v>
      </c>
    </row>
    <row r="502" spans="1:19" ht="55.2" x14ac:dyDescent="0.3">
      <c r="A502" s="27">
        <v>500</v>
      </c>
      <c r="B502" s="122">
        <v>30</v>
      </c>
      <c r="C502" s="94">
        <v>30</v>
      </c>
      <c r="D502" s="246" t="s">
        <v>831</v>
      </c>
      <c r="E502" s="246" t="s">
        <v>829</v>
      </c>
      <c r="F502" s="193" t="s">
        <v>817</v>
      </c>
      <c r="G502" s="182" t="s">
        <v>818</v>
      </c>
      <c r="H502" s="193" t="s">
        <v>838</v>
      </c>
      <c r="I502" s="28">
        <v>46079</v>
      </c>
      <c r="J502" s="16">
        <v>8</v>
      </c>
      <c r="K502" s="16">
        <v>64</v>
      </c>
      <c r="L502" s="16">
        <v>358</v>
      </c>
      <c r="M502" s="247" t="str">
        <f t="shared" si="10"/>
        <v>8-64-358</v>
      </c>
      <c r="N502" s="17" t="str">
        <f>IFERROR(VLOOKUP(M502,'LISTA ITEMS (2)'!$E$2:$G$910,2,FALSE),"  ")</f>
        <v>BARILLA ROSCADA M8 A/GALV X1000</v>
      </c>
      <c r="O502" s="30" t="str">
        <f>IFERROR(VLOOKUP(M502,'LISTA ITEMS (2)'!$E$2:$G$910,3,FALSE)," ")</f>
        <v>UND</v>
      </c>
      <c r="P502" s="176">
        <v>6</v>
      </c>
      <c r="Q502" s="181"/>
      <c r="R502" s="17"/>
      <c r="S502" s="156">
        <v>2</v>
      </c>
    </row>
    <row r="503" spans="1:19" ht="55.2" x14ac:dyDescent="0.3">
      <c r="A503" s="27">
        <v>501</v>
      </c>
      <c r="B503" s="122">
        <v>30</v>
      </c>
      <c r="C503" s="94">
        <v>30</v>
      </c>
      <c r="D503" s="246" t="s">
        <v>831</v>
      </c>
      <c r="E503" s="246" t="s">
        <v>829</v>
      </c>
      <c r="F503" s="193" t="s">
        <v>817</v>
      </c>
      <c r="G503" s="182" t="s">
        <v>818</v>
      </c>
      <c r="H503" s="193" t="s">
        <v>838</v>
      </c>
      <c r="I503" s="28">
        <v>46079</v>
      </c>
      <c r="J503" s="16">
        <v>9</v>
      </c>
      <c r="K503" s="16">
        <v>32</v>
      </c>
      <c r="L503" s="16">
        <v>224</v>
      </c>
      <c r="M503" s="247" t="str">
        <f t="shared" si="10"/>
        <v>9-32-224</v>
      </c>
      <c r="N503" s="17" t="str">
        <f>IFERROR(VLOOKUP(M503,'LISTA ITEMS (2)'!$E$2:$G$910,2,FALSE),"  ")</f>
        <v>CURVA PVC M-25 GRIS TIPO B</v>
      </c>
      <c r="O503" s="30" t="str">
        <f>IFERROR(VLOOKUP(M503,'LISTA ITEMS (2)'!$E$2:$G$910,3,FALSE)," ")</f>
        <v>UND</v>
      </c>
      <c r="P503" s="176">
        <v>20</v>
      </c>
      <c r="Q503" s="181"/>
      <c r="R503" s="17"/>
      <c r="S503" s="156">
        <v>10</v>
      </c>
    </row>
    <row r="504" spans="1:19" ht="55.2" x14ac:dyDescent="0.3">
      <c r="A504" s="27">
        <v>502</v>
      </c>
      <c r="B504" s="122">
        <v>30</v>
      </c>
      <c r="C504" s="94">
        <v>30</v>
      </c>
      <c r="D504" s="246" t="s">
        <v>831</v>
      </c>
      <c r="E504" s="246" t="s">
        <v>829</v>
      </c>
      <c r="F504" s="193" t="s">
        <v>817</v>
      </c>
      <c r="G504" s="182" t="s">
        <v>818</v>
      </c>
      <c r="H504" s="193" t="s">
        <v>838</v>
      </c>
      <c r="I504" s="28">
        <v>46079</v>
      </c>
      <c r="J504" s="16">
        <v>16</v>
      </c>
      <c r="K504" s="16">
        <v>48</v>
      </c>
      <c r="L504" s="16">
        <v>281</v>
      </c>
      <c r="M504" s="247" t="str">
        <f t="shared" si="10"/>
        <v>16-48-281</v>
      </c>
      <c r="N504" s="17" t="str">
        <f>IFERROR(VLOOKUP(M504,'LISTA ITEMS (2)'!$E$2:$G$910,2,FALSE),"  ")</f>
        <v>PORTA FUSIBLE SGF-32-DC (MAXGE)</v>
      </c>
      <c r="O504" s="30" t="str">
        <f>IFERROR(VLOOKUP(M504,'LISTA ITEMS (2)'!$E$2:$G$910,3,FALSE)," ")</f>
        <v>UND</v>
      </c>
      <c r="P504" s="176">
        <v>2</v>
      </c>
      <c r="Q504" s="181"/>
      <c r="R504" s="17"/>
      <c r="S504" s="156"/>
    </row>
    <row r="505" spans="1:19" ht="55.2" x14ac:dyDescent="0.3">
      <c r="A505" s="27">
        <v>503</v>
      </c>
      <c r="B505" s="122">
        <v>30</v>
      </c>
      <c r="C505" s="94">
        <v>30</v>
      </c>
      <c r="D505" s="246" t="s">
        <v>831</v>
      </c>
      <c r="E505" s="246" t="s">
        <v>829</v>
      </c>
      <c r="F505" s="193" t="s">
        <v>817</v>
      </c>
      <c r="G505" s="182" t="s">
        <v>818</v>
      </c>
      <c r="H505" s="193" t="s">
        <v>838</v>
      </c>
      <c r="I505" s="28">
        <v>46079</v>
      </c>
      <c r="J505" s="16">
        <v>16</v>
      </c>
      <c r="K505" s="16">
        <v>47</v>
      </c>
      <c r="L505" s="16">
        <v>318</v>
      </c>
      <c r="M505" s="247" t="str">
        <f t="shared" si="10"/>
        <v>16-47-318</v>
      </c>
      <c r="N505" s="17" t="str">
        <f>IFERROR(VLOOKUP(M505,'LISTA ITEMS (2)'!$E$2:$G$910,2,FALSE),"  ")</f>
        <v>DIFERENCIAL EPR2A040030 2P-40A-30mA (MAXGE)</v>
      </c>
      <c r="O505" s="30" t="str">
        <f>IFERROR(VLOOKUP(M505,'LISTA ITEMS (2)'!$E$2:$G$910,3,FALSE)," ")</f>
        <v>UND</v>
      </c>
      <c r="P505" s="176">
        <v>1</v>
      </c>
      <c r="Q505" s="181"/>
      <c r="R505" s="17"/>
      <c r="S505" s="156"/>
    </row>
    <row r="506" spans="1:19" ht="55.2" x14ac:dyDescent="0.3">
      <c r="A506" s="27">
        <v>504</v>
      </c>
      <c r="B506" s="122">
        <v>30</v>
      </c>
      <c r="C506" s="94">
        <v>30</v>
      </c>
      <c r="D506" s="246" t="s">
        <v>831</v>
      </c>
      <c r="E506" s="246" t="s">
        <v>829</v>
      </c>
      <c r="F506" s="193" t="s">
        <v>817</v>
      </c>
      <c r="G506" s="182" t="s">
        <v>818</v>
      </c>
      <c r="H506" s="193" t="s">
        <v>838</v>
      </c>
      <c r="I506" s="28">
        <v>46079</v>
      </c>
      <c r="J506" s="16">
        <v>16</v>
      </c>
      <c r="K506" s="16">
        <v>52</v>
      </c>
      <c r="L506" s="16">
        <v>319</v>
      </c>
      <c r="M506" s="247" t="str">
        <f t="shared" si="10"/>
        <v>16-52-319</v>
      </c>
      <c r="N506" s="17" t="str">
        <f>IFERROR(VLOOKUP(M506,'LISTA ITEMS (2)'!$E$2:$G$910,2,FALSE),"  ")</f>
        <v>TERMICO EPBE63M1NC25 1P+N C25 (MAXGE)</v>
      </c>
      <c r="O506" s="30" t="str">
        <f>IFERROR(VLOOKUP(M506,'LISTA ITEMS (2)'!$E$2:$G$910,3,FALSE)," ")</f>
        <v>UND</v>
      </c>
      <c r="P506" s="176">
        <v>1</v>
      </c>
      <c r="Q506" s="181"/>
      <c r="R506" s="17"/>
      <c r="S506" s="156"/>
    </row>
    <row r="507" spans="1:19" ht="55.2" x14ac:dyDescent="0.3">
      <c r="A507" s="27">
        <v>505</v>
      </c>
      <c r="B507" s="122">
        <v>30</v>
      </c>
      <c r="C507" s="94">
        <v>30</v>
      </c>
      <c r="D507" s="246" t="s">
        <v>831</v>
      </c>
      <c r="E507" s="246" t="s">
        <v>829</v>
      </c>
      <c r="F507" s="193" t="s">
        <v>817</v>
      </c>
      <c r="G507" s="182" t="s">
        <v>818</v>
      </c>
      <c r="H507" s="193" t="s">
        <v>838</v>
      </c>
      <c r="I507" s="28">
        <v>46079</v>
      </c>
      <c r="J507" s="16">
        <v>16</v>
      </c>
      <c r="K507" s="16">
        <v>51</v>
      </c>
      <c r="L507" s="16">
        <v>309</v>
      </c>
      <c r="M507" s="247" t="str">
        <f t="shared" si="10"/>
        <v>16-51-309</v>
      </c>
      <c r="N507" s="17" t="str">
        <f>IFERROR(VLOOKUP(M507,'LISTA ITEMS (2)'!$E$2:$G$910,2,FALSE),"  ")</f>
        <v>LIMITADOR MONOFASICO EPS1 C/2 - 275-40 (MAXGE)</v>
      </c>
      <c r="O507" s="30" t="str">
        <f>IFERROR(VLOOKUP(M507,'LISTA ITEMS (2)'!$E$2:$G$910,3,FALSE)," ")</f>
        <v>UND</v>
      </c>
      <c r="P507" s="176">
        <v>1</v>
      </c>
      <c r="Q507" s="181"/>
      <c r="R507" s="17"/>
      <c r="S507" s="156"/>
    </row>
    <row r="508" spans="1:19" ht="55.2" x14ac:dyDescent="0.3">
      <c r="A508" s="27">
        <v>506</v>
      </c>
      <c r="B508" s="122">
        <v>30</v>
      </c>
      <c r="C508" s="94">
        <v>30</v>
      </c>
      <c r="D508" s="246" t="s">
        <v>831</v>
      </c>
      <c r="E508" s="246" t="s">
        <v>829</v>
      </c>
      <c r="F508" s="193" t="s">
        <v>817</v>
      </c>
      <c r="G508" s="182" t="s">
        <v>818</v>
      </c>
      <c r="H508" s="193" t="s">
        <v>838</v>
      </c>
      <c r="I508" s="28">
        <v>46079</v>
      </c>
      <c r="J508" s="16">
        <v>16</v>
      </c>
      <c r="K508" s="16">
        <v>45</v>
      </c>
      <c r="L508" s="16">
        <v>275</v>
      </c>
      <c r="M508" s="247" t="str">
        <f t="shared" si="10"/>
        <v>16-45-275</v>
      </c>
      <c r="N508" s="17" t="str">
        <f>IFERROR(VLOOKUP(M508,'LISTA ITEMS (2)'!$E$2:$G$910,2,FALSE),"  ")</f>
        <v>CAJA DISTRIBUCION INTERIOR 18 ELEM. (SOLERA)</v>
      </c>
      <c r="O508" s="30" t="str">
        <f>IFERROR(VLOOKUP(M508,'LISTA ITEMS (2)'!$E$2:$G$910,3,FALSE)," ")</f>
        <v>UND</v>
      </c>
      <c r="P508" s="176">
        <v>1</v>
      </c>
      <c r="Q508" s="181"/>
      <c r="R508" s="17"/>
      <c r="S508" s="156"/>
    </row>
    <row r="509" spans="1:19" ht="55.2" x14ac:dyDescent="0.3">
      <c r="A509" s="27">
        <v>507</v>
      </c>
      <c r="B509" s="122">
        <v>30</v>
      </c>
      <c r="C509" s="94">
        <v>30</v>
      </c>
      <c r="D509" s="246" t="s">
        <v>831</v>
      </c>
      <c r="E509" s="246" t="s">
        <v>829</v>
      </c>
      <c r="F509" s="193" t="s">
        <v>817</v>
      </c>
      <c r="G509" s="182" t="s">
        <v>818</v>
      </c>
      <c r="H509" s="193" t="s">
        <v>838</v>
      </c>
      <c r="I509" s="28">
        <v>46079</v>
      </c>
      <c r="J509" s="16">
        <v>16</v>
      </c>
      <c r="K509" s="16">
        <v>51</v>
      </c>
      <c r="L509" s="16">
        <v>284</v>
      </c>
      <c r="M509" s="247" t="str">
        <f t="shared" si="10"/>
        <v>16-51-284</v>
      </c>
      <c r="N509" s="17" t="str">
        <f>IFERROR(VLOOKUP(M509,'LISTA ITEMS (2)'!$E$2:$G$910,2,FALSE),"  ")</f>
        <v>LIMITADOR MONOFASICO 3SU1 15/30kA-275V (SASSIN)</v>
      </c>
      <c r="O509" s="30" t="str">
        <f>IFERROR(VLOOKUP(M509,'LISTA ITEMS (2)'!$E$2:$G$910,3,FALSE)," ")</f>
        <v>UND</v>
      </c>
      <c r="P509" s="176">
        <v>1</v>
      </c>
      <c r="Q509" s="181"/>
      <c r="R509" s="17"/>
      <c r="S509" s="156"/>
    </row>
    <row r="510" spans="1:19" ht="48" x14ac:dyDescent="0.3">
      <c r="A510" s="27">
        <v>508</v>
      </c>
      <c r="B510" s="197">
        <v>31</v>
      </c>
      <c r="C510" s="198">
        <v>31</v>
      </c>
      <c r="D510" s="223" t="s">
        <v>831</v>
      </c>
      <c r="E510" s="223" t="s">
        <v>829</v>
      </c>
      <c r="F510" s="199" t="s">
        <v>820</v>
      </c>
      <c r="G510" s="199" t="s">
        <v>821</v>
      </c>
      <c r="H510" s="199" t="s">
        <v>819</v>
      </c>
      <c r="I510" s="200">
        <v>46080</v>
      </c>
      <c r="J510" s="75">
        <v>16</v>
      </c>
      <c r="K510" s="75">
        <v>48</v>
      </c>
      <c r="L510" s="75">
        <v>281</v>
      </c>
      <c r="M510" s="39" t="str">
        <f t="shared" si="10"/>
        <v>16-48-281</v>
      </c>
      <c r="N510" s="201" t="str">
        <f>IFERROR(VLOOKUP(M510,'LISTA ITEMS (2)'!$E$2:$G$910,2,FALSE),"  ")</f>
        <v>PORTA FUSIBLE SGF-32-DC (MAXGE)</v>
      </c>
      <c r="O510" s="202" t="str">
        <f>IFERROR(VLOOKUP(M510,'LISTA ITEMS (2)'!$E$2:$G$910,3,FALSE)," ")</f>
        <v>UND</v>
      </c>
      <c r="P510" s="203">
        <v>2</v>
      </c>
      <c r="Q510" s="259"/>
      <c r="R510" s="201"/>
      <c r="S510" s="156"/>
    </row>
    <row r="511" spans="1:19" ht="48" x14ac:dyDescent="0.3">
      <c r="A511" s="27">
        <v>509</v>
      </c>
      <c r="B511" s="197">
        <v>31</v>
      </c>
      <c r="C511" s="198">
        <v>31</v>
      </c>
      <c r="D511" s="223" t="s">
        <v>831</v>
      </c>
      <c r="E511" s="223" t="s">
        <v>829</v>
      </c>
      <c r="F511" s="199" t="s">
        <v>820</v>
      </c>
      <c r="G511" s="199" t="s">
        <v>821</v>
      </c>
      <c r="H511" s="199" t="s">
        <v>819</v>
      </c>
      <c r="I511" s="200">
        <v>46080</v>
      </c>
      <c r="J511" s="75">
        <v>16</v>
      </c>
      <c r="K511" s="75">
        <v>50</v>
      </c>
      <c r="L511" s="75">
        <v>283</v>
      </c>
      <c r="M511" s="39" t="str">
        <f t="shared" si="10"/>
        <v>16-50-283</v>
      </c>
      <c r="N511" s="201" t="str">
        <f>IFERROR(VLOOKUP(M511,'LISTA ITEMS (2)'!$E$2:$G$910,2,FALSE),"  ")</f>
        <v>FUSIBLE 32A-1000VDC (SASSIN)</v>
      </c>
      <c r="O511" s="202" t="str">
        <f>IFERROR(VLOOKUP(M511,'LISTA ITEMS (2)'!$E$2:$G$910,3,FALSE)," ")</f>
        <v>UND</v>
      </c>
      <c r="P511" s="203">
        <v>2</v>
      </c>
      <c r="Q511" s="259"/>
      <c r="R511" s="201"/>
      <c r="S511" s="156"/>
    </row>
    <row r="512" spans="1:19" ht="48" x14ac:dyDescent="0.3">
      <c r="A512" s="27">
        <v>510</v>
      </c>
      <c r="B512" s="197">
        <v>31</v>
      </c>
      <c r="C512" s="198">
        <v>31</v>
      </c>
      <c r="D512" s="223" t="s">
        <v>831</v>
      </c>
      <c r="E512" s="223" t="s">
        <v>829</v>
      </c>
      <c r="F512" s="199" t="s">
        <v>820</v>
      </c>
      <c r="G512" s="199" t="s">
        <v>821</v>
      </c>
      <c r="H512" s="199" t="s">
        <v>819</v>
      </c>
      <c r="I512" s="200">
        <v>46080</v>
      </c>
      <c r="J512" s="75">
        <v>10</v>
      </c>
      <c r="K512" s="75">
        <v>37</v>
      </c>
      <c r="L512" s="75">
        <v>232</v>
      </c>
      <c r="M512" s="39" t="str">
        <f t="shared" si="10"/>
        <v>10-37-232</v>
      </c>
      <c r="N512" s="201" t="str">
        <f>IFERROR(VLOOKUP(M512,'LISTA ITEMS (2)'!$E$2:$G$910,2,FALSE),"  ")</f>
        <v>SOPORTE CENTRAL NEGRO</v>
      </c>
      <c r="O512" s="202" t="str">
        <f>IFERROR(VLOOKUP(M512,'LISTA ITEMS (2)'!$E$2:$G$910,3,FALSE)," ")</f>
        <v>UND</v>
      </c>
      <c r="P512" s="203">
        <v>50</v>
      </c>
      <c r="Q512" s="259"/>
      <c r="R512" s="201"/>
      <c r="S512" s="156">
        <v>25</v>
      </c>
    </row>
    <row r="513" spans="1:19" ht="48" x14ac:dyDescent="0.3">
      <c r="A513" s="27">
        <v>511</v>
      </c>
      <c r="B513" s="197">
        <v>31</v>
      </c>
      <c r="C513" s="198">
        <v>31</v>
      </c>
      <c r="D513" s="223" t="s">
        <v>831</v>
      </c>
      <c r="E513" s="223" t="s">
        <v>829</v>
      </c>
      <c r="F513" s="199" t="s">
        <v>820</v>
      </c>
      <c r="G513" s="199" t="s">
        <v>821</v>
      </c>
      <c r="H513" s="199" t="s">
        <v>819</v>
      </c>
      <c r="I513" s="200">
        <v>46080</v>
      </c>
      <c r="J513" s="75">
        <v>10</v>
      </c>
      <c r="K513" s="75">
        <v>37</v>
      </c>
      <c r="L513" s="75">
        <v>315</v>
      </c>
      <c r="M513" s="39" t="str">
        <f t="shared" si="10"/>
        <v>10-37-315</v>
      </c>
      <c r="N513" s="201" t="str">
        <f>IFERROR(VLOOKUP(M513,'LISTA ITEMS (2)'!$E$2:$G$910,2,FALSE),"  ")</f>
        <v>SOPORTE FINAL NEGRO</v>
      </c>
      <c r="O513" s="202" t="str">
        <f>IFERROR(VLOOKUP(M513,'LISTA ITEMS (2)'!$E$2:$G$910,3,FALSE)," ")</f>
        <v>UND</v>
      </c>
      <c r="P513" s="203">
        <v>40</v>
      </c>
      <c r="Q513" s="259"/>
      <c r="R513" s="201"/>
      <c r="S513" s="156">
        <v>20</v>
      </c>
    </row>
    <row r="514" spans="1:19" ht="48" x14ac:dyDescent="0.3">
      <c r="A514" s="27">
        <v>512</v>
      </c>
      <c r="B514" s="197">
        <v>31</v>
      </c>
      <c r="C514" s="198">
        <v>31</v>
      </c>
      <c r="D514" s="223" t="s">
        <v>831</v>
      </c>
      <c r="E514" s="223" t="s">
        <v>829</v>
      </c>
      <c r="F514" s="199" t="s">
        <v>820</v>
      </c>
      <c r="G514" s="199" t="s">
        <v>821</v>
      </c>
      <c r="H514" s="199" t="s">
        <v>819</v>
      </c>
      <c r="I514" s="200">
        <v>46080</v>
      </c>
      <c r="J514" s="75">
        <v>10</v>
      </c>
      <c r="K514" s="75">
        <v>43</v>
      </c>
      <c r="L514" s="75">
        <v>270</v>
      </c>
      <c r="M514" s="39" t="str">
        <f t="shared" si="10"/>
        <v>10-43-270</v>
      </c>
      <c r="N514" s="201" t="str">
        <f>IFERROR(VLOOKUP(M514,'LISTA ITEMS (2)'!$E$2:$G$910,2,FALSE),"  ")</f>
        <v>EMPALME ALUMINIO P/BARRA</v>
      </c>
      <c r="O514" s="202" t="str">
        <f>IFERROR(VLOOKUP(M514,'LISTA ITEMS (2)'!$E$2:$G$910,3,FALSE)," ")</f>
        <v>UND</v>
      </c>
      <c r="P514" s="203">
        <v>10</v>
      </c>
      <c r="Q514" s="259"/>
      <c r="R514" s="201"/>
      <c r="S514" s="156">
        <v>6</v>
      </c>
    </row>
    <row r="515" spans="1:19" ht="48" x14ac:dyDescent="0.3">
      <c r="A515" s="27">
        <v>513</v>
      </c>
      <c r="B515" s="197">
        <v>31</v>
      </c>
      <c r="C515" s="198">
        <v>31</v>
      </c>
      <c r="D515" s="223" t="s">
        <v>831</v>
      </c>
      <c r="E515" s="223" t="s">
        <v>829</v>
      </c>
      <c r="F515" s="199" t="s">
        <v>820</v>
      </c>
      <c r="G515" s="199" t="s">
        <v>821</v>
      </c>
      <c r="H515" s="199" t="s">
        <v>819</v>
      </c>
      <c r="I515" s="200">
        <v>46080</v>
      </c>
      <c r="J515" s="75">
        <v>16</v>
      </c>
      <c r="K515" s="75">
        <v>45</v>
      </c>
      <c r="L515" s="75">
        <v>294</v>
      </c>
      <c r="M515" s="39" t="str">
        <f t="shared" si="10"/>
        <v>16-45-294</v>
      </c>
      <c r="N515" s="201" t="str">
        <f>IFERROR(VLOOKUP(M515,'LISTA ITEMS (2)'!$E$2:$G$910,2,FALSE),"  ")</f>
        <v>CAJA DE ESTANCA 133X180X80 EV161 (IDE)</v>
      </c>
      <c r="O515" s="202" t="str">
        <f>IFERROR(VLOOKUP(M515,'LISTA ITEMS (2)'!$E$2:$G$910,3,FALSE)," ")</f>
        <v>UND</v>
      </c>
      <c r="P515" s="203">
        <v>1</v>
      </c>
      <c r="Q515" s="259"/>
      <c r="R515" s="201"/>
      <c r="S515" s="156"/>
    </row>
    <row r="516" spans="1:19" ht="48" x14ac:dyDescent="0.3">
      <c r="A516" s="27">
        <v>514</v>
      </c>
      <c r="B516" s="197">
        <v>31</v>
      </c>
      <c r="C516" s="198">
        <v>31</v>
      </c>
      <c r="D516" s="223" t="s">
        <v>831</v>
      </c>
      <c r="E516" s="223" t="s">
        <v>829</v>
      </c>
      <c r="F516" s="199" t="s">
        <v>820</v>
      </c>
      <c r="G516" s="199" t="s">
        <v>821</v>
      </c>
      <c r="H516" s="199" t="s">
        <v>819</v>
      </c>
      <c r="I516" s="200">
        <v>46080</v>
      </c>
      <c r="J516" s="75">
        <v>17</v>
      </c>
      <c r="K516" s="75">
        <v>44</v>
      </c>
      <c r="L516" s="75">
        <v>271</v>
      </c>
      <c r="M516" s="39" t="str">
        <f t="shared" si="10"/>
        <v>17-44-271</v>
      </c>
      <c r="N516" s="201" t="str">
        <f>IFERROR(VLOOKUP(M516,'LISTA ITEMS (2)'!$E$2:$G$910,2,FALSE),"  ")</f>
        <v>SELLANTE QUIMICO BLANCO</v>
      </c>
      <c r="O516" s="202" t="str">
        <f>IFERROR(VLOOKUP(M516,'LISTA ITEMS (2)'!$E$2:$G$910,3,FALSE)," ")</f>
        <v>UND</v>
      </c>
      <c r="P516" s="203">
        <v>1</v>
      </c>
      <c r="Q516" s="259"/>
      <c r="R516" s="201"/>
      <c r="S516" s="156"/>
    </row>
    <row r="517" spans="1:19" ht="48" x14ac:dyDescent="0.3">
      <c r="A517" s="27">
        <v>515</v>
      </c>
      <c r="B517" s="197">
        <v>31</v>
      </c>
      <c r="C517" s="198">
        <v>31</v>
      </c>
      <c r="D517" s="223" t="s">
        <v>831</v>
      </c>
      <c r="E517" s="223" t="s">
        <v>829</v>
      </c>
      <c r="F517" s="199" t="s">
        <v>820</v>
      </c>
      <c r="G517" s="199" t="s">
        <v>821</v>
      </c>
      <c r="H517" s="199" t="s">
        <v>819</v>
      </c>
      <c r="I517" s="200">
        <v>46080</v>
      </c>
      <c r="J517" s="75">
        <v>17</v>
      </c>
      <c r="K517" s="75">
        <v>44</v>
      </c>
      <c r="L517" s="75">
        <v>272</v>
      </c>
      <c r="M517" s="39" t="str">
        <f t="shared" si="10"/>
        <v>17-44-272</v>
      </c>
      <c r="N517" s="201" t="str">
        <f>IFERROR(VLOOKUP(M517,'LISTA ITEMS (2)'!$E$2:$G$910,2,FALSE),"  ")</f>
        <v>SELLANTE QUIMICO GRIS</v>
      </c>
      <c r="O517" s="202" t="str">
        <f>IFERROR(VLOOKUP(M517,'LISTA ITEMS (2)'!$E$2:$G$910,3,FALSE)," ")</f>
        <v>UND</v>
      </c>
      <c r="P517" s="203">
        <v>1</v>
      </c>
      <c r="Q517" s="259"/>
      <c r="R517" s="201"/>
      <c r="S517" s="156"/>
    </row>
    <row r="518" spans="1:19" ht="48" x14ac:dyDescent="0.3">
      <c r="A518" s="27">
        <v>516</v>
      </c>
      <c r="B518" s="197">
        <v>31</v>
      </c>
      <c r="C518" s="198">
        <v>31</v>
      </c>
      <c r="D518" s="223" t="s">
        <v>831</v>
      </c>
      <c r="E518" s="223" t="s">
        <v>829</v>
      </c>
      <c r="F518" s="199" t="s">
        <v>820</v>
      </c>
      <c r="G518" s="199" t="s">
        <v>821</v>
      </c>
      <c r="H518" s="199" t="s">
        <v>819</v>
      </c>
      <c r="I518" s="200">
        <v>46080</v>
      </c>
      <c r="J518" s="75">
        <v>13</v>
      </c>
      <c r="K518" s="75">
        <v>22</v>
      </c>
      <c r="L518" s="75">
        <v>184</v>
      </c>
      <c r="M518" s="39" t="str">
        <f t="shared" si="10"/>
        <v>13-22-184</v>
      </c>
      <c r="N518" s="201" t="str">
        <f>IFERROR(VLOOKUP(M518,'LISTA ITEMS (2)'!$E$2:$G$910,2,FALSE),"  ")</f>
        <v>BRIDA P/EXTERIOR NEGRA</v>
      </c>
      <c r="O518" s="202" t="str">
        <f>IFERROR(VLOOKUP(M518,'LISTA ITEMS (2)'!$E$2:$G$910,3,FALSE)," ")</f>
        <v>UND</v>
      </c>
      <c r="P518" s="203">
        <v>200</v>
      </c>
      <c r="Q518" s="259"/>
      <c r="R518" s="201"/>
      <c r="S518" s="156">
        <v>100</v>
      </c>
    </row>
    <row r="519" spans="1:19" ht="48" x14ac:dyDescent="0.3">
      <c r="A519" s="27">
        <v>517</v>
      </c>
      <c r="B519" s="197">
        <v>31</v>
      </c>
      <c r="C519" s="198">
        <v>31</v>
      </c>
      <c r="D519" s="223" t="s">
        <v>831</v>
      </c>
      <c r="E519" s="223" t="s">
        <v>829</v>
      </c>
      <c r="F519" s="199" t="s">
        <v>820</v>
      </c>
      <c r="G519" s="199" t="s">
        <v>821</v>
      </c>
      <c r="H519" s="199" t="s">
        <v>819</v>
      </c>
      <c r="I519" s="200">
        <v>46080</v>
      </c>
      <c r="J519" s="75">
        <v>3</v>
      </c>
      <c r="K519" s="75">
        <v>31</v>
      </c>
      <c r="L519" s="75">
        <v>277</v>
      </c>
      <c r="M519" s="39" t="str">
        <f t="shared" si="10"/>
        <v>3-31-277</v>
      </c>
      <c r="N519" s="201" t="str">
        <f>IFERROR(VLOOKUP(M519,'LISTA ITEMS (2)'!$E$2:$G$910,2,FALSE),"  ")</f>
        <v>CABLE Nª 6 P/PLACA SOLAR NEGRO</v>
      </c>
      <c r="O519" s="202" t="str">
        <f>IFERROR(VLOOKUP(M519,'LISTA ITEMS (2)'!$E$2:$G$910,3,FALSE)," ")</f>
        <v>MT</v>
      </c>
      <c r="P519" s="203">
        <v>25</v>
      </c>
      <c r="Q519" s="259"/>
      <c r="R519" s="201"/>
      <c r="S519" s="156"/>
    </row>
    <row r="520" spans="1:19" ht="48" x14ac:dyDescent="0.3">
      <c r="A520" s="27">
        <v>518</v>
      </c>
      <c r="B520" s="197">
        <v>31</v>
      </c>
      <c r="C520" s="198">
        <v>31</v>
      </c>
      <c r="D520" s="223" t="s">
        <v>831</v>
      </c>
      <c r="E520" s="223" t="s">
        <v>829</v>
      </c>
      <c r="F520" s="199" t="s">
        <v>820</v>
      </c>
      <c r="G520" s="199" t="s">
        <v>821</v>
      </c>
      <c r="H520" s="199" t="s">
        <v>819</v>
      </c>
      <c r="I520" s="200">
        <v>46080</v>
      </c>
      <c r="J520" s="75">
        <v>3</v>
      </c>
      <c r="K520" s="75">
        <v>31</v>
      </c>
      <c r="L520" s="75">
        <v>278</v>
      </c>
      <c r="M520" s="39" t="str">
        <f t="shared" si="10"/>
        <v>3-31-278</v>
      </c>
      <c r="N520" s="201" t="str">
        <f>IFERROR(VLOOKUP(M520,'LISTA ITEMS (2)'!$E$2:$G$910,2,FALSE),"  ")</f>
        <v>CABLE Nª 6 P/PLACA SOLAR ROJO</v>
      </c>
      <c r="O520" s="202" t="str">
        <f>IFERROR(VLOOKUP(M520,'LISTA ITEMS (2)'!$E$2:$G$910,3,FALSE)," ")</f>
        <v>MT</v>
      </c>
      <c r="P520" s="203">
        <v>25</v>
      </c>
      <c r="Q520" s="259"/>
      <c r="R520" s="201"/>
      <c r="S520" s="156"/>
    </row>
    <row r="521" spans="1:19" ht="48" x14ac:dyDescent="0.3">
      <c r="A521" s="27">
        <v>519</v>
      </c>
      <c r="B521" s="197">
        <v>31</v>
      </c>
      <c r="C521" s="198">
        <v>31</v>
      </c>
      <c r="D521" s="223" t="s">
        <v>831</v>
      </c>
      <c r="E521" s="223" t="s">
        <v>829</v>
      </c>
      <c r="F521" s="199" t="s">
        <v>820</v>
      </c>
      <c r="G521" s="199" t="s">
        <v>821</v>
      </c>
      <c r="H521" s="199" t="s">
        <v>819</v>
      </c>
      <c r="I521" s="200">
        <v>46080</v>
      </c>
      <c r="J521" s="75">
        <v>14</v>
      </c>
      <c r="K521" s="75">
        <v>24</v>
      </c>
      <c r="L521" s="75">
        <v>193</v>
      </c>
      <c r="M521" s="39" t="str">
        <f t="shared" si="10"/>
        <v>14-24-193</v>
      </c>
      <c r="N521" s="201" t="str">
        <f>IFERROR(VLOOKUP(M521,'LISTA ITEMS (2)'!$E$2:$G$910,2,FALSE),"  ")</f>
        <v>DISCO CORTE ACERO/INOX A1 2EN1</v>
      </c>
      <c r="O521" s="202" t="str">
        <f>IFERROR(VLOOKUP(M521,'LISTA ITEMS (2)'!$E$2:$G$910,3,FALSE)," ")</f>
        <v>UND</v>
      </c>
      <c r="P521" s="203">
        <v>4</v>
      </c>
      <c r="Q521" s="259"/>
      <c r="R521" s="201"/>
      <c r="S521" s="156">
        <v>2</v>
      </c>
    </row>
    <row r="522" spans="1:19" ht="48" x14ac:dyDescent="0.3">
      <c r="A522" s="27">
        <v>520</v>
      </c>
      <c r="B522" s="197">
        <v>31</v>
      </c>
      <c r="C522" s="198">
        <v>31</v>
      </c>
      <c r="D522" s="223" t="s">
        <v>831</v>
      </c>
      <c r="E522" s="223" t="s">
        <v>829</v>
      </c>
      <c r="F522" s="199" t="s">
        <v>820</v>
      </c>
      <c r="G522" s="199" t="s">
        <v>821</v>
      </c>
      <c r="H522" s="199" t="s">
        <v>819</v>
      </c>
      <c r="I522" s="200">
        <v>46080</v>
      </c>
      <c r="J522" s="75">
        <v>13</v>
      </c>
      <c r="K522" s="75">
        <v>23</v>
      </c>
      <c r="L522" s="75">
        <v>186</v>
      </c>
      <c r="M522" s="39" t="str">
        <f t="shared" si="10"/>
        <v>13-23-186</v>
      </c>
      <c r="N522" s="201" t="str">
        <f>IFERROR(VLOOKUP(M522,'LISTA ITEMS (2)'!$E$2:$G$910,2,FALSE),"  ")</f>
        <v>CINTA NEGRA AISLANTE PVC 50MM</v>
      </c>
      <c r="O522" s="202" t="str">
        <f>IFERROR(VLOOKUP(M522,'LISTA ITEMS (2)'!$E$2:$G$910,3,FALSE)," ")</f>
        <v>UND</v>
      </c>
      <c r="P522" s="203">
        <v>1</v>
      </c>
      <c r="Q522" s="259"/>
      <c r="R522" s="201"/>
      <c r="S522" s="156"/>
    </row>
    <row r="523" spans="1:19" ht="48" x14ac:dyDescent="0.3">
      <c r="A523" s="27">
        <v>521</v>
      </c>
      <c r="B523" s="197">
        <v>31</v>
      </c>
      <c r="C523" s="198">
        <v>31</v>
      </c>
      <c r="D523" s="223" t="s">
        <v>831</v>
      </c>
      <c r="E523" s="223" t="s">
        <v>829</v>
      </c>
      <c r="F523" s="199" t="s">
        <v>820</v>
      </c>
      <c r="G523" s="199" t="s">
        <v>821</v>
      </c>
      <c r="H523" s="199" t="s">
        <v>819</v>
      </c>
      <c r="I523" s="200">
        <v>46080</v>
      </c>
      <c r="J523" s="75">
        <v>10</v>
      </c>
      <c r="K523" s="75">
        <v>15</v>
      </c>
      <c r="L523" s="75">
        <v>269</v>
      </c>
      <c r="M523" s="39" t="str">
        <f t="shared" si="10"/>
        <v>10-15-269</v>
      </c>
      <c r="N523" s="201" t="str">
        <f>IFERROR(VLOOKUP(M523,'LISTA ITEMS (2)'!$E$2:$G$910,2,FALSE),"  ")</f>
        <v>BARRA ALUMINIO PARA ESTRUCTURA  3.60mt</v>
      </c>
      <c r="O523" s="202" t="str">
        <f>IFERROR(VLOOKUP(M523,'LISTA ITEMS (2)'!$E$2:$G$910,3,FALSE)," ")</f>
        <v>UND</v>
      </c>
      <c r="P523" s="203">
        <v>19</v>
      </c>
      <c r="Q523" s="259"/>
      <c r="R523" s="201"/>
      <c r="S523" s="156">
        <v>12</v>
      </c>
    </row>
    <row r="524" spans="1:19" ht="48" x14ac:dyDescent="0.3">
      <c r="A524" s="27">
        <v>522</v>
      </c>
      <c r="B524" s="197">
        <v>31</v>
      </c>
      <c r="C524" s="198">
        <v>31</v>
      </c>
      <c r="D524" s="223" t="s">
        <v>831</v>
      </c>
      <c r="E524" s="223" t="s">
        <v>829</v>
      </c>
      <c r="F524" s="199" t="s">
        <v>820</v>
      </c>
      <c r="G524" s="199" t="s">
        <v>821</v>
      </c>
      <c r="H524" s="199" t="s">
        <v>819</v>
      </c>
      <c r="I524" s="200">
        <v>46080</v>
      </c>
      <c r="J524" s="75">
        <v>3</v>
      </c>
      <c r="K524" s="75">
        <v>31</v>
      </c>
      <c r="L524" s="75">
        <v>277</v>
      </c>
      <c r="M524" s="39" t="str">
        <f t="shared" si="10"/>
        <v>3-31-277</v>
      </c>
      <c r="N524" s="201" t="str">
        <f>IFERROR(VLOOKUP(M524,'LISTA ITEMS (2)'!$E$2:$G$910,2,FALSE),"  ")</f>
        <v>CABLE Nª 6 P/PLACA SOLAR NEGRO</v>
      </c>
      <c r="O524" s="202" t="str">
        <f>IFERROR(VLOOKUP(M524,'LISTA ITEMS (2)'!$E$2:$G$910,3,FALSE)," ")</f>
        <v>MT</v>
      </c>
      <c r="P524" s="203">
        <v>12</v>
      </c>
      <c r="Q524" s="259"/>
      <c r="R524" s="201"/>
      <c r="S524" s="156"/>
    </row>
    <row r="525" spans="1:19" ht="48" x14ac:dyDescent="0.3">
      <c r="A525" s="27">
        <v>523</v>
      </c>
      <c r="B525" s="197">
        <v>31</v>
      </c>
      <c r="C525" s="198">
        <v>31</v>
      </c>
      <c r="D525" s="223" t="s">
        <v>831</v>
      </c>
      <c r="E525" s="223" t="s">
        <v>829</v>
      </c>
      <c r="F525" s="199" t="s">
        <v>820</v>
      </c>
      <c r="G525" s="199" t="s">
        <v>821</v>
      </c>
      <c r="H525" s="199" t="s">
        <v>819</v>
      </c>
      <c r="I525" s="200">
        <v>46080</v>
      </c>
      <c r="J525" s="75">
        <v>3</v>
      </c>
      <c r="K525" s="75">
        <v>31</v>
      </c>
      <c r="L525" s="75">
        <v>278</v>
      </c>
      <c r="M525" s="39" t="str">
        <f t="shared" si="10"/>
        <v>3-31-278</v>
      </c>
      <c r="N525" s="201" t="str">
        <f>IFERROR(VLOOKUP(M525,'LISTA ITEMS (2)'!$E$2:$G$910,2,FALSE),"  ")</f>
        <v>CABLE Nª 6 P/PLACA SOLAR ROJO</v>
      </c>
      <c r="O525" s="202" t="str">
        <f>IFERROR(VLOOKUP(M525,'LISTA ITEMS (2)'!$E$2:$G$910,3,FALSE)," ")</f>
        <v>MT</v>
      </c>
      <c r="P525" s="203">
        <v>20</v>
      </c>
      <c r="Q525" s="259"/>
      <c r="R525" s="201"/>
      <c r="S525" s="156"/>
    </row>
    <row r="526" spans="1:19" ht="48" x14ac:dyDescent="0.3">
      <c r="A526" s="27">
        <v>524</v>
      </c>
      <c r="B526" s="197">
        <v>31</v>
      </c>
      <c r="C526" s="198">
        <v>31</v>
      </c>
      <c r="D526" s="223" t="s">
        <v>831</v>
      </c>
      <c r="E526" s="223" t="s">
        <v>829</v>
      </c>
      <c r="F526" s="199" t="s">
        <v>820</v>
      </c>
      <c r="G526" s="199" t="s">
        <v>821</v>
      </c>
      <c r="H526" s="199" t="s">
        <v>819</v>
      </c>
      <c r="I526" s="200">
        <v>46080</v>
      </c>
      <c r="J526" s="75">
        <v>3</v>
      </c>
      <c r="K526" s="75">
        <v>31</v>
      </c>
      <c r="L526" s="75">
        <v>220</v>
      </c>
      <c r="M526" s="39" t="str">
        <f t="shared" si="10"/>
        <v>3-31-220</v>
      </c>
      <c r="N526" s="201" t="str">
        <f>IFERROR(VLOOKUP(M526,'LISTA ITEMS (2)'!$E$2:$G$910,2,FALSE),"  ")</f>
        <v>CABLE Nª 10 C/ALTERNA GRIS</v>
      </c>
      <c r="O526" s="202" t="str">
        <f>IFERROR(VLOOKUP(M526,'LISTA ITEMS (2)'!$E$2:$G$910,3,FALSE)," ")</f>
        <v>MT</v>
      </c>
      <c r="P526" s="203">
        <v>20</v>
      </c>
      <c r="Q526" s="259"/>
      <c r="R526" s="201"/>
      <c r="S526" s="156"/>
    </row>
    <row r="527" spans="1:19" ht="24" x14ac:dyDescent="0.3">
      <c r="A527" s="27">
        <v>525</v>
      </c>
      <c r="B527" s="122">
        <v>32</v>
      </c>
      <c r="C527" s="94">
        <v>32</v>
      </c>
      <c r="D527" s="246" t="s">
        <v>831</v>
      </c>
      <c r="E527" s="246" t="s">
        <v>829</v>
      </c>
      <c r="F527" s="193" t="s">
        <v>840</v>
      </c>
      <c r="G527" s="193" t="s">
        <v>700</v>
      </c>
      <c r="H527" s="193" t="s">
        <v>695</v>
      </c>
      <c r="I527" s="28">
        <v>46080</v>
      </c>
      <c r="J527" s="16">
        <v>9</v>
      </c>
      <c r="K527" s="16">
        <v>32</v>
      </c>
      <c r="L527" s="16">
        <v>224</v>
      </c>
      <c r="M527" s="247" t="str">
        <f t="shared" si="10"/>
        <v>9-32-224</v>
      </c>
      <c r="N527" s="17" t="str">
        <f>IFERROR(VLOOKUP(M527,'LISTA ITEMS (2)'!$E$2:$G$910,2,FALSE),"  ")</f>
        <v>CURVA PVC M-25 GRIS TIPO B</v>
      </c>
      <c r="O527" s="30" t="str">
        <f>IFERROR(VLOOKUP(M527,'LISTA ITEMS (2)'!$E$2:$G$910,3,FALSE)," ")</f>
        <v>UND</v>
      </c>
      <c r="P527" s="176">
        <v>10</v>
      </c>
      <c r="Q527" s="181"/>
      <c r="R527" s="17"/>
      <c r="S527" s="156">
        <v>3</v>
      </c>
    </row>
    <row r="528" spans="1:19" ht="24" x14ac:dyDescent="0.3">
      <c r="A528" s="27">
        <v>526</v>
      </c>
      <c r="B528" s="122">
        <v>32</v>
      </c>
      <c r="C528" s="94">
        <v>32</v>
      </c>
      <c r="D528" s="246" t="s">
        <v>831</v>
      </c>
      <c r="E528" s="246" t="s">
        <v>829</v>
      </c>
      <c r="F528" s="193" t="s">
        <v>840</v>
      </c>
      <c r="G528" s="193" t="s">
        <v>700</v>
      </c>
      <c r="H528" s="193" t="s">
        <v>695</v>
      </c>
      <c r="I528" s="28">
        <v>46080</v>
      </c>
      <c r="J528" s="16">
        <v>13</v>
      </c>
      <c r="K528" s="16">
        <v>21</v>
      </c>
      <c r="L528" s="16">
        <v>181</v>
      </c>
      <c r="M528" s="247" t="str">
        <f t="shared" si="10"/>
        <v>13-21-181</v>
      </c>
      <c r="N528" s="17" t="str">
        <f>IFERROR(VLOOKUP(M528,'LISTA ITEMS (2)'!$E$2:$G$910,2,FALSE),"  ")</f>
        <v>TACO P/BRIDA NEGRO</v>
      </c>
      <c r="O528" s="30" t="str">
        <f>IFERROR(VLOOKUP(M528,'LISTA ITEMS (2)'!$E$2:$G$910,3,FALSE)," ")</f>
        <v>UND</v>
      </c>
      <c r="P528" s="176">
        <v>100</v>
      </c>
      <c r="Q528" s="181"/>
      <c r="R528" s="17"/>
      <c r="S528" s="156"/>
    </row>
    <row r="529" spans="1:19" ht="24" x14ac:dyDescent="0.3">
      <c r="A529" s="27">
        <v>527</v>
      </c>
      <c r="B529" s="122">
        <v>32</v>
      </c>
      <c r="C529" s="94">
        <v>32</v>
      </c>
      <c r="D529" s="246" t="s">
        <v>831</v>
      </c>
      <c r="E529" s="246" t="s">
        <v>829</v>
      </c>
      <c r="F529" s="193" t="s">
        <v>840</v>
      </c>
      <c r="G529" s="193" t="s">
        <v>700</v>
      </c>
      <c r="H529" s="193" t="s">
        <v>695</v>
      </c>
      <c r="I529" s="28">
        <v>46080</v>
      </c>
      <c r="J529" s="16">
        <v>13</v>
      </c>
      <c r="K529" s="16">
        <v>22</v>
      </c>
      <c r="L529" s="16">
        <v>184</v>
      </c>
      <c r="M529" s="247" t="str">
        <f t="shared" si="10"/>
        <v>13-22-184</v>
      </c>
      <c r="N529" s="17" t="str">
        <f>IFERROR(VLOOKUP(M529,'LISTA ITEMS (2)'!$E$2:$G$910,2,FALSE),"  ")</f>
        <v>BRIDA P/EXTERIOR NEGRA</v>
      </c>
      <c r="O529" s="30" t="str">
        <f>IFERROR(VLOOKUP(M529,'LISTA ITEMS (2)'!$E$2:$G$910,3,FALSE)," ")</f>
        <v>UND</v>
      </c>
      <c r="P529" s="176">
        <v>100</v>
      </c>
      <c r="Q529" s="181"/>
      <c r="R529" s="17"/>
      <c r="S529" s="156"/>
    </row>
    <row r="530" spans="1:19" ht="24" x14ac:dyDescent="0.3">
      <c r="A530" s="27">
        <v>528</v>
      </c>
      <c r="B530" s="122">
        <v>32</v>
      </c>
      <c r="C530" s="94">
        <v>32</v>
      </c>
      <c r="D530" s="246" t="s">
        <v>831</v>
      </c>
      <c r="E530" s="246" t="s">
        <v>829</v>
      </c>
      <c r="F530" s="193" t="s">
        <v>840</v>
      </c>
      <c r="G530" s="193" t="s">
        <v>700</v>
      </c>
      <c r="H530" s="193" t="s">
        <v>695</v>
      </c>
      <c r="I530" s="28">
        <v>46080</v>
      </c>
      <c r="J530" s="16">
        <v>17</v>
      </c>
      <c r="K530" s="16">
        <v>44</v>
      </c>
      <c r="L530" s="16">
        <v>271</v>
      </c>
      <c r="M530" s="247" t="str">
        <f t="shared" si="10"/>
        <v>17-44-271</v>
      </c>
      <c r="N530" s="17" t="str">
        <f>IFERROR(VLOOKUP(M530,'LISTA ITEMS (2)'!$E$2:$G$910,2,FALSE),"  ")</f>
        <v>SELLANTE QUIMICO BLANCO</v>
      </c>
      <c r="O530" s="30" t="str">
        <f>IFERROR(VLOOKUP(M530,'LISTA ITEMS (2)'!$E$2:$G$910,3,FALSE)," ")</f>
        <v>UND</v>
      </c>
      <c r="P530" s="176">
        <v>1</v>
      </c>
      <c r="Q530" s="181"/>
      <c r="R530" s="17"/>
      <c r="S530" s="156"/>
    </row>
    <row r="531" spans="1:19" ht="24" x14ac:dyDescent="0.3">
      <c r="A531" s="27">
        <v>529</v>
      </c>
      <c r="B531" s="122">
        <v>32</v>
      </c>
      <c r="C531" s="94">
        <v>32</v>
      </c>
      <c r="D531" s="246" t="s">
        <v>831</v>
      </c>
      <c r="E531" s="246" t="s">
        <v>829</v>
      </c>
      <c r="F531" s="193" t="s">
        <v>840</v>
      </c>
      <c r="G531" s="193" t="s">
        <v>700</v>
      </c>
      <c r="H531" s="193" t="s">
        <v>695</v>
      </c>
      <c r="I531" s="28">
        <v>46080</v>
      </c>
      <c r="J531" s="16">
        <v>17</v>
      </c>
      <c r="K531" s="16">
        <v>44</v>
      </c>
      <c r="L531" s="16">
        <v>272</v>
      </c>
      <c r="M531" s="247" t="str">
        <f t="shared" si="10"/>
        <v>17-44-272</v>
      </c>
      <c r="N531" s="17" t="str">
        <f>IFERROR(VLOOKUP(M531,'LISTA ITEMS (2)'!$E$2:$G$910,2,FALSE),"  ")</f>
        <v>SELLANTE QUIMICO GRIS</v>
      </c>
      <c r="O531" s="30" t="str">
        <f>IFERROR(VLOOKUP(M531,'LISTA ITEMS (2)'!$E$2:$G$910,3,FALSE)," ")</f>
        <v>UND</v>
      </c>
      <c r="P531" s="176">
        <v>1</v>
      </c>
      <c r="Q531" s="181"/>
      <c r="R531" s="17"/>
      <c r="S531" s="156"/>
    </row>
    <row r="532" spans="1:19" ht="24" x14ac:dyDescent="0.3">
      <c r="A532" s="27">
        <v>530</v>
      </c>
      <c r="B532" s="122">
        <v>32</v>
      </c>
      <c r="C532" s="94">
        <v>32</v>
      </c>
      <c r="D532" s="246" t="s">
        <v>831</v>
      </c>
      <c r="E532" s="246" t="s">
        <v>829</v>
      </c>
      <c r="F532" s="193" t="s">
        <v>840</v>
      </c>
      <c r="G532" s="193" t="s">
        <v>700</v>
      </c>
      <c r="H532" s="193" t="s">
        <v>695</v>
      </c>
      <c r="I532" s="28">
        <v>46080</v>
      </c>
      <c r="J532" s="16">
        <v>10</v>
      </c>
      <c r="K532" s="16">
        <v>37</v>
      </c>
      <c r="L532" s="16">
        <v>330</v>
      </c>
      <c r="M532" s="247" t="str">
        <f t="shared" si="10"/>
        <v>10-37-330</v>
      </c>
      <c r="N532" s="17" t="str">
        <f>IFERROR(VLOOKUP(M532,'LISTA ITEMS (2)'!$E$2:$G$910,2,FALSE),"  ")</f>
        <v>SOPORTE EN L ALUMINIO GRIS</v>
      </c>
      <c r="O532" s="30" t="str">
        <f>IFERROR(VLOOKUP(M532,'LISTA ITEMS (2)'!$E$2:$G$910,3,FALSE)," ")</f>
        <v>UND</v>
      </c>
      <c r="P532" s="176">
        <v>30</v>
      </c>
      <c r="Q532" s="181"/>
      <c r="R532" s="17"/>
      <c r="S532" s="156">
        <v>12</v>
      </c>
    </row>
    <row r="533" spans="1:19" ht="24" x14ac:dyDescent="0.3">
      <c r="A533" s="27">
        <v>531</v>
      </c>
      <c r="B533" s="122">
        <v>32</v>
      </c>
      <c r="C533" s="94">
        <v>32</v>
      </c>
      <c r="D533" s="246" t="s">
        <v>831</v>
      </c>
      <c r="E533" s="246" t="s">
        <v>829</v>
      </c>
      <c r="F533" s="193" t="s">
        <v>840</v>
      </c>
      <c r="G533" s="193" t="s">
        <v>700</v>
      </c>
      <c r="H533" s="193" t="s">
        <v>695</v>
      </c>
      <c r="I533" s="28">
        <v>46080</v>
      </c>
      <c r="J533" s="16">
        <v>10</v>
      </c>
      <c r="K533" s="16">
        <v>37</v>
      </c>
      <c r="L533" s="16">
        <v>232</v>
      </c>
      <c r="M533" s="247" t="str">
        <f t="shared" si="10"/>
        <v>10-37-232</v>
      </c>
      <c r="N533" s="17" t="str">
        <f>IFERROR(VLOOKUP(M533,'LISTA ITEMS (2)'!$E$2:$G$910,2,FALSE),"  ")</f>
        <v>SOPORTE CENTRAL NEGRO</v>
      </c>
      <c r="O533" s="30" t="str">
        <f>IFERROR(VLOOKUP(M533,'LISTA ITEMS (2)'!$E$2:$G$910,3,FALSE)," ")</f>
        <v>UND</v>
      </c>
      <c r="P533" s="176">
        <v>30</v>
      </c>
      <c r="Q533" s="181"/>
      <c r="R533" s="17"/>
      <c r="S533" s="156">
        <v>20</v>
      </c>
    </row>
    <row r="534" spans="1:19" ht="24" x14ac:dyDescent="0.3">
      <c r="A534" s="27">
        <v>532</v>
      </c>
      <c r="B534" s="122">
        <v>32</v>
      </c>
      <c r="C534" s="94">
        <v>32</v>
      </c>
      <c r="D534" s="246" t="s">
        <v>831</v>
      </c>
      <c r="E534" s="246" t="s">
        <v>829</v>
      </c>
      <c r="F534" s="193" t="s">
        <v>840</v>
      </c>
      <c r="G534" s="193" t="s">
        <v>700</v>
      </c>
      <c r="H534" s="193" t="s">
        <v>695</v>
      </c>
      <c r="I534" s="28">
        <v>46080</v>
      </c>
      <c r="J534" s="16">
        <v>10</v>
      </c>
      <c r="K534" s="16">
        <v>37</v>
      </c>
      <c r="L534" s="16">
        <v>315</v>
      </c>
      <c r="M534" s="247" t="str">
        <f t="shared" si="10"/>
        <v>10-37-315</v>
      </c>
      <c r="N534" s="17" t="str">
        <f>IFERROR(VLOOKUP(M534,'LISTA ITEMS (2)'!$E$2:$G$910,2,FALSE),"  ")</f>
        <v>SOPORTE FINAL NEGRO</v>
      </c>
      <c r="O534" s="30" t="str">
        <f>IFERROR(VLOOKUP(M534,'LISTA ITEMS (2)'!$E$2:$G$910,3,FALSE)," ")</f>
        <v>UND</v>
      </c>
      <c r="P534" s="176">
        <v>20</v>
      </c>
      <c r="Q534" s="181"/>
      <c r="R534" s="17"/>
      <c r="S534" s="156">
        <v>15</v>
      </c>
    </row>
    <row r="535" spans="1:19" ht="28.8" x14ac:dyDescent="0.3">
      <c r="A535" s="27">
        <v>533</v>
      </c>
      <c r="B535" s="122">
        <v>32</v>
      </c>
      <c r="C535" s="94">
        <v>32</v>
      </c>
      <c r="D535" s="246" t="s">
        <v>831</v>
      </c>
      <c r="E535" s="246" t="s">
        <v>829</v>
      </c>
      <c r="F535" s="193" t="s">
        <v>840</v>
      </c>
      <c r="G535" s="193" t="s">
        <v>700</v>
      </c>
      <c r="H535" s="193" t="s">
        <v>695</v>
      </c>
      <c r="I535" s="28">
        <v>46080</v>
      </c>
      <c r="J535" s="16">
        <v>10</v>
      </c>
      <c r="K535" s="16">
        <v>42</v>
      </c>
      <c r="L535" s="16">
        <v>268</v>
      </c>
      <c r="M535" s="247" t="str">
        <f t="shared" si="10"/>
        <v>10-42-268</v>
      </c>
      <c r="N535" s="17" t="str">
        <f>IFERROR(VLOOKUP(M535,'LISTA ITEMS (2)'!$E$2:$G$910,2,FALSE),"  ")</f>
        <v>PATA ALUMINIO PARA ESTRUCTURA PLACA SOLAR ANGULO 30º</v>
      </c>
      <c r="O535" s="30" t="str">
        <f>IFERROR(VLOOKUP(M535,'LISTA ITEMS (2)'!$E$2:$G$910,3,FALSE)," ")</f>
        <v>UND</v>
      </c>
      <c r="P535" s="176">
        <v>7</v>
      </c>
      <c r="Q535" s="181"/>
      <c r="R535" s="17"/>
      <c r="S535" s="156">
        <v>2</v>
      </c>
    </row>
    <row r="536" spans="1:19" ht="24" x14ac:dyDescent="0.3">
      <c r="A536" s="27">
        <v>534</v>
      </c>
      <c r="B536" s="122">
        <v>32</v>
      </c>
      <c r="C536" s="94">
        <v>32</v>
      </c>
      <c r="D536" s="246" t="s">
        <v>831</v>
      </c>
      <c r="E536" s="246" t="s">
        <v>829</v>
      </c>
      <c r="F536" s="193" t="s">
        <v>840</v>
      </c>
      <c r="G536" s="193" t="s">
        <v>700</v>
      </c>
      <c r="H536" s="193" t="s">
        <v>695</v>
      </c>
      <c r="I536" s="28">
        <v>46080</v>
      </c>
      <c r="J536" s="16">
        <v>14</v>
      </c>
      <c r="K536" s="16">
        <v>24</v>
      </c>
      <c r="L536" s="16">
        <v>193</v>
      </c>
      <c r="M536" s="247" t="str">
        <f t="shared" si="10"/>
        <v>14-24-193</v>
      </c>
      <c r="N536" s="17" t="str">
        <f>IFERROR(VLOOKUP(M536,'LISTA ITEMS (2)'!$E$2:$G$910,2,FALSE),"  ")</f>
        <v>DISCO CORTE ACERO/INOX A1 2EN1</v>
      </c>
      <c r="O536" s="30" t="str">
        <f>IFERROR(VLOOKUP(M536,'LISTA ITEMS (2)'!$E$2:$G$910,3,FALSE)," ")</f>
        <v>UND</v>
      </c>
      <c r="P536" s="176">
        <v>7</v>
      </c>
      <c r="Q536" s="181"/>
      <c r="R536" s="17"/>
      <c r="S536" s="156">
        <v>4</v>
      </c>
    </row>
    <row r="537" spans="1:19" ht="28.8" x14ac:dyDescent="0.3">
      <c r="A537" s="27">
        <v>535</v>
      </c>
      <c r="B537" s="122">
        <v>32</v>
      </c>
      <c r="C537" s="94">
        <v>32</v>
      </c>
      <c r="D537" s="246" t="s">
        <v>831</v>
      </c>
      <c r="E537" s="246" t="s">
        <v>829</v>
      </c>
      <c r="F537" s="193" t="s">
        <v>840</v>
      </c>
      <c r="G537" s="193" t="s">
        <v>700</v>
      </c>
      <c r="H537" s="193" t="s">
        <v>695</v>
      </c>
      <c r="I537" s="28">
        <v>46080</v>
      </c>
      <c r="J537" s="16">
        <v>16</v>
      </c>
      <c r="K537" s="16">
        <v>45</v>
      </c>
      <c r="L537" s="16">
        <v>276</v>
      </c>
      <c r="M537" s="247" t="str">
        <f t="shared" si="10"/>
        <v>16-45-276</v>
      </c>
      <c r="N537" s="17" t="str">
        <f>IFERROR(VLOOKUP(M537,'LISTA ITEMS (2)'!$E$2:$G$910,2,FALSE),"  ")</f>
        <v>CAJA ESTANCA (COCHERA) EXTERIOR 18PT (IDE)</v>
      </c>
      <c r="O537" s="30" t="str">
        <f>IFERROR(VLOOKUP(M537,'LISTA ITEMS (2)'!$E$2:$G$910,3,FALSE)," ")</f>
        <v>UND</v>
      </c>
      <c r="P537" s="176">
        <v>1</v>
      </c>
      <c r="Q537" s="181"/>
      <c r="R537" s="17"/>
      <c r="S537" s="156"/>
    </row>
    <row r="538" spans="1:19" ht="28.8" x14ac:dyDescent="0.3">
      <c r="A538" s="27">
        <v>536</v>
      </c>
      <c r="B538" s="122">
        <v>32</v>
      </c>
      <c r="C538" s="94">
        <v>32</v>
      </c>
      <c r="D538" s="246" t="s">
        <v>831</v>
      </c>
      <c r="E538" s="246" t="s">
        <v>829</v>
      </c>
      <c r="F538" s="193" t="s">
        <v>840</v>
      </c>
      <c r="G538" s="193" t="s">
        <v>700</v>
      </c>
      <c r="H538" s="193" t="s">
        <v>695</v>
      </c>
      <c r="I538" s="28">
        <v>46080</v>
      </c>
      <c r="J538" s="16">
        <v>16</v>
      </c>
      <c r="K538" s="16">
        <v>45</v>
      </c>
      <c r="L538" s="16">
        <v>275</v>
      </c>
      <c r="M538" s="247" t="str">
        <f t="shared" si="10"/>
        <v>16-45-275</v>
      </c>
      <c r="N538" s="17" t="str">
        <f>IFERROR(VLOOKUP(M538,'LISTA ITEMS (2)'!$E$2:$G$910,2,FALSE),"  ")</f>
        <v>CAJA DISTRIBUCION INTERIOR 18 ELEM. (SOLERA)</v>
      </c>
      <c r="O538" s="30" t="str">
        <f>IFERROR(VLOOKUP(M538,'LISTA ITEMS (2)'!$E$2:$G$910,3,FALSE)," ")</f>
        <v>UND</v>
      </c>
      <c r="P538" s="176">
        <v>1</v>
      </c>
      <c r="Q538" s="181"/>
      <c r="R538" s="17"/>
      <c r="S538" s="156"/>
    </row>
    <row r="539" spans="1:19" ht="28.8" x14ac:dyDescent="0.3">
      <c r="A539" s="27">
        <v>537</v>
      </c>
      <c r="B539" s="122">
        <v>32</v>
      </c>
      <c r="C539" s="94">
        <v>32</v>
      </c>
      <c r="D539" s="246" t="s">
        <v>831</v>
      </c>
      <c r="E539" s="246" t="s">
        <v>829</v>
      </c>
      <c r="F539" s="193" t="s">
        <v>840</v>
      </c>
      <c r="G539" s="193" t="s">
        <v>700</v>
      </c>
      <c r="H539" s="193" t="s">
        <v>695</v>
      </c>
      <c r="I539" s="28">
        <v>46080</v>
      </c>
      <c r="J539" s="16">
        <v>16</v>
      </c>
      <c r="K539" s="16">
        <v>53</v>
      </c>
      <c r="L539" s="16">
        <v>290</v>
      </c>
      <c r="M539" s="247" t="str">
        <f t="shared" si="10"/>
        <v>16-53-290</v>
      </c>
      <c r="N539" s="17" t="str">
        <f>IFERROR(VLOOKUP(M539,'LISTA ITEMS (2)'!$E$2:$G$910,2,FALSE),"  ")</f>
        <v>PINCHO DE COMUNICACIÓN WIFI SHINEWILAN X2 (GROWATT)</v>
      </c>
      <c r="O539" s="30" t="str">
        <f>IFERROR(VLOOKUP(M539,'LISTA ITEMS (2)'!$E$2:$G$910,3,FALSE)," ")</f>
        <v>UND</v>
      </c>
      <c r="P539" s="176">
        <v>1</v>
      </c>
      <c r="Q539" s="181"/>
      <c r="R539" s="17"/>
      <c r="S539" s="156"/>
    </row>
    <row r="540" spans="1:19" ht="28.8" x14ac:dyDescent="0.3">
      <c r="A540" s="27">
        <v>538</v>
      </c>
      <c r="B540" s="122">
        <v>32</v>
      </c>
      <c r="C540" s="94">
        <v>32</v>
      </c>
      <c r="D540" s="246" t="s">
        <v>831</v>
      </c>
      <c r="E540" s="246" t="s">
        <v>829</v>
      </c>
      <c r="F540" s="193" t="s">
        <v>840</v>
      </c>
      <c r="G540" s="193" t="s">
        <v>700</v>
      </c>
      <c r="H540" s="193" t="s">
        <v>695</v>
      </c>
      <c r="I540" s="28">
        <v>46080</v>
      </c>
      <c r="J540" s="16">
        <v>16</v>
      </c>
      <c r="K540" s="16">
        <v>51</v>
      </c>
      <c r="L540" s="16">
        <v>309</v>
      </c>
      <c r="M540" s="247" t="str">
        <f t="shared" si="10"/>
        <v>16-51-309</v>
      </c>
      <c r="N540" s="17" t="str">
        <f>IFERROR(VLOOKUP(M540,'LISTA ITEMS (2)'!$E$2:$G$910,2,FALSE),"  ")</f>
        <v>LIMITADOR MONOFASICO EPS1 C/2 - 275-40 (MAXGE)</v>
      </c>
      <c r="O540" s="30" t="str">
        <f>IFERROR(VLOOKUP(M540,'LISTA ITEMS (2)'!$E$2:$G$910,3,FALSE)," ")</f>
        <v>UND</v>
      </c>
      <c r="P540" s="176">
        <v>1</v>
      </c>
      <c r="Q540" s="181"/>
      <c r="R540" s="17"/>
      <c r="S540" s="156"/>
    </row>
    <row r="541" spans="1:19" ht="28.8" x14ac:dyDescent="0.3">
      <c r="A541" s="27">
        <v>539</v>
      </c>
      <c r="B541" s="122">
        <v>32</v>
      </c>
      <c r="C541" s="94">
        <v>32</v>
      </c>
      <c r="D541" s="246" t="s">
        <v>831</v>
      </c>
      <c r="E541" s="246" t="s">
        <v>829</v>
      </c>
      <c r="F541" s="193" t="s">
        <v>840</v>
      </c>
      <c r="G541" s="193" t="s">
        <v>700</v>
      </c>
      <c r="H541" s="193" t="s">
        <v>695</v>
      </c>
      <c r="I541" s="28">
        <v>46080</v>
      </c>
      <c r="J541" s="16">
        <v>16</v>
      </c>
      <c r="K541" s="16">
        <v>49</v>
      </c>
      <c r="L541" s="16">
        <v>288</v>
      </c>
      <c r="M541" s="247" t="str">
        <f t="shared" si="10"/>
        <v>16-49-288</v>
      </c>
      <c r="N541" s="17" t="str">
        <f>IFERROR(VLOOKUP(M541,'LISTA ITEMS (2)'!$E$2:$G$910,2,FALSE),"  ")</f>
        <v>CONTACTOR MODULAR EPC1-6322-P7 (MAXGE)</v>
      </c>
      <c r="O541" s="30" t="str">
        <f>IFERROR(VLOOKUP(M541,'LISTA ITEMS (2)'!$E$2:$G$910,3,FALSE)," ")</f>
        <v>UND</v>
      </c>
      <c r="P541" s="176">
        <v>1</v>
      </c>
      <c r="Q541" s="181"/>
      <c r="R541" s="17"/>
      <c r="S541" s="156"/>
    </row>
    <row r="542" spans="1:19" ht="24" x14ac:dyDescent="0.3">
      <c r="A542" s="27">
        <v>540</v>
      </c>
      <c r="B542" s="122">
        <v>32</v>
      </c>
      <c r="C542" s="94">
        <v>32</v>
      </c>
      <c r="D542" s="246" t="s">
        <v>831</v>
      </c>
      <c r="E542" s="246" t="s">
        <v>829</v>
      </c>
      <c r="F542" s="193" t="s">
        <v>840</v>
      </c>
      <c r="G542" s="193" t="s">
        <v>700</v>
      </c>
      <c r="H542" s="193" t="s">
        <v>695</v>
      </c>
      <c r="I542" s="28">
        <v>46080</v>
      </c>
      <c r="J542" s="16">
        <v>16</v>
      </c>
      <c r="K542" s="16">
        <v>48</v>
      </c>
      <c r="L542" s="16">
        <v>281</v>
      </c>
      <c r="M542" s="247" t="str">
        <f t="shared" si="10"/>
        <v>16-48-281</v>
      </c>
      <c r="N542" s="17" t="str">
        <f>IFERROR(VLOOKUP(M542,'LISTA ITEMS (2)'!$E$2:$G$910,2,FALSE),"  ")</f>
        <v>PORTA FUSIBLE SGF-32-DC (MAXGE)</v>
      </c>
      <c r="O542" s="30" t="str">
        <f>IFERROR(VLOOKUP(M542,'LISTA ITEMS (2)'!$E$2:$G$910,3,FALSE)," ")</f>
        <v>UND</v>
      </c>
      <c r="P542" s="176">
        <v>2</v>
      </c>
      <c r="Q542" s="181"/>
      <c r="R542" s="17"/>
      <c r="S542" s="156"/>
    </row>
    <row r="543" spans="1:19" ht="24" x14ac:dyDescent="0.3">
      <c r="A543" s="27">
        <v>541</v>
      </c>
      <c r="B543" s="122">
        <v>32</v>
      </c>
      <c r="C543" s="94">
        <v>32</v>
      </c>
      <c r="D543" s="246" t="s">
        <v>831</v>
      </c>
      <c r="E543" s="246" t="s">
        <v>829</v>
      </c>
      <c r="F543" s="193" t="s">
        <v>840</v>
      </c>
      <c r="G543" s="193" t="s">
        <v>700</v>
      </c>
      <c r="H543" s="193" t="s">
        <v>695</v>
      </c>
      <c r="I543" s="28">
        <v>46080</v>
      </c>
      <c r="J543" s="16">
        <v>16</v>
      </c>
      <c r="K543" s="16">
        <v>50</v>
      </c>
      <c r="L543" s="16">
        <v>283</v>
      </c>
      <c r="M543" s="247" t="str">
        <f t="shared" si="10"/>
        <v>16-50-283</v>
      </c>
      <c r="N543" s="17" t="str">
        <f>IFERROR(VLOOKUP(M543,'LISTA ITEMS (2)'!$E$2:$G$910,2,FALSE),"  ")</f>
        <v>FUSIBLE 32A-1000VDC (SASSIN)</v>
      </c>
      <c r="O543" s="30" t="str">
        <f>IFERROR(VLOOKUP(M543,'LISTA ITEMS (2)'!$E$2:$G$910,3,FALSE)," ")</f>
        <v>UND</v>
      </c>
      <c r="P543" s="176">
        <v>2</v>
      </c>
      <c r="Q543" s="181"/>
      <c r="R543" s="17"/>
      <c r="S543" s="156"/>
    </row>
    <row r="544" spans="1:19" ht="28.8" x14ac:dyDescent="0.3">
      <c r="A544" s="27">
        <v>542</v>
      </c>
      <c r="B544" s="122">
        <v>32</v>
      </c>
      <c r="C544" s="94">
        <v>32</v>
      </c>
      <c r="D544" s="246" t="s">
        <v>831</v>
      </c>
      <c r="E544" s="246" t="s">
        <v>829</v>
      </c>
      <c r="F544" s="193" t="s">
        <v>840</v>
      </c>
      <c r="G544" s="193" t="s">
        <v>700</v>
      </c>
      <c r="H544" s="193" t="s">
        <v>695</v>
      </c>
      <c r="I544" s="28">
        <v>46080</v>
      </c>
      <c r="J544" s="16">
        <v>16</v>
      </c>
      <c r="K544" s="16">
        <v>52</v>
      </c>
      <c r="L544" s="16">
        <v>292</v>
      </c>
      <c r="M544" s="247" t="str">
        <f t="shared" si="10"/>
        <v>16-52-292</v>
      </c>
      <c r="N544" s="17" t="str">
        <f>IFERROR(VLOOKUP(M544,'LISTA ITEMS (2)'!$E$2:$G$910,2,FALSE),"  ")</f>
        <v>TERMICO EPBE63M1NC63M1NC40 1P+N C40 (MAXGE)</v>
      </c>
      <c r="O544" s="30" t="str">
        <f>IFERROR(VLOOKUP(M544,'LISTA ITEMS (2)'!$E$2:$G$910,3,FALSE)," ")</f>
        <v>UND</v>
      </c>
      <c r="P544" s="176">
        <v>1</v>
      </c>
      <c r="Q544" s="181"/>
      <c r="R544" s="17"/>
      <c r="S544" s="156"/>
    </row>
    <row r="545" spans="1:19" ht="28.8" x14ac:dyDescent="0.3">
      <c r="A545" s="27">
        <v>543</v>
      </c>
      <c r="B545" s="122">
        <v>32</v>
      </c>
      <c r="C545" s="94">
        <v>32</v>
      </c>
      <c r="D545" s="246" t="s">
        <v>831</v>
      </c>
      <c r="E545" s="246" t="s">
        <v>829</v>
      </c>
      <c r="F545" s="193" t="s">
        <v>840</v>
      </c>
      <c r="G545" s="193" t="s">
        <v>700</v>
      </c>
      <c r="H545" s="193" t="s">
        <v>695</v>
      </c>
      <c r="I545" s="28">
        <v>46080</v>
      </c>
      <c r="J545" s="16">
        <v>16</v>
      </c>
      <c r="K545" s="16">
        <v>47</v>
      </c>
      <c r="L545" s="16">
        <v>318</v>
      </c>
      <c r="M545" s="247" t="str">
        <f t="shared" si="10"/>
        <v>16-47-318</v>
      </c>
      <c r="N545" s="17" t="str">
        <f>IFERROR(VLOOKUP(M545,'LISTA ITEMS (2)'!$E$2:$G$910,2,FALSE),"  ")</f>
        <v>DIFERENCIAL EPR2A040030 2P-40A-30mA (MAXGE)</v>
      </c>
      <c r="O545" s="30" t="str">
        <f>IFERROR(VLOOKUP(M545,'LISTA ITEMS (2)'!$E$2:$G$910,3,FALSE)," ")</f>
        <v>UND</v>
      </c>
      <c r="P545" s="176">
        <v>1</v>
      </c>
      <c r="Q545" s="181"/>
      <c r="R545" s="17"/>
      <c r="S545" s="156"/>
    </row>
    <row r="546" spans="1:19" ht="24" x14ac:dyDescent="0.3">
      <c r="A546" s="27">
        <v>544</v>
      </c>
      <c r="B546" s="122">
        <v>32</v>
      </c>
      <c r="C546" s="94">
        <v>32</v>
      </c>
      <c r="D546" s="246" t="s">
        <v>831</v>
      </c>
      <c r="E546" s="246" t="s">
        <v>829</v>
      </c>
      <c r="F546" s="193" t="s">
        <v>840</v>
      </c>
      <c r="G546" s="193" t="s">
        <v>700</v>
      </c>
      <c r="H546" s="193" t="s">
        <v>695</v>
      </c>
      <c r="I546" s="28">
        <v>46080</v>
      </c>
      <c r="J546" s="16">
        <v>9</v>
      </c>
      <c r="K546" s="16">
        <v>2</v>
      </c>
      <c r="L546" s="16">
        <v>291</v>
      </c>
      <c r="M546" s="247" t="str">
        <f t="shared" si="10"/>
        <v>9-2-291</v>
      </c>
      <c r="N546" s="17" t="str">
        <f>IFERROR(VLOOKUP(M546,'LISTA ITEMS (2)'!$E$2:$G$910,2,FALSE),"  ")</f>
        <v>TUBO ELECTRICO PVC 25mm - 3mt(AISCAN)</v>
      </c>
      <c r="O546" s="30" t="str">
        <f>IFERROR(VLOOKUP(M546,'LISTA ITEMS (2)'!$E$2:$G$910,3,FALSE)," ")</f>
        <v>UND</v>
      </c>
      <c r="P546" s="176">
        <v>13</v>
      </c>
      <c r="Q546" s="181"/>
      <c r="R546" s="17"/>
      <c r="S546" s="156">
        <v>7</v>
      </c>
    </row>
    <row r="547" spans="1:19" ht="24" x14ac:dyDescent="0.3">
      <c r="A547" s="27">
        <v>545</v>
      </c>
      <c r="B547" s="122">
        <v>32</v>
      </c>
      <c r="C547" s="94">
        <v>32</v>
      </c>
      <c r="D547" s="246" t="s">
        <v>831</v>
      </c>
      <c r="E547" s="246" t="s">
        <v>829</v>
      </c>
      <c r="F547" s="193" t="s">
        <v>840</v>
      </c>
      <c r="G547" s="193" t="s">
        <v>700</v>
      </c>
      <c r="H547" s="193" t="s">
        <v>695</v>
      </c>
      <c r="I547" s="28">
        <v>46080</v>
      </c>
      <c r="J547" s="16">
        <v>9</v>
      </c>
      <c r="K547" s="16">
        <v>32</v>
      </c>
      <c r="L547" s="16">
        <v>223</v>
      </c>
      <c r="M547" s="247" t="str">
        <f t="shared" si="10"/>
        <v>9-32-223</v>
      </c>
      <c r="N547" s="17" t="str">
        <f>IFERROR(VLOOKUP(M547,'LISTA ITEMS (2)'!$E$2:$G$910,2,FALSE),"  ")</f>
        <v>CURVA PVC M-25 GRIS TIPO A</v>
      </c>
      <c r="O547" s="30" t="str">
        <f>IFERROR(VLOOKUP(M547,'LISTA ITEMS (2)'!$E$2:$G$910,3,FALSE)," ")</f>
        <v>UND</v>
      </c>
      <c r="P547" s="176">
        <v>10</v>
      </c>
      <c r="Q547" s="181"/>
      <c r="R547" s="17"/>
      <c r="S547" s="156">
        <v>3</v>
      </c>
    </row>
    <row r="548" spans="1:19" ht="28.8" x14ac:dyDescent="0.3">
      <c r="A548" s="27">
        <v>546</v>
      </c>
      <c r="B548" s="122">
        <v>32</v>
      </c>
      <c r="C548" s="94">
        <v>32</v>
      </c>
      <c r="D548" s="246" t="s">
        <v>831</v>
      </c>
      <c r="E548" s="246" t="s">
        <v>829</v>
      </c>
      <c r="F548" s="193" t="s">
        <v>840</v>
      </c>
      <c r="G548" s="193" t="s">
        <v>700</v>
      </c>
      <c r="H548" s="193" t="s">
        <v>695</v>
      </c>
      <c r="I548" s="28">
        <v>46080</v>
      </c>
      <c r="J548" s="16">
        <v>16</v>
      </c>
      <c r="K548" s="16">
        <v>61</v>
      </c>
      <c r="L548" s="16">
        <v>331</v>
      </c>
      <c r="M548" s="247" t="str">
        <f t="shared" si="10"/>
        <v>16-61-331</v>
      </c>
      <c r="N548" s="17" t="str">
        <f>IFERROR(VLOOKUP(M548,'LISTA ITEMS (2)'!$E$2:$G$910,2,FALSE),"  ")</f>
        <v>CONECTOR FOTOVOLTAICO HEMBRA M4 NEGRO</v>
      </c>
      <c r="O548" s="30" t="str">
        <f>IFERROR(VLOOKUP(M548,'LISTA ITEMS (2)'!$E$2:$G$910,3,FALSE)," ")</f>
        <v>UND</v>
      </c>
      <c r="P548" s="176">
        <v>10</v>
      </c>
      <c r="Q548" s="181"/>
      <c r="R548" s="17"/>
      <c r="S548" s="156">
        <v>4</v>
      </c>
    </row>
    <row r="549" spans="1:19" ht="28.8" x14ac:dyDescent="0.3">
      <c r="A549" s="27">
        <v>547</v>
      </c>
      <c r="B549" s="122">
        <v>32</v>
      </c>
      <c r="C549" s="94">
        <v>32</v>
      </c>
      <c r="D549" s="246" t="s">
        <v>831</v>
      </c>
      <c r="E549" s="246" t="s">
        <v>829</v>
      </c>
      <c r="F549" s="193" t="s">
        <v>840</v>
      </c>
      <c r="G549" s="193" t="s">
        <v>700</v>
      </c>
      <c r="H549" s="193" t="s">
        <v>695</v>
      </c>
      <c r="I549" s="28">
        <v>46080</v>
      </c>
      <c r="J549" s="16">
        <v>16</v>
      </c>
      <c r="K549" s="16">
        <v>61</v>
      </c>
      <c r="L549" s="16">
        <v>332</v>
      </c>
      <c r="M549" s="247" t="str">
        <f t="shared" si="10"/>
        <v>16-61-332</v>
      </c>
      <c r="N549" s="17" t="str">
        <f>IFERROR(VLOOKUP(M549,'LISTA ITEMS (2)'!$E$2:$G$910,2,FALSE),"  ")</f>
        <v>CONECTOR FOTOVOLTAICO MACHO M4 NEGRO</v>
      </c>
      <c r="O549" s="30" t="str">
        <f>IFERROR(VLOOKUP(M549,'LISTA ITEMS (2)'!$E$2:$G$910,3,FALSE)," ")</f>
        <v>UND</v>
      </c>
      <c r="P549" s="176">
        <v>10</v>
      </c>
      <c r="Q549" s="181"/>
      <c r="R549" s="17"/>
      <c r="S549" s="156">
        <v>4</v>
      </c>
    </row>
    <row r="550" spans="1:19" ht="24" x14ac:dyDescent="0.3">
      <c r="A550" s="27">
        <v>548</v>
      </c>
      <c r="B550" s="122">
        <v>32</v>
      </c>
      <c r="C550" s="94">
        <v>32</v>
      </c>
      <c r="D550" s="246" t="s">
        <v>831</v>
      </c>
      <c r="E550" s="246" t="s">
        <v>829</v>
      </c>
      <c r="F550" s="193" t="s">
        <v>840</v>
      </c>
      <c r="G550" s="193" t="s">
        <v>700</v>
      </c>
      <c r="H550" s="193" t="s">
        <v>695</v>
      </c>
      <c r="I550" s="28">
        <v>46080</v>
      </c>
      <c r="J550" s="16">
        <v>3</v>
      </c>
      <c r="K550" s="16">
        <v>31</v>
      </c>
      <c r="L550" s="16">
        <v>277</v>
      </c>
      <c r="M550" s="247" t="str">
        <f t="shared" si="10"/>
        <v>3-31-277</v>
      </c>
      <c r="N550" s="17" t="str">
        <f>IFERROR(VLOOKUP(M550,'LISTA ITEMS (2)'!$E$2:$G$910,2,FALSE),"  ")</f>
        <v>CABLE Nª 6 P/PLACA SOLAR NEGRO</v>
      </c>
      <c r="O550" s="30" t="str">
        <f>IFERROR(VLOOKUP(M550,'LISTA ITEMS (2)'!$E$2:$G$910,3,FALSE)," ")</f>
        <v>MT</v>
      </c>
      <c r="P550" s="176">
        <v>24</v>
      </c>
      <c r="Q550" s="181"/>
      <c r="R550" s="17"/>
      <c r="S550" s="156"/>
    </row>
    <row r="551" spans="1:19" ht="24" x14ac:dyDescent="0.3">
      <c r="A551" s="27">
        <v>549</v>
      </c>
      <c r="B551" s="122">
        <v>32</v>
      </c>
      <c r="C551" s="94">
        <v>32</v>
      </c>
      <c r="D551" s="246" t="s">
        <v>831</v>
      </c>
      <c r="E551" s="246" t="s">
        <v>829</v>
      </c>
      <c r="F551" s="193" t="s">
        <v>840</v>
      </c>
      <c r="G551" s="193" t="s">
        <v>700</v>
      </c>
      <c r="H551" s="193" t="s">
        <v>695</v>
      </c>
      <c r="I551" s="28">
        <v>46080</v>
      </c>
      <c r="J551" s="16">
        <v>3</v>
      </c>
      <c r="K551" s="16">
        <v>31</v>
      </c>
      <c r="L551" s="16">
        <v>278</v>
      </c>
      <c r="M551" s="247" t="str">
        <f t="shared" si="10"/>
        <v>3-31-278</v>
      </c>
      <c r="N551" s="17" t="str">
        <f>IFERROR(VLOOKUP(M551,'LISTA ITEMS (2)'!$E$2:$G$910,2,FALSE),"  ")</f>
        <v>CABLE Nª 6 P/PLACA SOLAR ROJO</v>
      </c>
      <c r="O551" s="30" t="str">
        <f>IFERROR(VLOOKUP(M551,'LISTA ITEMS (2)'!$E$2:$G$910,3,FALSE)," ")</f>
        <v>MT</v>
      </c>
      <c r="P551" s="176">
        <v>20</v>
      </c>
      <c r="Q551" s="181"/>
      <c r="R551" s="17"/>
      <c r="S551" s="156"/>
    </row>
    <row r="552" spans="1:19" ht="24" x14ac:dyDescent="0.3">
      <c r="A552" s="27">
        <v>550</v>
      </c>
      <c r="B552" s="122">
        <v>32</v>
      </c>
      <c r="C552" s="94">
        <v>32</v>
      </c>
      <c r="D552" s="246" t="s">
        <v>831</v>
      </c>
      <c r="E552" s="246" t="s">
        <v>829</v>
      </c>
      <c r="F552" s="193" t="s">
        <v>840</v>
      </c>
      <c r="G552" s="193" t="s">
        <v>700</v>
      </c>
      <c r="H552" s="193" t="s">
        <v>695</v>
      </c>
      <c r="I552" s="28">
        <v>46080</v>
      </c>
      <c r="J552" s="16">
        <v>10</v>
      </c>
      <c r="K552" s="16">
        <v>43</v>
      </c>
      <c r="L552" s="16">
        <v>270</v>
      </c>
      <c r="M552" s="247" t="str">
        <f t="shared" si="10"/>
        <v>10-43-270</v>
      </c>
      <c r="N552" s="17" t="str">
        <f>IFERROR(VLOOKUP(M552,'LISTA ITEMS (2)'!$E$2:$G$910,2,FALSE),"  ")</f>
        <v>EMPALME ALUMINIO P/BARRA</v>
      </c>
      <c r="O552" s="30" t="str">
        <f>IFERROR(VLOOKUP(M552,'LISTA ITEMS (2)'!$E$2:$G$910,3,FALSE)," ")</f>
        <v>UND</v>
      </c>
      <c r="P552" s="176">
        <v>8</v>
      </c>
      <c r="Q552" s="181"/>
      <c r="R552" s="17"/>
      <c r="S552" s="156">
        <v>4</v>
      </c>
    </row>
    <row r="553" spans="1:19" ht="24" x14ac:dyDescent="0.3">
      <c r="A553" s="27">
        <v>551</v>
      </c>
      <c r="B553" s="122">
        <v>32</v>
      </c>
      <c r="C553" s="94">
        <v>32</v>
      </c>
      <c r="D553" s="246" t="s">
        <v>831</v>
      </c>
      <c r="E553" s="246" t="s">
        <v>829</v>
      </c>
      <c r="F553" s="193" t="s">
        <v>840</v>
      </c>
      <c r="G553" s="193" t="s">
        <v>700</v>
      </c>
      <c r="H553" s="193" t="s">
        <v>695</v>
      </c>
      <c r="I553" s="28">
        <v>46080</v>
      </c>
      <c r="J553" s="16">
        <v>13</v>
      </c>
      <c r="K553" s="16">
        <v>22</v>
      </c>
      <c r="L553" s="16">
        <v>184</v>
      </c>
      <c r="M553" s="247" t="str">
        <f t="shared" si="10"/>
        <v>13-22-184</v>
      </c>
      <c r="N553" s="17" t="str">
        <f>IFERROR(VLOOKUP(M553,'LISTA ITEMS (2)'!$E$2:$G$910,2,FALSE),"  ")</f>
        <v>BRIDA P/EXTERIOR NEGRA</v>
      </c>
      <c r="O553" s="30" t="str">
        <f>IFERROR(VLOOKUP(M553,'LISTA ITEMS (2)'!$E$2:$G$910,3,FALSE)," ")</f>
        <v>UND</v>
      </c>
      <c r="P553" s="176">
        <v>100</v>
      </c>
      <c r="Q553" s="181"/>
      <c r="R553" s="17"/>
      <c r="S553" s="156"/>
    </row>
    <row r="554" spans="1:19" ht="24" x14ac:dyDescent="0.3">
      <c r="A554" s="27">
        <v>552</v>
      </c>
      <c r="B554" s="122">
        <v>32</v>
      </c>
      <c r="C554" s="94">
        <v>32</v>
      </c>
      <c r="D554" s="246" t="s">
        <v>831</v>
      </c>
      <c r="E554" s="246" t="s">
        <v>829</v>
      </c>
      <c r="F554" s="193" t="s">
        <v>840</v>
      </c>
      <c r="G554" s="193" t="s">
        <v>700</v>
      </c>
      <c r="H554" s="193" t="s">
        <v>695</v>
      </c>
      <c r="I554" s="28">
        <v>46080</v>
      </c>
      <c r="J554" s="16">
        <v>17</v>
      </c>
      <c r="K554" s="16">
        <v>44</v>
      </c>
      <c r="L554" s="16">
        <v>271</v>
      </c>
      <c r="M554" s="247" t="str">
        <f t="shared" si="10"/>
        <v>17-44-271</v>
      </c>
      <c r="N554" s="17" t="str">
        <f>IFERROR(VLOOKUP(M554,'LISTA ITEMS (2)'!$E$2:$G$910,2,FALSE),"  ")</f>
        <v>SELLANTE QUIMICO BLANCO</v>
      </c>
      <c r="O554" s="30" t="str">
        <f>IFERROR(VLOOKUP(M554,'LISTA ITEMS (2)'!$E$2:$G$910,3,FALSE)," ")</f>
        <v>UND</v>
      </c>
      <c r="P554" s="176">
        <v>1</v>
      </c>
      <c r="Q554" s="181"/>
      <c r="R554" s="17"/>
      <c r="S554" s="156"/>
    </row>
    <row r="555" spans="1:19" ht="24" x14ac:dyDescent="0.3">
      <c r="A555" s="27">
        <v>553</v>
      </c>
      <c r="B555" s="122">
        <v>32</v>
      </c>
      <c r="C555" s="94">
        <v>32</v>
      </c>
      <c r="D555" s="246" t="s">
        <v>831</v>
      </c>
      <c r="E555" s="246" t="s">
        <v>829</v>
      </c>
      <c r="F555" s="193" t="s">
        <v>840</v>
      </c>
      <c r="G555" s="193" t="s">
        <v>700</v>
      </c>
      <c r="H555" s="193" t="s">
        <v>695</v>
      </c>
      <c r="I555" s="28">
        <v>46080</v>
      </c>
      <c r="J555" s="16">
        <v>17</v>
      </c>
      <c r="K555" s="16">
        <v>44</v>
      </c>
      <c r="L555" s="16">
        <v>272</v>
      </c>
      <c r="M555" s="247" t="str">
        <f t="shared" si="10"/>
        <v>17-44-272</v>
      </c>
      <c r="N555" s="17" t="str">
        <f>IFERROR(VLOOKUP(M555,'LISTA ITEMS (2)'!$E$2:$G$910,2,FALSE),"  ")</f>
        <v>SELLANTE QUIMICO GRIS</v>
      </c>
      <c r="O555" s="30" t="str">
        <f>IFERROR(VLOOKUP(M555,'LISTA ITEMS (2)'!$E$2:$G$910,3,FALSE)," ")</f>
        <v>UND</v>
      </c>
      <c r="P555" s="176">
        <v>1</v>
      </c>
      <c r="Q555" s="181"/>
      <c r="R555" s="17"/>
      <c r="S555" s="156"/>
    </row>
    <row r="556" spans="1:19" ht="28.8" x14ac:dyDescent="0.3">
      <c r="A556" s="27">
        <v>554</v>
      </c>
      <c r="B556" s="122">
        <v>32</v>
      </c>
      <c r="C556" s="94">
        <v>32</v>
      </c>
      <c r="D556" s="246" t="s">
        <v>831</v>
      </c>
      <c r="E556" s="246" t="s">
        <v>829</v>
      </c>
      <c r="F556" s="193" t="s">
        <v>840</v>
      </c>
      <c r="G556" s="193" t="s">
        <v>700</v>
      </c>
      <c r="H556" s="193" t="s">
        <v>695</v>
      </c>
      <c r="I556" s="28">
        <v>46080</v>
      </c>
      <c r="J556" s="16">
        <v>10</v>
      </c>
      <c r="K556" s="16">
        <v>15</v>
      </c>
      <c r="L556" s="16">
        <v>269</v>
      </c>
      <c r="M556" s="247" t="str">
        <f t="shared" si="10"/>
        <v>10-15-269</v>
      </c>
      <c r="N556" s="17" t="str">
        <f>IFERROR(VLOOKUP(M556,'LISTA ITEMS (2)'!$E$2:$G$910,2,FALSE),"  ")</f>
        <v>BARRA ALUMINIO PARA ESTRUCTURA  3.60mt</v>
      </c>
      <c r="O556" s="30" t="str">
        <f>IFERROR(VLOOKUP(M556,'LISTA ITEMS (2)'!$E$2:$G$910,3,FALSE)," ")</f>
        <v>UND</v>
      </c>
      <c r="P556" s="176">
        <v>7</v>
      </c>
      <c r="Q556" s="181"/>
      <c r="R556" s="17"/>
      <c r="S556" s="156">
        <v>4</v>
      </c>
    </row>
    <row r="557" spans="1:19" ht="18" x14ac:dyDescent="0.3">
      <c r="A557" s="27"/>
      <c r="B557" s="122"/>
      <c r="C557" s="94"/>
      <c r="D557" s="246"/>
      <c r="E557" s="246"/>
      <c r="F557" s="20"/>
      <c r="G557" s="20"/>
      <c r="H557" s="20"/>
      <c r="I557" s="28"/>
      <c r="J557" s="16"/>
      <c r="K557" s="16"/>
      <c r="L557" s="16"/>
      <c r="M557" s="247"/>
      <c r="N557" s="17"/>
      <c r="O557" s="30"/>
      <c r="P557" s="176"/>
      <c r="Q557" s="181"/>
      <c r="R557" s="17"/>
      <c r="S557" s="156"/>
    </row>
    <row r="558" spans="1:19" s="192" customFormat="1" ht="18" x14ac:dyDescent="0.3">
      <c r="A558" s="186"/>
      <c r="B558" s="186"/>
      <c r="C558" s="187"/>
      <c r="D558" s="226"/>
      <c r="E558" s="226"/>
      <c r="F558" s="188"/>
      <c r="G558" s="188"/>
      <c r="H558" s="188"/>
      <c r="I558" s="189"/>
      <c r="J558" s="186"/>
      <c r="K558" s="186"/>
      <c r="L558" s="186"/>
      <c r="M558" s="190"/>
      <c r="N558" s="191"/>
      <c r="O558" s="187"/>
      <c r="P558" s="240">
        <f>SUM(P3:P557)</f>
        <v>12033.5</v>
      </c>
      <c r="Q558" s="262"/>
      <c r="R558" s="191"/>
      <c r="S558" s="240">
        <f>SUM(S3:S557)</f>
        <v>4957</v>
      </c>
    </row>
  </sheetData>
  <autoFilter ref="A2:S558" xr:uid="{F09162E2-4451-48F6-A8D0-B6F0BE6F016E}">
    <sortState xmlns:xlrd2="http://schemas.microsoft.com/office/spreadsheetml/2017/richdata2" ref="A3:S558">
      <sortCondition ref="A2:A558"/>
    </sortState>
  </autoFilter>
  <mergeCells count="2">
    <mergeCell ref="G1:Q1"/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A299-4A4B-4A7D-8782-24F57D9A081A}">
  <sheetPr>
    <tabColor rgb="FF00B0F0"/>
  </sheetPr>
  <dimension ref="A1:E97"/>
  <sheetViews>
    <sheetView workbookViewId="0">
      <selection activeCell="G79" sqref="G79"/>
    </sheetView>
  </sheetViews>
  <sheetFormatPr baseColWidth="10" defaultRowHeight="14.4" x14ac:dyDescent="0.3"/>
  <cols>
    <col min="1" max="1" width="17.33203125" customWidth="1"/>
    <col min="2" max="2" width="51.109375" customWidth="1"/>
    <col min="3" max="3" width="10.21875" style="241" bestFit="1" customWidth="1"/>
    <col min="4" max="5" width="14" bestFit="1" customWidth="1"/>
  </cols>
  <sheetData>
    <row r="1" spans="1:5" ht="31.8" customHeight="1" x14ac:dyDescent="0.3">
      <c r="A1" s="277" t="s">
        <v>841</v>
      </c>
      <c r="B1" s="277"/>
      <c r="C1" s="277"/>
      <c r="D1" s="277"/>
      <c r="E1" s="277"/>
    </row>
    <row r="2" spans="1:5" ht="28.8" x14ac:dyDescent="0.3">
      <c r="A2" s="242" t="s">
        <v>348</v>
      </c>
      <c r="B2" s="242" t="s">
        <v>4</v>
      </c>
      <c r="C2" s="243" t="s">
        <v>5</v>
      </c>
      <c r="D2" s="244" t="s">
        <v>568</v>
      </c>
      <c r="E2" s="244" t="s">
        <v>567</v>
      </c>
    </row>
    <row r="3" spans="1:5" x14ac:dyDescent="0.3">
      <c r="A3" s="245" t="s">
        <v>295</v>
      </c>
      <c r="B3" s="245" t="s">
        <v>688</v>
      </c>
      <c r="C3" s="244" t="s">
        <v>8</v>
      </c>
      <c r="D3" s="245">
        <v>170</v>
      </c>
      <c r="E3" s="245">
        <v>40</v>
      </c>
    </row>
    <row r="4" spans="1:5" x14ac:dyDescent="0.3">
      <c r="A4" s="245" t="s">
        <v>214</v>
      </c>
      <c r="B4" s="245" t="s">
        <v>128</v>
      </c>
      <c r="C4" s="244" t="s">
        <v>8</v>
      </c>
      <c r="D4" s="245">
        <v>20</v>
      </c>
      <c r="E4" s="245">
        <v>6</v>
      </c>
    </row>
    <row r="5" spans="1:5" x14ac:dyDescent="0.3">
      <c r="A5" s="245" t="s">
        <v>219</v>
      </c>
      <c r="B5" s="245" t="s">
        <v>137</v>
      </c>
      <c r="C5" s="244" t="s">
        <v>8</v>
      </c>
      <c r="D5" s="245">
        <v>704</v>
      </c>
      <c r="E5" s="245">
        <v>363</v>
      </c>
    </row>
    <row r="6" spans="1:5" x14ac:dyDescent="0.3">
      <c r="A6" s="245" t="s">
        <v>381</v>
      </c>
      <c r="B6" s="245" t="s">
        <v>382</v>
      </c>
      <c r="C6" s="244" t="s">
        <v>8</v>
      </c>
      <c r="D6" s="245">
        <v>15</v>
      </c>
      <c r="E6" s="245">
        <v>13</v>
      </c>
    </row>
    <row r="7" spans="1:5" x14ac:dyDescent="0.3">
      <c r="A7" s="245" t="s">
        <v>435</v>
      </c>
      <c r="B7" s="245" t="s">
        <v>436</v>
      </c>
      <c r="C7" s="244" t="s">
        <v>8</v>
      </c>
      <c r="D7" s="245">
        <v>539</v>
      </c>
      <c r="E7" s="245">
        <v>216</v>
      </c>
    </row>
    <row r="8" spans="1:5" x14ac:dyDescent="0.3">
      <c r="A8" s="245" t="s">
        <v>437</v>
      </c>
      <c r="B8" s="245" t="s">
        <v>438</v>
      </c>
      <c r="C8" s="244" t="s">
        <v>8</v>
      </c>
      <c r="D8" s="245">
        <v>15</v>
      </c>
      <c r="E8" s="245">
        <v>14</v>
      </c>
    </row>
    <row r="9" spans="1:5" x14ac:dyDescent="0.3">
      <c r="A9" s="245" t="s">
        <v>529</v>
      </c>
      <c r="B9" s="245" t="s">
        <v>530</v>
      </c>
      <c r="C9" s="244" t="s">
        <v>8</v>
      </c>
      <c r="D9" s="245">
        <v>573</v>
      </c>
      <c r="E9" s="245">
        <v>210</v>
      </c>
    </row>
    <row r="10" spans="1:5" x14ac:dyDescent="0.3">
      <c r="A10" s="245" t="s">
        <v>294</v>
      </c>
      <c r="B10" s="245" t="s">
        <v>377</v>
      </c>
      <c r="C10" s="244" t="s">
        <v>8</v>
      </c>
      <c r="D10" s="245">
        <v>96</v>
      </c>
      <c r="E10" s="245">
        <v>34</v>
      </c>
    </row>
    <row r="11" spans="1:5" x14ac:dyDescent="0.3">
      <c r="A11" s="245" t="s">
        <v>527</v>
      </c>
      <c r="B11" s="245" t="s">
        <v>528</v>
      </c>
      <c r="C11" s="244" t="s">
        <v>8</v>
      </c>
      <c r="D11" s="245">
        <v>11</v>
      </c>
      <c r="E11" s="245">
        <v>3</v>
      </c>
    </row>
    <row r="12" spans="1:5" x14ac:dyDescent="0.3">
      <c r="A12" s="245" t="s">
        <v>297</v>
      </c>
      <c r="B12" s="245" t="s">
        <v>298</v>
      </c>
      <c r="C12" s="244" t="s">
        <v>8</v>
      </c>
      <c r="D12" s="245">
        <v>163</v>
      </c>
      <c r="E12" s="245">
        <v>78</v>
      </c>
    </row>
    <row r="13" spans="1:5" x14ac:dyDescent="0.3">
      <c r="A13" s="245" t="s">
        <v>167</v>
      </c>
      <c r="B13" s="245" t="s">
        <v>56</v>
      </c>
      <c r="C13" s="244" t="s">
        <v>8</v>
      </c>
      <c r="D13" s="245">
        <v>1500</v>
      </c>
      <c r="E13" s="245">
        <v>500</v>
      </c>
    </row>
    <row r="14" spans="1:5" x14ac:dyDescent="0.3">
      <c r="A14" s="245" t="s">
        <v>169</v>
      </c>
      <c r="B14" s="245" t="s">
        <v>59</v>
      </c>
      <c r="C14" s="244" t="s">
        <v>8</v>
      </c>
      <c r="D14" s="245">
        <v>200</v>
      </c>
      <c r="E14" s="245">
        <v>200</v>
      </c>
    </row>
    <row r="15" spans="1:5" x14ac:dyDescent="0.3">
      <c r="A15" s="245" t="s">
        <v>170</v>
      </c>
      <c r="B15" s="245" t="s">
        <v>60</v>
      </c>
      <c r="C15" s="244" t="s">
        <v>8</v>
      </c>
      <c r="D15" s="245">
        <v>2800</v>
      </c>
      <c r="E15" s="245">
        <v>1300</v>
      </c>
    </row>
    <row r="16" spans="1:5" x14ac:dyDescent="0.3">
      <c r="A16" s="245" t="s">
        <v>172</v>
      </c>
      <c r="B16" s="245" t="s">
        <v>65</v>
      </c>
      <c r="C16" s="244" t="s">
        <v>8</v>
      </c>
      <c r="D16" s="245">
        <v>1</v>
      </c>
      <c r="E16" s="245"/>
    </row>
    <row r="17" spans="1:5" x14ac:dyDescent="0.3">
      <c r="A17" s="245" t="s">
        <v>173</v>
      </c>
      <c r="B17" s="245" t="s">
        <v>66</v>
      </c>
      <c r="C17" s="244" t="s">
        <v>8</v>
      </c>
      <c r="D17" s="245">
        <v>1</v>
      </c>
      <c r="E17" s="245">
        <v>0</v>
      </c>
    </row>
    <row r="18" spans="1:5" x14ac:dyDescent="0.3">
      <c r="A18" s="245" t="s">
        <v>176</v>
      </c>
      <c r="B18" s="245" t="s">
        <v>62</v>
      </c>
      <c r="C18" s="244" t="s">
        <v>8</v>
      </c>
      <c r="D18" s="245">
        <v>2</v>
      </c>
      <c r="E18" s="245"/>
    </row>
    <row r="19" spans="1:5" x14ac:dyDescent="0.3">
      <c r="A19" s="245" t="s">
        <v>177</v>
      </c>
      <c r="B19" s="245" t="s">
        <v>63</v>
      </c>
      <c r="C19" s="244" t="s">
        <v>8</v>
      </c>
      <c r="D19" s="245">
        <v>1</v>
      </c>
      <c r="E19" s="245">
        <v>0</v>
      </c>
    </row>
    <row r="20" spans="1:5" x14ac:dyDescent="0.3">
      <c r="A20" s="245" t="s">
        <v>281</v>
      </c>
      <c r="B20" s="245" t="s">
        <v>243</v>
      </c>
      <c r="C20" s="244" t="s">
        <v>8</v>
      </c>
      <c r="D20" s="245">
        <v>50</v>
      </c>
      <c r="E20" s="245">
        <v>50</v>
      </c>
    </row>
    <row r="21" spans="1:5" x14ac:dyDescent="0.3">
      <c r="A21" s="245" t="s">
        <v>671</v>
      </c>
      <c r="B21" s="245" t="s">
        <v>672</v>
      </c>
      <c r="C21" s="244" t="s">
        <v>8</v>
      </c>
      <c r="D21" s="245">
        <v>2</v>
      </c>
      <c r="E21" s="245"/>
    </row>
    <row r="22" spans="1:5" x14ac:dyDescent="0.3">
      <c r="A22" s="245" t="s">
        <v>673</v>
      </c>
      <c r="B22" s="245" t="s">
        <v>674</v>
      </c>
      <c r="C22" s="244" t="s">
        <v>8</v>
      </c>
      <c r="D22" s="245">
        <v>2</v>
      </c>
      <c r="E22" s="245"/>
    </row>
    <row r="23" spans="1:5" x14ac:dyDescent="0.3">
      <c r="A23" s="245" t="s">
        <v>179</v>
      </c>
      <c r="B23" s="245" t="s">
        <v>72</v>
      </c>
      <c r="C23" s="244" t="s">
        <v>8</v>
      </c>
      <c r="D23" s="245">
        <v>54</v>
      </c>
      <c r="E23" s="245">
        <v>21</v>
      </c>
    </row>
    <row r="24" spans="1:5" x14ac:dyDescent="0.3">
      <c r="A24" s="245" t="s">
        <v>649</v>
      </c>
      <c r="B24" s="245" t="s">
        <v>650</v>
      </c>
      <c r="C24" s="244" t="s">
        <v>8</v>
      </c>
      <c r="D24" s="245">
        <v>2</v>
      </c>
      <c r="E24" s="245"/>
    </row>
    <row r="25" spans="1:5" x14ac:dyDescent="0.3">
      <c r="A25" s="245" t="s">
        <v>445</v>
      </c>
      <c r="B25" s="245" t="s">
        <v>446</v>
      </c>
      <c r="C25" s="244" t="s">
        <v>8</v>
      </c>
      <c r="D25" s="245">
        <v>1</v>
      </c>
      <c r="E25" s="245"/>
    </row>
    <row r="26" spans="1:5" x14ac:dyDescent="0.3">
      <c r="A26" s="245" t="s">
        <v>774</v>
      </c>
      <c r="B26" s="245" t="s">
        <v>775</v>
      </c>
      <c r="C26" s="244" t="s">
        <v>8</v>
      </c>
      <c r="D26" s="245">
        <v>4</v>
      </c>
      <c r="E26" s="245"/>
    </row>
    <row r="27" spans="1:5" x14ac:dyDescent="0.3">
      <c r="A27" s="245" t="s">
        <v>643</v>
      </c>
      <c r="B27" s="245" t="s">
        <v>644</v>
      </c>
      <c r="C27" s="244" t="s">
        <v>8</v>
      </c>
      <c r="D27" s="245">
        <v>4</v>
      </c>
      <c r="E27" s="245"/>
    </row>
    <row r="28" spans="1:5" x14ac:dyDescent="0.3">
      <c r="A28" s="245" t="s">
        <v>308</v>
      </c>
      <c r="B28" s="245" t="s">
        <v>309</v>
      </c>
      <c r="C28" s="244" t="s">
        <v>8</v>
      </c>
      <c r="D28" s="245">
        <v>9</v>
      </c>
      <c r="E28" s="245">
        <v>2</v>
      </c>
    </row>
    <row r="29" spans="1:5" x14ac:dyDescent="0.3">
      <c r="A29" s="245" t="s">
        <v>310</v>
      </c>
      <c r="B29" s="245" t="s">
        <v>311</v>
      </c>
      <c r="C29" s="244" t="s">
        <v>8</v>
      </c>
      <c r="D29" s="245">
        <v>9</v>
      </c>
      <c r="E29" s="245">
        <v>1</v>
      </c>
    </row>
    <row r="30" spans="1:5" x14ac:dyDescent="0.3">
      <c r="A30" s="245" t="s">
        <v>393</v>
      </c>
      <c r="B30" s="245" t="s">
        <v>394</v>
      </c>
      <c r="C30" s="244" t="s">
        <v>8</v>
      </c>
      <c r="D30" s="245">
        <v>16</v>
      </c>
      <c r="E30" s="245">
        <v>1</v>
      </c>
    </row>
    <row r="31" spans="1:5" x14ac:dyDescent="0.3">
      <c r="A31" s="245" t="s">
        <v>403</v>
      </c>
      <c r="B31" s="245" t="s">
        <v>404</v>
      </c>
      <c r="C31" s="244" t="s">
        <v>8</v>
      </c>
      <c r="D31" s="245">
        <v>2</v>
      </c>
      <c r="E31" s="245"/>
    </row>
    <row r="32" spans="1:5" x14ac:dyDescent="0.3">
      <c r="A32" s="245" t="s">
        <v>439</v>
      </c>
      <c r="B32" s="245" t="s">
        <v>440</v>
      </c>
      <c r="C32" s="244" t="s">
        <v>8</v>
      </c>
      <c r="D32" s="245">
        <v>5</v>
      </c>
      <c r="E32" s="245">
        <v>1</v>
      </c>
    </row>
    <row r="33" spans="1:5" x14ac:dyDescent="0.3">
      <c r="A33" s="245" t="s">
        <v>698</v>
      </c>
      <c r="B33" s="245" t="s">
        <v>699</v>
      </c>
      <c r="C33" s="244" t="s">
        <v>8</v>
      </c>
      <c r="D33" s="245">
        <v>1</v>
      </c>
      <c r="E33" s="245"/>
    </row>
    <row r="34" spans="1:5" x14ac:dyDescent="0.3">
      <c r="A34" s="245" t="s">
        <v>331</v>
      </c>
      <c r="B34" s="245" t="s">
        <v>378</v>
      </c>
      <c r="C34" s="244" t="s">
        <v>108</v>
      </c>
      <c r="D34" s="245">
        <v>1</v>
      </c>
      <c r="E34" s="245">
        <v>1</v>
      </c>
    </row>
    <row r="35" spans="1:5" x14ac:dyDescent="0.3">
      <c r="A35" s="245" t="s">
        <v>333</v>
      </c>
      <c r="B35" s="245" t="s">
        <v>334</v>
      </c>
      <c r="C35" s="244" t="s">
        <v>8</v>
      </c>
      <c r="D35" s="245">
        <v>5</v>
      </c>
      <c r="E35" s="245">
        <v>2</v>
      </c>
    </row>
    <row r="36" spans="1:5" x14ac:dyDescent="0.3">
      <c r="A36" s="245" t="s">
        <v>441</v>
      </c>
      <c r="B36" s="245" t="s">
        <v>442</v>
      </c>
      <c r="C36" s="244" t="s">
        <v>8</v>
      </c>
      <c r="D36" s="245">
        <v>14</v>
      </c>
      <c r="E36" s="245">
        <v>2</v>
      </c>
    </row>
    <row r="37" spans="1:5" x14ac:dyDescent="0.3">
      <c r="A37" s="245" t="s">
        <v>335</v>
      </c>
      <c r="B37" s="245" t="s">
        <v>336</v>
      </c>
      <c r="C37" s="244" t="s">
        <v>8</v>
      </c>
      <c r="D37" s="245">
        <v>34</v>
      </c>
      <c r="E37" s="245">
        <v>5</v>
      </c>
    </row>
    <row r="38" spans="1:5" x14ac:dyDescent="0.3">
      <c r="A38" s="245" t="s">
        <v>337</v>
      </c>
      <c r="B38" s="245" t="s">
        <v>338</v>
      </c>
      <c r="C38" s="244" t="s">
        <v>8</v>
      </c>
      <c r="D38" s="245">
        <v>4</v>
      </c>
      <c r="E38" s="245">
        <v>0</v>
      </c>
    </row>
    <row r="39" spans="1:5" x14ac:dyDescent="0.3">
      <c r="A39" s="245" t="s">
        <v>371</v>
      </c>
      <c r="B39" s="245" t="s">
        <v>383</v>
      </c>
      <c r="C39" s="244" t="s">
        <v>8</v>
      </c>
      <c r="D39" s="245">
        <v>8</v>
      </c>
      <c r="E39" s="245"/>
    </row>
    <row r="40" spans="1:5" x14ac:dyDescent="0.3">
      <c r="A40" s="245" t="s">
        <v>340</v>
      </c>
      <c r="B40" s="245" t="s">
        <v>341</v>
      </c>
      <c r="C40" s="244" t="s">
        <v>8</v>
      </c>
      <c r="D40" s="245">
        <v>14</v>
      </c>
      <c r="E40" s="245">
        <v>6</v>
      </c>
    </row>
    <row r="41" spans="1:5" x14ac:dyDescent="0.3">
      <c r="A41" s="245" t="s">
        <v>433</v>
      </c>
      <c r="B41" s="245" t="s">
        <v>434</v>
      </c>
      <c r="C41" s="244" t="s">
        <v>8</v>
      </c>
      <c r="D41" s="245">
        <v>22</v>
      </c>
      <c r="E41" s="245">
        <v>5</v>
      </c>
    </row>
    <row r="42" spans="1:5" x14ac:dyDescent="0.3">
      <c r="A42" s="245" t="s">
        <v>667</v>
      </c>
      <c r="B42" s="245" t="s">
        <v>668</v>
      </c>
      <c r="C42" s="244" t="s">
        <v>8</v>
      </c>
      <c r="D42" s="245">
        <v>2</v>
      </c>
      <c r="E42" s="245"/>
    </row>
    <row r="43" spans="1:5" x14ac:dyDescent="0.3">
      <c r="A43" s="245" t="s">
        <v>342</v>
      </c>
      <c r="B43" s="245" t="s">
        <v>665</v>
      </c>
      <c r="C43" s="244" t="s">
        <v>8</v>
      </c>
      <c r="D43" s="245">
        <v>3</v>
      </c>
      <c r="E43" s="245"/>
    </row>
    <row r="44" spans="1:5" x14ac:dyDescent="0.3">
      <c r="A44" s="245" t="s">
        <v>423</v>
      </c>
      <c r="B44" s="245" t="s">
        <v>424</v>
      </c>
      <c r="C44" s="244" t="s">
        <v>8</v>
      </c>
      <c r="D44" s="245">
        <v>7</v>
      </c>
      <c r="E44" s="245">
        <v>0</v>
      </c>
    </row>
    <row r="45" spans="1:5" x14ac:dyDescent="0.3">
      <c r="A45" s="245" t="s">
        <v>344</v>
      </c>
      <c r="B45" s="245" t="s">
        <v>345</v>
      </c>
      <c r="C45" s="244" t="s">
        <v>8</v>
      </c>
      <c r="D45" s="245">
        <v>5</v>
      </c>
      <c r="E45" s="245">
        <v>2</v>
      </c>
    </row>
    <row r="46" spans="1:5" x14ac:dyDescent="0.3">
      <c r="A46" s="245" t="s">
        <v>389</v>
      </c>
      <c r="B46" s="245" t="s">
        <v>390</v>
      </c>
      <c r="C46" s="244" t="s">
        <v>8</v>
      </c>
      <c r="D46" s="245">
        <v>9</v>
      </c>
      <c r="E46" s="245">
        <v>2</v>
      </c>
    </row>
    <row r="47" spans="1:5" x14ac:dyDescent="0.3">
      <c r="A47" s="245" t="s">
        <v>391</v>
      </c>
      <c r="B47" s="245" t="s">
        <v>392</v>
      </c>
      <c r="C47" s="244" t="s">
        <v>8</v>
      </c>
      <c r="D47" s="245">
        <v>11</v>
      </c>
      <c r="E47" s="245">
        <v>1</v>
      </c>
    </row>
    <row r="48" spans="1:5" x14ac:dyDescent="0.3">
      <c r="A48" s="245" t="s">
        <v>443</v>
      </c>
      <c r="B48" s="245" t="s">
        <v>444</v>
      </c>
      <c r="C48" s="244" t="s">
        <v>8</v>
      </c>
      <c r="D48" s="245">
        <v>2</v>
      </c>
      <c r="E48" s="245"/>
    </row>
    <row r="49" spans="1:5" x14ac:dyDescent="0.3">
      <c r="A49" s="245" t="s">
        <v>372</v>
      </c>
      <c r="B49" s="245" t="s">
        <v>384</v>
      </c>
      <c r="C49" s="244" t="s">
        <v>8</v>
      </c>
      <c r="D49" s="245">
        <v>1</v>
      </c>
      <c r="E49" s="245"/>
    </row>
    <row r="50" spans="1:5" x14ac:dyDescent="0.3">
      <c r="A50" s="245" t="s">
        <v>385</v>
      </c>
      <c r="B50" s="245" t="s">
        <v>386</v>
      </c>
      <c r="C50" s="244" t="s">
        <v>8</v>
      </c>
      <c r="D50" s="245">
        <v>11</v>
      </c>
      <c r="E50" s="245">
        <v>1</v>
      </c>
    </row>
    <row r="51" spans="1:5" x14ac:dyDescent="0.3">
      <c r="A51" s="245" t="s">
        <v>524</v>
      </c>
      <c r="B51" s="245" t="s">
        <v>525</v>
      </c>
      <c r="C51" s="244" t="s">
        <v>8</v>
      </c>
      <c r="D51" s="245">
        <v>2</v>
      </c>
      <c r="E51" s="245">
        <v>1</v>
      </c>
    </row>
    <row r="52" spans="1:5" x14ac:dyDescent="0.3">
      <c r="A52" s="245" t="s">
        <v>409</v>
      </c>
      <c r="B52" s="245" t="s">
        <v>410</v>
      </c>
      <c r="C52" s="244" t="s">
        <v>8</v>
      </c>
      <c r="D52" s="245">
        <v>1</v>
      </c>
      <c r="E52" s="245">
        <v>1</v>
      </c>
    </row>
    <row r="53" spans="1:5" x14ac:dyDescent="0.3">
      <c r="A53" s="245" t="s">
        <v>411</v>
      </c>
      <c r="B53" s="245" t="s">
        <v>412</v>
      </c>
      <c r="C53" s="244" t="s">
        <v>8</v>
      </c>
      <c r="D53" s="245">
        <v>1</v>
      </c>
      <c r="E53" s="245">
        <v>1</v>
      </c>
    </row>
    <row r="54" spans="1:5" x14ac:dyDescent="0.3">
      <c r="A54" s="245" t="s">
        <v>373</v>
      </c>
      <c r="B54" s="245" t="s">
        <v>374</v>
      </c>
      <c r="C54" s="244" t="s">
        <v>8</v>
      </c>
      <c r="D54" s="245">
        <v>1</v>
      </c>
      <c r="E54" s="245"/>
    </row>
    <row r="55" spans="1:5" x14ac:dyDescent="0.3">
      <c r="A55" s="245" t="s">
        <v>451</v>
      </c>
      <c r="B55" s="245" t="s">
        <v>779</v>
      </c>
      <c r="C55" s="244" t="s">
        <v>8</v>
      </c>
      <c r="D55" s="245">
        <v>2</v>
      </c>
      <c r="E55" s="245"/>
    </row>
    <row r="56" spans="1:5" x14ac:dyDescent="0.3">
      <c r="A56" s="245" t="s">
        <v>452</v>
      </c>
      <c r="B56" s="245" t="s">
        <v>453</v>
      </c>
      <c r="C56" s="244" t="s">
        <v>8</v>
      </c>
      <c r="D56" s="245">
        <v>1</v>
      </c>
      <c r="E56" s="245"/>
    </row>
    <row r="57" spans="1:5" x14ac:dyDescent="0.3">
      <c r="A57" s="245" t="s">
        <v>531</v>
      </c>
      <c r="B57" s="245" t="s">
        <v>532</v>
      </c>
      <c r="C57" s="244" t="s">
        <v>8</v>
      </c>
      <c r="D57" s="245">
        <v>128</v>
      </c>
      <c r="E57" s="245">
        <v>46</v>
      </c>
    </row>
    <row r="58" spans="1:5" x14ac:dyDescent="0.3">
      <c r="A58" s="245" t="s">
        <v>533</v>
      </c>
      <c r="B58" s="245" t="s">
        <v>534</v>
      </c>
      <c r="C58" s="244" t="s">
        <v>8</v>
      </c>
      <c r="D58" s="245">
        <v>128</v>
      </c>
      <c r="E58" s="245">
        <v>39</v>
      </c>
    </row>
    <row r="59" spans="1:5" x14ac:dyDescent="0.3">
      <c r="A59" s="245" t="s">
        <v>621</v>
      </c>
      <c r="B59" s="245" t="s">
        <v>622</v>
      </c>
      <c r="C59" s="244" t="s">
        <v>8</v>
      </c>
      <c r="D59" s="245">
        <v>1</v>
      </c>
      <c r="E59" s="245">
        <v>1</v>
      </c>
    </row>
    <row r="60" spans="1:5" x14ac:dyDescent="0.3">
      <c r="A60" s="245" t="s">
        <v>732</v>
      </c>
      <c r="B60" s="245" t="s">
        <v>733</v>
      </c>
      <c r="C60" s="244" t="s">
        <v>8</v>
      </c>
      <c r="D60" s="245">
        <v>1</v>
      </c>
      <c r="E60" s="245"/>
    </row>
    <row r="61" spans="1:5" x14ac:dyDescent="0.3">
      <c r="A61" s="245" t="s">
        <v>299</v>
      </c>
      <c r="B61" s="245" t="s">
        <v>300</v>
      </c>
      <c r="C61" s="244" t="s">
        <v>8</v>
      </c>
      <c r="D61" s="245">
        <v>27</v>
      </c>
      <c r="E61" s="245">
        <v>11</v>
      </c>
    </row>
    <row r="62" spans="1:5" x14ac:dyDescent="0.3">
      <c r="A62" s="245" t="s">
        <v>301</v>
      </c>
      <c r="B62" s="245" t="s">
        <v>302</v>
      </c>
      <c r="C62" s="244" t="s">
        <v>8</v>
      </c>
      <c r="D62" s="245">
        <v>27</v>
      </c>
      <c r="E62" s="245">
        <v>11.5</v>
      </c>
    </row>
    <row r="63" spans="1:5" x14ac:dyDescent="0.3">
      <c r="A63" s="245" t="s">
        <v>303</v>
      </c>
      <c r="B63" s="245" t="s">
        <v>304</v>
      </c>
      <c r="C63" s="244" t="s">
        <v>8</v>
      </c>
      <c r="D63" s="245">
        <v>17</v>
      </c>
      <c r="E63" s="245">
        <v>12</v>
      </c>
    </row>
    <row r="64" spans="1:5" x14ac:dyDescent="0.3">
      <c r="A64" s="245" t="s">
        <v>761</v>
      </c>
      <c r="B64" s="245" t="s">
        <v>762</v>
      </c>
      <c r="C64" s="244" t="s">
        <v>8</v>
      </c>
      <c r="D64" s="245">
        <v>80</v>
      </c>
      <c r="E64" s="245">
        <v>34</v>
      </c>
    </row>
    <row r="65" spans="1:5" x14ac:dyDescent="0.3">
      <c r="A65" s="245" t="s">
        <v>196</v>
      </c>
      <c r="B65" s="245" t="s">
        <v>312</v>
      </c>
      <c r="C65" s="244" t="s">
        <v>108</v>
      </c>
      <c r="D65" s="245">
        <v>300</v>
      </c>
      <c r="E65" s="245">
        <v>130</v>
      </c>
    </row>
    <row r="66" spans="1:5" x14ac:dyDescent="0.3">
      <c r="A66" s="245" t="s">
        <v>197</v>
      </c>
      <c r="B66" s="245" t="s">
        <v>313</v>
      </c>
      <c r="C66" s="244" t="s">
        <v>108</v>
      </c>
      <c r="D66" s="245">
        <v>300</v>
      </c>
      <c r="E66" s="245">
        <v>130</v>
      </c>
    </row>
    <row r="67" spans="1:5" x14ac:dyDescent="0.3">
      <c r="A67" s="245" t="s">
        <v>198</v>
      </c>
      <c r="B67" s="245" t="s">
        <v>314</v>
      </c>
      <c r="C67" s="244" t="s">
        <v>108</v>
      </c>
      <c r="D67" s="245">
        <v>300</v>
      </c>
      <c r="E67" s="245"/>
    </row>
    <row r="68" spans="1:5" x14ac:dyDescent="0.3">
      <c r="A68" s="245" t="s">
        <v>199</v>
      </c>
      <c r="B68" s="245" t="s">
        <v>315</v>
      </c>
      <c r="C68" s="244" t="s">
        <v>108</v>
      </c>
      <c r="D68" s="245">
        <v>400</v>
      </c>
      <c r="E68" s="245">
        <v>200</v>
      </c>
    </row>
    <row r="69" spans="1:5" x14ac:dyDescent="0.3">
      <c r="A69" s="245" t="s">
        <v>200</v>
      </c>
      <c r="B69" s="245" t="s">
        <v>316</v>
      </c>
      <c r="C69" s="244" t="s">
        <v>108</v>
      </c>
      <c r="D69" s="245">
        <v>400</v>
      </c>
      <c r="E69" s="245">
        <v>200</v>
      </c>
    </row>
    <row r="70" spans="1:5" x14ac:dyDescent="0.3">
      <c r="A70" s="245" t="s">
        <v>205</v>
      </c>
      <c r="B70" s="245" t="s">
        <v>317</v>
      </c>
      <c r="C70" s="244" t="s">
        <v>108</v>
      </c>
      <c r="D70" s="245">
        <v>130</v>
      </c>
      <c r="E70" s="245">
        <v>113</v>
      </c>
    </row>
    <row r="71" spans="1:5" x14ac:dyDescent="0.3">
      <c r="A71" s="245" t="s">
        <v>206</v>
      </c>
      <c r="B71" s="245" t="s">
        <v>318</v>
      </c>
      <c r="C71" s="244" t="s">
        <v>108</v>
      </c>
      <c r="D71" s="245">
        <v>160</v>
      </c>
      <c r="E71" s="245">
        <v>113</v>
      </c>
    </row>
    <row r="72" spans="1:5" x14ac:dyDescent="0.3">
      <c r="A72" s="245" t="s">
        <v>207</v>
      </c>
      <c r="B72" s="245" t="s">
        <v>319</v>
      </c>
      <c r="C72" s="244" t="s">
        <v>108</v>
      </c>
      <c r="D72" s="245">
        <v>320</v>
      </c>
      <c r="E72" s="245">
        <v>168</v>
      </c>
    </row>
    <row r="73" spans="1:5" x14ac:dyDescent="0.3">
      <c r="A73" s="245" t="s">
        <v>208</v>
      </c>
      <c r="B73" s="245" t="s">
        <v>320</v>
      </c>
      <c r="C73" s="244" t="s">
        <v>108</v>
      </c>
      <c r="D73" s="245">
        <v>300</v>
      </c>
      <c r="E73" s="245">
        <v>113</v>
      </c>
    </row>
    <row r="74" spans="1:5" x14ac:dyDescent="0.3">
      <c r="A74" s="245" t="s">
        <v>209</v>
      </c>
      <c r="B74" s="245" t="s">
        <v>321</v>
      </c>
      <c r="C74" s="244" t="s">
        <v>108</v>
      </c>
      <c r="D74" s="245">
        <v>180</v>
      </c>
      <c r="E74" s="245">
        <v>113</v>
      </c>
    </row>
    <row r="75" spans="1:5" x14ac:dyDescent="0.3">
      <c r="A75" s="245" t="s">
        <v>327</v>
      </c>
      <c r="B75" s="245" t="s">
        <v>669</v>
      </c>
      <c r="C75" s="244" t="s">
        <v>108</v>
      </c>
      <c r="D75" s="245">
        <v>381</v>
      </c>
      <c r="E75" s="245">
        <v>45</v>
      </c>
    </row>
    <row r="76" spans="1:5" x14ac:dyDescent="0.3">
      <c r="A76" s="245" t="s">
        <v>329</v>
      </c>
      <c r="B76" s="245" t="s">
        <v>670</v>
      </c>
      <c r="C76" s="244" t="s">
        <v>108</v>
      </c>
      <c r="D76" s="245">
        <v>365</v>
      </c>
      <c r="E76" s="245">
        <v>50</v>
      </c>
    </row>
    <row r="77" spans="1:5" x14ac:dyDescent="0.3">
      <c r="A77" s="245" t="s">
        <v>293</v>
      </c>
      <c r="B77" s="245" t="s">
        <v>267</v>
      </c>
      <c r="C77" s="244" t="s">
        <v>8</v>
      </c>
      <c r="D77" s="245">
        <v>63</v>
      </c>
      <c r="E77" s="245">
        <v>12</v>
      </c>
    </row>
    <row r="78" spans="1:5" x14ac:dyDescent="0.3">
      <c r="A78" s="245" t="s">
        <v>454</v>
      </c>
      <c r="B78" s="245" t="s">
        <v>455</v>
      </c>
      <c r="C78" s="244" t="s">
        <v>8</v>
      </c>
      <c r="D78" s="245">
        <v>66</v>
      </c>
      <c r="E78" s="245">
        <v>38</v>
      </c>
    </row>
    <row r="79" spans="1:5" x14ac:dyDescent="0.3">
      <c r="A79" s="245" t="s">
        <v>178</v>
      </c>
      <c r="B79" s="245" t="s">
        <v>69</v>
      </c>
      <c r="C79" s="244" t="s">
        <v>8</v>
      </c>
      <c r="D79" s="245">
        <v>18.5</v>
      </c>
      <c r="E79" s="245">
        <v>9.5</v>
      </c>
    </row>
    <row r="80" spans="1:5" x14ac:dyDescent="0.3">
      <c r="A80" s="245" t="s">
        <v>305</v>
      </c>
      <c r="B80" s="245" t="s">
        <v>306</v>
      </c>
      <c r="C80" s="244" t="s">
        <v>8</v>
      </c>
      <c r="D80" s="245">
        <v>2</v>
      </c>
      <c r="E80" s="245">
        <v>0</v>
      </c>
    </row>
    <row r="81" spans="1:5" x14ac:dyDescent="0.3">
      <c r="A81" s="245" t="s">
        <v>379</v>
      </c>
      <c r="B81" s="245" t="s">
        <v>380</v>
      </c>
      <c r="C81" s="244" t="s">
        <v>8</v>
      </c>
      <c r="D81" s="245">
        <v>9</v>
      </c>
      <c r="E81" s="245"/>
    </row>
    <row r="82" spans="1:5" x14ac:dyDescent="0.3">
      <c r="A82" s="245" t="s">
        <v>456</v>
      </c>
      <c r="B82" s="245" t="s">
        <v>457</v>
      </c>
      <c r="C82" s="244" t="s">
        <v>8</v>
      </c>
      <c r="D82" s="245">
        <v>3</v>
      </c>
      <c r="E82" s="245">
        <v>1</v>
      </c>
    </row>
    <row r="83" spans="1:5" x14ac:dyDescent="0.3">
      <c r="A83" s="245" t="s">
        <v>217</v>
      </c>
      <c r="B83" s="245" t="s">
        <v>136</v>
      </c>
      <c r="C83" s="244" t="s">
        <v>8</v>
      </c>
      <c r="D83" s="245">
        <v>3</v>
      </c>
      <c r="E83" s="245">
        <v>2</v>
      </c>
    </row>
    <row r="84" spans="1:5" x14ac:dyDescent="0.3">
      <c r="A84" s="245" t="s">
        <v>234</v>
      </c>
      <c r="B84" s="245" t="s">
        <v>154</v>
      </c>
      <c r="C84" s="244" t="s">
        <v>8</v>
      </c>
      <c r="D84" s="245">
        <v>148</v>
      </c>
      <c r="E84" s="245">
        <v>8</v>
      </c>
    </row>
    <row r="85" spans="1:5" x14ac:dyDescent="0.3">
      <c r="A85" s="245" t="s">
        <v>235</v>
      </c>
      <c r="B85" s="245" t="s">
        <v>155</v>
      </c>
      <c r="C85" s="244" t="s">
        <v>8</v>
      </c>
      <c r="D85" s="245">
        <v>2</v>
      </c>
      <c r="E85" s="245">
        <v>0</v>
      </c>
    </row>
    <row r="86" spans="1:5" x14ac:dyDescent="0.3">
      <c r="A86" s="245" t="s">
        <v>395</v>
      </c>
      <c r="B86" s="245" t="s">
        <v>396</v>
      </c>
      <c r="C86" s="244" t="s">
        <v>8</v>
      </c>
      <c r="D86" s="245">
        <v>12</v>
      </c>
      <c r="E86" s="245"/>
    </row>
    <row r="87" spans="1:5" x14ac:dyDescent="0.3">
      <c r="A87" s="245" t="s">
        <v>449</v>
      </c>
      <c r="B87" s="245" t="s">
        <v>450</v>
      </c>
      <c r="C87" s="244" t="s">
        <v>8</v>
      </c>
      <c r="D87" s="245">
        <v>4</v>
      </c>
      <c r="E87" s="245"/>
    </row>
    <row r="88" spans="1:5" x14ac:dyDescent="0.3">
      <c r="A88" s="245" t="s">
        <v>791</v>
      </c>
      <c r="B88" s="245" t="s">
        <v>792</v>
      </c>
      <c r="C88" s="244" t="s">
        <v>8</v>
      </c>
      <c r="D88" s="245">
        <v>1</v>
      </c>
      <c r="E88" s="245">
        <v>0</v>
      </c>
    </row>
    <row r="89" spans="1:5" x14ac:dyDescent="0.3">
      <c r="A89" s="245" t="s">
        <v>190</v>
      </c>
      <c r="B89" s="245" t="s">
        <v>92</v>
      </c>
      <c r="C89" s="244" t="s">
        <v>8</v>
      </c>
      <c r="D89" s="245">
        <v>100</v>
      </c>
      <c r="E89" s="245">
        <v>100</v>
      </c>
    </row>
    <row r="90" spans="1:5" x14ac:dyDescent="0.3">
      <c r="A90" s="245" t="s">
        <v>447</v>
      </c>
      <c r="B90" s="245" t="s">
        <v>448</v>
      </c>
      <c r="C90" s="244" t="s">
        <v>8</v>
      </c>
      <c r="D90" s="245">
        <v>40</v>
      </c>
      <c r="E90" s="245">
        <v>40</v>
      </c>
    </row>
    <row r="91" spans="1:5" x14ac:dyDescent="0.3">
      <c r="A91" s="245" t="s">
        <v>543</v>
      </c>
      <c r="B91" s="245" t="s">
        <v>544</v>
      </c>
      <c r="C91" s="244" t="s">
        <v>8</v>
      </c>
      <c r="D91" s="245">
        <v>34</v>
      </c>
      <c r="E91" s="245">
        <v>7</v>
      </c>
    </row>
    <row r="92" spans="1:5" x14ac:dyDescent="0.3">
      <c r="A92" s="245" t="s">
        <v>387</v>
      </c>
      <c r="B92" s="245" t="s">
        <v>388</v>
      </c>
      <c r="C92" s="244" t="s">
        <v>8</v>
      </c>
      <c r="D92" s="245">
        <v>104</v>
      </c>
      <c r="E92" s="245">
        <v>39</v>
      </c>
    </row>
    <row r="93" spans="1:5" x14ac:dyDescent="0.3">
      <c r="A93" s="245" t="s">
        <v>210</v>
      </c>
      <c r="B93" s="245" t="s">
        <v>119</v>
      </c>
      <c r="C93" s="244" t="s">
        <v>8</v>
      </c>
      <c r="D93" s="245">
        <v>194</v>
      </c>
      <c r="E93" s="245">
        <v>63</v>
      </c>
    </row>
    <row r="94" spans="1:5" x14ac:dyDescent="0.3">
      <c r="A94" s="245" t="s">
        <v>211</v>
      </c>
      <c r="B94" s="245" t="s">
        <v>120</v>
      </c>
      <c r="C94" s="244" t="s">
        <v>8</v>
      </c>
      <c r="D94" s="245">
        <v>152</v>
      </c>
      <c r="E94" s="245">
        <v>25</v>
      </c>
    </row>
    <row r="95" spans="1:5" x14ac:dyDescent="0.3">
      <c r="A95" s="245" t="s">
        <v>555</v>
      </c>
      <c r="B95" s="245" t="s">
        <v>555</v>
      </c>
      <c r="C95" s="244" t="s">
        <v>555</v>
      </c>
      <c r="D95" s="245"/>
      <c r="E95" s="245"/>
    </row>
    <row r="96" spans="1:5" x14ac:dyDescent="0.3">
      <c r="A96" s="244" t="s">
        <v>566</v>
      </c>
      <c r="B96" s="244"/>
      <c r="C96" s="244"/>
      <c r="D96" s="245">
        <v>12033.5</v>
      </c>
      <c r="E96" s="245">
        <v>4957</v>
      </c>
    </row>
    <row r="97" spans="3:3" x14ac:dyDescent="0.3">
      <c r="C97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4C5A-647D-4255-A477-E15922548BC1}">
  <sheetPr filterMode="1">
    <tabColor theme="1"/>
  </sheetPr>
  <dimension ref="A1:K911"/>
  <sheetViews>
    <sheetView workbookViewId="0">
      <pane ySplit="2" topLeftCell="A3" activePane="bottomLeft" state="frozen"/>
      <selection pane="bottomLeft" activeCell="D48" sqref="D48"/>
    </sheetView>
  </sheetViews>
  <sheetFormatPr baseColWidth="10" defaultRowHeight="14.4" x14ac:dyDescent="0.3"/>
  <cols>
    <col min="1" max="1" width="3.21875" style="19" customWidth="1"/>
    <col min="2" max="4" width="11.5546875" style="19"/>
    <col min="5" max="5" width="14" style="40" bestFit="1" customWidth="1"/>
    <col min="6" max="6" width="46.5546875" style="1" customWidth="1"/>
    <col min="7" max="7" width="11.5546875" style="78"/>
    <col min="8" max="8" width="11.5546875" style="19"/>
    <col min="9" max="16384" width="11.5546875" style="1"/>
  </cols>
  <sheetData>
    <row r="1" spans="1:8" s="80" customFormat="1" x14ac:dyDescent="0.3">
      <c r="A1" s="32"/>
      <c r="B1" s="304" t="s">
        <v>370</v>
      </c>
      <c r="C1" s="304"/>
      <c r="D1" s="304"/>
      <c r="E1" s="304"/>
      <c r="F1" s="304"/>
      <c r="G1" s="304"/>
      <c r="H1" s="304"/>
    </row>
    <row r="2" spans="1:8" s="80" customFormat="1" ht="28.8" x14ac:dyDescent="0.3">
      <c r="A2" s="32" t="s">
        <v>573</v>
      </c>
      <c r="B2" s="81" t="s">
        <v>0</v>
      </c>
      <c r="C2" s="81" t="s">
        <v>1</v>
      </c>
      <c r="D2" s="81" t="s">
        <v>2</v>
      </c>
      <c r="E2" s="82" t="s">
        <v>3</v>
      </c>
      <c r="F2" s="81" t="s">
        <v>4</v>
      </c>
      <c r="G2" s="83" t="s">
        <v>5</v>
      </c>
      <c r="H2" s="81" t="s">
        <v>6</v>
      </c>
    </row>
    <row r="3" spans="1:8" hidden="1" x14ac:dyDescent="0.3">
      <c r="A3" s="19">
        <v>1</v>
      </c>
      <c r="B3" s="30">
        <v>7</v>
      </c>
      <c r="C3" s="30">
        <v>20</v>
      </c>
      <c r="D3" s="30">
        <v>178</v>
      </c>
      <c r="E3" s="86" t="s">
        <v>274</v>
      </c>
      <c r="F3" s="17" t="s">
        <v>100</v>
      </c>
      <c r="G3" s="30" t="s">
        <v>8</v>
      </c>
      <c r="H3" s="30">
        <v>0</v>
      </c>
    </row>
    <row r="4" spans="1:8" hidden="1" x14ac:dyDescent="0.3">
      <c r="A4" s="19">
        <v>2</v>
      </c>
      <c r="B4" s="30">
        <v>7</v>
      </c>
      <c r="C4" s="30">
        <v>20</v>
      </c>
      <c r="D4" s="30">
        <v>179</v>
      </c>
      <c r="E4" s="86" t="s">
        <v>275</v>
      </c>
      <c r="F4" s="17" t="s">
        <v>101</v>
      </c>
      <c r="G4" s="30" t="s">
        <v>8</v>
      </c>
      <c r="H4" s="30">
        <v>0</v>
      </c>
    </row>
    <row r="5" spans="1:8" hidden="1" x14ac:dyDescent="0.3">
      <c r="A5" s="19">
        <v>3</v>
      </c>
      <c r="B5" s="30">
        <v>13</v>
      </c>
      <c r="C5" s="30">
        <v>21</v>
      </c>
      <c r="D5" s="30">
        <v>180</v>
      </c>
      <c r="E5" s="86" t="s">
        <v>166</v>
      </c>
      <c r="F5" s="17" t="s">
        <v>54</v>
      </c>
      <c r="G5" s="30" t="s">
        <v>8</v>
      </c>
      <c r="H5" s="30" t="s">
        <v>55</v>
      </c>
    </row>
    <row r="6" spans="1:8" hidden="1" x14ac:dyDescent="0.3">
      <c r="A6" s="19">
        <v>4</v>
      </c>
      <c r="B6" s="30">
        <v>13</v>
      </c>
      <c r="C6" s="30">
        <v>21</v>
      </c>
      <c r="D6" s="30">
        <v>181</v>
      </c>
      <c r="E6" s="86" t="s">
        <v>167</v>
      </c>
      <c r="F6" s="17" t="s">
        <v>56</v>
      </c>
      <c r="G6" s="30" t="s">
        <v>8</v>
      </c>
      <c r="H6" s="30" t="s">
        <v>55</v>
      </c>
    </row>
    <row r="7" spans="1:8" hidden="1" x14ac:dyDescent="0.3">
      <c r="A7" s="19">
        <v>5</v>
      </c>
      <c r="B7" s="30">
        <v>13</v>
      </c>
      <c r="C7" s="30">
        <v>22</v>
      </c>
      <c r="D7" s="30">
        <v>182</v>
      </c>
      <c r="E7" s="86" t="s">
        <v>168</v>
      </c>
      <c r="F7" s="17" t="s">
        <v>58</v>
      </c>
      <c r="G7" s="30" t="s">
        <v>8</v>
      </c>
      <c r="H7" s="30" t="s">
        <v>55</v>
      </c>
    </row>
    <row r="8" spans="1:8" hidden="1" x14ac:dyDescent="0.3">
      <c r="A8" s="19">
        <v>6</v>
      </c>
      <c r="B8" s="30">
        <v>13</v>
      </c>
      <c r="C8" s="30">
        <v>22</v>
      </c>
      <c r="D8" s="30">
        <v>183</v>
      </c>
      <c r="E8" s="86" t="s">
        <v>169</v>
      </c>
      <c r="F8" s="17" t="s">
        <v>59</v>
      </c>
      <c r="G8" s="30" t="s">
        <v>8</v>
      </c>
      <c r="H8" s="30" t="s">
        <v>55</v>
      </c>
    </row>
    <row r="9" spans="1:8" hidden="1" x14ac:dyDescent="0.3">
      <c r="A9" s="19">
        <v>7</v>
      </c>
      <c r="B9" s="30">
        <v>13</v>
      </c>
      <c r="C9" s="30">
        <v>22</v>
      </c>
      <c r="D9" s="30">
        <v>184</v>
      </c>
      <c r="E9" s="86" t="s">
        <v>170</v>
      </c>
      <c r="F9" s="17" t="s">
        <v>60</v>
      </c>
      <c r="G9" s="30" t="s">
        <v>8</v>
      </c>
      <c r="H9" s="30" t="s">
        <v>55</v>
      </c>
    </row>
    <row r="10" spans="1:8" hidden="1" x14ac:dyDescent="0.3">
      <c r="B10" s="30">
        <v>13</v>
      </c>
      <c r="C10" s="30">
        <v>23</v>
      </c>
      <c r="D10" s="30">
        <v>185</v>
      </c>
      <c r="E10" s="86" t="s">
        <v>171</v>
      </c>
      <c r="F10" s="17" t="s">
        <v>64</v>
      </c>
      <c r="G10" s="30" t="s">
        <v>8</v>
      </c>
      <c r="H10" s="30" t="s">
        <v>55</v>
      </c>
    </row>
    <row r="11" spans="1:8" hidden="1" x14ac:dyDescent="0.3">
      <c r="B11" s="30">
        <v>13</v>
      </c>
      <c r="C11" s="30">
        <v>23</v>
      </c>
      <c r="D11" s="30">
        <v>186</v>
      </c>
      <c r="E11" s="86" t="s">
        <v>172</v>
      </c>
      <c r="F11" s="17" t="s">
        <v>65</v>
      </c>
      <c r="G11" s="30" t="s">
        <v>8</v>
      </c>
      <c r="H11" s="30" t="s">
        <v>55</v>
      </c>
    </row>
    <row r="12" spans="1:8" hidden="1" x14ac:dyDescent="0.3">
      <c r="B12" s="30">
        <v>13</v>
      </c>
      <c r="C12" s="30">
        <v>23</v>
      </c>
      <c r="D12" s="30">
        <v>187</v>
      </c>
      <c r="E12" s="86" t="s">
        <v>173</v>
      </c>
      <c r="F12" s="17" t="s">
        <v>66</v>
      </c>
      <c r="G12" s="30" t="s">
        <v>8</v>
      </c>
      <c r="H12" s="30" t="s">
        <v>55</v>
      </c>
    </row>
    <row r="13" spans="1:8" hidden="1" x14ac:dyDescent="0.3">
      <c r="B13" s="30">
        <v>13</v>
      </c>
      <c r="C13" s="30">
        <v>23</v>
      </c>
      <c r="D13" s="30">
        <v>188</v>
      </c>
      <c r="E13" s="86" t="s">
        <v>174</v>
      </c>
      <c r="F13" s="17" t="s">
        <v>67</v>
      </c>
      <c r="G13" s="30" t="s">
        <v>8</v>
      </c>
      <c r="H13" s="30" t="s">
        <v>55</v>
      </c>
    </row>
    <row r="14" spans="1:8" hidden="1" x14ac:dyDescent="0.3">
      <c r="B14" s="30">
        <v>13</v>
      </c>
      <c r="C14" s="30">
        <v>23</v>
      </c>
      <c r="D14" s="30">
        <v>189</v>
      </c>
      <c r="E14" s="86" t="s">
        <v>175</v>
      </c>
      <c r="F14" s="17" t="s">
        <v>68</v>
      </c>
      <c r="G14" s="30" t="s">
        <v>8</v>
      </c>
      <c r="H14" s="30" t="s">
        <v>55</v>
      </c>
    </row>
    <row r="15" spans="1:8" hidden="1" x14ac:dyDescent="0.3">
      <c r="B15" s="30">
        <v>13</v>
      </c>
      <c r="C15" s="30">
        <v>23</v>
      </c>
      <c r="D15" s="30">
        <v>190</v>
      </c>
      <c r="E15" s="86" t="s">
        <v>176</v>
      </c>
      <c r="F15" s="17" t="s">
        <v>62</v>
      </c>
      <c r="G15" s="30" t="s">
        <v>8</v>
      </c>
      <c r="H15" s="30" t="s">
        <v>55</v>
      </c>
    </row>
    <row r="16" spans="1:8" hidden="1" x14ac:dyDescent="0.3">
      <c r="B16" s="30">
        <v>13</v>
      </c>
      <c r="C16" s="30">
        <v>23</v>
      </c>
      <c r="D16" s="30">
        <v>191</v>
      </c>
      <c r="E16" s="86" t="s">
        <v>177</v>
      </c>
      <c r="F16" s="17" t="s">
        <v>63</v>
      </c>
      <c r="G16" s="30" t="s">
        <v>8</v>
      </c>
      <c r="H16" s="30" t="s">
        <v>55</v>
      </c>
    </row>
    <row r="17" spans="2:8" hidden="1" x14ac:dyDescent="0.3">
      <c r="B17" s="30">
        <v>6</v>
      </c>
      <c r="C17" s="30">
        <v>23</v>
      </c>
      <c r="D17" s="30">
        <v>192</v>
      </c>
      <c r="E17" s="86" t="s">
        <v>178</v>
      </c>
      <c r="F17" s="17" t="s">
        <v>69</v>
      </c>
      <c r="G17" s="30" t="s">
        <v>8</v>
      </c>
      <c r="H17" s="30" t="s">
        <v>55</v>
      </c>
    </row>
    <row r="18" spans="2:8" hidden="1" x14ac:dyDescent="0.3">
      <c r="B18" s="30">
        <v>14</v>
      </c>
      <c r="C18" s="30">
        <v>24</v>
      </c>
      <c r="D18" s="30">
        <v>193</v>
      </c>
      <c r="E18" s="86" t="s">
        <v>179</v>
      </c>
      <c r="F18" s="17" t="s">
        <v>72</v>
      </c>
      <c r="G18" s="30" t="s">
        <v>8</v>
      </c>
      <c r="H18" s="30" t="s">
        <v>55</v>
      </c>
    </row>
    <row r="19" spans="2:8" ht="28.8" hidden="1" x14ac:dyDescent="0.3">
      <c r="B19" s="30">
        <v>13</v>
      </c>
      <c r="C19" s="30">
        <v>25</v>
      </c>
      <c r="D19" s="30">
        <v>194</v>
      </c>
      <c r="E19" s="86" t="s">
        <v>180</v>
      </c>
      <c r="F19" s="17" t="s">
        <v>76</v>
      </c>
      <c r="G19" s="30" t="s">
        <v>8</v>
      </c>
      <c r="H19" s="30" t="s">
        <v>74</v>
      </c>
    </row>
    <row r="20" spans="2:8" ht="28.8" hidden="1" x14ac:dyDescent="0.3">
      <c r="B20" s="30">
        <v>15</v>
      </c>
      <c r="C20" s="30">
        <v>25</v>
      </c>
      <c r="D20" s="30">
        <v>195</v>
      </c>
      <c r="E20" s="86" t="s">
        <v>181</v>
      </c>
      <c r="F20" s="17" t="s">
        <v>77</v>
      </c>
      <c r="G20" s="30" t="s">
        <v>8</v>
      </c>
      <c r="H20" s="30" t="s">
        <v>74</v>
      </c>
    </row>
    <row r="21" spans="2:8" hidden="1" x14ac:dyDescent="0.3">
      <c r="B21" s="30">
        <v>7</v>
      </c>
      <c r="C21" s="30">
        <v>26</v>
      </c>
      <c r="D21" s="30">
        <v>196</v>
      </c>
      <c r="E21" s="86" t="s">
        <v>182</v>
      </c>
      <c r="F21" s="17" t="s">
        <v>79</v>
      </c>
      <c r="G21" s="30" t="s">
        <v>8</v>
      </c>
      <c r="H21" s="30" t="s">
        <v>80</v>
      </c>
    </row>
    <row r="22" spans="2:8" ht="28.8" hidden="1" x14ac:dyDescent="0.3">
      <c r="B22" s="30">
        <v>4</v>
      </c>
      <c r="C22" s="30">
        <v>27</v>
      </c>
      <c r="D22" s="30">
        <v>197</v>
      </c>
      <c r="E22" s="86" t="s">
        <v>183</v>
      </c>
      <c r="F22" s="17" t="s">
        <v>82</v>
      </c>
      <c r="G22" s="30" t="s">
        <v>8</v>
      </c>
      <c r="H22" s="30" t="s">
        <v>55</v>
      </c>
    </row>
    <row r="23" spans="2:8" ht="28.8" hidden="1" x14ac:dyDescent="0.3">
      <c r="B23" s="30">
        <v>4</v>
      </c>
      <c r="C23" s="30">
        <v>27</v>
      </c>
      <c r="D23" s="30">
        <v>198</v>
      </c>
      <c r="E23" s="86" t="s">
        <v>184</v>
      </c>
      <c r="F23" s="17" t="s">
        <v>84</v>
      </c>
      <c r="G23" s="30" t="s">
        <v>8</v>
      </c>
      <c r="H23" s="30" t="s">
        <v>55</v>
      </c>
    </row>
    <row r="24" spans="2:8" ht="28.8" hidden="1" x14ac:dyDescent="0.3">
      <c r="B24" s="30">
        <v>4</v>
      </c>
      <c r="C24" s="30">
        <v>27</v>
      </c>
      <c r="D24" s="30">
        <v>199</v>
      </c>
      <c r="E24" s="86" t="s">
        <v>185</v>
      </c>
      <c r="F24" s="17" t="s">
        <v>83</v>
      </c>
      <c r="G24" s="30" t="s">
        <v>8</v>
      </c>
      <c r="H24" s="30" t="s">
        <v>55</v>
      </c>
    </row>
    <row r="25" spans="2:8" hidden="1" x14ac:dyDescent="0.3">
      <c r="B25" s="30">
        <v>8</v>
      </c>
      <c r="C25" s="30">
        <v>28</v>
      </c>
      <c r="D25" s="30">
        <v>200</v>
      </c>
      <c r="E25" s="86" t="s">
        <v>186</v>
      </c>
      <c r="F25" s="17" t="s">
        <v>86</v>
      </c>
      <c r="G25" s="30" t="s">
        <v>8</v>
      </c>
      <c r="H25" s="30" t="s">
        <v>55</v>
      </c>
    </row>
    <row r="26" spans="2:8" hidden="1" x14ac:dyDescent="0.3">
      <c r="B26" s="30">
        <v>8</v>
      </c>
      <c r="C26" s="30">
        <v>28</v>
      </c>
      <c r="D26" s="30">
        <v>201</v>
      </c>
      <c r="E26" s="86" t="s">
        <v>187</v>
      </c>
      <c r="F26" s="17" t="s">
        <v>87</v>
      </c>
      <c r="G26" s="30" t="s">
        <v>8</v>
      </c>
      <c r="H26" s="30" t="s">
        <v>55</v>
      </c>
    </row>
    <row r="27" spans="2:8" ht="28.8" hidden="1" x14ac:dyDescent="0.3">
      <c r="B27" s="30">
        <v>4</v>
      </c>
      <c r="C27" s="30">
        <v>27</v>
      </c>
      <c r="D27" s="30">
        <v>202</v>
      </c>
      <c r="E27" s="86" t="s">
        <v>188</v>
      </c>
      <c r="F27" s="17" t="s">
        <v>88</v>
      </c>
      <c r="G27" s="30" t="s">
        <v>8</v>
      </c>
      <c r="H27" s="30" t="s">
        <v>55</v>
      </c>
    </row>
    <row r="28" spans="2:8" hidden="1" x14ac:dyDescent="0.3">
      <c r="B28" s="30">
        <v>8</v>
      </c>
      <c r="C28" s="30">
        <v>29</v>
      </c>
      <c r="D28" s="30">
        <v>202</v>
      </c>
      <c r="E28" s="86" t="s">
        <v>189</v>
      </c>
      <c r="F28" s="17" t="s">
        <v>91</v>
      </c>
      <c r="G28" s="30" t="s">
        <v>8</v>
      </c>
      <c r="H28" s="30" t="s">
        <v>55</v>
      </c>
    </row>
    <row r="29" spans="2:8" ht="43.2" hidden="1" x14ac:dyDescent="0.3">
      <c r="B29" s="30">
        <v>8</v>
      </c>
      <c r="C29" s="30">
        <v>27</v>
      </c>
      <c r="D29" s="30">
        <v>203</v>
      </c>
      <c r="E29" s="86" t="s">
        <v>190</v>
      </c>
      <c r="F29" s="17" t="s">
        <v>92</v>
      </c>
      <c r="G29" s="30" t="s">
        <v>8</v>
      </c>
      <c r="H29" s="30" t="s">
        <v>55</v>
      </c>
    </row>
    <row r="30" spans="2:8" ht="43.2" hidden="1" x14ac:dyDescent="0.3">
      <c r="B30" s="30">
        <v>8</v>
      </c>
      <c r="C30" s="30">
        <v>27</v>
      </c>
      <c r="D30" s="30">
        <v>204</v>
      </c>
      <c r="E30" s="86" t="s">
        <v>191</v>
      </c>
      <c r="F30" s="17" t="s">
        <v>93</v>
      </c>
      <c r="G30" s="30" t="s">
        <v>8</v>
      </c>
      <c r="H30" s="30" t="s">
        <v>55</v>
      </c>
    </row>
    <row r="31" spans="2:8" hidden="1" x14ac:dyDescent="0.3">
      <c r="B31" s="30">
        <v>8</v>
      </c>
      <c r="C31" s="30">
        <v>4</v>
      </c>
      <c r="D31" s="30">
        <v>205</v>
      </c>
      <c r="E31" s="86" t="s">
        <v>192</v>
      </c>
      <c r="F31" s="17" t="s">
        <v>94</v>
      </c>
      <c r="G31" s="30" t="s">
        <v>8</v>
      </c>
      <c r="H31" s="30" t="s">
        <v>55</v>
      </c>
    </row>
    <row r="32" spans="2:8" ht="28.8" x14ac:dyDescent="0.3">
      <c r="B32" s="30">
        <v>8</v>
      </c>
      <c r="C32" s="30">
        <v>30</v>
      </c>
      <c r="D32" s="30">
        <v>206</v>
      </c>
      <c r="E32" s="86" t="s">
        <v>193</v>
      </c>
      <c r="F32" s="17" t="s">
        <v>95</v>
      </c>
      <c r="G32" s="30" t="s">
        <v>8</v>
      </c>
      <c r="H32" s="30" t="s">
        <v>55</v>
      </c>
    </row>
    <row r="33" spans="2:8" ht="28.8" hidden="1" x14ac:dyDescent="0.3">
      <c r="B33" s="30">
        <v>1</v>
      </c>
      <c r="C33" s="30">
        <v>27</v>
      </c>
      <c r="D33" s="30">
        <v>207</v>
      </c>
      <c r="E33" s="86" t="s">
        <v>194</v>
      </c>
      <c r="F33" s="17" t="s">
        <v>97</v>
      </c>
      <c r="G33" s="30" t="s">
        <v>8</v>
      </c>
      <c r="H33" s="30" t="s">
        <v>55</v>
      </c>
    </row>
    <row r="34" spans="2:8" ht="28.8" hidden="1" x14ac:dyDescent="0.3">
      <c r="B34" s="30">
        <v>1</v>
      </c>
      <c r="C34" s="30">
        <v>27</v>
      </c>
      <c r="D34" s="30">
        <v>208</v>
      </c>
      <c r="E34" s="86" t="s">
        <v>195</v>
      </c>
      <c r="F34" s="17" t="s">
        <v>99</v>
      </c>
      <c r="G34" s="30" t="s">
        <v>8</v>
      </c>
      <c r="H34" s="30" t="s">
        <v>55</v>
      </c>
    </row>
    <row r="35" spans="2:8" ht="28.8" x14ac:dyDescent="0.3">
      <c r="B35" s="30">
        <v>3</v>
      </c>
      <c r="C35" s="30">
        <v>31</v>
      </c>
      <c r="D35" s="30">
        <v>209</v>
      </c>
      <c r="E35" s="86" t="s">
        <v>196</v>
      </c>
      <c r="F35" s="17" t="s">
        <v>312</v>
      </c>
      <c r="G35" s="30" t="s">
        <v>108</v>
      </c>
      <c r="H35" s="30" t="s">
        <v>109</v>
      </c>
    </row>
    <row r="36" spans="2:8" ht="28.8" x14ac:dyDescent="0.3">
      <c r="B36" s="30">
        <v>3</v>
      </c>
      <c r="C36" s="30">
        <v>31</v>
      </c>
      <c r="D36" s="30">
        <v>210</v>
      </c>
      <c r="E36" s="86" t="s">
        <v>197</v>
      </c>
      <c r="F36" s="17" t="s">
        <v>313</v>
      </c>
      <c r="G36" s="30" t="s">
        <v>108</v>
      </c>
      <c r="H36" s="30" t="s">
        <v>109</v>
      </c>
    </row>
    <row r="37" spans="2:8" ht="28.8" x14ac:dyDescent="0.3">
      <c r="B37" s="30">
        <v>3</v>
      </c>
      <c r="C37" s="30">
        <v>31</v>
      </c>
      <c r="D37" s="30">
        <v>211</v>
      </c>
      <c r="E37" s="86" t="s">
        <v>198</v>
      </c>
      <c r="F37" s="17" t="s">
        <v>314</v>
      </c>
      <c r="G37" s="30" t="s">
        <v>108</v>
      </c>
      <c r="H37" s="30" t="s">
        <v>109</v>
      </c>
    </row>
    <row r="38" spans="2:8" ht="28.8" x14ac:dyDescent="0.3">
      <c r="B38" s="30">
        <v>3</v>
      </c>
      <c r="C38" s="30">
        <v>31</v>
      </c>
      <c r="D38" s="30">
        <v>212</v>
      </c>
      <c r="E38" s="86" t="s">
        <v>199</v>
      </c>
      <c r="F38" s="17" t="s">
        <v>315</v>
      </c>
      <c r="G38" s="30" t="s">
        <v>108</v>
      </c>
      <c r="H38" s="30" t="s">
        <v>109</v>
      </c>
    </row>
    <row r="39" spans="2:8" ht="28.8" x14ac:dyDescent="0.3">
      <c r="B39" s="30">
        <v>3</v>
      </c>
      <c r="C39" s="30">
        <v>31</v>
      </c>
      <c r="D39" s="30">
        <v>213</v>
      </c>
      <c r="E39" s="86" t="s">
        <v>200</v>
      </c>
      <c r="F39" s="17" t="s">
        <v>316</v>
      </c>
      <c r="G39" s="30" t="s">
        <v>108</v>
      </c>
      <c r="H39" s="30" t="s">
        <v>109</v>
      </c>
    </row>
    <row r="40" spans="2:8" ht="28.8" x14ac:dyDescent="0.3">
      <c r="B40" s="30">
        <v>3</v>
      </c>
      <c r="C40" s="30">
        <v>31</v>
      </c>
      <c r="D40" s="30">
        <v>214</v>
      </c>
      <c r="E40" s="86" t="s">
        <v>201</v>
      </c>
      <c r="F40" s="17" t="s">
        <v>322</v>
      </c>
      <c r="G40" s="30" t="s">
        <v>108</v>
      </c>
      <c r="H40" s="30" t="s">
        <v>109</v>
      </c>
    </row>
    <row r="41" spans="2:8" ht="28.8" x14ac:dyDescent="0.3">
      <c r="B41" s="30">
        <v>3</v>
      </c>
      <c r="C41" s="30">
        <v>31</v>
      </c>
      <c r="D41" s="30">
        <v>215</v>
      </c>
      <c r="E41" s="86" t="s">
        <v>202</v>
      </c>
      <c r="F41" s="17" t="s">
        <v>323</v>
      </c>
      <c r="G41" s="30" t="s">
        <v>108</v>
      </c>
      <c r="H41" s="30" t="s">
        <v>109</v>
      </c>
    </row>
    <row r="42" spans="2:8" ht="28.8" x14ac:dyDescent="0.3">
      <c r="B42" s="30">
        <v>3</v>
      </c>
      <c r="C42" s="30">
        <v>31</v>
      </c>
      <c r="D42" s="30">
        <v>216</v>
      </c>
      <c r="E42" s="86" t="s">
        <v>203</v>
      </c>
      <c r="F42" s="17" t="s">
        <v>324</v>
      </c>
      <c r="G42" s="30" t="s">
        <v>108</v>
      </c>
      <c r="H42" s="30" t="s">
        <v>109</v>
      </c>
    </row>
    <row r="43" spans="2:8" ht="28.8" x14ac:dyDescent="0.3">
      <c r="B43" s="30">
        <v>3</v>
      </c>
      <c r="C43" s="30">
        <v>31</v>
      </c>
      <c r="D43" s="30">
        <v>217</v>
      </c>
      <c r="E43" s="86" t="s">
        <v>204</v>
      </c>
      <c r="F43" s="17" t="s">
        <v>325</v>
      </c>
      <c r="G43" s="30" t="s">
        <v>108</v>
      </c>
      <c r="H43" s="30" t="s">
        <v>109</v>
      </c>
    </row>
    <row r="44" spans="2:8" ht="28.8" x14ac:dyDescent="0.3">
      <c r="B44" s="30">
        <v>3</v>
      </c>
      <c r="C44" s="30">
        <v>31</v>
      </c>
      <c r="D44" s="30">
        <v>218</v>
      </c>
      <c r="E44" s="86" t="s">
        <v>205</v>
      </c>
      <c r="F44" s="17" t="s">
        <v>317</v>
      </c>
      <c r="G44" s="30" t="s">
        <v>108</v>
      </c>
      <c r="H44" s="30" t="s">
        <v>109</v>
      </c>
    </row>
    <row r="45" spans="2:8" ht="28.8" x14ac:dyDescent="0.3">
      <c r="B45" s="30">
        <v>3</v>
      </c>
      <c r="C45" s="30">
        <v>31</v>
      </c>
      <c r="D45" s="30">
        <v>219</v>
      </c>
      <c r="E45" s="86" t="s">
        <v>206</v>
      </c>
      <c r="F45" s="17" t="s">
        <v>318</v>
      </c>
      <c r="G45" s="30" t="s">
        <v>108</v>
      </c>
      <c r="H45" s="30" t="s">
        <v>109</v>
      </c>
    </row>
    <row r="46" spans="2:8" ht="28.8" x14ac:dyDescent="0.3">
      <c r="B46" s="30">
        <v>3</v>
      </c>
      <c r="C46" s="30">
        <v>31</v>
      </c>
      <c r="D46" s="30">
        <v>220</v>
      </c>
      <c r="E46" s="86" t="s">
        <v>207</v>
      </c>
      <c r="F46" s="17" t="s">
        <v>319</v>
      </c>
      <c r="G46" s="30" t="s">
        <v>108</v>
      </c>
      <c r="H46" s="30" t="s">
        <v>109</v>
      </c>
    </row>
    <row r="47" spans="2:8" ht="28.8" x14ac:dyDescent="0.3">
      <c r="B47" s="30">
        <v>3</v>
      </c>
      <c r="C47" s="30">
        <v>31</v>
      </c>
      <c r="D47" s="30">
        <v>221</v>
      </c>
      <c r="E47" s="86" t="s">
        <v>208</v>
      </c>
      <c r="F47" s="17" t="s">
        <v>320</v>
      </c>
      <c r="G47" s="30" t="s">
        <v>108</v>
      </c>
      <c r="H47" s="30" t="s">
        <v>109</v>
      </c>
    </row>
    <row r="48" spans="2:8" ht="28.8" x14ac:dyDescent="0.3">
      <c r="B48" s="30">
        <v>3</v>
      </c>
      <c r="C48" s="30">
        <v>31</v>
      </c>
      <c r="D48" s="30">
        <v>222</v>
      </c>
      <c r="E48" s="86" t="s">
        <v>209</v>
      </c>
      <c r="F48" s="17" t="s">
        <v>321</v>
      </c>
      <c r="G48" s="30" t="s">
        <v>108</v>
      </c>
      <c r="H48" s="30" t="s">
        <v>109</v>
      </c>
    </row>
    <row r="49" spans="2:8" ht="28.8" hidden="1" x14ac:dyDescent="0.3">
      <c r="B49" s="30">
        <v>9</v>
      </c>
      <c r="C49" s="30">
        <v>32</v>
      </c>
      <c r="D49" s="30">
        <v>307</v>
      </c>
      <c r="E49" s="86" t="s">
        <v>419</v>
      </c>
      <c r="F49" s="17" t="s">
        <v>420</v>
      </c>
      <c r="G49" s="30" t="s">
        <v>8</v>
      </c>
      <c r="H49" s="30" t="s">
        <v>109</v>
      </c>
    </row>
    <row r="50" spans="2:8" ht="28.8" hidden="1" x14ac:dyDescent="0.3">
      <c r="B50" s="30">
        <v>9</v>
      </c>
      <c r="C50" s="30">
        <v>32</v>
      </c>
      <c r="D50" s="30">
        <v>223</v>
      </c>
      <c r="E50" s="86" t="s">
        <v>210</v>
      </c>
      <c r="F50" s="17" t="s">
        <v>119</v>
      </c>
      <c r="G50" s="30" t="s">
        <v>8</v>
      </c>
      <c r="H50" s="30" t="s">
        <v>109</v>
      </c>
    </row>
    <row r="51" spans="2:8" ht="28.8" hidden="1" x14ac:dyDescent="0.3">
      <c r="B51" s="30">
        <v>9</v>
      </c>
      <c r="C51" s="30">
        <v>32</v>
      </c>
      <c r="D51" s="30">
        <v>224</v>
      </c>
      <c r="E51" s="86" t="s">
        <v>211</v>
      </c>
      <c r="F51" s="17" t="s">
        <v>120</v>
      </c>
      <c r="G51" s="30" t="s">
        <v>8</v>
      </c>
      <c r="H51" s="30" t="s">
        <v>109</v>
      </c>
    </row>
    <row r="52" spans="2:8" hidden="1" x14ac:dyDescent="0.3">
      <c r="B52" s="30">
        <v>16</v>
      </c>
      <c r="C52" s="30">
        <v>33</v>
      </c>
      <c r="D52" s="30">
        <v>226</v>
      </c>
      <c r="E52" s="86" t="s">
        <v>213</v>
      </c>
      <c r="F52" s="17" t="s">
        <v>124</v>
      </c>
      <c r="G52" s="30" t="s">
        <v>8</v>
      </c>
      <c r="H52" s="30" t="s">
        <v>126</v>
      </c>
    </row>
    <row r="53" spans="2:8" ht="28.8" hidden="1" x14ac:dyDescent="0.3">
      <c r="B53" s="30">
        <v>10</v>
      </c>
      <c r="C53" s="30">
        <v>34</v>
      </c>
      <c r="D53" s="30">
        <v>227</v>
      </c>
      <c r="E53" s="86" t="s">
        <v>214</v>
      </c>
      <c r="F53" s="17" t="s">
        <v>128</v>
      </c>
      <c r="G53" s="30" t="s">
        <v>8</v>
      </c>
      <c r="H53" s="30" t="s">
        <v>129</v>
      </c>
    </row>
    <row r="54" spans="2:8" hidden="1" x14ac:dyDescent="0.3">
      <c r="B54" s="30">
        <v>7</v>
      </c>
      <c r="C54" s="30">
        <v>35</v>
      </c>
      <c r="D54" s="30">
        <v>228</v>
      </c>
      <c r="E54" s="86" t="s">
        <v>215</v>
      </c>
      <c r="F54" s="17" t="s">
        <v>131</v>
      </c>
      <c r="G54" s="30" t="s">
        <v>8</v>
      </c>
      <c r="H54" s="30" t="s">
        <v>126</v>
      </c>
    </row>
    <row r="55" spans="2:8" ht="28.8" hidden="1" x14ac:dyDescent="0.3">
      <c r="B55" s="30">
        <v>7</v>
      </c>
      <c r="C55" s="30">
        <v>35</v>
      </c>
      <c r="D55" s="30">
        <v>229</v>
      </c>
      <c r="E55" s="86" t="s">
        <v>216</v>
      </c>
      <c r="F55" s="17" t="s">
        <v>132</v>
      </c>
      <c r="G55" s="30" t="s">
        <v>8</v>
      </c>
      <c r="H55" s="30" t="s">
        <v>126</v>
      </c>
    </row>
    <row r="56" spans="2:8" ht="28.8" hidden="1" x14ac:dyDescent="0.3">
      <c r="B56" s="30">
        <v>7</v>
      </c>
      <c r="C56" s="30">
        <v>35</v>
      </c>
      <c r="D56" s="30">
        <v>230</v>
      </c>
      <c r="E56" s="86" t="s">
        <v>218</v>
      </c>
      <c r="F56" s="17" t="s">
        <v>133</v>
      </c>
      <c r="G56" s="30" t="s">
        <v>8</v>
      </c>
      <c r="H56" s="30" t="s">
        <v>134</v>
      </c>
    </row>
    <row r="57" spans="2:8" ht="28.8" hidden="1" x14ac:dyDescent="0.3">
      <c r="B57" s="30">
        <v>7</v>
      </c>
      <c r="C57" s="30">
        <v>36</v>
      </c>
      <c r="D57" s="30">
        <v>231</v>
      </c>
      <c r="E57" s="86" t="s">
        <v>217</v>
      </c>
      <c r="F57" s="17" t="s">
        <v>136</v>
      </c>
      <c r="G57" s="30" t="s">
        <v>8</v>
      </c>
      <c r="H57" s="30" t="s">
        <v>134</v>
      </c>
    </row>
    <row r="58" spans="2:8" ht="28.8" hidden="1" x14ac:dyDescent="0.3">
      <c r="B58" s="30">
        <v>10</v>
      </c>
      <c r="C58" s="30">
        <v>37</v>
      </c>
      <c r="D58" s="30">
        <v>232</v>
      </c>
      <c r="E58" s="86" t="s">
        <v>219</v>
      </c>
      <c r="F58" s="17" t="s">
        <v>137</v>
      </c>
      <c r="G58" s="30" t="s">
        <v>8</v>
      </c>
      <c r="H58" s="30" t="s">
        <v>129</v>
      </c>
    </row>
    <row r="59" spans="2:8" ht="43.2" hidden="1" x14ac:dyDescent="0.3">
      <c r="B59" s="30">
        <v>7</v>
      </c>
      <c r="C59" s="30">
        <v>38</v>
      </c>
      <c r="D59" s="30">
        <v>233</v>
      </c>
      <c r="E59" s="86" t="s">
        <v>220</v>
      </c>
      <c r="F59" s="17" t="s">
        <v>140</v>
      </c>
      <c r="G59" s="30" t="s">
        <v>8</v>
      </c>
      <c r="H59" s="30" t="s">
        <v>164</v>
      </c>
    </row>
    <row r="60" spans="2:8" ht="28.8" hidden="1" x14ac:dyDescent="0.3">
      <c r="B60" s="30">
        <v>7</v>
      </c>
      <c r="C60" s="30">
        <v>38</v>
      </c>
      <c r="D60" s="30">
        <v>234</v>
      </c>
      <c r="E60" s="86" t="s">
        <v>221</v>
      </c>
      <c r="F60" s="17" t="s">
        <v>141</v>
      </c>
      <c r="G60" s="30" t="s">
        <v>8</v>
      </c>
      <c r="H60" s="30" t="s">
        <v>165</v>
      </c>
    </row>
    <row r="61" spans="2:8" ht="28.8" hidden="1" x14ac:dyDescent="0.3">
      <c r="B61" s="30">
        <v>7</v>
      </c>
      <c r="C61" s="30">
        <v>38</v>
      </c>
      <c r="D61" s="30">
        <v>235</v>
      </c>
      <c r="E61" s="86" t="s">
        <v>222</v>
      </c>
      <c r="F61" s="17" t="s">
        <v>142</v>
      </c>
      <c r="G61" s="30" t="s">
        <v>8</v>
      </c>
      <c r="H61" s="30" t="s">
        <v>160</v>
      </c>
    </row>
    <row r="62" spans="2:8" hidden="1" x14ac:dyDescent="0.3">
      <c r="B62" s="30">
        <v>7</v>
      </c>
      <c r="C62" s="30">
        <v>38</v>
      </c>
      <c r="D62" s="30">
        <v>236</v>
      </c>
      <c r="E62" s="86" t="s">
        <v>223</v>
      </c>
      <c r="F62" s="17" t="s">
        <v>143</v>
      </c>
      <c r="G62" s="30" t="s">
        <v>8</v>
      </c>
      <c r="H62" s="30" t="s">
        <v>158</v>
      </c>
    </row>
    <row r="63" spans="2:8" ht="28.8" hidden="1" x14ac:dyDescent="0.3">
      <c r="B63" s="30">
        <v>7</v>
      </c>
      <c r="C63" s="30">
        <v>38</v>
      </c>
      <c r="D63" s="30">
        <v>237</v>
      </c>
      <c r="E63" s="86" t="s">
        <v>224</v>
      </c>
      <c r="F63" s="17" t="s">
        <v>144</v>
      </c>
      <c r="G63" s="30" t="s">
        <v>8</v>
      </c>
      <c r="H63" s="30" t="s">
        <v>160</v>
      </c>
    </row>
    <row r="64" spans="2:8" hidden="1" x14ac:dyDescent="0.3">
      <c r="B64" s="30">
        <v>7</v>
      </c>
      <c r="C64" s="30">
        <v>38</v>
      </c>
      <c r="D64" s="30">
        <v>238</v>
      </c>
      <c r="E64" s="86" t="s">
        <v>225</v>
      </c>
      <c r="F64" s="17" t="s">
        <v>145</v>
      </c>
      <c r="G64" s="30" t="s">
        <v>8</v>
      </c>
      <c r="H64" s="30" t="s">
        <v>157</v>
      </c>
    </row>
    <row r="65" spans="2:8" hidden="1" x14ac:dyDescent="0.3">
      <c r="B65" s="30">
        <v>7</v>
      </c>
      <c r="C65" s="30">
        <v>38</v>
      </c>
      <c r="D65" s="30">
        <v>239</v>
      </c>
      <c r="E65" s="86" t="s">
        <v>226</v>
      </c>
      <c r="F65" s="17" t="s">
        <v>146</v>
      </c>
      <c r="G65" s="30" t="s">
        <v>8</v>
      </c>
      <c r="H65" s="30" t="s">
        <v>158</v>
      </c>
    </row>
    <row r="66" spans="2:8" hidden="1" x14ac:dyDescent="0.3">
      <c r="B66" s="30">
        <v>7</v>
      </c>
      <c r="C66" s="30">
        <v>38</v>
      </c>
      <c r="D66" s="30">
        <v>240</v>
      </c>
      <c r="E66" s="86" t="s">
        <v>227</v>
      </c>
      <c r="F66" s="17" t="s">
        <v>147</v>
      </c>
      <c r="G66" s="30" t="s">
        <v>8</v>
      </c>
      <c r="H66" s="30" t="s">
        <v>158</v>
      </c>
    </row>
    <row r="67" spans="2:8" hidden="1" x14ac:dyDescent="0.3">
      <c r="B67" s="30">
        <v>7</v>
      </c>
      <c r="C67" s="30">
        <v>38</v>
      </c>
      <c r="D67" s="30">
        <v>241</v>
      </c>
      <c r="E67" s="86" t="s">
        <v>228</v>
      </c>
      <c r="F67" s="17" t="s">
        <v>148</v>
      </c>
      <c r="G67" s="30" t="s">
        <v>8</v>
      </c>
      <c r="H67" s="30" t="s">
        <v>159</v>
      </c>
    </row>
    <row r="68" spans="2:8" ht="28.8" hidden="1" x14ac:dyDescent="0.3">
      <c r="B68" s="30">
        <v>7</v>
      </c>
      <c r="C68" s="30">
        <v>38</v>
      </c>
      <c r="D68" s="30">
        <v>242</v>
      </c>
      <c r="E68" s="86" t="s">
        <v>229</v>
      </c>
      <c r="F68" s="17" t="s">
        <v>149</v>
      </c>
      <c r="G68" s="30" t="s">
        <v>8</v>
      </c>
      <c r="H68" s="30" t="s">
        <v>160</v>
      </c>
    </row>
    <row r="69" spans="2:8" ht="28.8" hidden="1" x14ac:dyDescent="0.3">
      <c r="B69" s="30">
        <v>7</v>
      </c>
      <c r="C69" s="30">
        <v>38</v>
      </c>
      <c r="D69" s="30">
        <v>243</v>
      </c>
      <c r="E69" s="86" t="s">
        <v>230</v>
      </c>
      <c r="F69" s="17" t="s">
        <v>150</v>
      </c>
      <c r="G69" s="30" t="s">
        <v>8</v>
      </c>
      <c r="H69" s="30" t="s">
        <v>161</v>
      </c>
    </row>
    <row r="70" spans="2:8" hidden="1" x14ac:dyDescent="0.3">
      <c r="B70" s="30">
        <v>7</v>
      </c>
      <c r="C70" s="30">
        <v>38</v>
      </c>
      <c r="D70" s="30">
        <v>244</v>
      </c>
      <c r="E70" s="86" t="s">
        <v>231</v>
      </c>
      <c r="F70" s="17" t="s">
        <v>151</v>
      </c>
      <c r="G70" s="30" t="s">
        <v>8</v>
      </c>
      <c r="H70" s="30" t="s">
        <v>162</v>
      </c>
    </row>
    <row r="71" spans="2:8" hidden="1" x14ac:dyDescent="0.3">
      <c r="B71" s="30">
        <v>7</v>
      </c>
      <c r="C71" s="30">
        <v>38</v>
      </c>
      <c r="D71" s="30">
        <v>245</v>
      </c>
      <c r="E71" s="86" t="s">
        <v>232</v>
      </c>
      <c r="F71" s="17" t="s">
        <v>152</v>
      </c>
      <c r="G71" s="30" t="s">
        <v>8</v>
      </c>
      <c r="H71" s="30" t="s">
        <v>158</v>
      </c>
    </row>
    <row r="72" spans="2:8" hidden="1" x14ac:dyDescent="0.3">
      <c r="B72" s="30">
        <v>7</v>
      </c>
      <c r="C72" s="30">
        <v>38</v>
      </c>
      <c r="D72" s="30">
        <v>246</v>
      </c>
      <c r="E72" s="86" t="s">
        <v>233</v>
      </c>
      <c r="F72" s="17" t="s">
        <v>153</v>
      </c>
      <c r="G72" s="30" t="s">
        <v>8</v>
      </c>
      <c r="H72" s="30" t="s">
        <v>163</v>
      </c>
    </row>
    <row r="73" spans="2:8" hidden="1" x14ac:dyDescent="0.3">
      <c r="B73" s="30">
        <v>7</v>
      </c>
      <c r="C73" s="30">
        <v>38</v>
      </c>
      <c r="D73" s="30">
        <v>247</v>
      </c>
      <c r="E73" s="86" t="s">
        <v>234</v>
      </c>
      <c r="F73" s="17" t="s">
        <v>154</v>
      </c>
      <c r="G73" s="30" t="s">
        <v>8</v>
      </c>
      <c r="H73" s="30" t="s">
        <v>158</v>
      </c>
    </row>
    <row r="74" spans="2:8" hidden="1" x14ac:dyDescent="0.3">
      <c r="B74" s="30">
        <v>7</v>
      </c>
      <c r="C74" s="30">
        <v>38</v>
      </c>
      <c r="D74" s="30">
        <v>248</v>
      </c>
      <c r="E74" s="86" t="s">
        <v>235</v>
      </c>
      <c r="F74" s="17" t="s">
        <v>155</v>
      </c>
      <c r="G74" s="30" t="s">
        <v>8</v>
      </c>
      <c r="H74" s="30" t="s">
        <v>163</v>
      </c>
    </row>
    <row r="75" spans="2:8" hidden="1" x14ac:dyDescent="0.3">
      <c r="B75" s="30">
        <v>7</v>
      </c>
      <c r="C75" s="30">
        <v>38</v>
      </c>
      <c r="D75" s="30">
        <v>249</v>
      </c>
      <c r="E75" s="86" t="s">
        <v>236</v>
      </c>
      <c r="F75" s="17" t="s">
        <v>156</v>
      </c>
      <c r="G75" s="30" t="s">
        <v>8</v>
      </c>
      <c r="H75" s="30" t="s">
        <v>158</v>
      </c>
    </row>
    <row r="76" spans="2:8" hidden="1" x14ac:dyDescent="0.3">
      <c r="B76" s="30">
        <v>4</v>
      </c>
      <c r="C76" s="30">
        <v>39</v>
      </c>
      <c r="D76" s="30">
        <v>250</v>
      </c>
      <c r="E76" s="86" t="s">
        <v>276</v>
      </c>
      <c r="F76" s="17" t="s">
        <v>238</v>
      </c>
      <c r="G76" s="30" t="s">
        <v>8</v>
      </c>
      <c r="H76" s="30" t="s">
        <v>55</v>
      </c>
    </row>
    <row r="77" spans="2:8" hidden="1" x14ac:dyDescent="0.3">
      <c r="B77" s="30">
        <v>4</v>
      </c>
      <c r="C77" s="30">
        <v>40</v>
      </c>
      <c r="D77" s="30">
        <v>251</v>
      </c>
      <c r="E77" s="86" t="s">
        <v>277</v>
      </c>
      <c r="F77" s="17" t="s">
        <v>239</v>
      </c>
      <c r="G77" s="30" t="s">
        <v>8</v>
      </c>
      <c r="H77" s="30" t="s">
        <v>55</v>
      </c>
    </row>
    <row r="78" spans="2:8" hidden="1" x14ac:dyDescent="0.3">
      <c r="B78" s="30">
        <v>13</v>
      </c>
      <c r="C78" s="30">
        <v>25</v>
      </c>
      <c r="D78" s="30">
        <v>252</v>
      </c>
      <c r="E78" s="86" t="s">
        <v>278</v>
      </c>
      <c r="F78" s="17" t="s">
        <v>240</v>
      </c>
      <c r="G78" s="30" t="s">
        <v>8</v>
      </c>
      <c r="H78" s="30" t="s">
        <v>55</v>
      </c>
    </row>
    <row r="79" spans="2:8" hidden="1" x14ac:dyDescent="0.3">
      <c r="B79" s="30">
        <v>13</v>
      </c>
      <c r="C79" s="30">
        <v>25</v>
      </c>
      <c r="D79" s="30">
        <v>253</v>
      </c>
      <c r="E79" s="86" t="s">
        <v>279</v>
      </c>
      <c r="F79" s="17" t="s">
        <v>241</v>
      </c>
      <c r="G79" s="30" t="s">
        <v>8</v>
      </c>
      <c r="H79" s="30" t="s">
        <v>55</v>
      </c>
    </row>
    <row r="80" spans="2:8" hidden="1" x14ac:dyDescent="0.3">
      <c r="B80" s="30">
        <v>13</v>
      </c>
      <c r="C80" s="30">
        <v>25</v>
      </c>
      <c r="D80" s="30">
        <v>254</v>
      </c>
      <c r="E80" s="86" t="s">
        <v>280</v>
      </c>
      <c r="F80" s="17" t="s">
        <v>242</v>
      </c>
      <c r="G80" s="30" t="s">
        <v>8</v>
      </c>
      <c r="H80" s="30" t="s">
        <v>55</v>
      </c>
    </row>
    <row r="81" spans="2:8" hidden="1" x14ac:dyDescent="0.3">
      <c r="B81" s="30">
        <v>13</v>
      </c>
      <c r="C81" s="30">
        <v>25</v>
      </c>
      <c r="D81" s="30">
        <v>255</v>
      </c>
      <c r="E81" s="86" t="s">
        <v>281</v>
      </c>
      <c r="F81" s="17" t="s">
        <v>243</v>
      </c>
      <c r="G81" s="30" t="s">
        <v>8</v>
      </c>
      <c r="H81" s="30" t="s">
        <v>55</v>
      </c>
    </row>
    <row r="82" spans="2:8" hidden="1" x14ac:dyDescent="0.3">
      <c r="B82" s="30">
        <v>13</v>
      </c>
      <c r="C82" s="30">
        <v>25</v>
      </c>
      <c r="D82" s="30">
        <v>256</v>
      </c>
      <c r="E82" s="86" t="s">
        <v>282</v>
      </c>
      <c r="F82" s="17" t="s">
        <v>244</v>
      </c>
      <c r="G82" s="30" t="s">
        <v>8</v>
      </c>
      <c r="H82" s="30" t="s">
        <v>55</v>
      </c>
    </row>
    <row r="83" spans="2:8" ht="28.8" hidden="1" x14ac:dyDescent="0.3">
      <c r="B83" s="30">
        <v>8</v>
      </c>
      <c r="C83" s="30">
        <v>28</v>
      </c>
      <c r="D83" s="30">
        <v>257</v>
      </c>
      <c r="E83" s="86" t="s">
        <v>283</v>
      </c>
      <c r="F83" s="17" t="s">
        <v>245</v>
      </c>
      <c r="G83" s="30" t="s">
        <v>8</v>
      </c>
      <c r="H83" s="30" t="s">
        <v>55</v>
      </c>
    </row>
    <row r="84" spans="2:8" ht="28.8" hidden="1" x14ac:dyDescent="0.3">
      <c r="B84" s="30">
        <v>8</v>
      </c>
      <c r="C84" s="30">
        <v>28</v>
      </c>
      <c r="D84" s="30">
        <v>258</v>
      </c>
      <c r="E84" s="86" t="s">
        <v>284</v>
      </c>
      <c r="F84" s="17" t="s">
        <v>246</v>
      </c>
      <c r="G84" s="30" t="s">
        <v>8</v>
      </c>
      <c r="H84" s="30" t="s">
        <v>55</v>
      </c>
    </row>
    <row r="85" spans="2:8" ht="28.8" hidden="1" x14ac:dyDescent="0.3">
      <c r="B85" s="30">
        <v>8</v>
      </c>
      <c r="C85" s="30">
        <v>13</v>
      </c>
      <c r="D85" s="30">
        <v>259</v>
      </c>
      <c r="E85" s="86" t="s">
        <v>285</v>
      </c>
      <c r="F85" s="17" t="s">
        <v>247</v>
      </c>
      <c r="G85" s="30" t="s">
        <v>8</v>
      </c>
      <c r="H85" s="30" t="s">
        <v>55</v>
      </c>
    </row>
    <row r="86" spans="2:8" ht="43.2" hidden="1" x14ac:dyDescent="0.3">
      <c r="B86" s="30">
        <v>1</v>
      </c>
      <c r="C86" s="30">
        <v>13</v>
      </c>
      <c r="D86" s="30">
        <v>260</v>
      </c>
      <c r="E86" s="86" t="s">
        <v>286</v>
      </c>
      <c r="F86" s="17" t="s">
        <v>248</v>
      </c>
      <c r="G86" s="30" t="s">
        <v>8</v>
      </c>
      <c r="H86" s="30" t="s">
        <v>55</v>
      </c>
    </row>
    <row r="87" spans="2:8" hidden="1" x14ac:dyDescent="0.3">
      <c r="B87" s="30">
        <v>1</v>
      </c>
      <c r="C87" s="30">
        <v>28</v>
      </c>
      <c r="D87" s="30">
        <v>261</v>
      </c>
      <c r="E87" s="86" t="s">
        <v>287</v>
      </c>
      <c r="F87" s="17" t="s">
        <v>249</v>
      </c>
      <c r="G87" s="30" t="s">
        <v>8</v>
      </c>
      <c r="H87" s="30" t="s">
        <v>55</v>
      </c>
    </row>
    <row r="88" spans="2:8" ht="28.8" hidden="1" x14ac:dyDescent="0.3">
      <c r="B88" s="30">
        <v>8</v>
      </c>
      <c r="C88" s="30">
        <v>13</v>
      </c>
      <c r="D88" s="30">
        <v>262</v>
      </c>
      <c r="E88" s="86" t="s">
        <v>288</v>
      </c>
      <c r="F88" s="17" t="s">
        <v>250</v>
      </c>
      <c r="G88" s="30" t="s">
        <v>8</v>
      </c>
      <c r="H88" s="30" t="s">
        <v>55</v>
      </c>
    </row>
    <row r="89" spans="2:8" hidden="1" x14ac:dyDescent="0.3">
      <c r="B89" s="30">
        <v>1</v>
      </c>
      <c r="C89" s="30">
        <v>28</v>
      </c>
      <c r="D89" s="30">
        <v>263</v>
      </c>
      <c r="E89" s="86" t="s">
        <v>289</v>
      </c>
      <c r="F89" s="17" t="s">
        <v>251</v>
      </c>
      <c r="G89" s="30" t="s">
        <v>8</v>
      </c>
      <c r="H89" s="30" t="s">
        <v>55</v>
      </c>
    </row>
    <row r="90" spans="2:8" hidden="1" x14ac:dyDescent="0.3">
      <c r="B90" s="30">
        <v>1</v>
      </c>
      <c r="C90" s="30">
        <v>28</v>
      </c>
      <c r="D90" s="30">
        <v>264</v>
      </c>
      <c r="E90" s="86" t="s">
        <v>290</v>
      </c>
      <c r="F90" s="17" t="s">
        <v>252</v>
      </c>
      <c r="G90" s="30" t="s">
        <v>8</v>
      </c>
      <c r="H90" s="30" t="s">
        <v>55</v>
      </c>
    </row>
    <row r="91" spans="2:8" ht="28.8" hidden="1" x14ac:dyDescent="0.3">
      <c r="B91" s="30">
        <v>8</v>
      </c>
      <c r="C91" s="30">
        <v>41</v>
      </c>
      <c r="D91" s="30">
        <v>265</v>
      </c>
      <c r="E91" s="86" t="s">
        <v>291</v>
      </c>
      <c r="F91" s="17" t="s">
        <v>253</v>
      </c>
      <c r="G91" s="30" t="s">
        <v>8</v>
      </c>
      <c r="H91" s="30" t="s">
        <v>55</v>
      </c>
    </row>
    <row r="92" spans="2:8" hidden="1" x14ac:dyDescent="0.3">
      <c r="B92" s="30">
        <v>4</v>
      </c>
      <c r="C92" s="30">
        <v>40</v>
      </c>
      <c r="D92" s="30">
        <v>266</v>
      </c>
      <c r="E92" s="86" t="s">
        <v>292</v>
      </c>
      <c r="F92" s="17" t="s">
        <v>254</v>
      </c>
      <c r="G92" s="30" t="s">
        <v>8</v>
      </c>
      <c r="H92" s="30" t="s">
        <v>55</v>
      </c>
    </row>
    <row r="93" spans="2:8" ht="28.8" hidden="1" x14ac:dyDescent="0.3">
      <c r="B93" s="30">
        <v>4</v>
      </c>
      <c r="C93" s="30">
        <v>15</v>
      </c>
      <c r="D93" s="30">
        <v>267</v>
      </c>
      <c r="E93" s="86" t="s">
        <v>293</v>
      </c>
      <c r="F93" s="17" t="s">
        <v>267</v>
      </c>
      <c r="G93" s="30" t="s">
        <v>8</v>
      </c>
      <c r="H93" s="30" t="s">
        <v>268</v>
      </c>
    </row>
    <row r="94" spans="2:8" ht="28.8" hidden="1" x14ac:dyDescent="0.3">
      <c r="B94" s="30">
        <v>10</v>
      </c>
      <c r="C94" s="30">
        <v>42</v>
      </c>
      <c r="D94" s="30">
        <v>268</v>
      </c>
      <c r="E94" s="86" t="s">
        <v>294</v>
      </c>
      <c r="F94" s="17" t="s">
        <v>377</v>
      </c>
      <c r="G94" s="30" t="s">
        <v>8</v>
      </c>
      <c r="H94" s="30" t="s">
        <v>129</v>
      </c>
    </row>
    <row r="95" spans="2:8" ht="28.8" hidden="1" x14ac:dyDescent="0.3">
      <c r="B95" s="30">
        <v>10</v>
      </c>
      <c r="C95" s="30">
        <v>15</v>
      </c>
      <c r="D95" s="30">
        <v>269</v>
      </c>
      <c r="E95" s="86" t="s">
        <v>295</v>
      </c>
      <c r="F95" s="17" t="s">
        <v>688</v>
      </c>
      <c r="G95" s="30" t="s">
        <v>8</v>
      </c>
      <c r="H95" s="30" t="s">
        <v>129</v>
      </c>
    </row>
    <row r="96" spans="2:8" ht="28.8" hidden="1" x14ac:dyDescent="0.3">
      <c r="B96" s="30">
        <v>10</v>
      </c>
      <c r="C96" s="30">
        <v>43</v>
      </c>
      <c r="D96" s="30">
        <v>270</v>
      </c>
      <c r="E96" s="86" t="s">
        <v>297</v>
      </c>
      <c r="F96" s="17" t="s">
        <v>298</v>
      </c>
      <c r="G96" s="30" t="s">
        <v>8</v>
      </c>
      <c r="H96" s="30" t="s">
        <v>129</v>
      </c>
    </row>
    <row r="97" spans="2:8" hidden="1" x14ac:dyDescent="0.3">
      <c r="B97" s="30">
        <v>17</v>
      </c>
      <c r="C97" s="30">
        <v>44</v>
      </c>
      <c r="D97" s="30">
        <v>271</v>
      </c>
      <c r="E97" s="86" t="s">
        <v>299</v>
      </c>
      <c r="F97" s="17" t="s">
        <v>300</v>
      </c>
      <c r="G97" s="30" t="s">
        <v>8</v>
      </c>
      <c r="H97" s="30" t="s">
        <v>55</v>
      </c>
    </row>
    <row r="98" spans="2:8" hidden="1" x14ac:dyDescent="0.3">
      <c r="B98" s="30">
        <v>17</v>
      </c>
      <c r="C98" s="30">
        <v>44</v>
      </c>
      <c r="D98" s="30">
        <v>272</v>
      </c>
      <c r="E98" s="86" t="s">
        <v>301</v>
      </c>
      <c r="F98" s="17" t="s">
        <v>302</v>
      </c>
      <c r="G98" s="30" t="s">
        <v>8</v>
      </c>
      <c r="H98" s="30" t="s">
        <v>55</v>
      </c>
    </row>
    <row r="99" spans="2:8" hidden="1" x14ac:dyDescent="0.3">
      <c r="B99" s="30">
        <v>17</v>
      </c>
      <c r="C99" s="30">
        <v>44</v>
      </c>
      <c r="D99" s="30">
        <v>273</v>
      </c>
      <c r="E99" s="86" t="s">
        <v>303</v>
      </c>
      <c r="F99" s="17" t="s">
        <v>304</v>
      </c>
      <c r="G99" s="30" t="s">
        <v>8</v>
      </c>
      <c r="H99" s="30" t="s">
        <v>55</v>
      </c>
    </row>
    <row r="100" spans="2:8" ht="28.8" hidden="1" x14ac:dyDescent="0.3">
      <c r="B100" s="30">
        <v>7</v>
      </c>
      <c r="C100" s="30">
        <v>35</v>
      </c>
      <c r="D100" s="30">
        <v>274</v>
      </c>
      <c r="E100" s="86" t="s">
        <v>305</v>
      </c>
      <c r="F100" s="17" t="s">
        <v>306</v>
      </c>
      <c r="G100" s="30" t="s">
        <v>8</v>
      </c>
      <c r="H100" s="30" t="s">
        <v>326</v>
      </c>
    </row>
    <row r="101" spans="2:8" ht="28.8" hidden="1" x14ac:dyDescent="0.3">
      <c r="B101" s="30">
        <v>16</v>
      </c>
      <c r="C101" s="30">
        <v>45</v>
      </c>
      <c r="D101" s="30">
        <v>275</v>
      </c>
      <c r="E101" s="86" t="s">
        <v>308</v>
      </c>
      <c r="F101" s="17" t="s">
        <v>309</v>
      </c>
      <c r="G101" s="30" t="s">
        <v>8</v>
      </c>
      <c r="H101" s="30" t="s">
        <v>109</v>
      </c>
    </row>
    <row r="102" spans="2:8" ht="28.8" hidden="1" x14ac:dyDescent="0.3">
      <c r="B102" s="30">
        <v>16</v>
      </c>
      <c r="C102" s="30">
        <v>45</v>
      </c>
      <c r="D102" s="30">
        <v>276</v>
      </c>
      <c r="E102" s="86" t="s">
        <v>310</v>
      </c>
      <c r="F102" s="17" t="s">
        <v>311</v>
      </c>
      <c r="G102" s="30" t="s">
        <v>8</v>
      </c>
      <c r="H102" s="30" t="s">
        <v>109</v>
      </c>
    </row>
    <row r="103" spans="2:8" x14ac:dyDescent="0.3">
      <c r="B103" s="30">
        <v>3</v>
      </c>
      <c r="C103" s="30">
        <v>31</v>
      </c>
      <c r="D103" s="30">
        <v>277</v>
      </c>
      <c r="E103" s="86" t="s">
        <v>327</v>
      </c>
      <c r="F103" s="17" t="s">
        <v>669</v>
      </c>
      <c r="G103" s="30" t="s">
        <v>108</v>
      </c>
      <c r="H103" s="30" t="s">
        <v>326</v>
      </c>
    </row>
    <row r="104" spans="2:8" x14ac:dyDescent="0.3">
      <c r="B104" s="30">
        <v>3</v>
      </c>
      <c r="C104" s="30">
        <v>31</v>
      </c>
      <c r="D104" s="30">
        <v>278</v>
      </c>
      <c r="E104" s="86" t="s">
        <v>329</v>
      </c>
      <c r="F104" s="17" t="s">
        <v>670</v>
      </c>
      <c r="G104" s="30" t="s">
        <v>108</v>
      </c>
      <c r="H104" s="30" t="s">
        <v>326</v>
      </c>
    </row>
    <row r="105" spans="2:8" hidden="1" x14ac:dyDescent="0.3">
      <c r="B105" s="30">
        <v>16</v>
      </c>
      <c r="C105" s="30">
        <v>46</v>
      </c>
      <c r="D105" s="30">
        <v>279</v>
      </c>
      <c r="E105" s="86" t="s">
        <v>331</v>
      </c>
      <c r="F105" s="17" t="s">
        <v>378</v>
      </c>
      <c r="G105" s="30" t="s">
        <v>108</v>
      </c>
      <c r="H105" s="30">
        <v>0</v>
      </c>
    </row>
    <row r="106" spans="2:8" ht="28.8" hidden="1" x14ac:dyDescent="0.3">
      <c r="B106" s="30">
        <v>16</v>
      </c>
      <c r="C106" s="30">
        <v>47</v>
      </c>
      <c r="D106" s="30">
        <v>280</v>
      </c>
      <c r="E106" s="86" t="s">
        <v>333</v>
      </c>
      <c r="F106" s="17" t="s">
        <v>334</v>
      </c>
      <c r="G106" s="30" t="s">
        <v>8</v>
      </c>
      <c r="H106" s="30" t="s">
        <v>109</v>
      </c>
    </row>
    <row r="107" spans="2:8" ht="28.8" hidden="1" x14ac:dyDescent="0.3">
      <c r="B107" s="30">
        <v>16</v>
      </c>
      <c r="C107" s="30">
        <v>48</v>
      </c>
      <c r="D107" s="30">
        <v>281</v>
      </c>
      <c r="E107" s="86" t="s">
        <v>335</v>
      </c>
      <c r="F107" s="17" t="s">
        <v>336</v>
      </c>
      <c r="G107" s="30" t="s">
        <v>8</v>
      </c>
      <c r="H107" s="30" t="s">
        <v>109</v>
      </c>
    </row>
    <row r="108" spans="2:8" hidden="1" x14ac:dyDescent="0.3">
      <c r="B108" s="30">
        <v>16</v>
      </c>
      <c r="C108" s="30">
        <v>49</v>
      </c>
      <c r="D108" s="30">
        <v>282</v>
      </c>
      <c r="E108" s="86" t="s">
        <v>337</v>
      </c>
      <c r="F108" s="17" t="s">
        <v>338</v>
      </c>
      <c r="G108" s="30" t="s">
        <v>8</v>
      </c>
      <c r="H108" s="30" t="s">
        <v>339</v>
      </c>
    </row>
    <row r="109" spans="2:8" ht="28.8" hidden="1" x14ac:dyDescent="0.3">
      <c r="B109" s="30">
        <v>16</v>
      </c>
      <c r="C109" s="30">
        <v>50</v>
      </c>
      <c r="D109" s="30">
        <v>283</v>
      </c>
      <c r="E109" s="86" t="s">
        <v>340</v>
      </c>
      <c r="F109" s="17" t="s">
        <v>341</v>
      </c>
      <c r="G109" s="30" t="s">
        <v>8</v>
      </c>
      <c r="H109" s="30" t="s">
        <v>109</v>
      </c>
    </row>
    <row r="110" spans="2:8" ht="28.8" hidden="1" x14ac:dyDescent="0.3">
      <c r="B110" s="30">
        <v>16</v>
      </c>
      <c r="C110" s="30">
        <v>51</v>
      </c>
      <c r="D110" s="30">
        <v>284</v>
      </c>
      <c r="E110" s="86" t="s">
        <v>342</v>
      </c>
      <c r="F110" s="17" t="s">
        <v>665</v>
      </c>
      <c r="G110" s="30" t="s">
        <v>8</v>
      </c>
      <c r="H110" s="30" t="s">
        <v>109</v>
      </c>
    </row>
    <row r="111" spans="2:8" ht="28.8" hidden="1" x14ac:dyDescent="0.3">
      <c r="B111" s="30">
        <v>16</v>
      </c>
      <c r="C111" s="30">
        <v>52</v>
      </c>
      <c r="D111" s="30">
        <v>285</v>
      </c>
      <c r="E111" s="86" t="s">
        <v>344</v>
      </c>
      <c r="F111" s="17" t="s">
        <v>345</v>
      </c>
      <c r="G111" s="30" t="s">
        <v>8</v>
      </c>
      <c r="H111" s="30" t="s">
        <v>109</v>
      </c>
    </row>
    <row r="112" spans="2:8" hidden="1" x14ac:dyDescent="0.3">
      <c r="B112" s="30">
        <v>7</v>
      </c>
      <c r="C112" s="30">
        <v>35</v>
      </c>
      <c r="D112" s="30">
        <v>286</v>
      </c>
      <c r="E112" s="86" t="s">
        <v>379</v>
      </c>
      <c r="F112" s="17" t="s">
        <v>380</v>
      </c>
      <c r="G112" s="30" t="s">
        <v>8</v>
      </c>
      <c r="H112" s="30" t="s">
        <v>339</v>
      </c>
    </row>
    <row r="113" spans="2:8" ht="28.8" hidden="1" x14ac:dyDescent="0.3">
      <c r="B113" s="30">
        <v>10</v>
      </c>
      <c r="C113" s="30">
        <v>37</v>
      </c>
      <c r="D113" s="30">
        <v>287</v>
      </c>
      <c r="E113" s="86" t="s">
        <v>381</v>
      </c>
      <c r="F113" s="17" t="s">
        <v>382</v>
      </c>
      <c r="G113" s="30" t="s">
        <v>8</v>
      </c>
      <c r="H113" s="30" t="s">
        <v>129</v>
      </c>
    </row>
    <row r="114" spans="2:8" ht="28.8" hidden="1" x14ac:dyDescent="0.3">
      <c r="B114" s="30">
        <v>16</v>
      </c>
      <c r="C114" s="30">
        <v>49</v>
      </c>
      <c r="D114" s="30">
        <v>288</v>
      </c>
      <c r="E114" s="86" t="s">
        <v>371</v>
      </c>
      <c r="F114" s="17" t="s">
        <v>383</v>
      </c>
      <c r="G114" s="30" t="s">
        <v>8</v>
      </c>
      <c r="H114" s="30" t="s">
        <v>109</v>
      </c>
    </row>
    <row r="115" spans="2:8" ht="28.8" hidden="1" x14ac:dyDescent="0.3">
      <c r="B115" s="30">
        <v>16</v>
      </c>
      <c r="C115" s="30">
        <v>53</v>
      </c>
      <c r="D115" s="30">
        <v>289</v>
      </c>
      <c r="E115" s="86" t="s">
        <v>372</v>
      </c>
      <c r="F115" s="17" t="s">
        <v>384</v>
      </c>
      <c r="G115" s="30" t="s">
        <v>8</v>
      </c>
      <c r="H115" s="30" t="s">
        <v>109</v>
      </c>
    </row>
    <row r="116" spans="2:8" ht="28.8" hidden="1" x14ac:dyDescent="0.3">
      <c r="B116" s="30">
        <v>16</v>
      </c>
      <c r="C116" s="30">
        <v>53</v>
      </c>
      <c r="D116" s="30">
        <v>290</v>
      </c>
      <c r="E116" s="86" t="s">
        <v>385</v>
      </c>
      <c r="F116" s="17" t="s">
        <v>386</v>
      </c>
      <c r="G116" s="30" t="s">
        <v>8</v>
      </c>
      <c r="H116" s="30" t="s">
        <v>109</v>
      </c>
    </row>
    <row r="117" spans="2:8" ht="28.8" hidden="1" x14ac:dyDescent="0.3">
      <c r="B117" s="30">
        <v>9</v>
      </c>
      <c r="C117" s="30">
        <v>2</v>
      </c>
      <c r="D117" s="30">
        <v>291</v>
      </c>
      <c r="E117" s="86" t="s">
        <v>387</v>
      </c>
      <c r="F117" s="17" t="s">
        <v>388</v>
      </c>
      <c r="G117" s="30" t="s">
        <v>8</v>
      </c>
      <c r="H117" s="30" t="s">
        <v>109</v>
      </c>
    </row>
    <row r="118" spans="2:8" ht="28.8" hidden="1" x14ac:dyDescent="0.3">
      <c r="B118" s="30">
        <v>16</v>
      </c>
      <c r="C118" s="30">
        <v>52</v>
      </c>
      <c r="D118" s="30">
        <v>292</v>
      </c>
      <c r="E118" s="86" t="s">
        <v>389</v>
      </c>
      <c r="F118" s="17" t="s">
        <v>390</v>
      </c>
      <c r="G118" s="30" t="s">
        <v>8</v>
      </c>
      <c r="H118" s="30" t="s">
        <v>109</v>
      </c>
    </row>
    <row r="119" spans="2:8" ht="28.8" hidden="1" x14ac:dyDescent="0.3">
      <c r="B119" s="30">
        <v>16</v>
      </c>
      <c r="C119" s="30">
        <v>52</v>
      </c>
      <c r="D119" s="30">
        <v>293</v>
      </c>
      <c r="E119" s="86" t="s">
        <v>391</v>
      </c>
      <c r="F119" s="17" t="s">
        <v>392</v>
      </c>
      <c r="G119" s="30" t="s">
        <v>8</v>
      </c>
      <c r="H119" s="30" t="s">
        <v>109</v>
      </c>
    </row>
    <row r="120" spans="2:8" ht="28.8" hidden="1" x14ac:dyDescent="0.3">
      <c r="B120" s="30">
        <v>16</v>
      </c>
      <c r="C120" s="30">
        <v>45</v>
      </c>
      <c r="D120" s="30">
        <v>294</v>
      </c>
      <c r="E120" s="86" t="s">
        <v>393</v>
      </c>
      <c r="F120" s="17" t="s">
        <v>394</v>
      </c>
      <c r="G120" s="30" t="s">
        <v>8</v>
      </c>
      <c r="H120" s="30" t="s">
        <v>109</v>
      </c>
    </row>
    <row r="121" spans="2:8" hidden="1" x14ac:dyDescent="0.3">
      <c r="B121" s="30">
        <v>7</v>
      </c>
      <c r="C121" s="30">
        <v>54</v>
      </c>
      <c r="D121" s="30">
        <v>295</v>
      </c>
      <c r="E121" s="86" t="s">
        <v>395</v>
      </c>
      <c r="F121" s="17" t="s">
        <v>396</v>
      </c>
      <c r="G121" s="30" t="s">
        <v>8</v>
      </c>
      <c r="H121" s="30" t="s">
        <v>339</v>
      </c>
    </row>
    <row r="122" spans="2:8" ht="28.8" hidden="1" x14ac:dyDescent="0.3">
      <c r="B122" s="30">
        <v>7</v>
      </c>
      <c r="C122" s="30">
        <v>35</v>
      </c>
      <c r="D122" s="30">
        <v>296</v>
      </c>
      <c r="E122" s="86" t="s">
        <v>397</v>
      </c>
      <c r="F122" s="17" t="s">
        <v>398</v>
      </c>
      <c r="G122" s="30" t="s">
        <v>8</v>
      </c>
      <c r="H122" s="30" t="s">
        <v>109</v>
      </c>
    </row>
    <row r="123" spans="2:8" ht="28.8" hidden="1" x14ac:dyDescent="0.3">
      <c r="B123" s="30">
        <v>16</v>
      </c>
      <c r="C123" s="30">
        <v>55</v>
      </c>
      <c r="D123" s="30">
        <v>297</v>
      </c>
      <c r="E123" s="86" t="s">
        <v>399</v>
      </c>
      <c r="F123" s="17" t="s">
        <v>400</v>
      </c>
      <c r="G123" s="30" t="s">
        <v>8</v>
      </c>
      <c r="H123" s="30" t="s">
        <v>109</v>
      </c>
    </row>
    <row r="124" spans="2:8" ht="43.2" hidden="1" x14ac:dyDescent="0.3">
      <c r="B124" s="30">
        <v>16</v>
      </c>
      <c r="C124" s="30">
        <v>35</v>
      </c>
      <c r="D124" s="30">
        <v>298</v>
      </c>
      <c r="E124" s="86" t="s">
        <v>401</v>
      </c>
      <c r="F124" s="17" t="s">
        <v>402</v>
      </c>
      <c r="G124" s="30" t="s">
        <v>8</v>
      </c>
      <c r="H124" s="30" t="s">
        <v>326</v>
      </c>
    </row>
    <row r="125" spans="2:8" ht="28.8" hidden="1" x14ac:dyDescent="0.3">
      <c r="B125" s="30">
        <v>16</v>
      </c>
      <c r="C125" s="30">
        <v>45</v>
      </c>
      <c r="D125" s="30">
        <v>299</v>
      </c>
      <c r="E125" s="86" t="s">
        <v>403</v>
      </c>
      <c r="F125" s="17" t="s">
        <v>404</v>
      </c>
      <c r="G125" s="30" t="s">
        <v>8</v>
      </c>
      <c r="H125" s="30" t="s">
        <v>109</v>
      </c>
    </row>
    <row r="126" spans="2:8" ht="28.8" hidden="1" x14ac:dyDescent="0.3">
      <c r="B126" s="30">
        <v>16</v>
      </c>
      <c r="C126" s="30">
        <v>45</v>
      </c>
      <c r="D126" s="30">
        <v>300</v>
      </c>
      <c r="E126" s="86" t="s">
        <v>405</v>
      </c>
      <c r="F126" s="17" t="s">
        <v>406</v>
      </c>
      <c r="G126" s="30" t="s">
        <v>8</v>
      </c>
      <c r="H126" s="30" t="s">
        <v>109</v>
      </c>
    </row>
    <row r="127" spans="2:8" ht="28.8" hidden="1" x14ac:dyDescent="0.3">
      <c r="B127" s="30">
        <v>16</v>
      </c>
      <c r="C127" s="30">
        <v>45</v>
      </c>
      <c r="D127" s="30">
        <v>301</v>
      </c>
      <c r="E127" s="86" t="s">
        <v>407</v>
      </c>
      <c r="F127" s="17" t="s">
        <v>408</v>
      </c>
      <c r="G127" s="30" t="s">
        <v>8</v>
      </c>
      <c r="H127" s="30" t="s">
        <v>109</v>
      </c>
    </row>
    <row r="128" spans="2:8" hidden="1" x14ac:dyDescent="0.3">
      <c r="B128" s="30">
        <v>16</v>
      </c>
      <c r="C128" s="30">
        <v>56</v>
      </c>
      <c r="D128" s="30">
        <v>302</v>
      </c>
      <c r="E128" s="86" t="s">
        <v>409</v>
      </c>
      <c r="F128" s="17" t="s">
        <v>410</v>
      </c>
      <c r="G128" s="30" t="s">
        <v>8</v>
      </c>
      <c r="H128" s="30" t="s">
        <v>339</v>
      </c>
    </row>
    <row r="129" spans="2:8" hidden="1" x14ac:dyDescent="0.3">
      <c r="B129" s="30">
        <v>16</v>
      </c>
      <c r="C129" s="30">
        <v>56</v>
      </c>
      <c r="D129" s="30">
        <v>303</v>
      </c>
      <c r="E129" s="86" t="s">
        <v>411</v>
      </c>
      <c r="F129" s="17" t="s">
        <v>412</v>
      </c>
      <c r="G129" s="30" t="s">
        <v>8</v>
      </c>
      <c r="H129" s="30" t="s">
        <v>339</v>
      </c>
    </row>
    <row r="130" spans="2:8" ht="28.8" hidden="1" x14ac:dyDescent="0.3">
      <c r="B130" s="30">
        <v>16</v>
      </c>
      <c r="C130" s="30">
        <v>45</v>
      </c>
      <c r="D130" s="30">
        <v>304</v>
      </c>
      <c r="E130" s="86" t="s">
        <v>413</v>
      </c>
      <c r="F130" s="17" t="s">
        <v>414</v>
      </c>
      <c r="G130" s="30" t="s">
        <v>8</v>
      </c>
      <c r="H130" s="30" t="s">
        <v>109</v>
      </c>
    </row>
    <row r="131" spans="2:8" ht="28.8" hidden="1" x14ac:dyDescent="0.3">
      <c r="B131" s="30">
        <v>16</v>
      </c>
      <c r="C131" s="30">
        <v>45</v>
      </c>
      <c r="D131" s="30">
        <v>305</v>
      </c>
      <c r="E131" s="86" t="s">
        <v>415</v>
      </c>
      <c r="F131" s="17" t="s">
        <v>416</v>
      </c>
      <c r="G131" s="30" t="s">
        <v>8</v>
      </c>
      <c r="H131" s="30" t="s">
        <v>109</v>
      </c>
    </row>
    <row r="132" spans="2:8" ht="28.8" hidden="1" x14ac:dyDescent="0.3">
      <c r="B132" s="30">
        <v>9</v>
      </c>
      <c r="C132" s="30">
        <v>32</v>
      </c>
      <c r="D132" s="30">
        <v>308</v>
      </c>
      <c r="E132" s="86" t="s">
        <v>421</v>
      </c>
      <c r="F132" s="17" t="s">
        <v>422</v>
      </c>
      <c r="G132" s="30" t="s">
        <v>8</v>
      </c>
      <c r="H132" s="30" t="s">
        <v>109</v>
      </c>
    </row>
    <row r="133" spans="2:8" ht="28.8" hidden="1" x14ac:dyDescent="0.3">
      <c r="B133" s="30">
        <v>9</v>
      </c>
      <c r="C133" s="30">
        <v>32</v>
      </c>
      <c r="D133" s="30">
        <v>225</v>
      </c>
      <c r="E133" s="86" t="s">
        <v>212</v>
      </c>
      <c r="F133" s="17" t="s">
        <v>122</v>
      </c>
      <c r="G133" s="30" t="s">
        <v>8</v>
      </c>
      <c r="H133" s="30" t="s">
        <v>109</v>
      </c>
    </row>
    <row r="134" spans="2:8" ht="28.8" hidden="1" x14ac:dyDescent="0.3">
      <c r="B134" s="30">
        <v>9</v>
      </c>
      <c r="C134" s="30">
        <v>32</v>
      </c>
      <c r="D134" s="30">
        <v>306</v>
      </c>
      <c r="E134" s="86" t="s">
        <v>417</v>
      </c>
      <c r="F134" s="17" t="s">
        <v>418</v>
      </c>
      <c r="G134" s="30" t="s">
        <v>8</v>
      </c>
      <c r="H134" s="30" t="s">
        <v>109</v>
      </c>
    </row>
    <row r="135" spans="2:8" ht="28.8" hidden="1" x14ac:dyDescent="0.3">
      <c r="B135" s="30">
        <v>16</v>
      </c>
      <c r="C135" s="30">
        <v>51</v>
      </c>
      <c r="D135" s="30">
        <v>309</v>
      </c>
      <c r="E135" s="86" t="s">
        <v>423</v>
      </c>
      <c r="F135" s="17" t="s">
        <v>424</v>
      </c>
      <c r="G135" s="30" t="s">
        <v>8</v>
      </c>
      <c r="H135" s="30" t="s">
        <v>109</v>
      </c>
    </row>
    <row r="136" spans="2:8" ht="28.8" hidden="1" x14ac:dyDescent="0.3">
      <c r="B136" s="30">
        <v>16</v>
      </c>
      <c r="C136" s="30">
        <v>51</v>
      </c>
      <c r="D136" s="30">
        <v>310</v>
      </c>
      <c r="E136" s="86" t="s">
        <v>425</v>
      </c>
      <c r="F136" s="17" t="s">
        <v>426</v>
      </c>
      <c r="G136" s="30" t="s">
        <v>8</v>
      </c>
      <c r="H136" s="30" t="s">
        <v>109</v>
      </c>
    </row>
    <row r="137" spans="2:8" ht="28.8" hidden="1" x14ac:dyDescent="0.3">
      <c r="B137" s="30">
        <v>16</v>
      </c>
      <c r="C137" s="30">
        <v>57</v>
      </c>
      <c r="D137" s="30">
        <v>311</v>
      </c>
      <c r="E137" s="86" t="s">
        <v>427</v>
      </c>
      <c r="F137" s="17" t="s">
        <v>428</v>
      </c>
      <c r="G137" s="30" t="s">
        <v>8</v>
      </c>
      <c r="H137" s="30" t="s">
        <v>109</v>
      </c>
    </row>
    <row r="138" spans="2:8" ht="28.8" hidden="1" x14ac:dyDescent="0.3">
      <c r="B138" s="30">
        <v>16</v>
      </c>
      <c r="C138" s="30">
        <v>58</v>
      </c>
      <c r="D138" s="30">
        <v>312</v>
      </c>
      <c r="E138" s="86" t="s">
        <v>429</v>
      </c>
      <c r="F138" s="17" t="s">
        <v>430</v>
      </c>
      <c r="G138" s="30" t="s">
        <v>8</v>
      </c>
      <c r="H138" s="30" t="s">
        <v>109</v>
      </c>
    </row>
    <row r="139" spans="2:8" ht="28.8" hidden="1" x14ac:dyDescent="0.3">
      <c r="B139" s="30">
        <v>16</v>
      </c>
      <c r="C139" s="30">
        <v>58</v>
      </c>
      <c r="D139" s="30">
        <v>313</v>
      </c>
      <c r="E139" s="86" t="s">
        <v>431</v>
      </c>
      <c r="F139" s="17" t="s">
        <v>432</v>
      </c>
      <c r="G139" s="30" t="s">
        <v>8</v>
      </c>
      <c r="H139" s="30" t="s">
        <v>109</v>
      </c>
    </row>
    <row r="140" spans="2:8" ht="28.8" hidden="1" x14ac:dyDescent="0.3">
      <c r="B140" s="30">
        <v>16</v>
      </c>
      <c r="C140" s="30">
        <v>50</v>
      </c>
      <c r="D140" s="30">
        <v>314</v>
      </c>
      <c r="E140" s="86" t="s">
        <v>433</v>
      </c>
      <c r="F140" s="17" t="s">
        <v>434</v>
      </c>
      <c r="G140" s="30" t="s">
        <v>8</v>
      </c>
      <c r="H140" s="30" t="s">
        <v>109</v>
      </c>
    </row>
    <row r="141" spans="2:8" ht="28.8" hidden="1" x14ac:dyDescent="0.3">
      <c r="B141" s="30">
        <v>10</v>
      </c>
      <c r="C141" s="30">
        <v>37</v>
      </c>
      <c r="D141" s="30">
        <v>315</v>
      </c>
      <c r="E141" s="86" t="s">
        <v>435</v>
      </c>
      <c r="F141" s="17" t="s">
        <v>436</v>
      </c>
      <c r="G141" s="30" t="s">
        <v>8</v>
      </c>
      <c r="H141" s="30" t="s">
        <v>129</v>
      </c>
    </row>
    <row r="142" spans="2:8" ht="28.8" hidden="1" x14ac:dyDescent="0.3">
      <c r="B142" s="30">
        <v>10</v>
      </c>
      <c r="C142" s="30">
        <v>37</v>
      </c>
      <c r="D142" s="30">
        <v>316</v>
      </c>
      <c r="E142" s="86" t="s">
        <v>437</v>
      </c>
      <c r="F142" s="17" t="s">
        <v>438</v>
      </c>
      <c r="G142" s="30" t="s">
        <v>8</v>
      </c>
      <c r="H142" s="30" t="s">
        <v>129</v>
      </c>
    </row>
    <row r="143" spans="2:8" ht="28.8" hidden="1" x14ac:dyDescent="0.3">
      <c r="B143" s="30">
        <v>16</v>
      </c>
      <c r="C143" s="30">
        <v>45</v>
      </c>
      <c r="D143" s="30">
        <v>317</v>
      </c>
      <c r="E143" s="86" t="s">
        <v>439</v>
      </c>
      <c r="F143" s="17" t="s">
        <v>440</v>
      </c>
      <c r="G143" s="30" t="s">
        <v>8</v>
      </c>
      <c r="H143" s="30" t="s">
        <v>109</v>
      </c>
    </row>
    <row r="144" spans="2:8" ht="28.8" hidden="1" x14ac:dyDescent="0.3">
      <c r="B144" s="30">
        <v>16</v>
      </c>
      <c r="C144" s="30">
        <v>47</v>
      </c>
      <c r="D144" s="30">
        <v>318</v>
      </c>
      <c r="E144" s="86" t="s">
        <v>441</v>
      </c>
      <c r="F144" s="17" t="s">
        <v>442</v>
      </c>
      <c r="G144" s="30" t="s">
        <v>8</v>
      </c>
      <c r="H144" s="30" t="s">
        <v>109</v>
      </c>
    </row>
    <row r="145" spans="2:8" ht="28.8" hidden="1" x14ac:dyDescent="0.3">
      <c r="B145" s="30">
        <v>16</v>
      </c>
      <c r="C145" s="30">
        <v>52</v>
      </c>
      <c r="D145" s="30">
        <v>319</v>
      </c>
      <c r="E145" s="86" t="s">
        <v>443</v>
      </c>
      <c r="F145" s="17" t="s">
        <v>444</v>
      </c>
      <c r="G145" s="30" t="s">
        <v>8</v>
      </c>
      <c r="H145" s="30" t="s">
        <v>109</v>
      </c>
    </row>
    <row r="146" spans="2:8" x14ac:dyDescent="0.3">
      <c r="B146" s="30">
        <v>16</v>
      </c>
      <c r="C146" s="30">
        <v>31</v>
      </c>
      <c r="D146" s="30">
        <v>320</v>
      </c>
      <c r="E146" s="86" t="s">
        <v>445</v>
      </c>
      <c r="F146" s="17" t="s">
        <v>446</v>
      </c>
      <c r="G146" s="30" t="s">
        <v>8</v>
      </c>
      <c r="H146" s="30">
        <v>0</v>
      </c>
    </row>
    <row r="147" spans="2:8" ht="28.8" hidden="1" x14ac:dyDescent="0.3">
      <c r="B147" s="30">
        <v>8</v>
      </c>
      <c r="C147" s="30">
        <v>27</v>
      </c>
      <c r="D147" s="30">
        <v>321</v>
      </c>
      <c r="E147" s="86" t="s">
        <v>447</v>
      </c>
      <c r="F147" s="17" t="s">
        <v>448</v>
      </c>
      <c r="G147" s="30" t="s">
        <v>8</v>
      </c>
      <c r="H147" s="30" t="s">
        <v>55</v>
      </c>
    </row>
    <row r="148" spans="2:8" ht="28.8" hidden="1" x14ac:dyDescent="0.3">
      <c r="B148" s="30">
        <v>16</v>
      </c>
      <c r="C148" s="30">
        <v>59</v>
      </c>
      <c r="D148" s="30">
        <v>322</v>
      </c>
      <c r="E148" s="86" t="s">
        <v>373</v>
      </c>
      <c r="F148" s="17" t="s">
        <v>374</v>
      </c>
      <c r="G148" s="30" t="s">
        <v>8</v>
      </c>
      <c r="H148" s="30" t="s">
        <v>109</v>
      </c>
    </row>
    <row r="149" spans="2:8" hidden="1" x14ac:dyDescent="0.3">
      <c r="B149" s="30">
        <v>7</v>
      </c>
      <c r="C149" s="30">
        <v>54</v>
      </c>
      <c r="D149" s="30">
        <v>323</v>
      </c>
      <c r="E149" s="86" t="s">
        <v>449</v>
      </c>
      <c r="F149" s="17" t="s">
        <v>450</v>
      </c>
      <c r="G149" s="30" t="s">
        <v>8</v>
      </c>
      <c r="H149" s="30" t="s">
        <v>339</v>
      </c>
    </row>
    <row r="150" spans="2:8" ht="28.8" hidden="1" x14ac:dyDescent="0.3">
      <c r="B150" s="30">
        <v>16</v>
      </c>
      <c r="C150" s="30">
        <v>60</v>
      </c>
      <c r="D150" s="30">
        <v>324</v>
      </c>
      <c r="E150" s="86" t="s">
        <v>451</v>
      </c>
      <c r="F150" s="17" t="s">
        <v>779</v>
      </c>
      <c r="G150" s="30" t="s">
        <v>8</v>
      </c>
      <c r="H150" s="30" t="s">
        <v>109</v>
      </c>
    </row>
    <row r="151" spans="2:8" ht="28.8" hidden="1" x14ac:dyDescent="0.3">
      <c r="B151" s="30">
        <v>16</v>
      </c>
      <c r="C151" s="30">
        <v>60</v>
      </c>
      <c r="D151" s="30">
        <v>325</v>
      </c>
      <c r="E151" s="86" t="s">
        <v>452</v>
      </c>
      <c r="F151" s="17" t="s">
        <v>453</v>
      </c>
      <c r="G151" s="30" t="s">
        <v>8</v>
      </c>
      <c r="H151" s="30" t="s">
        <v>109</v>
      </c>
    </row>
    <row r="152" spans="2:8" ht="28.8" hidden="1" x14ac:dyDescent="0.3">
      <c r="B152" s="30">
        <v>4</v>
      </c>
      <c r="C152" s="30">
        <v>15</v>
      </c>
      <c r="D152" s="30">
        <v>326</v>
      </c>
      <c r="E152" s="86" t="s">
        <v>454</v>
      </c>
      <c r="F152" s="17" t="s">
        <v>455</v>
      </c>
      <c r="G152" s="30" t="s">
        <v>8</v>
      </c>
      <c r="H152" s="30" t="s">
        <v>268</v>
      </c>
    </row>
    <row r="153" spans="2:8" ht="28.8" hidden="1" x14ac:dyDescent="0.3">
      <c r="B153" s="30">
        <v>7</v>
      </c>
      <c r="C153" s="30">
        <v>35</v>
      </c>
      <c r="D153" s="30">
        <v>327</v>
      </c>
      <c r="E153" s="86" t="s">
        <v>456</v>
      </c>
      <c r="F153" s="17" t="s">
        <v>457</v>
      </c>
      <c r="G153" s="30" t="s">
        <v>8</v>
      </c>
      <c r="H153" s="30">
        <v>0</v>
      </c>
    </row>
    <row r="154" spans="2:8" ht="28.8" hidden="1" x14ac:dyDescent="0.3">
      <c r="B154" s="30">
        <v>16</v>
      </c>
      <c r="C154" s="30">
        <v>53</v>
      </c>
      <c r="D154" s="30">
        <v>328</v>
      </c>
      <c r="E154" s="86" t="s">
        <v>524</v>
      </c>
      <c r="F154" s="17" t="s">
        <v>525</v>
      </c>
      <c r="G154" s="30" t="s">
        <v>8</v>
      </c>
      <c r="H154" s="30" t="s">
        <v>339</v>
      </c>
    </row>
    <row r="155" spans="2:8" ht="28.8" hidden="1" x14ac:dyDescent="0.3">
      <c r="B155" s="30">
        <v>10</v>
      </c>
      <c r="C155" s="30">
        <v>42</v>
      </c>
      <c r="D155" s="30">
        <v>329</v>
      </c>
      <c r="E155" s="86" t="s">
        <v>527</v>
      </c>
      <c r="F155" s="17" t="s">
        <v>528</v>
      </c>
      <c r="G155" s="30" t="s">
        <v>8</v>
      </c>
      <c r="H155" s="30" t="s">
        <v>129</v>
      </c>
    </row>
    <row r="156" spans="2:8" ht="28.8" hidden="1" x14ac:dyDescent="0.3">
      <c r="B156" s="30">
        <v>10</v>
      </c>
      <c r="C156" s="30">
        <v>37</v>
      </c>
      <c r="D156" s="30">
        <v>330</v>
      </c>
      <c r="E156" s="86" t="s">
        <v>529</v>
      </c>
      <c r="F156" s="17" t="s">
        <v>530</v>
      </c>
      <c r="G156" s="30" t="s">
        <v>8</v>
      </c>
      <c r="H156" s="30" t="s">
        <v>129</v>
      </c>
    </row>
    <row r="157" spans="2:8" ht="28.8" hidden="1" x14ac:dyDescent="0.3">
      <c r="B157" s="30">
        <v>16</v>
      </c>
      <c r="C157" s="30">
        <v>61</v>
      </c>
      <c r="D157" s="30">
        <v>331</v>
      </c>
      <c r="E157" s="86" t="s">
        <v>531</v>
      </c>
      <c r="F157" s="17" t="s">
        <v>532</v>
      </c>
      <c r="G157" s="30" t="s">
        <v>8</v>
      </c>
      <c r="H157" s="30" t="s">
        <v>109</v>
      </c>
    </row>
    <row r="158" spans="2:8" ht="28.8" hidden="1" x14ac:dyDescent="0.3">
      <c r="B158" s="30">
        <v>16</v>
      </c>
      <c r="C158" s="30">
        <v>61</v>
      </c>
      <c r="D158" s="30">
        <v>332</v>
      </c>
      <c r="E158" s="86" t="s">
        <v>533</v>
      </c>
      <c r="F158" s="17" t="s">
        <v>534</v>
      </c>
      <c r="G158" s="30" t="s">
        <v>8</v>
      </c>
      <c r="H158" s="30" t="s">
        <v>109</v>
      </c>
    </row>
    <row r="159" spans="2:8" ht="28.8" hidden="1" x14ac:dyDescent="0.3">
      <c r="B159" s="30">
        <v>16</v>
      </c>
      <c r="C159" s="30">
        <v>51</v>
      </c>
      <c r="D159" s="30">
        <v>333</v>
      </c>
      <c r="E159" s="86" t="s">
        <v>574</v>
      </c>
      <c r="F159" s="17" t="s">
        <v>666</v>
      </c>
      <c r="G159" s="30" t="s">
        <v>8</v>
      </c>
      <c r="H159" s="30" t="s">
        <v>109</v>
      </c>
    </row>
    <row r="160" spans="2:8" ht="28.8" hidden="1" x14ac:dyDescent="0.3">
      <c r="B160" s="30">
        <v>13</v>
      </c>
      <c r="C160" s="30">
        <v>23</v>
      </c>
      <c r="D160" s="30">
        <v>334</v>
      </c>
      <c r="E160" s="86" t="s">
        <v>575</v>
      </c>
      <c r="F160" s="17" t="s">
        <v>576</v>
      </c>
      <c r="G160" s="30" t="s">
        <v>8</v>
      </c>
      <c r="H160" s="30" t="s">
        <v>109</v>
      </c>
    </row>
    <row r="161" spans="2:8" ht="28.8" hidden="1" x14ac:dyDescent="0.3">
      <c r="B161" s="30">
        <v>13</v>
      </c>
      <c r="C161" s="30">
        <v>23</v>
      </c>
      <c r="D161" s="30">
        <v>335</v>
      </c>
      <c r="E161" s="86" t="s">
        <v>577</v>
      </c>
      <c r="F161" s="17" t="s">
        <v>578</v>
      </c>
      <c r="G161" s="30" t="s">
        <v>8</v>
      </c>
      <c r="H161" s="30" t="s">
        <v>109</v>
      </c>
    </row>
    <row r="162" spans="2:8" ht="28.8" hidden="1" x14ac:dyDescent="0.3">
      <c r="B162" s="30">
        <v>16</v>
      </c>
      <c r="C162" s="30">
        <v>50</v>
      </c>
      <c r="D162" s="30">
        <v>336</v>
      </c>
      <c r="E162" s="86" t="s">
        <v>579</v>
      </c>
      <c r="F162" s="17" t="s">
        <v>580</v>
      </c>
      <c r="G162" s="30" t="s">
        <v>8</v>
      </c>
      <c r="H162" s="30" t="s">
        <v>109</v>
      </c>
    </row>
    <row r="163" spans="2:8" ht="28.8" hidden="1" x14ac:dyDescent="0.3">
      <c r="B163" s="30">
        <v>16</v>
      </c>
      <c r="C163" s="30">
        <v>52</v>
      </c>
      <c r="D163" s="30">
        <v>339</v>
      </c>
      <c r="E163" s="86" t="s">
        <v>581</v>
      </c>
      <c r="F163" s="17" t="s">
        <v>582</v>
      </c>
      <c r="G163" s="30" t="s">
        <v>8</v>
      </c>
      <c r="H163" s="30" t="s">
        <v>109</v>
      </c>
    </row>
    <row r="164" spans="2:8" ht="28.8" hidden="1" x14ac:dyDescent="0.3">
      <c r="B164" s="30">
        <v>16</v>
      </c>
      <c r="C164" s="30">
        <v>52</v>
      </c>
      <c r="D164" s="30">
        <v>340</v>
      </c>
      <c r="E164" s="86" t="s">
        <v>583</v>
      </c>
      <c r="F164" s="17" t="s">
        <v>584</v>
      </c>
      <c r="G164" s="30" t="s">
        <v>8</v>
      </c>
      <c r="H164" s="30" t="s">
        <v>109</v>
      </c>
    </row>
    <row r="165" spans="2:8" ht="28.8" hidden="1" x14ac:dyDescent="0.3">
      <c r="B165" s="30">
        <v>16</v>
      </c>
      <c r="C165" s="30">
        <v>52</v>
      </c>
      <c r="D165" s="30">
        <v>341</v>
      </c>
      <c r="E165" s="86" t="s">
        <v>585</v>
      </c>
      <c r="F165" s="17" t="s">
        <v>586</v>
      </c>
      <c r="G165" s="30" t="s">
        <v>8</v>
      </c>
      <c r="H165" s="30" t="s">
        <v>109</v>
      </c>
    </row>
    <row r="166" spans="2:8" ht="28.8" hidden="1" x14ac:dyDescent="0.3">
      <c r="B166" s="30">
        <v>16</v>
      </c>
      <c r="C166" s="30">
        <v>47</v>
      </c>
      <c r="D166" s="30">
        <v>337</v>
      </c>
      <c r="E166" s="86" t="s">
        <v>587</v>
      </c>
      <c r="F166" s="17" t="s">
        <v>588</v>
      </c>
      <c r="G166" s="30" t="s">
        <v>8</v>
      </c>
      <c r="H166" s="30" t="s">
        <v>109</v>
      </c>
    </row>
    <row r="167" spans="2:8" ht="28.8" hidden="1" x14ac:dyDescent="0.3">
      <c r="B167" s="30">
        <v>16</v>
      </c>
      <c r="C167" s="30">
        <v>47</v>
      </c>
      <c r="D167" s="30">
        <v>338</v>
      </c>
      <c r="E167" s="86" t="s">
        <v>589</v>
      </c>
      <c r="F167" s="17" t="s">
        <v>590</v>
      </c>
      <c r="G167" s="30" t="s">
        <v>8</v>
      </c>
      <c r="H167" s="30" t="s">
        <v>109</v>
      </c>
    </row>
    <row r="168" spans="2:8" ht="29.4" hidden="1" customHeight="1" x14ac:dyDescent="0.3">
      <c r="B168" s="30">
        <v>16</v>
      </c>
      <c r="C168" s="30">
        <v>62</v>
      </c>
      <c r="D168" s="30">
        <v>342</v>
      </c>
      <c r="E168" s="86" t="s">
        <v>591</v>
      </c>
      <c r="F168" s="17" t="s">
        <v>592</v>
      </c>
      <c r="G168" s="30" t="s">
        <v>8</v>
      </c>
      <c r="H168" s="30" t="s">
        <v>109</v>
      </c>
    </row>
    <row r="169" spans="2:8" ht="28.8" hidden="1" x14ac:dyDescent="0.3">
      <c r="B169" s="30">
        <v>16</v>
      </c>
      <c r="C169" s="30">
        <v>52</v>
      </c>
      <c r="D169" s="30">
        <v>343</v>
      </c>
      <c r="E169" s="86" t="s">
        <v>593</v>
      </c>
      <c r="F169" s="17" t="s">
        <v>594</v>
      </c>
      <c r="G169" s="30" t="s">
        <v>8</v>
      </c>
      <c r="H169" s="30" t="s">
        <v>109</v>
      </c>
    </row>
    <row r="170" spans="2:8" ht="28.8" hidden="1" x14ac:dyDescent="0.3">
      <c r="B170" s="30">
        <v>16</v>
      </c>
      <c r="C170" s="30">
        <v>56</v>
      </c>
      <c r="D170" s="30">
        <v>344</v>
      </c>
      <c r="E170" s="86" t="s">
        <v>595</v>
      </c>
      <c r="F170" s="17" t="s">
        <v>596</v>
      </c>
      <c r="G170" s="30" t="s">
        <v>8</v>
      </c>
      <c r="H170" s="30" t="s">
        <v>109</v>
      </c>
    </row>
    <row r="171" spans="2:8" ht="28.8" hidden="1" x14ac:dyDescent="0.3">
      <c r="B171" s="30">
        <v>16</v>
      </c>
      <c r="C171" s="30">
        <v>56</v>
      </c>
      <c r="D171" s="30">
        <v>345</v>
      </c>
      <c r="E171" s="86" t="s">
        <v>597</v>
      </c>
      <c r="F171" s="17" t="s">
        <v>598</v>
      </c>
      <c r="G171" s="30" t="s">
        <v>8</v>
      </c>
      <c r="H171" s="30" t="s">
        <v>109</v>
      </c>
    </row>
    <row r="172" spans="2:8" hidden="1" x14ac:dyDescent="0.3">
      <c r="B172" s="30">
        <v>16</v>
      </c>
      <c r="C172" s="30">
        <v>16</v>
      </c>
      <c r="D172" s="30">
        <v>346</v>
      </c>
      <c r="E172" s="86" t="s">
        <v>599</v>
      </c>
      <c r="F172" s="17" t="s">
        <v>600</v>
      </c>
      <c r="G172" s="30" t="s">
        <v>8</v>
      </c>
      <c r="H172" s="30" t="s">
        <v>55</v>
      </c>
    </row>
    <row r="173" spans="2:8" hidden="1" x14ac:dyDescent="0.3">
      <c r="B173" s="30">
        <v>16</v>
      </c>
      <c r="C173" s="30">
        <v>16</v>
      </c>
      <c r="D173" s="30">
        <v>347</v>
      </c>
      <c r="E173" s="86" t="s">
        <v>601</v>
      </c>
      <c r="F173" s="17" t="s">
        <v>602</v>
      </c>
      <c r="G173" s="30" t="s">
        <v>8</v>
      </c>
      <c r="H173" s="30" t="s">
        <v>55</v>
      </c>
    </row>
    <row r="174" spans="2:8" hidden="1" x14ac:dyDescent="0.3">
      <c r="B174" s="12">
        <v>16</v>
      </c>
      <c r="C174" s="12">
        <v>16</v>
      </c>
      <c r="D174" s="12">
        <v>348</v>
      </c>
      <c r="E174" s="86" t="s">
        <v>603</v>
      </c>
      <c r="F174" s="17" t="s">
        <v>604</v>
      </c>
      <c r="G174" s="30" t="s">
        <v>8</v>
      </c>
      <c r="H174" s="30" t="s">
        <v>55</v>
      </c>
    </row>
    <row r="175" spans="2:8" ht="28.8" hidden="1" x14ac:dyDescent="0.3">
      <c r="B175" s="30">
        <v>16</v>
      </c>
      <c r="C175" s="30">
        <v>47</v>
      </c>
      <c r="D175" s="30">
        <v>349</v>
      </c>
      <c r="E175" s="86" t="s">
        <v>605</v>
      </c>
      <c r="F175" s="17" t="s">
        <v>606</v>
      </c>
      <c r="G175" s="30" t="s">
        <v>8</v>
      </c>
      <c r="H175" s="30" t="s">
        <v>109</v>
      </c>
    </row>
    <row r="176" spans="2:8" ht="28.8" hidden="1" x14ac:dyDescent="0.3">
      <c r="B176" s="30">
        <v>16</v>
      </c>
      <c r="C176" s="30">
        <v>52</v>
      </c>
      <c r="D176" s="30">
        <v>350</v>
      </c>
      <c r="E176" s="86" t="s">
        <v>607</v>
      </c>
      <c r="F176" s="17" t="s">
        <v>608</v>
      </c>
      <c r="G176" s="30" t="s">
        <v>8</v>
      </c>
      <c r="H176" s="30" t="s">
        <v>109</v>
      </c>
    </row>
    <row r="177" spans="2:8" ht="28.8" hidden="1" x14ac:dyDescent="0.3">
      <c r="B177" s="30">
        <v>16</v>
      </c>
      <c r="C177" s="30">
        <v>52</v>
      </c>
      <c r="D177" s="30">
        <v>351</v>
      </c>
      <c r="E177" s="86" t="s">
        <v>609</v>
      </c>
      <c r="F177" s="17" t="s">
        <v>610</v>
      </c>
      <c r="G177" s="30" t="s">
        <v>8</v>
      </c>
      <c r="H177" s="30" t="s">
        <v>109</v>
      </c>
    </row>
    <row r="178" spans="2:8" ht="28.8" hidden="1" x14ac:dyDescent="0.3">
      <c r="B178" s="30">
        <v>16</v>
      </c>
      <c r="C178" s="30">
        <v>52</v>
      </c>
      <c r="D178" s="30">
        <v>352</v>
      </c>
      <c r="E178" s="86" t="s">
        <v>611</v>
      </c>
      <c r="F178" s="17" t="s">
        <v>612</v>
      </c>
      <c r="G178" s="30" t="s">
        <v>8</v>
      </c>
      <c r="H178" s="30" t="s">
        <v>109</v>
      </c>
    </row>
    <row r="179" spans="2:8" ht="28.8" hidden="1" x14ac:dyDescent="0.3">
      <c r="B179" s="30">
        <v>16</v>
      </c>
      <c r="C179" s="30">
        <v>52</v>
      </c>
      <c r="D179" s="30">
        <v>353</v>
      </c>
      <c r="E179" s="86" t="s">
        <v>613</v>
      </c>
      <c r="F179" s="17" t="s">
        <v>614</v>
      </c>
      <c r="G179" s="30" t="s">
        <v>8</v>
      </c>
      <c r="H179" s="30" t="s">
        <v>109</v>
      </c>
    </row>
    <row r="180" spans="2:8" ht="28.8" hidden="1" x14ac:dyDescent="0.3">
      <c r="B180" s="30">
        <v>16</v>
      </c>
      <c r="C180" s="30">
        <v>52</v>
      </c>
      <c r="D180" s="30">
        <v>354</v>
      </c>
      <c r="E180" s="86" t="s">
        <v>615</v>
      </c>
      <c r="F180" s="17" t="s">
        <v>616</v>
      </c>
      <c r="G180" s="30" t="s">
        <v>8</v>
      </c>
      <c r="H180" s="30" t="s">
        <v>109</v>
      </c>
    </row>
    <row r="181" spans="2:8" ht="28.8" hidden="1" x14ac:dyDescent="0.3">
      <c r="B181" s="30">
        <v>16</v>
      </c>
      <c r="C181" s="30">
        <v>52</v>
      </c>
      <c r="D181" s="30">
        <v>355</v>
      </c>
      <c r="E181" s="86" t="s">
        <v>617</v>
      </c>
      <c r="F181" s="17" t="s">
        <v>618</v>
      </c>
      <c r="G181" s="30" t="s">
        <v>8</v>
      </c>
      <c r="H181" s="30" t="s">
        <v>109</v>
      </c>
    </row>
    <row r="182" spans="2:8" ht="28.8" hidden="1" x14ac:dyDescent="0.3">
      <c r="B182" s="30">
        <v>16</v>
      </c>
      <c r="C182" s="30">
        <v>52</v>
      </c>
      <c r="D182" s="30">
        <v>356</v>
      </c>
      <c r="E182" s="86" t="s">
        <v>619</v>
      </c>
      <c r="F182" s="17" t="s">
        <v>620</v>
      </c>
      <c r="G182" s="30" t="s">
        <v>8</v>
      </c>
      <c r="H182" s="30" t="s">
        <v>109</v>
      </c>
    </row>
    <row r="183" spans="2:8" ht="28.8" hidden="1" x14ac:dyDescent="0.3">
      <c r="B183" s="30">
        <v>16</v>
      </c>
      <c r="C183" s="30">
        <v>63</v>
      </c>
      <c r="D183" s="30">
        <v>357</v>
      </c>
      <c r="E183" s="86" t="s">
        <v>621</v>
      </c>
      <c r="F183" s="17" t="s">
        <v>622</v>
      </c>
      <c r="G183" s="30" t="s">
        <v>8</v>
      </c>
      <c r="H183" s="30">
        <v>0</v>
      </c>
    </row>
    <row r="184" spans="2:8" hidden="1" x14ac:dyDescent="0.3">
      <c r="B184" s="30">
        <v>8</v>
      </c>
      <c r="C184" s="30">
        <v>64</v>
      </c>
      <c r="D184" s="30">
        <v>358</v>
      </c>
      <c r="E184" s="86" t="s">
        <v>543</v>
      </c>
      <c r="F184" s="17" t="s">
        <v>544</v>
      </c>
      <c r="G184" s="30" t="s">
        <v>8</v>
      </c>
      <c r="H184" s="30" t="s">
        <v>55</v>
      </c>
    </row>
    <row r="185" spans="2:8" hidden="1" x14ac:dyDescent="0.3">
      <c r="B185" s="30">
        <v>16</v>
      </c>
      <c r="C185" s="30">
        <v>52</v>
      </c>
      <c r="D185" s="30">
        <v>359</v>
      </c>
      <c r="E185" s="86" t="s">
        <v>623</v>
      </c>
      <c r="F185" s="17" t="s">
        <v>624</v>
      </c>
      <c r="G185" s="30" t="s">
        <v>8</v>
      </c>
      <c r="H185" s="30">
        <v>0</v>
      </c>
    </row>
    <row r="186" spans="2:8" hidden="1" x14ac:dyDescent="0.3">
      <c r="B186" s="30">
        <v>16</v>
      </c>
      <c r="C186" s="30">
        <v>63</v>
      </c>
      <c r="D186" s="30">
        <v>360</v>
      </c>
      <c r="E186" s="86" t="s">
        <v>625</v>
      </c>
      <c r="F186" s="17" t="s">
        <v>626</v>
      </c>
      <c r="G186" s="30" t="s">
        <v>8</v>
      </c>
      <c r="H186" s="30">
        <v>0</v>
      </c>
    </row>
    <row r="187" spans="2:8" hidden="1" x14ac:dyDescent="0.3">
      <c r="B187" s="30">
        <v>16</v>
      </c>
      <c r="C187" s="30">
        <v>63</v>
      </c>
      <c r="D187" s="30">
        <v>361</v>
      </c>
      <c r="E187" s="86" t="s">
        <v>627</v>
      </c>
      <c r="F187" s="17" t="s">
        <v>628</v>
      </c>
      <c r="G187" s="30" t="s">
        <v>8</v>
      </c>
      <c r="H187" s="30">
        <v>0</v>
      </c>
    </row>
    <row r="188" spans="2:8" hidden="1" x14ac:dyDescent="0.3">
      <c r="B188" s="30">
        <v>16</v>
      </c>
      <c r="C188" s="30">
        <v>63</v>
      </c>
      <c r="D188" s="30">
        <v>362</v>
      </c>
      <c r="E188" s="86" t="s">
        <v>629</v>
      </c>
      <c r="F188" s="17" t="s">
        <v>630</v>
      </c>
      <c r="G188" s="30" t="s">
        <v>8</v>
      </c>
      <c r="H188" s="30">
        <v>0</v>
      </c>
    </row>
    <row r="189" spans="2:8" hidden="1" x14ac:dyDescent="0.3">
      <c r="B189" s="30">
        <v>16</v>
      </c>
      <c r="C189" s="30">
        <v>63</v>
      </c>
      <c r="D189" s="30">
        <v>363</v>
      </c>
      <c r="E189" s="86" t="s">
        <v>631</v>
      </c>
      <c r="F189" s="17" t="s">
        <v>632</v>
      </c>
      <c r="G189" s="30" t="s">
        <v>8</v>
      </c>
      <c r="H189" s="30">
        <v>0</v>
      </c>
    </row>
    <row r="190" spans="2:8" hidden="1" x14ac:dyDescent="0.3">
      <c r="B190" s="30">
        <v>16</v>
      </c>
      <c r="C190" s="30">
        <v>63</v>
      </c>
      <c r="D190" s="30">
        <v>364</v>
      </c>
      <c r="E190" s="86" t="s">
        <v>633</v>
      </c>
      <c r="F190" s="17" t="s">
        <v>634</v>
      </c>
      <c r="G190" s="30" t="s">
        <v>8</v>
      </c>
      <c r="H190" s="30">
        <v>0</v>
      </c>
    </row>
    <row r="191" spans="2:8" hidden="1" x14ac:dyDescent="0.3">
      <c r="B191" s="30">
        <v>16</v>
      </c>
      <c r="C191" s="30">
        <v>63</v>
      </c>
      <c r="D191" s="30">
        <v>365</v>
      </c>
      <c r="E191" s="86" t="s">
        <v>635</v>
      </c>
      <c r="F191" s="17" t="s">
        <v>636</v>
      </c>
      <c r="G191" s="30" t="s">
        <v>8</v>
      </c>
      <c r="H191" s="30">
        <v>0</v>
      </c>
    </row>
    <row r="192" spans="2:8" hidden="1" x14ac:dyDescent="0.3">
      <c r="B192" s="30">
        <v>16</v>
      </c>
      <c r="C192" s="30">
        <v>63</v>
      </c>
      <c r="D192" s="30">
        <v>366</v>
      </c>
      <c r="E192" s="86" t="s">
        <v>637</v>
      </c>
      <c r="F192" s="17" t="s">
        <v>638</v>
      </c>
      <c r="G192" s="30" t="s">
        <v>8</v>
      </c>
      <c r="H192" s="30">
        <v>0</v>
      </c>
    </row>
    <row r="193" spans="2:8" hidden="1" x14ac:dyDescent="0.3">
      <c r="B193" s="30">
        <v>16</v>
      </c>
      <c r="C193" s="30">
        <v>63</v>
      </c>
      <c r="D193" s="30">
        <v>367</v>
      </c>
      <c r="E193" s="86" t="s">
        <v>639</v>
      </c>
      <c r="F193" s="17" t="s">
        <v>640</v>
      </c>
      <c r="G193" s="30" t="s">
        <v>8</v>
      </c>
      <c r="H193" s="30">
        <v>0</v>
      </c>
    </row>
    <row r="194" spans="2:8" hidden="1" x14ac:dyDescent="0.3">
      <c r="B194" s="30">
        <v>16</v>
      </c>
      <c r="C194" s="30">
        <v>63</v>
      </c>
      <c r="D194" s="30">
        <v>368</v>
      </c>
      <c r="E194" s="86" t="s">
        <v>641</v>
      </c>
      <c r="F194" s="17" t="s">
        <v>642</v>
      </c>
      <c r="G194" s="30" t="s">
        <v>8</v>
      </c>
      <c r="H194" s="30">
        <v>0</v>
      </c>
    </row>
    <row r="195" spans="2:8" hidden="1" x14ac:dyDescent="0.3">
      <c r="B195" s="30">
        <v>16</v>
      </c>
      <c r="C195" s="30">
        <v>33</v>
      </c>
      <c r="D195" s="30">
        <v>369</v>
      </c>
      <c r="E195" s="86" t="s">
        <v>643</v>
      </c>
      <c r="F195" s="17" t="s">
        <v>644</v>
      </c>
      <c r="G195" s="30" t="s">
        <v>8</v>
      </c>
      <c r="H195" s="30">
        <v>0</v>
      </c>
    </row>
    <row r="196" spans="2:8" hidden="1" x14ac:dyDescent="0.3">
      <c r="B196" s="30">
        <v>16</v>
      </c>
      <c r="C196" s="30">
        <v>65</v>
      </c>
      <c r="D196" s="30">
        <v>370</v>
      </c>
      <c r="E196" s="86" t="s">
        <v>645</v>
      </c>
      <c r="F196" s="17" t="s">
        <v>646</v>
      </c>
      <c r="G196" s="30" t="s">
        <v>8</v>
      </c>
      <c r="H196" s="30">
        <v>0</v>
      </c>
    </row>
    <row r="197" spans="2:8" hidden="1" x14ac:dyDescent="0.3">
      <c r="B197" s="30">
        <v>16</v>
      </c>
      <c r="C197" s="30">
        <v>55</v>
      </c>
      <c r="D197" s="30">
        <v>371</v>
      </c>
      <c r="E197" s="86" t="s">
        <v>647</v>
      </c>
      <c r="F197" s="17" t="s">
        <v>648</v>
      </c>
      <c r="G197" s="30" t="s">
        <v>8</v>
      </c>
      <c r="H197" s="30">
        <v>0</v>
      </c>
    </row>
    <row r="198" spans="2:8" x14ac:dyDescent="0.3">
      <c r="B198" s="30">
        <v>16</v>
      </c>
      <c r="C198" s="30">
        <v>13</v>
      </c>
      <c r="D198" s="30">
        <v>372</v>
      </c>
      <c r="E198" s="86" t="s">
        <v>649</v>
      </c>
      <c r="F198" s="17" t="s">
        <v>650</v>
      </c>
      <c r="G198" s="30" t="s">
        <v>8</v>
      </c>
      <c r="H198" s="30">
        <v>0</v>
      </c>
    </row>
    <row r="199" spans="2:8" hidden="1" x14ac:dyDescent="0.3">
      <c r="B199" s="30">
        <v>16</v>
      </c>
      <c r="C199" s="30">
        <v>63</v>
      </c>
      <c r="D199" s="30">
        <v>373</v>
      </c>
      <c r="E199" s="86" t="s">
        <v>651</v>
      </c>
      <c r="F199" s="17" t="s">
        <v>652</v>
      </c>
      <c r="G199" s="30" t="s">
        <v>8</v>
      </c>
      <c r="H199" s="30">
        <v>0</v>
      </c>
    </row>
    <row r="200" spans="2:8" ht="28.8" hidden="1" x14ac:dyDescent="0.3">
      <c r="B200" s="30">
        <v>16</v>
      </c>
      <c r="C200" s="30">
        <v>55</v>
      </c>
      <c r="D200" s="30">
        <v>374</v>
      </c>
      <c r="E200" s="86" t="s">
        <v>653</v>
      </c>
      <c r="F200" s="17" t="s">
        <v>654</v>
      </c>
      <c r="G200" s="30" t="s">
        <v>8</v>
      </c>
      <c r="H200" s="30">
        <v>0</v>
      </c>
    </row>
    <row r="201" spans="2:8" hidden="1" x14ac:dyDescent="0.3">
      <c r="B201" s="30">
        <v>16</v>
      </c>
      <c r="C201" s="30">
        <v>55</v>
      </c>
      <c r="D201" s="30">
        <v>375</v>
      </c>
      <c r="E201" s="86" t="s">
        <v>655</v>
      </c>
      <c r="F201" s="17" t="s">
        <v>656</v>
      </c>
      <c r="G201" s="30" t="s">
        <v>8</v>
      </c>
      <c r="H201" s="30">
        <v>0</v>
      </c>
    </row>
    <row r="202" spans="2:8" hidden="1" x14ac:dyDescent="0.3">
      <c r="B202" s="30">
        <v>16</v>
      </c>
      <c r="C202" s="30">
        <v>55</v>
      </c>
      <c r="D202" s="30">
        <v>376</v>
      </c>
      <c r="E202" s="86" t="s">
        <v>657</v>
      </c>
      <c r="F202" s="17" t="s">
        <v>658</v>
      </c>
      <c r="G202" s="30" t="s">
        <v>8</v>
      </c>
      <c r="H202" s="30">
        <v>0</v>
      </c>
    </row>
    <row r="203" spans="2:8" hidden="1" x14ac:dyDescent="0.3">
      <c r="B203" s="30">
        <v>16</v>
      </c>
      <c r="C203" s="30">
        <v>66</v>
      </c>
      <c r="D203" s="30">
        <v>377</v>
      </c>
      <c r="E203" s="86" t="s">
        <v>659</v>
      </c>
      <c r="F203" s="17" t="s">
        <v>660</v>
      </c>
      <c r="G203" s="30" t="s">
        <v>8</v>
      </c>
      <c r="H203" s="30">
        <v>0</v>
      </c>
    </row>
    <row r="204" spans="2:8" hidden="1" x14ac:dyDescent="0.3">
      <c r="B204" s="30">
        <v>16</v>
      </c>
      <c r="C204" s="30">
        <v>13</v>
      </c>
      <c r="D204" s="30">
        <v>378</v>
      </c>
      <c r="E204" s="86" t="s">
        <v>661</v>
      </c>
      <c r="F204" s="17" t="s">
        <v>662</v>
      </c>
      <c r="G204" s="30" t="s">
        <v>8</v>
      </c>
      <c r="H204" s="30">
        <v>0</v>
      </c>
    </row>
    <row r="205" spans="2:8" hidden="1" x14ac:dyDescent="0.3">
      <c r="B205" s="30">
        <v>16</v>
      </c>
      <c r="C205" s="30">
        <v>55</v>
      </c>
      <c r="D205" s="30">
        <v>379</v>
      </c>
      <c r="E205" s="86" t="s">
        <v>663</v>
      </c>
      <c r="F205" s="17" t="s">
        <v>664</v>
      </c>
      <c r="G205" s="30" t="s">
        <v>8</v>
      </c>
      <c r="H205" s="30">
        <v>0</v>
      </c>
    </row>
    <row r="206" spans="2:8" ht="28.8" hidden="1" x14ac:dyDescent="0.3">
      <c r="B206" s="30">
        <v>16</v>
      </c>
      <c r="C206" s="30">
        <v>50</v>
      </c>
      <c r="D206" s="30">
        <v>380</v>
      </c>
      <c r="E206" s="86" t="s">
        <v>667</v>
      </c>
      <c r="F206" s="17" t="s">
        <v>668</v>
      </c>
      <c r="G206" s="30" t="s">
        <v>8</v>
      </c>
      <c r="H206" s="30" t="s">
        <v>109</v>
      </c>
    </row>
    <row r="207" spans="2:8" ht="28.8" hidden="1" x14ac:dyDescent="0.3">
      <c r="B207" s="30">
        <v>13</v>
      </c>
      <c r="C207" s="30">
        <v>67</v>
      </c>
      <c r="D207" s="30">
        <v>381</v>
      </c>
      <c r="E207" s="86" t="s">
        <v>671</v>
      </c>
      <c r="F207" s="17" t="s">
        <v>672</v>
      </c>
      <c r="G207" s="30" t="s">
        <v>8</v>
      </c>
      <c r="H207" s="30" t="s">
        <v>109</v>
      </c>
    </row>
    <row r="208" spans="2:8" ht="28.8" hidden="1" x14ac:dyDescent="0.3">
      <c r="B208" s="30">
        <v>13</v>
      </c>
      <c r="C208" s="30">
        <v>67</v>
      </c>
      <c r="D208" s="30">
        <v>382</v>
      </c>
      <c r="E208" s="86" t="s">
        <v>673</v>
      </c>
      <c r="F208" s="17" t="s">
        <v>674</v>
      </c>
      <c r="G208" s="30" t="s">
        <v>8</v>
      </c>
      <c r="H208" s="30" t="s">
        <v>109</v>
      </c>
    </row>
    <row r="209" spans="2:8" hidden="1" x14ac:dyDescent="0.3">
      <c r="B209" s="30">
        <v>16</v>
      </c>
      <c r="C209" s="30">
        <v>45</v>
      </c>
      <c r="D209" s="30">
        <v>383</v>
      </c>
      <c r="E209" s="86" t="s">
        <v>698</v>
      </c>
      <c r="F209" s="17" t="s">
        <v>699</v>
      </c>
      <c r="G209" s="30" t="s">
        <v>8</v>
      </c>
      <c r="H209" s="30" t="s">
        <v>339</v>
      </c>
    </row>
    <row r="210" spans="2:8" ht="28.8" hidden="1" x14ac:dyDescent="0.3">
      <c r="B210" s="30">
        <v>7</v>
      </c>
      <c r="C210" s="30">
        <v>68</v>
      </c>
      <c r="D210" s="30">
        <v>384</v>
      </c>
      <c r="E210" s="86" t="s">
        <v>702</v>
      </c>
      <c r="F210" s="17" t="s">
        <v>703</v>
      </c>
      <c r="G210" s="30" t="s">
        <v>8</v>
      </c>
      <c r="H210" s="30" t="s">
        <v>704</v>
      </c>
    </row>
    <row r="211" spans="2:8" ht="28.8" hidden="1" x14ac:dyDescent="0.3">
      <c r="B211" s="30">
        <v>16</v>
      </c>
      <c r="C211" s="30">
        <v>69</v>
      </c>
      <c r="D211" s="30">
        <v>385</v>
      </c>
      <c r="E211" s="86" t="s">
        <v>705</v>
      </c>
      <c r="F211" s="17" t="s">
        <v>706</v>
      </c>
      <c r="G211" s="30" t="s">
        <v>8</v>
      </c>
      <c r="H211" s="30" t="s">
        <v>704</v>
      </c>
    </row>
    <row r="212" spans="2:8" ht="28.8" hidden="1" x14ac:dyDescent="0.3">
      <c r="B212" s="30">
        <v>16</v>
      </c>
      <c r="C212" s="30">
        <v>10</v>
      </c>
      <c r="D212" s="30">
        <v>386</v>
      </c>
      <c r="E212" s="86" t="s">
        <v>707</v>
      </c>
      <c r="F212" s="17" t="s">
        <v>708</v>
      </c>
      <c r="G212" s="30" t="s">
        <v>8</v>
      </c>
      <c r="H212" s="30" t="s">
        <v>704</v>
      </c>
    </row>
    <row r="213" spans="2:8" ht="28.8" hidden="1" x14ac:dyDescent="0.3">
      <c r="B213" s="30">
        <v>16</v>
      </c>
      <c r="C213" s="30">
        <v>70</v>
      </c>
      <c r="D213" s="30">
        <v>387</v>
      </c>
      <c r="E213" s="86" t="s">
        <v>709</v>
      </c>
      <c r="F213" s="17" t="s">
        <v>710</v>
      </c>
      <c r="G213" s="30" t="s">
        <v>8</v>
      </c>
      <c r="H213" s="30" t="s">
        <v>704</v>
      </c>
    </row>
    <row r="214" spans="2:8" ht="43.2" hidden="1" x14ac:dyDescent="0.3">
      <c r="B214" s="30">
        <v>8</v>
      </c>
      <c r="C214" s="30">
        <v>27</v>
      </c>
      <c r="D214" s="30">
        <v>388</v>
      </c>
      <c r="E214" s="86" t="s">
        <v>711</v>
      </c>
      <c r="F214" s="17" t="s">
        <v>712</v>
      </c>
      <c r="G214" s="30" t="s">
        <v>8</v>
      </c>
      <c r="H214" s="30" t="s">
        <v>55</v>
      </c>
    </row>
    <row r="215" spans="2:8" hidden="1" x14ac:dyDescent="0.3">
      <c r="B215" s="30">
        <v>18</v>
      </c>
      <c r="C215" s="30">
        <v>71</v>
      </c>
      <c r="D215" s="30">
        <v>389</v>
      </c>
      <c r="E215" s="86" t="s">
        <v>713</v>
      </c>
      <c r="F215" s="17" t="s">
        <v>714</v>
      </c>
      <c r="G215" s="30" t="s">
        <v>8</v>
      </c>
      <c r="H215" s="30" t="s">
        <v>55</v>
      </c>
    </row>
    <row r="216" spans="2:8" hidden="1" x14ac:dyDescent="0.3">
      <c r="B216" s="30">
        <v>13</v>
      </c>
      <c r="C216" s="30">
        <v>67</v>
      </c>
      <c r="D216" s="30">
        <v>390</v>
      </c>
      <c r="E216" s="86" t="s">
        <v>715</v>
      </c>
      <c r="F216" s="17" t="s">
        <v>716</v>
      </c>
      <c r="G216" s="30" t="s">
        <v>8</v>
      </c>
      <c r="H216" s="30" t="s">
        <v>717</v>
      </c>
    </row>
    <row r="217" spans="2:8" ht="28.8" hidden="1" x14ac:dyDescent="0.3">
      <c r="B217" s="30">
        <v>16</v>
      </c>
      <c r="C217" s="30">
        <v>72</v>
      </c>
      <c r="D217" s="30">
        <v>391</v>
      </c>
      <c r="E217" s="86" t="s">
        <v>718</v>
      </c>
      <c r="F217" s="17" t="s">
        <v>719</v>
      </c>
      <c r="G217" s="30" t="s">
        <v>8</v>
      </c>
      <c r="H217" s="30" t="s">
        <v>720</v>
      </c>
    </row>
    <row r="218" spans="2:8" hidden="1" x14ac:dyDescent="0.3">
      <c r="B218" s="30">
        <v>16</v>
      </c>
      <c r="C218" s="30">
        <v>73</v>
      </c>
      <c r="D218" s="30">
        <v>392</v>
      </c>
      <c r="E218" s="86" t="s">
        <v>721</v>
      </c>
      <c r="F218" s="17" t="s">
        <v>722</v>
      </c>
      <c r="G218" s="30" t="s">
        <v>8</v>
      </c>
      <c r="H218" s="30" t="s">
        <v>720</v>
      </c>
    </row>
    <row r="219" spans="2:8" hidden="1" x14ac:dyDescent="0.3">
      <c r="B219" s="30">
        <v>7</v>
      </c>
      <c r="C219" s="30">
        <v>26</v>
      </c>
      <c r="D219" s="30">
        <v>393</v>
      </c>
      <c r="E219" s="86" t="s">
        <v>723</v>
      </c>
      <c r="F219" s="17" t="s">
        <v>724</v>
      </c>
      <c r="G219" s="30" t="s">
        <v>8</v>
      </c>
      <c r="H219" s="30" t="s">
        <v>339</v>
      </c>
    </row>
    <row r="220" spans="2:8" ht="28.8" hidden="1" x14ac:dyDescent="0.3">
      <c r="B220" s="30">
        <v>6</v>
      </c>
      <c r="C220" s="30">
        <v>74</v>
      </c>
      <c r="D220" s="30">
        <v>394</v>
      </c>
      <c r="E220" s="86" t="s">
        <v>725</v>
      </c>
      <c r="F220" s="17" t="s">
        <v>726</v>
      </c>
      <c r="G220" s="30" t="s">
        <v>8</v>
      </c>
      <c r="H220" s="30" t="s">
        <v>727</v>
      </c>
    </row>
    <row r="221" spans="2:8" ht="28.8" hidden="1" x14ac:dyDescent="0.3">
      <c r="B221" s="30">
        <v>7</v>
      </c>
      <c r="C221" s="30">
        <v>75</v>
      </c>
      <c r="D221" s="30">
        <v>395</v>
      </c>
      <c r="E221" s="86" t="s">
        <v>728</v>
      </c>
      <c r="F221" s="17" t="s">
        <v>729</v>
      </c>
      <c r="G221" s="30" t="s">
        <v>8</v>
      </c>
      <c r="H221" s="30" t="s">
        <v>727</v>
      </c>
    </row>
    <row r="222" spans="2:8" ht="28.8" x14ac:dyDescent="0.3">
      <c r="B222" s="30">
        <v>16</v>
      </c>
      <c r="C222" s="30">
        <v>31</v>
      </c>
      <c r="D222" s="30">
        <v>396</v>
      </c>
      <c r="E222" s="86" t="s">
        <v>730</v>
      </c>
      <c r="F222" s="17" t="s">
        <v>731</v>
      </c>
      <c r="G222" s="30" t="s">
        <v>8</v>
      </c>
      <c r="H222" s="30" t="s">
        <v>727</v>
      </c>
    </row>
    <row r="223" spans="2:8" hidden="1" x14ac:dyDescent="0.3">
      <c r="B223" s="30">
        <v>16</v>
      </c>
      <c r="C223" s="30">
        <v>76</v>
      </c>
      <c r="D223" s="30">
        <v>397</v>
      </c>
      <c r="E223" s="86" t="s">
        <v>732</v>
      </c>
      <c r="F223" s="17" t="s">
        <v>733</v>
      </c>
      <c r="G223" s="30" t="s">
        <v>8</v>
      </c>
      <c r="H223" s="30" t="s">
        <v>326</v>
      </c>
    </row>
    <row r="224" spans="2:8" ht="28.8" hidden="1" x14ac:dyDescent="0.3">
      <c r="B224" s="30">
        <v>18</v>
      </c>
      <c r="C224" s="30">
        <v>77</v>
      </c>
      <c r="D224" s="30">
        <v>398</v>
      </c>
      <c r="E224" s="86" t="s">
        <v>734</v>
      </c>
      <c r="F224" s="17" t="s">
        <v>735</v>
      </c>
      <c r="G224" s="30" t="s">
        <v>8</v>
      </c>
      <c r="H224" s="30" t="s">
        <v>736</v>
      </c>
    </row>
    <row r="225" spans="2:8" hidden="1" x14ac:dyDescent="0.3">
      <c r="B225" s="30">
        <v>7</v>
      </c>
      <c r="C225" s="30">
        <v>78</v>
      </c>
      <c r="D225" s="30">
        <v>399</v>
      </c>
      <c r="E225" s="86" t="s">
        <v>737</v>
      </c>
      <c r="F225" s="17" t="s">
        <v>738</v>
      </c>
      <c r="G225" s="30" t="s">
        <v>8</v>
      </c>
      <c r="H225" s="30" t="s">
        <v>739</v>
      </c>
    </row>
    <row r="226" spans="2:8" ht="28.8" hidden="1" x14ac:dyDescent="0.3">
      <c r="B226" s="30">
        <v>7</v>
      </c>
      <c r="C226" s="30">
        <v>79</v>
      </c>
      <c r="D226" s="30">
        <v>400</v>
      </c>
      <c r="E226" s="86" t="s">
        <v>740</v>
      </c>
      <c r="F226" s="17" t="s">
        <v>741</v>
      </c>
      <c r="G226" s="30" t="s">
        <v>8</v>
      </c>
      <c r="H226" s="30" t="s">
        <v>704</v>
      </c>
    </row>
    <row r="227" spans="2:8" hidden="1" x14ac:dyDescent="0.3">
      <c r="B227" s="30">
        <v>7</v>
      </c>
      <c r="C227" s="30">
        <v>80</v>
      </c>
      <c r="D227" s="30">
        <v>401</v>
      </c>
      <c r="E227" s="86" t="s">
        <v>742</v>
      </c>
      <c r="F227" s="17" t="s">
        <v>743</v>
      </c>
      <c r="G227" s="30" t="s">
        <v>8</v>
      </c>
      <c r="H227" s="30" t="s">
        <v>720</v>
      </c>
    </row>
    <row r="228" spans="2:8" x14ac:dyDescent="0.3">
      <c r="B228" s="30">
        <v>16</v>
      </c>
      <c r="C228" s="30">
        <v>13</v>
      </c>
      <c r="D228" s="30">
        <v>402</v>
      </c>
      <c r="E228" s="86" t="s">
        <v>744</v>
      </c>
      <c r="F228" s="17" t="s">
        <v>745</v>
      </c>
      <c r="G228" s="30" t="s">
        <v>8</v>
      </c>
      <c r="H228" s="30" t="s">
        <v>746</v>
      </c>
    </row>
    <row r="229" spans="2:8" hidden="1" x14ac:dyDescent="0.3">
      <c r="B229" s="30">
        <v>12</v>
      </c>
      <c r="C229" s="30">
        <v>38</v>
      </c>
      <c r="D229" s="30">
        <v>403</v>
      </c>
      <c r="E229" s="86" t="s">
        <v>747</v>
      </c>
      <c r="F229" s="17" t="s">
        <v>748</v>
      </c>
      <c r="G229" s="30" t="s">
        <v>8</v>
      </c>
      <c r="H229" s="30" t="s">
        <v>746</v>
      </c>
    </row>
    <row r="230" spans="2:8" ht="28.8" hidden="1" x14ac:dyDescent="0.3">
      <c r="B230" s="30">
        <v>7</v>
      </c>
      <c r="C230" s="30">
        <v>54</v>
      </c>
      <c r="D230" s="30">
        <v>404</v>
      </c>
      <c r="E230" s="86" t="s">
        <v>749</v>
      </c>
      <c r="F230" s="17" t="s">
        <v>750</v>
      </c>
      <c r="G230" s="30" t="s">
        <v>8</v>
      </c>
      <c r="H230" s="30" t="s">
        <v>339</v>
      </c>
    </row>
    <row r="231" spans="2:8" hidden="1" x14ac:dyDescent="0.3">
      <c r="B231" s="30">
        <v>19</v>
      </c>
      <c r="C231" s="30">
        <v>81</v>
      </c>
      <c r="D231" s="30">
        <v>405</v>
      </c>
      <c r="E231" s="86" t="s">
        <v>751</v>
      </c>
      <c r="F231" s="17" t="s">
        <v>752</v>
      </c>
      <c r="G231" s="30" t="s">
        <v>753</v>
      </c>
      <c r="H231" s="30" t="s">
        <v>55</v>
      </c>
    </row>
    <row r="232" spans="2:8" ht="28.8" hidden="1" x14ac:dyDescent="0.3">
      <c r="B232" s="30">
        <v>7</v>
      </c>
      <c r="C232" s="30">
        <v>82</v>
      </c>
      <c r="D232" s="30">
        <v>406</v>
      </c>
      <c r="E232" s="86" t="s">
        <v>754</v>
      </c>
      <c r="F232" s="17" t="s">
        <v>755</v>
      </c>
      <c r="G232" s="30" t="s">
        <v>8</v>
      </c>
      <c r="H232" s="30" t="s">
        <v>704</v>
      </c>
    </row>
    <row r="233" spans="2:8" ht="28.8" hidden="1" x14ac:dyDescent="0.3">
      <c r="B233" s="30">
        <v>8</v>
      </c>
      <c r="C233" s="30">
        <v>27</v>
      </c>
      <c r="D233" s="30">
        <v>407</v>
      </c>
      <c r="E233" s="86" t="s">
        <v>756</v>
      </c>
      <c r="F233" s="17" t="s">
        <v>757</v>
      </c>
      <c r="G233" s="30" t="s">
        <v>8</v>
      </c>
      <c r="H233" s="30" t="s">
        <v>758</v>
      </c>
    </row>
    <row r="234" spans="2:8" hidden="1" x14ac:dyDescent="0.3">
      <c r="B234" s="30">
        <v>16</v>
      </c>
      <c r="C234" s="30">
        <v>4</v>
      </c>
      <c r="D234" s="30">
        <v>408</v>
      </c>
      <c r="E234" s="86" t="s">
        <v>759</v>
      </c>
      <c r="F234" s="17" t="s">
        <v>760</v>
      </c>
      <c r="G234" s="30" t="s">
        <v>8</v>
      </c>
      <c r="H234" s="30" t="s">
        <v>717</v>
      </c>
    </row>
    <row r="235" spans="2:8" hidden="1" x14ac:dyDescent="0.3">
      <c r="B235" s="30">
        <v>20</v>
      </c>
      <c r="C235" s="30">
        <v>83</v>
      </c>
      <c r="D235" s="30">
        <v>409</v>
      </c>
      <c r="E235" s="86" t="s">
        <v>761</v>
      </c>
      <c r="F235" s="17" t="s">
        <v>762</v>
      </c>
      <c r="G235" s="30" t="s">
        <v>8</v>
      </c>
      <c r="H235" s="30" t="s">
        <v>55</v>
      </c>
    </row>
    <row r="236" spans="2:8" ht="43.2" hidden="1" x14ac:dyDescent="0.3">
      <c r="B236" s="30">
        <v>16</v>
      </c>
      <c r="C236" s="30">
        <v>35</v>
      </c>
      <c r="D236" s="30">
        <v>410</v>
      </c>
      <c r="E236" s="86" t="s">
        <v>763</v>
      </c>
      <c r="F236" s="17" t="s">
        <v>764</v>
      </c>
      <c r="G236" s="30" t="s">
        <v>8</v>
      </c>
      <c r="H236" s="30" t="s">
        <v>326</v>
      </c>
    </row>
    <row r="237" spans="2:8" hidden="1" x14ac:dyDescent="0.3">
      <c r="B237" s="30">
        <v>21</v>
      </c>
      <c r="C237" s="30">
        <v>84</v>
      </c>
      <c r="D237" s="30">
        <v>411</v>
      </c>
      <c r="E237" s="86" t="s">
        <v>765</v>
      </c>
      <c r="F237" s="17" t="s">
        <v>766</v>
      </c>
      <c r="G237" s="30" t="s">
        <v>8</v>
      </c>
      <c r="H237" s="30" t="s">
        <v>55</v>
      </c>
    </row>
    <row r="238" spans="2:8" x14ac:dyDescent="0.3">
      <c r="B238" s="30">
        <v>16</v>
      </c>
      <c r="C238" s="30">
        <v>31</v>
      </c>
      <c r="D238" s="30">
        <v>412</v>
      </c>
      <c r="E238" s="86" t="s">
        <v>774</v>
      </c>
      <c r="F238" s="17" t="s">
        <v>775</v>
      </c>
      <c r="G238" s="30" t="s">
        <v>8</v>
      </c>
      <c r="H238" s="30" t="s">
        <v>339</v>
      </c>
    </row>
    <row r="239" spans="2:8" ht="28.8" hidden="1" x14ac:dyDescent="0.3">
      <c r="B239" s="30">
        <v>7</v>
      </c>
      <c r="C239" s="30">
        <v>85</v>
      </c>
      <c r="D239" s="30">
        <v>413</v>
      </c>
      <c r="E239" s="86" t="s">
        <v>791</v>
      </c>
      <c r="F239" s="17" t="s">
        <v>792</v>
      </c>
      <c r="G239" s="30" t="s">
        <v>8</v>
      </c>
      <c r="H239" s="30" t="s">
        <v>704</v>
      </c>
    </row>
    <row r="240" spans="2:8" hidden="1" x14ac:dyDescent="0.3">
      <c r="B240" s="30"/>
      <c r="C240" s="30"/>
      <c r="D240" s="30"/>
      <c r="E240" s="86" t="s">
        <v>237</v>
      </c>
      <c r="F240" s="17">
        <v>0</v>
      </c>
      <c r="G240" s="30">
        <v>0</v>
      </c>
      <c r="H240" s="30">
        <v>0</v>
      </c>
    </row>
    <row r="241" spans="2:8" hidden="1" x14ac:dyDescent="0.3">
      <c r="B241" s="30"/>
      <c r="C241" s="30"/>
      <c r="D241" s="30"/>
      <c r="E241" s="86" t="s">
        <v>237</v>
      </c>
      <c r="F241" s="17">
        <v>0</v>
      </c>
      <c r="G241" s="30">
        <v>0</v>
      </c>
      <c r="H241" s="30">
        <v>0</v>
      </c>
    </row>
    <row r="242" spans="2:8" hidden="1" x14ac:dyDescent="0.3">
      <c r="B242" s="30"/>
      <c r="C242" s="30"/>
      <c r="D242" s="30"/>
      <c r="E242" s="86" t="s">
        <v>237</v>
      </c>
      <c r="F242" s="17">
        <v>0</v>
      </c>
      <c r="G242" s="30">
        <v>0</v>
      </c>
      <c r="H242" s="30">
        <v>0</v>
      </c>
    </row>
    <row r="243" spans="2:8" hidden="1" x14ac:dyDescent="0.3">
      <c r="B243" s="30"/>
      <c r="C243" s="30"/>
      <c r="D243" s="30"/>
      <c r="E243" s="86" t="s">
        <v>237</v>
      </c>
      <c r="F243" s="17">
        <v>0</v>
      </c>
      <c r="G243" s="30">
        <v>0</v>
      </c>
      <c r="H243" s="30">
        <v>0</v>
      </c>
    </row>
    <row r="244" spans="2:8" hidden="1" x14ac:dyDescent="0.3">
      <c r="B244" s="30"/>
      <c r="C244" s="30"/>
      <c r="D244" s="30"/>
      <c r="E244" s="86" t="s">
        <v>237</v>
      </c>
      <c r="F244" s="17">
        <v>0</v>
      </c>
      <c r="G244" s="30">
        <v>0</v>
      </c>
      <c r="H244" s="30">
        <v>0</v>
      </c>
    </row>
    <row r="245" spans="2:8" hidden="1" x14ac:dyDescent="0.3">
      <c r="B245" s="30"/>
      <c r="C245" s="30"/>
      <c r="D245" s="30"/>
      <c r="E245" s="86" t="s">
        <v>237</v>
      </c>
      <c r="F245" s="17">
        <v>0</v>
      </c>
      <c r="G245" s="30">
        <v>0</v>
      </c>
      <c r="H245" s="30">
        <v>0</v>
      </c>
    </row>
    <row r="246" spans="2:8" hidden="1" x14ac:dyDescent="0.3">
      <c r="B246" s="30"/>
      <c r="C246" s="30"/>
      <c r="D246" s="30"/>
      <c r="E246" s="86" t="s">
        <v>237</v>
      </c>
      <c r="F246" s="17">
        <v>0</v>
      </c>
      <c r="G246" s="30">
        <v>0</v>
      </c>
      <c r="H246" s="30">
        <v>0</v>
      </c>
    </row>
    <row r="247" spans="2:8" hidden="1" x14ac:dyDescent="0.3">
      <c r="B247" s="30"/>
      <c r="C247" s="30"/>
      <c r="D247" s="30"/>
      <c r="E247" s="86" t="s">
        <v>237</v>
      </c>
      <c r="F247" s="17">
        <v>0</v>
      </c>
      <c r="G247" s="30">
        <v>0</v>
      </c>
      <c r="H247" s="30">
        <v>0</v>
      </c>
    </row>
    <row r="248" spans="2:8" hidden="1" x14ac:dyDescent="0.3">
      <c r="B248" s="30"/>
      <c r="C248" s="30"/>
      <c r="D248" s="30"/>
      <c r="E248" s="86" t="s">
        <v>237</v>
      </c>
      <c r="F248" s="17">
        <v>0</v>
      </c>
      <c r="G248" s="30">
        <v>0</v>
      </c>
      <c r="H248" s="30">
        <v>0</v>
      </c>
    </row>
    <row r="249" spans="2:8" hidden="1" x14ac:dyDescent="0.3">
      <c r="B249" s="30"/>
      <c r="C249" s="30"/>
      <c r="D249" s="30"/>
      <c r="E249" s="86" t="s">
        <v>237</v>
      </c>
      <c r="F249" s="17">
        <v>0</v>
      </c>
      <c r="G249" s="30">
        <v>0</v>
      </c>
      <c r="H249" s="30">
        <v>0</v>
      </c>
    </row>
    <row r="250" spans="2:8" hidden="1" x14ac:dyDescent="0.3">
      <c r="B250" s="30"/>
      <c r="C250" s="30"/>
      <c r="D250" s="30"/>
      <c r="E250" s="86" t="s">
        <v>237</v>
      </c>
      <c r="F250" s="17">
        <v>0</v>
      </c>
      <c r="G250" s="30">
        <v>0</v>
      </c>
      <c r="H250" s="30">
        <v>0</v>
      </c>
    </row>
    <row r="251" spans="2:8" hidden="1" x14ac:dyDescent="0.3">
      <c r="B251" s="30"/>
      <c r="C251" s="30"/>
      <c r="D251" s="30"/>
      <c r="E251" s="86" t="s">
        <v>237</v>
      </c>
      <c r="F251" s="17">
        <v>0</v>
      </c>
      <c r="G251" s="30">
        <v>0</v>
      </c>
      <c r="H251" s="30">
        <v>0</v>
      </c>
    </row>
    <row r="252" spans="2:8" hidden="1" x14ac:dyDescent="0.3">
      <c r="B252" s="30"/>
      <c r="C252" s="30"/>
      <c r="D252" s="30"/>
      <c r="E252" s="86" t="s">
        <v>237</v>
      </c>
      <c r="F252" s="17">
        <v>0</v>
      </c>
      <c r="G252" s="30">
        <v>0</v>
      </c>
      <c r="H252" s="30">
        <v>0</v>
      </c>
    </row>
    <row r="253" spans="2:8" hidden="1" x14ac:dyDescent="0.3">
      <c r="B253" s="30"/>
      <c r="C253" s="30"/>
      <c r="D253" s="30"/>
      <c r="E253" s="86" t="s">
        <v>237</v>
      </c>
      <c r="F253" s="17">
        <v>0</v>
      </c>
      <c r="G253" s="30">
        <v>0</v>
      </c>
      <c r="H253" s="30">
        <v>0</v>
      </c>
    </row>
    <row r="254" spans="2:8" hidden="1" x14ac:dyDescent="0.3">
      <c r="B254" s="30"/>
      <c r="C254" s="30"/>
      <c r="D254" s="30"/>
      <c r="E254" s="86" t="s">
        <v>237</v>
      </c>
      <c r="F254" s="17">
        <v>0</v>
      </c>
      <c r="G254" s="30">
        <v>0</v>
      </c>
      <c r="H254" s="30">
        <v>0</v>
      </c>
    </row>
    <row r="255" spans="2:8" hidden="1" x14ac:dyDescent="0.3">
      <c r="B255" s="30"/>
      <c r="C255" s="30"/>
      <c r="D255" s="30"/>
      <c r="E255" s="86" t="s">
        <v>237</v>
      </c>
      <c r="F255" s="17">
        <v>0</v>
      </c>
      <c r="G255" s="30">
        <v>0</v>
      </c>
      <c r="H255" s="30">
        <v>0</v>
      </c>
    </row>
    <row r="256" spans="2:8" hidden="1" x14ac:dyDescent="0.3">
      <c r="B256" s="30"/>
      <c r="C256" s="30"/>
      <c r="D256" s="30"/>
      <c r="E256" s="86" t="s">
        <v>237</v>
      </c>
      <c r="F256" s="17">
        <v>0</v>
      </c>
      <c r="G256" s="30">
        <v>0</v>
      </c>
      <c r="H256" s="30">
        <v>0</v>
      </c>
    </row>
    <row r="257" spans="2:8" hidden="1" x14ac:dyDescent="0.3">
      <c r="B257" s="30"/>
      <c r="C257" s="30"/>
      <c r="D257" s="30"/>
      <c r="E257" s="86" t="s">
        <v>237</v>
      </c>
      <c r="F257" s="17">
        <v>0</v>
      </c>
      <c r="G257" s="30">
        <v>0</v>
      </c>
      <c r="H257" s="30">
        <v>0</v>
      </c>
    </row>
    <row r="258" spans="2:8" hidden="1" x14ac:dyDescent="0.3">
      <c r="B258" s="30"/>
      <c r="C258" s="30"/>
      <c r="D258" s="30"/>
      <c r="E258" s="86" t="s">
        <v>237</v>
      </c>
      <c r="F258" s="17">
        <v>0</v>
      </c>
      <c r="G258" s="30">
        <v>0</v>
      </c>
      <c r="H258" s="30">
        <v>0</v>
      </c>
    </row>
    <row r="259" spans="2:8" hidden="1" x14ac:dyDescent="0.3">
      <c r="B259" s="30"/>
      <c r="C259" s="30"/>
      <c r="D259" s="30"/>
      <c r="E259" s="86" t="s">
        <v>237</v>
      </c>
      <c r="F259" s="17">
        <v>0</v>
      </c>
      <c r="G259" s="30">
        <v>0</v>
      </c>
      <c r="H259" s="30">
        <v>0</v>
      </c>
    </row>
    <row r="260" spans="2:8" hidden="1" x14ac:dyDescent="0.3">
      <c r="B260" s="30"/>
      <c r="C260" s="30"/>
      <c r="D260" s="30"/>
      <c r="E260" s="86" t="s">
        <v>237</v>
      </c>
      <c r="F260" s="17">
        <v>0</v>
      </c>
      <c r="G260" s="30">
        <v>0</v>
      </c>
      <c r="H260" s="30">
        <v>0</v>
      </c>
    </row>
    <row r="261" spans="2:8" hidden="1" x14ac:dyDescent="0.3">
      <c r="B261" s="30"/>
      <c r="C261" s="30"/>
      <c r="D261" s="30"/>
      <c r="E261" s="86" t="s">
        <v>237</v>
      </c>
      <c r="F261" s="17">
        <v>0</v>
      </c>
      <c r="G261" s="30">
        <v>0</v>
      </c>
      <c r="H261" s="30">
        <v>0</v>
      </c>
    </row>
    <row r="262" spans="2:8" hidden="1" x14ac:dyDescent="0.3">
      <c r="B262" s="30"/>
      <c r="C262" s="30"/>
      <c r="D262" s="30"/>
      <c r="E262" s="86" t="s">
        <v>237</v>
      </c>
      <c r="F262" s="17">
        <v>0</v>
      </c>
      <c r="G262" s="30">
        <v>0</v>
      </c>
      <c r="H262" s="30">
        <v>0</v>
      </c>
    </row>
    <row r="263" spans="2:8" hidden="1" x14ac:dyDescent="0.3">
      <c r="B263" s="30"/>
      <c r="C263" s="30"/>
      <c r="D263" s="30"/>
      <c r="E263" s="86" t="s">
        <v>237</v>
      </c>
      <c r="F263" s="17">
        <v>0</v>
      </c>
      <c r="G263" s="30">
        <v>0</v>
      </c>
      <c r="H263" s="30">
        <v>0</v>
      </c>
    </row>
    <row r="264" spans="2:8" hidden="1" x14ac:dyDescent="0.3">
      <c r="B264" s="30"/>
      <c r="C264" s="30"/>
      <c r="D264" s="30"/>
      <c r="E264" s="86" t="s">
        <v>237</v>
      </c>
      <c r="F264" s="17">
        <v>0</v>
      </c>
      <c r="G264" s="30">
        <v>0</v>
      </c>
      <c r="H264" s="30">
        <v>0</v>
      </c>
    </row>
    <row r="265" spans="2:8" hidden="1" x14ac:dyDescent="0.3">
      <c r="B265" s="30"/>
      <c r="C265" s="30"/>
      <c r="D265" s="30"/>
      <c r="E265" s="86" t="s">
        <v>237</v>
      </c>
      <c r="F265" s="17">
        <v>0</v>
      </c>
      <c r="G265" s="30">
        <v>0</v>
      </c>
      <c r="H265" s="30">
        <v>0</v>
      </c>
    </row>
    <row r="266" spans="2:8" hidden="1" x14ac:dyDescent="0.3">
      <c r="B266" s="30"/>
      <c r="C266" s="30"/>
      <c r="D266" s="30"/>
      <c r="E266" s="86" t="s">
        <v>237</v>
      </c>
      <c r="F266" s="17">
        <v>0</v>
      </c>
      <c r="G266" s="30">
        <v>0</v>
      </c>
      <c r="H266" s="30">
        <v>0</v>
      </c>
    </row>
    <row r="267" spans="2:8" hidden="1" x14ac:dyDescent="0.3">
      <c r="B267" s="30"/>
      <c r="C267" s="30"/>
      <c r="D267" s="30"/>
      <c r="E267" s="86" t="s">
        <v>237</v>
      </c>
      <c r="F267" s="17">
        <v>0</v>
      </c>
      <c r="G267" s="30">
        <v>0</v>
      </c>
      <c r="H267" s="30">
        <v>0</v>
      </c>
    </row>
    <row r="268" spans="2:8" hidden="1" x14ac:dyDescent="0.3">
      <c r="B268" s="30"/>
      <c r="C268" s="30"/>
      <c r="D268" s="30"/>
      <c r="E268" s="86" t="s">
        <v>237</v>
      </c>
      <c r="F268" s="17">
        <v>0</v>
      </c>
      <c r="G268" s="30">
        <v>0</v>
      </c>
      <c r="H268" s="30">
        <v>0</v>
      </c>
    </row>
    <row r="269" spans="2:8" hidden="1" x14ac:dyDescent="0.3">
      <c r="B269" s="30"/>
      <c r="C269" s="30"/>
      <c r="D269" s="30"/>
      <c r="E269" s="86" t="s">
        <v>237</v>
      </c>
      <c r="F269" s="17">
        <v>0</v>
      </c>
      <c r="G269" s="30">
        <v>0</v>
      </c>
      <c r="H269" s="30">
        <v>0</v>
      </c>
    </row>
    <row r="270" spans="2:8" hidden="1" x14ac:dyDescent="0.3">
      <c r="B270" s="30"/>
      <c r="C270" s="30"/>
      <c r="D270" s="30"/>
      <c r="E270" s="86" t="s">
        <v>237</v>
      </c>
      <c r="F270" s="17">
        <v>0</v>
      </c>
      <c r="G270" s="30">
        <v>0</v>
      </c>
      <c r="H270" s="30">
        <v>0</v>
      </c>
    </row>
    <row r="271" spans="2:8" hidden="1" x14ac:dyDescent="0.3">
      <c r="B271" s="30"/>
      <c r="C271" s="30"/>
      <c r="D271" s="30"/>
      <c r="E271" s="86" t="s">
        <v>237</v>
      </c>
      <c r="F271" s="17">
        <v>0</v>
      </c>
      <c r="G271" s="30">
        <v>0</v>
      </c>
      <c r="H271" s="30">
        <v>0</v>
      </c>
    </row>
    <row r="272" spans="2:8" hidden="1" x14ac:dyDescent="0.3">
      <c r="B272" s="30"/>
      <c r="C272" s="30"/>
      <c r="D272" s="30"/>
      <c r="E272" s="86" t="s">
        <v>237</v>
      </c>
      <c r="F272" s="17">
        <v>0</v>
      </c>
      <c r="G272" s="30">
        <v>0</v>
      </c>
      <c r="H272" s="30">
        <v>0</v>
      </c>
    </row>
    <row r="273" spans="2:8" hidden="1" x14ac:dyDescent="0.3">
      <c r="B273" s="30"/>
      <c r="C273" s="30"/>
      <c r="D273" s="30"/>
      <c r="E273" s="86" t="s">
        <v>237</v>
      </c>
      <c r="F273" s="17">
        <v>0</v>
      </c>
      <c r="G273" s="30">
        <v>0</v>
      </c>
      <c r="H273" s="30">
        <v>0</v>
      </c>
    </row>
    <row r="274" spans="2:8" hidden="1" x14ac:dyDescent="0.3">
      <c r="B274" s="30"/>
      <c r="C274" s="30"/>
      <c r="D274" s="30"/>
      <c r="E274" s="86" t="s">
        <v>237</v>
      </c>
      <c r="F274" s="17">
        <v>0</v>
      </c>
      <c r="G274" s="30">
        <v>0</v>
      </c>
      <c r="H274" s="30">
        <v>0</v>
      </c>
    </row>
    <row r="275" spans="2:8" hidden="1" x14ac:dyDescent="0.3">
      <c r="B275" s="30"/>
      <c r="C275" s="30"/>
      <c r="D275" s="30"/>
      <c r="E275" s="86" t="s">
        <v>237</v>
      </c>
      <c r="F275" s="17">
        <v>0</v>
      </c>
      <c r="G275" s="30">
        <v>0</v>
      </c>
      <c r="H275" s="30">
        <v>0</v>
      </c>
    </row>
    <row r="276" spans="2:8" hidden="1" x14ac:dyDescent="0.3">
      <c r="B276" s="30"/>
      <c r="C276" s="30"/>
      <c r="D276" s="30"/>
      <c r="E276" s="86" t="s">
        <v>237</v>
      </c>
      <c r="F276" s="17">
        <v>0</v>
      </c>
      <c r="G276" s="30">
        <v>0</v>
      </c>
      <c r="H276" s="30">
        <v>0</v>
      </c>
    </row>
    <row r="277" spans="2:8" hidden="1" x14ac:dyDescent="0.3">
      <c r="B277" s="30"/>
      <c r="C277" s="30"/>
      <c r="D277" s="30"/>
      <c r="E277" s="86" t="s">
        <v>237</v>
      </c>
      <c r="F277" s="17">
        <v>0</v>
      </c>
      <c r="G277" s="30">
        <v>0</v>
      </c>
      <c r="H277" s="30">
        <v>0</v>
      </c>
    </row>
    <row r="278" spans="2:8" hidden="1" x14ac:dyDescent="0.3">
      <c r="B278" s="30"/>
      <c r="C278" s="30"/>
      <c r="D278" s="30"/>
      <c r="E278" s="86" t="s">
        <v>237</v>
      </c>
      <c r="F278" s="17">
        <v>0</v>
      </c>
      <c r="G278" s="30">
        <v>0</v>
      </c>
      <c r="H278" s="30">
        <v>0</v>
      </c>
    </row>
    <row r="279" spans="2:8" hidden="1" x14ac:dyDescent="0.3">
      <c r="B279" s="30"/>
      <c r="C279" s="30"/>
      <c r="D279" s="30"/>
      <c r="E279" s="86" t="s">
        <v>237</v>
      </c>
      <c r="F279" s="17">
        <v>0</v>
      </c>
      <c r="G279" s="30">
        <v>0</v>
      </c>
      <c r="H279" s="30">
        <v>0</v>
      </c>
    </row>
    <row r="280" spans="2:8" hidden="1" x14ac:dyDescent="0.3">
      <c r="B280" s="30"/>
      <c r="C280" s="30"/>
      <c r="D280" s="30"/>
      <c r="E280" s="86" t="s">
        <v>237</v>
      </c>
      <c r="F280" s="17">
        <v>0</v>
      </c>
      <c r="G280" s="30">
        <v>0</v>
      </c>
      <c r="H280" s="30">
        <v>0</v>
      </c>
    </row>
    <row r="281" spans="2:8" hidden="1" x14ac:dyDescent="0.3">
      <c r="B281" s="30"/>
      <c r="C281" s="30"/>
      <c r="D281" s="30"/>
      <c r="E281" s="86" t="s">
        <v>237</v>
      </c>
      <c r="F281" s="17">
        <v>0</v>
      </c>
      <c r="G281" s="30">
        <v>0</v>
      </c>
      <c r="H281" s="30">
        <v>0</v>
      </c>
    </row>
    <row r="282" spans="2:8" hidden="1" x14ac:dyDescent="0.3">
      <c r="B282" s="30"/>
      <c r="C282" s="30"/>
      <c r="D282" s="30"/>
      <c r="E282" s="86" t="s">
        <v>237</v>
      </c>
      <c r="F282" s="17">
        <v>0</v>
      </c>
      <c r="G282" s="30">
        <v>0</v>
      </c>
      <c r="H282" s="30">
        <v>0</v>
      </c>
    </row>
    <row r="283" spans="2:8" hidden="1" x14ac:dyDescent="0.3">
      <c r="B283" s="30"/>
      <c r="C283" s="30"/>
      <c r="D283" s="30"/>
      <c r="E283" s="86" t="s">
        <v>237</v>
      </c>
      <c r="F283" s="17">
        <v>0</v>
      </c>
      <c r="G283" s="30">
        <v>0</v>
      </c>
      <c r="H283" s="30">
        <v>0</v>
      </c>
    </row>
    <row r="284" spans="2:8" hidden="1" x14ac:dyDescent="0.3">
      <c r="B284" s="30"/>
      <c r="C284" s="30"/>
      <c r="D284" s="30"/>
      <c r="E284" s="86" t="s">
        <v>237</v>
      </c>
      <c r="F284" s="17">
        <v>0</v>
      </c>
      <c r="G284" s="30">
        <v>0</v>
      </c>
      <c r="H284" s="30">
        <v>0</v>
      </c>
    </row>
    <row r="285" spans="2:8" hidden="1" x14ac:dyDescent="0.3">
      <c r="B285" s="30"/>
      <c r="C285" s="30"/>
      <c r="D285" s="30"/>
      <c r="E285" s="86" t="s">
        <v>237</v>
      </c>
      <c r="F285" s="17">
        <v>0</v>
      </c>
      <c r="G285" s="30">
        <v>0</v>
      </c>
      <c r="H285" s="30">
        <v>0</v>
      </c>
    </row>
    <row r="286" spans="2:8" hidden="1" x14ac:dyDescent="0.3">
      <c r="B286" s="30"/>
      <c r="C286" s="30"/>
      <c r="D286" s="30"/>
      <c r="E286" s="86" t="s">
        <v>237</v>
      </c>
      <c r="F286" s="17">
        <v>0</v>
      </c>
      <c r="G286" s="30">
        <v>0</v>
      </c>
      <c r="H286" s="30">
        <v>0</v>
      </c>
    </row>
    <row r="287" spans="2:8" hidden="1" x14ac:dyDescent="0.3">
      <c r="B287" s="30"/>
      <c r="C287" s="30"/>
      <c r="D287" s="30"/>
      <c r="E287" s="86" t="s">
        <v>237</v>
      </c>
      <c r="F287" s="17">
        <v>0</v>
      </c>
      <c r="G287" s="30">
        <v>0</v>
      </c>
      <c r="H287" s="30">
        <v>0</v>
      </c>
    </row>
    <row r="288" spans="2:8" hidden="1" x14ac:dyDescent="0.3">
      <c r="B288" s="30"/>
      <c r="C288" s="30"/>
      <c r="D288" s="30"/>
      <c r="E288" s="86" t="s">
        <v>237</v>
      </c>
      <c r="F288" s="17">
        <v>0</v>
      </c>
      <c r="G288" s="30">
        <v>0</v>
      </c>
      <c r="H288" s="30">
        <v>0</v>
      </c>
    </row>
    <row r="289" spans="2:8" hidden="1" x14ac:dyDescent="0.3">
      <c r="B289" s="30"/>
      <c r="C289" s="30"/>
      <c r="D289" s="30"/>
      <c r="E289" s="86" t="s">
        <v>237</v>
      </c>
      <c r="F289" s="17">
        <v>0</v>
      </c>
      <c r="G289" s="30">
        <v>0</v>
      </c>
      <c r="H289" s="30">
        <v>0</v>
      </c>
    </row>
    <row r="290" spans="2:8" hidden="1" x14ac:dyDescent="0.3">
      <c r="B290" s="30"/>
      <c r="C290" s="30"/>
      <c r="D290" s="30"/>
      <c r="E290" s="86" t="s">
        <v>237</v>
      </c>
      <c r="F290" s="17">
        <v>0</v>
      </c>
      <c r="G290" s="30">
        <v>0</v>
      </c>
      <c r="H290" s="30">
        <v>0</v>
      </c>
    </row>
    <row r="291" spans="2:8" hidden="1" x14ac:dyDescent="0.3">
      <c r="B291" s="30"/>
      <c r="C291" s="30"/>
      <c r="D291" s="30"/>
      <c r="E291" s="86" t="s">
        <v>237</v>
      </c>
      <c r="F291" s="17">
        <v>0</v>
      </c>
      <c r="G291" s="30">
        <v>0</v>
      </c>
      <c r="H291" s="30">
        <v>0</v>
      </c>
    </row>
    <row r="292" spans="2:8" hidden="1" x14ac:dyDescent="0.3">
      <c r="B292" s="30"/>
      <c r="C292" s="30"/>
      <c r="D292" s="30"/>
      <c r="E292" s="86" t="s">
        <v>237</v>
      </c>
      <c r="F292" s="17">
        <v>0</v>
      </c>
      <c r="G292" s="30">
        <v>0</v>
      </c>
      <c r="H292" s="30">
        <v>0</v>
      </c>
    </row>
    <row r="293" spans="2:8" hidden="1" x14ac:dyDescent="0.3">
      <c r="B293" s="30"/>
      <c r="C293" s="30"/>
      <c r="D293" s="30"/>
      <c r="E293" s="86" t="s">
        <v>237</v>
      </c>
      <c r="F293" s="17">
        <v>0</v>
      </c>
      <c r="G293" s="30">
        <v>0</v>
      </c>
      <c r="H293" s="30">
        <v>0</v>
      </c>
    </row>
    <row r="294" spans="2:8" hidden="1" x14ac:dyDescent="0.3">
      <c r="B294" s="30"/>
      <c r="C294" s="30"/>
      <c r="D294" s="30"/>
      <c r="E294" s="86" t="s">
        <v>237</v>
      </c>
      <c r="F294" s="17">
        <v>0</v>
      </c>
      <c r="G294" s="30">
        <v>0</v>
      </c>
      <c r="H294" s="30">
        <v>0</v>
      </c>
    </row>
    <row r="295" spans="2:8" hidden="1" x14ac:dyDescent="0.3">
      <c r="B295" s="30"/>
      <c r="C295" s="30"/>
      <c r="D295" s="30"/>
      <c r="E295" s="86" t="s">
        <v>237</v>
      </c>
      <c r="F295" s="17">
        <v>0</v>
      </c>
      <c r="G295" s="30">
        <v>0</v>
      </c>
      <c r="H295" s="30">
        <v>0</v>
      </c>
    </row>
    <row r="296" spans="2:8" hidden="1" x14ac:dyDescent="0.3">
      <c r="B296" s="30"/>
      <c r="C296" s="30"/>
      <c r="D296" s="30"/>
      <c r="E296" s="86" t="s">
        <v>237</v>
      </c>
      <c r="F296" s="17">
        <v>0</v>
      </c>
      <c r="G296" s="30">
        <v>0</v>
      </c>
      <c r="H296" s="30">
        <v>0</v>
      </c>
    </row>
    <row r="297" spans="2:8" hidden="1" x14ac:dyDescent="0.3">
      <c r="B297" s="30"/>
      <c r="C297" s="30"/>
      <c r="D297" s="30"/>
      <c r="E297" s="86" t="s">
        <v>237</v>
      </c>
      <c r="F297" s="17">
        <v>0</v>
      </c>
      <c r="G297" s="30">
        <v>0</v>
      </c>
      <c r="H297" s="30">
        <v>0</v>
      </c>
    </row>
    <row r="298" spans="2:8" hidden="1" x14ac:dyDescent="0.3">
      <c r="B298" s="30"/>
      <c r="C298" s="30"/>
      <c r="D298" s="30"/>
      <c r="E298" s="86" t="s">
        <v>237</v>
      </c>
      <c r="F298" s="17">
        <v>0</v>
      </c>
      <c r="G298" s="30">
        <v>0</v>
      </c>
      <c r="H298" s="30">
        <v>0</v>
      </c>
    </row>
    <row r="299" spans="2:8" hidden="1" x14ac:dyDescent="0.3">
      <c r="B299" s="30"/>
      <c r="C299" s="30"/>
      <c r="D299" s="30"/>
      <c r="E299" s="86" t="s">
        <v>237</v>
      </c>
      <c r="F299" s="17">
        <v>0</v>
      </c>
      <c r="G299" s="30">
        <v>0</v>
      </c>
      <c r="H299" s="30">
        <v>0</v>
      </c>
    </row>
    <row r="300" spans="2:8" hidden="1" x14ac:dyDescent="0.3">
      <c r="B300" s="30"/>
      <c r="C300" s="30"/>
      <c r="D300" s="30"/>
      <c r="E300" s="86" t="s">
        <v>237</v>
      </c>
      <c r="F300" s="17">
        <v>0</v>
      </c>
      <c r="G300" s="30">
        <v>0</v>
      </c>
      <c r="H300" s="30">
        <v>0</v>
      </c>
    </row>
    <row r="301" spans="2:8" hidden="1" x14ac:dyDescent="0.3">
      <c r="B301" s="30"/>
      <c r="C301" s="30"/>
      <c r="D301" s="30"/>
      <c r="E301" s="86" t="s">
        <v>237</v>
      </c>
      <c r="F301" s="17">
        <v>0</v>
      </c>
      <c r="G301" s="30">
        <v>0</v>
      </c>
      <c r="H301" s="30">
        <v>0</v>
      </c>
    </row>
    <row r="302" spans="2:8" hidden="1" x14ac:dyDescent="0.3">
      <c r="B302" s="30"/>
      <c r="C302" s="30"/>
      <c r="D302" s="30"/>
      <c r="E302" s="86" t="s">
        <v>237</v>
      </c>
      <c r="F302" s="17">
        <v>0</v>
      </c>
      <c r="G302" s="30">
        <v>0</v>
      </c>
      <c r="H302" s="30">
        <v>0</v>
      </c>
    </row>
    <row r="303" spans="2:8" hidden="1" x14ac:dyDescent="0.3">
      <c r="B303" s="30"/>
      <c r="C303" s="30"/>
      <c r="D303" s="30"/>
      <c r="E303" s="86" t="s">
        <v>237</v>
      </c>
      <c r="F303" s="17">
        <v>0</v>
      </c>
      <c r="G303" s="30">
        <v>0</v>
      </c>
      <c r="H303" s="30">
        <v>0</v>
      </c>
    </row>
    <row r="304" spans="2:8" hidden="1" x14ac:dyDescent="0.3">
      <c r="B304" s="30"/>
      <c r="C304" s="30"/>
      <c r="D304" s="30"/>
      <c r="E304" s="86" t="s">
        <v>237</v>
      </c>
      <c r="F304" s="17">
        <v>0</v>
      </c>
      <c r="G304" s="30">
        <v>0</v>
      </c>
      <c r="H304" s="30">
        <v>0</v>
      </c>
    </row>
    <row r="305" spans="2:8" hidden="1" x14ac:dyDescent="0.3">
      <c r="B305" s="30"/>
      <c r="C305" s="30"/>
      <c r="D305" s="30"/>
      <c r="E305" s="86" t="s">
        <v>237</v>
      </c>
      <c r="F305" s="17">
        <v>0</v>
      </c>
      <c r="G305" s="30">
        <v>0</v>
      </c>
      <c r="H305" s="30">
        <v>0</v>
      </c>
    </row>
    <row r="306" spans="2:8" hidden="1" x14ac:dyDescent="0.3">
      <c r="B306" s="30"/>
      <c r="C306" s="30"/>
      <c r="D306" s="30"/>
      <c r="E306" s="86" t="s">
        <v>237</v>
      </c>
      <c r="F306" s="17">
        <v>0</v>
      </c>
      <c r="G306" s="30">
        <v>0</v>
      </c>
      <c r="H306" s="30">
        <v>0</v>
      </c>
    </row>
    <row r="307" spans="2:8" hidden="1" x14ac:dyDescent="0.3">
      <c r="B307" s="30"/>
      <c r="C307" s="30"/>
      <c r="D307" s="30"/>
      <c r="E307" s="86" t="s">
        <v>237</v>
      </c>
      <c r="F307" s="17">
        <v>0</v>
      </c>
      <c r="G307" s="30">
        <v>0</v>
      </c>
      <c r="H307" s="30">
        <v>0</v>
      </c>
    </row>
    <row r="308" spans="2:8" hidden="1" x14ac:dyDescent="0.3">
      <c r="B308" s="30"/>
      <c r="C308" s="30"/>
      <c r="D308" s="30"/>
      <c r="E308" s="86" t="s">
        <v>237</v>
      </c>
      <c r="F308" s="17">
        <v>0</v>
      </c>
      <c r="G308" s="30">
        <v>0</v>
      </c>
      <c r="H308" s="30">
        <v>0</v>
      </c>
    </row>
    <row r="309" spans="2:8" hidden="1" x14ac:dyDescent="0.3">
      <c r="B309" s="30"/>
      <c r="C309" s="30"/>
      <c r="D309" s="30"/>
      <c r="E309" s="86" t="s">
        <v>237</v>
      </c>
      <c r="F309" s="17">
        <v>0</v>
      </c>
      <c r="G309" s="30">
        <v>0</v>
      </c>
      <c r="H309" s="30">
        <v>0</v>
      </c>
    </row>
    <row r="310" spans="2:8" hidden="1" x14ac:dyDescent="0.3">
      <c r="B310" s="30"/>
      <c r="C310" s="30"/>
      <c r="D310" s="30"/>
      <c r="E310" s="86" t="s">
        <v>237</v>
      </c>
      <c r="F310" s="17">
        <v>0</v>
      </c>
      <c r="G310" s="30">
        <v>0</v>
      </c>
      <c r="H310" s="30">
        <v>0</v>
      </c>
    </row>
    <row r="311" spans="2:8" hidden="1" x14ac:dyDescent="0.3">
      <c r="B311" s="30"/>
      <c r="C311" s="30"/>
      <c r="D311" s="30"/>
      <c r="E311" s="86" t="s">
        <v>237</v>
      </c>
      <c r="F311" s="17">
        <v>0</v>
      </c>
      <c r="G311" s="30">
        <v>0</v>
      </c>
      <c r="H311" s="30">
        <v>0</v>
      </c>
    </row>
    <row r="312" spans="2:8" hidden="1" x14ac:dyDescent="0.3">
      <c r="B312" s="30"/>
      <c r="C312" s="30"/>
      <c r="D312" s="30"/>
      <c r="E312" s="86" t="s">
        <v>237</v>
      </c>
      <c r="F312" s="17">
        <v>0</v>
      </c>
      <c r="G312" s="30">
        <v>0</v>
      </c>
      <c r="H312" s="30">
        <v>0</v>
      </c>
    </row>
    <row r="313" spans="2:8" hidden="1" x14ac:dyDescent="0.3">
      <c r="B313" s="30"/>
      <c r="C313" s="30"/>
      <c r="D313" s="30"/>
      <c r="E313" s="86" t="s">
        <v>237</v>
      </c>
      <c r="F313" s="17">
        <v>0</v>
      </c>
      <c r="G313" s="30">
        <v>0</v>
      </c>
      <c r="H313" s="30">
        <v>0</v>
      </c>
    </row>
    <row r="314" spans="2:8" hidden="1" x14ac:dyDescent="0.3">
      <c r="B314" s="30"/>
      <c r="C314" s="30"/>
      <c r="D314" s="30"/>
      <c r="E314" s="86" t="s">
        <v>237</v>
      </c>
      <c r="F314" s="17">
        <v>0</v>
      </c>
      <c r="G314" s="30">
        <v>0</v>
      </c>
      <c r="H314" s="30">
        <v>0</v>
      </c>
    </row>
    <row r="315" spans="2:8" hidden="1" x14ac:dyDescent="0.3">
      <c r="B315" s="30"/>
      <c r="C315" s="30"/>
      <c r="D315" s="30"/>
      <c r="E315" s="86" t="s">
        <v>237</v>
      </c>
      <c r="F315" s="17">
        <v>0</v>
      </c>
      <c r="G315" s="30">
        <v>0</v>
      </c>
      <c r="H315" s="30">
        <v>0</v>
      </c>
    </row>
    <row r="316" spans="2:8" hidden="1" x14ac:dyDescent="0.3">
      <c r="B316" s="30"/>
      <c r="C316" s="30"/>
      <c r="D316" s="30"/>
      <c r="E316" s="86" t="s">
        <v>237</v>
      </c>
      <c r="F316" s="17">
        <v>0</v>
      </c>
      <c r="G316" s="30">
        <v>0</v>
      </c>
      <c r="H316" s="30">
        <v>0</v>
      </c>
    </row>
    <row r="317" spans="2:8" hidden="1" x14ac:dyDescent="0.3">
      <c r="B317" s="30"/>
      <c r="C317" s="30"/>
      <c r="D317" s="30"/>
      <c r="E317" s="86" t="s">
        <v>237</v>
      </c>
      <c r="F317" s="17">
        <v>0</v>
      </c>
      <c r="G317" s="30">
        <v>0</v>
      </c>
      <c r="H317" s="30">
        <v>0</v>
      </c>
    </row>
    <row r="318" spans="2:8" hidden="1" x14ac:dyDescent="0.3">
      <c r="B318" s="30"/>
      <c r="C318" s="30"/>
      <c r="D318" s="30"/>
      <c r="E318" s="86" t="s">
        <v>237</v>
      </c>
      <c r="F318" s="17">
        <v>0</v>
      </c>
      <c r="G318" s="30">
        <v>0</v>
      </c>
      <c r="H318" s="30">
        <v>0</v>
      </c>
    </row>
    <row r="319" spans="2:8" hidden="1" x14ac:dyDescent="0.3">
      <c r="B319" s="30"/>
      <c r="C319" s="30"/>
      <c r="D319" s="30"/>
      <c r="E319" s="86" t="s">
        <v>237</v>
      </c>
      <c r="F319" s="17">
        <v>0</v>
      </c>
      <c r="G319" s="30">
        <v>0</v>
      </c>
      <c r="H319" s="30">
        <v>0</v>
      </c>
    </row>
    <row r="320" spans="2:8" hidden="1" x14ac:dyDescent="0.3">
      <c r="B320" s="30"/>
      <c r="C320" s="30"/>
      <c r="D320" s="30"/>
      <c r="E320" s="86" t="s">
        <v>237</v>
      </c>
      <c r="F320" s="17">
        <v>0</v>
      </c>
      <c r="G320" s="30">
        <v>0</v>
      </c>
      <c r="H320" s="30">
        <v>0</v>
      </c>
    </row>
    <row r="321" spans="2:8" hidden="1" x14ac:dyDescent="0.3">
      <c r="B321" s="30"/>
      <c r="C321" s="30"/>
      <c r="D321" s="30"/>
      <c r="E321" s="86" t="s">
        <v>237</v>
      </c>
      <c r="F321" s="17">
        <v>0</v>
      </c>
      <c r="G321" s="30">
        <v>0</v>
      </c>
      <c r="H321" s="30">
        <v>0</v>
      </c>
    </row>
    <row r="322" spans="2:8" hidden="1" x14ac:dyDescent="0.3">
      <c r="B322" s="30"/>
      <c r="C322" s="30"/>
      <c r="D322" s="30"/>
      <c r="E322" s="86" t="s">
        <v>237</v>
      </c>
      <c r="F322" s="17">
        <v>0</v>
      </c>
      <c r="G322" s="30">
        <v>0</v>
      </c>
      <c r="H322" s="30">
        <v>0</v>
      </c>
    </row>
    <row r="323" spans="2:8" hidden="1" x14ac:dyDescent="0.3">
      <c r="B323" s="30"/>
      <c r="C323" s="30"/>
      <c r="D323" s="30"/>
      <c r="E323" s="86" t="s">
        <v>237</v>
      </c>
      <c r="F323" s="17">
        <v>0</v>
      </c>
      <c r="G323" s="30">
        <v>0</v>
      </c>
      <c r="H323" s="30">
        <v>0</v>
      </c>
    </row>
    <row r="324" spans="2:8" hidden="1" x14ac:dyDescent="0.3">
      <c r="B324" s="30"/>
      <c r="C324" s="30"/>
      <c r="D324" s="30"/>
      <c r="E324" s="86" t="s">
        <v>237</v>
      </c>
      <c r="F324" s="17">
        <v>0</v>
      </c>
      <c r="G324" s="30">
        <v>0</v>
      </c>
      <c r="H324" s="30">
        <v>0</v>
      </c>
    </row>
    <row r="325" spans="2:8" hidden="1" x14ac:dyDescent="0.3">
      <c r="B325" s="30"/>
      <c r="C325" s="30"/>
      <c r="D325" s="30"/>
      <c r="E325" s="86" t="s">
        <v>237</v>
      </c>
      <c r="F325" s="17">
        <v>0</v>
      </c>
      <c r="G325" s="30">
        <v>0</v>
      </c>
      <c r="H325" s="30">
        <v>0</v>
      </c>
    </row>
    <row r="326" spans="2:8" hidden="1" x14ac:dyDescent="0.3">
      <c r="B326" s="30"/>
      <c r="C326" s="30"/>
      <c r="D326" s="30"/>
      <c r="E326" s="86" t="s">
        <v>237</v>
      </c>
      <c r="F326" s="17">
        <v>0</v>
      </c>
      <c r="G326" s="30">
        <v>0</v>
      </c>
      <c r="H326" s="30">
        <v>0</v>
      </c>
    </row>
    <row r="327" spans="2:8" hidden="1" x14ac:dyDescent="0.3">
      <c r="B327" s="30"/>
      <c r="C327" s="30"/>
      <c r="D327" s="30"/>
      <c r="E327" s="86" t="s">
        <v>237</v>
      </c>
      <c r="F327" s="17">
        <v>0</v>
      </c>
      <c r="G327" s="30">
        <v>0</v>
      </c>
      <c r="H327" s="30">
        <v>0</v>
      </c>
    </row>
    <row r="328" spans="2:8" hidden="1" x14ac:dyDescent="0.3">
      <c r="B328" s="30"/>
      <c r="C328" s="30"/>
      <c r="D328" s="30"/>
      <c r="E328" s="86" t="s">
        <v>237</v>
      </c>
      <c r="F328" s="17">
        <v>0</v>
      </c>
      <c r="G328" s="30">
        <v>0</v>
      </c>
      <c r="H328" s="30">
        <v>0</v>
      </c>
    </row>
    <row r="329" spans="2:8" hidden="1" x14ac:dyDescent="0.3">
      <c r="B329" s="30"/>
      <c r="C329" s="30"/>
      <c r="D329" s="30"/>
      <c r="E329" s="86" t="s">
        <v>237</v>
      </c>
      <c r="F329" s="17">
        <v>0</v>
      </c>
      <c r="G329" s="30">
        <v>0</v>
      </c>
      <c r="H329" s="30">
        <v>0</v>
      </c>
    </row>
    <row r="330" spans="2:8" hidden="1" x14ac:dyDescent="0.3">
      <c r="B330" s="30"/>
      <c r="C330" s="30"/>
      <c r="D330" s="30"/>
      <c r="E330" s="86" t="s">
        <v>237</v>
      </c>
      <c r="F330" s="17">
        <v>0</v>
      </c>
      <c r="G330" s="30">
        <v>0</v>
      </c>
      <c r="H330" s="30">
        <v>0</v>
      </c>
    </row>
    <row r="331" spans="2:8" hidden="1" x14ac:dyDescent="0.3">
      <c r="B331" s="30"/>
      <c r="C331" s="30"/>
      <c r="D331" s="30"/>
      <c r="E331" s="86" t="s">
        <v>237</v>
      </c>
      <c r="F331" s="17">
        <v>0</v>
      </c>
      <c r="G331" s="30">
        <v>0</v>
      </c>
      <c r="H331" s="30">
        <v>0</v>
      </c>
    </row>
    <row r="332" spans="2:8" hidden="1" x14ac:dyDescent="0.3">
      <c r="B332" s="30"/>
      <c r="C332" s="30"/>
      <c r="D332" s="30"/>
      <c r="E332" s="86" t="s">
        <v>237</v>
      </c>
      <c r="F332" s="17">
        <v>0</v>
      </c>
      <c r="G332" s="30">
        <v>0</v>
      </c>
      <c r="H332" s="30">
        <v>0</v>
      </c>
    </row>
    <row r="333" spans="2:8" hidden="1" x14ac:dyDescent="0.3">
      <c r="B333" s="30"/>
      <c r="C333" s="30"/>
      <c r="D333" s="30"/>
      <c r="E333" s="86" t="s">
        <v>237</v>
      </c>
      <c r="F333" s="17">
        <v>0</v>
      </c>
      <c r="G333" s="30">
        <v>0</v>
      </c>
      <c r="H333" s="30">
        <v>0</v>
      </c>
    </row>
    <row r="334" spans="2:8" hidden="1" x14ac:dyDescent="0.3">
      <c r="B334" s="30"/>
      <c r="C334" s="30"/>
      <c r="D334" s="30"/>
      <c r="E334" s="86" t="s">
        <v>237</v>
      </c>
      <c r="F334" s="17">
        <v>0</v>
      </c>
      <c r="G334" s="30">
        <v>0</v>
      </c>
      <c r="H334" s="30">
        <v>0</v>
      </c>
    </row>
    <row r="335" spans="2:8" hidden="1" x14ac:dyDescent="0.3">
      <c r="B335" s="30"/>
      <c r="C335" s="30"/>
      <c r="D335" s="30"/>
      <c r="E335" s="86" t="s">
        <v>237</v>
      </c>
      <c r="F335" s="17">
        <v>0</v>
      </c>
      <c r="G335" s="30">
        <v>0</v>
      </c>
      <c r="H335" s="30">
        <v>0</v>
      </c>
    </row>
    <row r="336" spans="2:8" hidden="1" x14ac:dyDescent="0.3">
      <c r="B336" s="30"/>
      <c r="C336" s="30"/>
      <c r="D336" s="30"/>
      <c r="E336" s="86" t="s">
        <v>237</v>
      </c>
      <c r="F336" s="17">
        <v>0</v>
      </c>
      <c r="G336" s="30">
        <v>0</v>
      </c>
      <c r="H336" s="30">
        <v>0</v>
      </c>
    </row>
    <row r="337" spans="2:8" hidden="1" x14ac:dyDescent="0.3">
      <c r="B337" s="30"/>
      <c r="C337" s="30"/>
      <c r="D337" s="30"/>
      <c r="E337" s="86" t="s">
        <v>237</v>
      </c>
      <c r="F337" s="17">
        <v>0</v>
      </c>
      <c r="G337" s="30">
        <v>0</v>
      </c>
      <c r="H337" s="30">
        <v>0</v>
      </c>
    </row>
    <row r="338" spans="2:8" hidden="1" x14ac:dyDescent="0.3">
      <c r="B338" s="30"/>
      <c r="C338" s="30"/>
      <c r="D338" s="30"/>
      <c r="E338" s="86" t="s">
        <v>237</v>
      </c>
      <c r="F338" s="17">
        <v>0</v>
      </c>
      <c r="G338" s="30">
        <v>0</v>
      </c>
      <c r="H338" s="30">
        <v>0</v>
      </c>
    </row>
    <row r="339" spans="2:8" hidden="1" x14ac:dyDescent="0.3">
      <c r="B339" s="30"/>
      <c r="C339" s="30"/>
      <c r="D339" s="30"/>
      <c r="E339" s="86" t="s">
        <v>237</v>
      </c>
      <c r="F339" s="17">
        <v>0</v>
      </c>
      <c r="G339" s="30">
        <v>0</v>
      </c>
      <c r="H339" s="30">
        <v>0</v>
      </c>
    </row>
    <row r="340" spans="2:8" hidden="1" x14ac:dyDescent="0.3">
      <c r="B340" s="30"/>
      <c r="C340" s="30"/>
      <c r="D340" s="30"/>
      <c r="E340" s="86" t="s">
        <v>237</v>
      </c>
      <c r="F340" s="17">
        <v>0</v>
      </c>
      <c r="G340" s="30">
        <v>0</v>
      </c>
      <c r="H340" s="30">
        <v>0</v>
      </c>
    </row>
    <row r="341" spans="2:8" hidden="1" x14ac:dyDescent="0.3">
      <c r="B341" s="30"/>
      <c r="C341" s="30"/>
      <c r="D341" s="30"/>
      <c r="E341" s="86" t="s">
        <v>237</v>
      </c>
      <c r="F341" s="17">
        <v>0</v>
      </c>
      <c r="G341" s="30">
        <v>0</v>
      </c>
      <c r="H341" s="30">
        <v>0</v>
      </c>
    </row>
    <row r="342" spans="2:8" hidden="1" x14ac:dyDescent="0.3">
      <c r="B342" s="30"/>
      <c r="C342" s="30"/>
      <c r="D342" s="30"/>
      <c r="E342" s="86" t="s">
        <v>237</v>
      </c>
      <c r="F342" s="17">
        <v>0</v>
      </c>
      <c r="G342" s="30">
        <v>0</v>
      </c>
      <c r="H342" s="30">
        <v>0</v>
      </c>
    </row>
    <row r="343" spans="2:8" hidden="1" x14ac:dyDescent="0.3">
      <c r="B343" s="30"/>
      <c r="C343" s="30"/>
      <c r="D343" s="30"/>
      <c r="E343" s="86" t="s">
        <v>237</v>
      </c>
      <c r="F343" s="17">
        <v>0</v>
      </c>
      <c r="G343" s="30">
        <v>0</v>
      </c>
      <c r="H343" s="30">
        <v>0</v>
      </c>
    </row>
    <row r="344" spans="2:8" hidden="1" x14ac:dyDescent="0.3">
      <c r="B344" s="30"/>
      <c r="C344" s="30"/>
      <c r="D344" s="30"/>
      <c r="E344" s="86" t="s">
        <v>237</v>
      </c>
      <c r="F344" s="17">
        <v>0</v>
      </c>
      <c r="G344" s="30">
        <v>0</v>
      </c>
      <c r="H344" s="30">
        <v>0</v>
      </c>
    </row>
    <row r="345" spans="2:8" hidden="1" x14ac:dyDescent="0.3">
      <c r="B345" s="30"/>
      <c r="C345" s="30"/>
      <c r="D345" s="30"/>
      <c r="E345" s="86" t="s">
        <v>237</v>
      </c>
      <c r="F345" s="17">
        <v>0</v>
      </c>
      <c r="G345" s="30">
        <v>0</v>
      </c>
      <c r="H345" s="30">
        <v>0</v>
      </c>
    </row>
    <row r="346" spans="2:8" hidden="1" x14ac:dyDescent="0.3">
      <c r="B346" s="30"/>
      <c r="C346" s="30"/>
      <c r="D346" s="30"/>
      <c r="E346" s="86" t="s">
        <v>237</v>
      </c>
      <c r="F346" s="17">
        <v>0</v>
      </c>
      <c r="G346" s="30">
        <v>0</v>
      </c>
      <c r="H346" s="30">
        <v>0</v>
      </c>
    </row>
    <row r="347" spans="2:8" hidden="1" x14ac:dyDescent="0.3">
      <c r="B347" s="30"/>
      <c r="C347" s="30"/>
      <c r="D347" s="30"/>
      <c r="E347" s="86" t="s">
        <v>237</v>
      </c>
      <c r="F347" s="17">
        <v>0</v>
      </c>
      <c r="G347" s="30">
        <v>0</v>
      </c>
      <c r="H347" s="30">
        <v>0</v>
      </c>
    </row>
    <row r="348" spans="2:8" hidden="1" x14ac:dyDescent="0.3">
      <c r="B348" s="30"/>
      <c r="C348" s="30"/>
      <c r="D348" s="30"/>
      <c r="E348" s="86" t="s">
        <v>237</v>
      </c>
      <c r="F348" s="17">
        <v>0</v>
      </c>
      <c r="G348" s="30">
        <v>0</v>
      </c>
      <c r="H348" s="30">
        <v>0</v>
      </c>
    </row>
    <row r="349" spans="2:8" hidden="1" x14ac:dyDescent="0.3">
      <c r="B349" s="30"/>
      <c r="C349" s="30"/>
      <c r="D349" s="30"/>
      <c r="E349" s="86" t="s">
        <v>237</v>
      </c>
      <c r="F349" s="17">
        <v>0</v>
      </c>
      <c r="G349" s="30">
        <v>0</v>
      </c>
      <c r="H349" s="30">
        <v>0</v>
      </c>
    </row>
    <row r="350" spans="2:8" hidden="1" x14ac:dyDescent="0.3">
      <c r="B350" s="30"/>
      <c r="C350" s="30"/>
      <c r="D350" s="30"/>
      <c r="E350" s="86" t="s">
        <v>237</v>
      </c>
      <c r="F350" s="17">
        <v>0</v>
      </c>
      <c r="G350" s="30">
        <v>0</v>
      </c>
      <c r="H350" s="30">
        <v>0</v>
      </c>
    </row>
    <row r="351" spans="2:8" hidden="1" x14ac:dyDescent="0.3">
      <c r="B351" s="30"/>
      <c r="C351" s="30"/>
      <c r="D351" s="30"/>
      <c r="E351" s="86" t="s">
        <v>237</v>
      </c>
      <c r="F351" s="17">
        <v>0</v>
      </c>
      <c r="G351" s="30">
        <v>0</v>
      </c>
      <c r="H351" s="30">
        <v>0</v>
      </c>
    </row>
    <row r="352" spans="2:8" hidden="1" x14ac:dyDescent="0.3">
      <c r="B352" s="30"/>
      <c r="C352" s="30"/>
      <c r="D352" s="30"/>
      <c r="E352" s="86" t="s">
        <v>237</v>
      </c>
      <c r="F352" s="17">
        <v>0</v>
      </c>
      <c r="G352" s="30">
        <v>0</v>
      </c>
      <c r="H352" s="30">
        <v>0</v>
      </c>
    </row>
    <row r="353" spans="2:8" hidden="1" x14ac:dyDescent="0.3">
      <c r="B353" s="30"/>
      <c r="C353" s="30"/>
      <c r="D353" s="30"/>
      <c r="E353" s="86" t="s">
        <v>237</v>
      </c>
      <c r="F353" s="17">
        <v>0</v>
      </c>
      <c r="G353" s="30">
        <v>0</v>
      </c>
      <c r="H353" s="30">
        <v>0</v>
      </c>
    </row>
    <row r="354" spans="2:8" hidden="1" x14ac:dyDescent="0.3">
      <c r="B354" s="30"/>
      <c r="C354" s="30"/>
      <c r="D354" s="30"/>
      <c r="E354" s="86" t="s">
        <v>237</v>
      </c>
      <c r="F354" s="17">
        <v>0</v>
      </c>
      <c r="G354" s="30">
        <v>0</v>
      </c>
      <c r="H354" s="30">
        <v>0</v>
      </c>
    </row>
    <row r="355" spans="2:8" hidden="1" x14ac:dyDescent="0.3">
      <c r="B355" s="30"/>
      <c r="C355" s="30"/>
      <c r="D355" s="30"/>
      <c r="E355" s="86" t="s">
        <v>237</v>
      </c>
      <c r="F355" s="17">
        <v>0</v>
      </c>
      <c r="G355" s="30">
        <v>0</v>
      </c>
      <c r="H355" s="30">
        <v>0</v>
      </c>
    </row>
    <row r="356" spans="2:8" hidden="1" x14ac:dyDescent="0.3">
      <c r="B356" s="30"/>
      <c r="C356" s="30"/>
      <c r="D356" s="30"/>
      <c r="E356" s="86" t="s">
        <v>237</v>
      </c>
      <c r="F356" s="17">
        <v>0</v>
      </c>
      <c r="G356" s="30">
        <v>0</v>
      </c>
      <c r="H356" s="30">
        <v>0</v>
      </c>
    </row>
    <row r="357" spans="2:8" hidden="1" x14ac:dyDescent="0.3">
      <c r="B357" s="30"/>
      <c r="C357" s="30"/>
      <c r="D357" s="30"/>
      <c r="E357" s="86" t="s">
        <v>237</v>
      </c>
      <c r="F357" s="17">
        <v>0</v>
      </c>
      <c r="G357" s="30">
        <v>0</v>
      </c>
      <c r="H357" s="30">
        <v>0</v>
      </c>
    </row>
    <row r="358" spans="2:8" hidden="1" x14ac:dyDescent="0.3">
      <c r="B358" s="30"/>
      <c r="C358" s="30"/>
      <c r="D358" s="30"/>
      <c r="E358" s="86" t="s">
        <v>237</v>
      </c>
      <c r="F358" s="17">
        <v>0</v>
      </c>
      <c r="G358" s="30">
        <v>0</v>
      </c>
      <c r="H358" s="30">
        <v>0</v>
      </c>
    </row>
    <row r="359" spans="2:8" hidden="1" x14ac:dyDescent="0.3">
      <c r="B359" s="30"/>
      <c r="C359" s="30"/>
      <c r="D359" s="30"/>
      <c r="E359" s="86" t="s">
        <v>237</v>
      </c>
      <c r="F359" s="17">
        <v>0</v>
      </c>
      <c r="G359" s="30">
        <v>0</v>
      </c>
      <c r="H359" s="30">
        <v>0</v>
      </c>
    </row>
    <row r="360" spans="2:8" hidden="1" x14ac:dyDescent="0.3">
      <c r="B360" s="30"/>
      <c r="C360" s="30"/>
      <c r="D360" s="30"/>
      <c r="E360" s="86" t="s">
        <v>237</v>
      </c>
      <c r="F360" s="17">
        <v>0</v>
      </c>
      <c r="G360" s="30">
        <v>0</v>
      </c>
      <c r="H360" s="30">
        <v>0</v>
      </c>
    </row>
    <row r="361" spans="2:8" hidden="1" x14ac:dyDescent="0.3">
      <c r="B361" s="30"/>
      <c r="C361" s="30"/>
      <c r="D361" s="30"/>
      <c r="E361" s="86" t="s">
        <v>237</v>
      </c>
      <c r="F361" s="17">
        <v>0</v>
      </c>
      <c r="G361" s="30">
        <v>0</v>
      </c>
      <c r="H361" s="30">
        <v>0</v>
      </c>
    </row>
    <row r="362" spans="2:8" hidden="1" x14ac:dyDescent="0.3">
      <c r="B362" s="30"/>
      <c r="C362" s="30"/>
      <c r="D362" s="30"/>
      <c r="E362" s="86" t="s">
        <v>237</v>
      </c>
      <c r="F362" s="17">
        <v>0</v>
      </c>
      <c r="G362" s="30">
        <v>0</v>
      </c>
      <c r="H362" s="30">
        <v>0</v>
      </c>
    </row>
    <row r="363" spans="2:8" hidden="1" x14ac:dyDescent="0.3">
      <c r="B363" s="30"/>
      <c r="C363" s="30"/>
      <c r="D363" s="30"/>
      <c r="E363" s="86" t="s">
        <v>237</v>
      </c>
      <c r="F363" s="17">
        <v>0</v>
      </c>
      <c r="G363" s="30">
        <v>0</v>
      </c>
      <c r="H363" s="30">
        <v>0</v>
      </c>
    </row>
    <row r="364" spans="2:8" hidden="1" x14ac:dyDescent="0.3">
      <c r="B364" s="30"/>
      <c r="C364" s="30"/>
      <c r="D364" s="30"/>
      <c r="E364" s="86" t="s">
        <v>237</v>
      </c>
      <c r="F364" s="17">
        <v>0</v>
      </c>
      <c r="G364" s="30">
        <v>0</v>
      </c>
      <c r="H364" s="30">
        <v>0</v>
      </c>
    </row>
    <row r="365" spans="2:8" hidden="1" x14ac:dyDescent="0.3">
      <c r="B365" s="30"/>
      <c r="C365" s="30"/>
      <c r="D365" s="30"/>
      <c r="E365" s="86" t="s">
        <v>237</v>
      </c>
      <c r="F365" s="17">
        <v>0</v>
      </c>
      <c r="G365" s="30">
        <v>0</v>
      </c>
      <c r="H365" s="30">
        <v>0</v>
      </c>
    </row>
    <row r="366" spans="2:8" hidden="1" x14ac:dyDescent="0.3">
      <c r="B366" s="30"/>
      <c r="C366" s="30"/>
      <c r="D366" s="30"/>
      <c r="E366" s="86" t="s">
        <v>237</v>
      </c>
      <c r="F366" s="17">
        <v>0</v>
      </c>
      <c r="G366" s="30">
        <v>0</v>
      </c>
      <c r="H366" s="30">
        <v>0</v>
      </c>
    </row>
    <row r="367" spans="2:8" hidden="1" x14ac:dyDescent="0.3">
      <c r="B367" s="30"/>
      <c r="C367" s="30"/>
      <c r="D367" s="30"/>
      <c r="E367" s="86" t="s">
        <v>237</v>
      </c>
      <c r="F367" s="17">
        <v>0</v>
      </c>
      <c r="G367" s="30">
        <v>0</v>
      </c>
      <c r="H367" s="30">
        <v>0</v>
      </c>
    </row>
    <row r="368" spans="2:8" hidden="1" x14ac:dyDescent="0.3">
      <c r="B368" s="30"/>
      <c r="C368" s="30"/>
      <c r="D368" s="30"/>
      <c r="E368" s="86" t="s">
        <v>237</v>
      </c>
      <c r="F368" s="17">
        <v>0</v>
      </c>
      <c r="G368" s="30">
        <v>0</v>
      </c>
      <c r="H368" s="30">
        <v>0</v>
      </c>
    </row>
    <row r="369" spans="2:8" hidden="1" x14ac:dyDescent="0.3">
      <c r="B369" s="30"/>
      <c r="C369" s="30"/>
      <c r="D369" s="30"/>
      <c r="E369" s="86" t="s">
        <v>237</v>
      </c>
      <c r="F369" s="17">
        <v>0</v>
      </c>
      <c r="G369" s="30">
        <v>0</v>
      </c>
      <c r="H369" s="30">
        <v>0</v>
      </c>
    </row>
    <row r="370" spans="2:8" hidden="1" x14ac:dyDescent="0.3">
      <c r="B370" s="30"/>
      <c r="C370" s="30"/>
      <c r="D370" s="30"/>
      <c r="E370" s="86" t="s">
        <v>237</v>
      </c>
      <c r="F370" s="17">
        <v>0</v>
      </c>
      <c r="G370" s="30">
        <v>0</v>
      </c>
      <c r="H370" s="30">
        <v>0</v>
      </c>
    </row>
    <row r="371" spans="2:8" hidden="1" x14ac:dyDescent="0.3">
      <c r="B371" s="30"/>
      <c r="C371" s="30"/>
      <c r="D371" s="30"/>
      <c r="E371" s="86" t="s">
        <v>237</v>
      </c>
      <c r="F371" s="17">
        <v>0</v>
      </c>
      <c r="G371" s="30">
        <v>0</v>
      </c>
      <c r="H371" s="30">
        <v>0</v>
      </c>
    </row>
    <row r="372" spans="2:8" hidden="1" x14ac:dyDescent="0.3">
      <c r="B372" s="30"/>
      <c r="C372" s="30"/>
      <c r="D372" s="30"/>
      <c r="E372" s="86" t="s">
        <v>237</v>
      </c>
      <c r="F372" s="17">
        <v>0</v>
      </c>
      <c r="G372" s="30">
        <v>0</v>
      </c>
      <c r="H372" s="30">
        <v>0</v>
      </c>
    </row>
    <row r="373" spans="2:8" hidden="1" x14ac:dyDescent="0.3">
      <c r="B373" s="30"/>
      <c r="C373" s="30"/>
      <c r="D373" s="30"/>
      <c r="E373" s="86" t="s">
        <v>237</v>
      </c>
      <c r="F373" s="17">
        <v>0</v>
      </c>
      <c r="G373" s="30">
        <v>0</v>
      </c>
      <c r="H373" s="30">
        <v>0</v>
      </c>
    </row>
    <row r="374" spans="2:8" hidden="1" x14ac:dyDescent="0.3">
      <c r="B374" s="30"/>
      <c r="C374" s="30"/>
      <c r="D374" s="30"/>
      <c r="E374" s="86" t="s">
        <v>237</v>
      </c>
      <c r="F374" s="17">
        <v>0</v>
      </c>
      <c r="G374" s="30">
        <v>0</v>
      </c>
      <c r="H374" s="30">
        <v>0</v>
      </c>
    </row>
    <row r="375" spans="2:8" hidden="1" x14ac:dyDescent="0.3">
      <c r="B375" s="30"/>
      <c r="C375" s="30"/>
      <c r="D375" s="30"/>
      <c r="E375" s="86" t="s">
        <v>237</v>
      </c>
      <c r="F375" s="17">
        <v>0</v>
      </c>
      <c r="G375" s="30">
        <v>0</v>
      </c>
      <c r="H375" s="30">
        <v>0</v>
      </c>
    </row>
    <row r="376" spans="2:8" hidden="1" x14ac:dyDescent="0.3">
      <c r="B376" s="30"/>
      <c r="C376" s="30"/>
      <c r="D376" s="30"/>
      <c r="E376" s="86" t="s">
        <v>237</v>
      </c>
      <c r="F376" s="17">
        <v>0</v>
      </c>
      <c r="G376" s="30">
        <v>0</v>
      </c>
      <c r="H376" s="30">
        <v>0</v>
      </c>
    </row>
    <row r="377" spans="2:8" hidden="1" x14ac:dyDescent="0.3">
      <c r="B377" s="30"/>
      <c r="C377" s="30"/>
      <c r="D377" s="30"/>
      <c r="E377" s="86" t="s">
        <v>237</v>
      </c>
      <c r="F377" s="17">
        <v>0</v>
      </c>
      <c r="G377" s="30">
        <v>0</v>
      </c>
      <c r="H377" s="30">
        <v>0</v>
      </c>
    </row>
    <row r="378" spans="2:8" hidden="1" x14ac:dyDescent="0.3">
      <c r="B378" s="30"/>
      <c r="C378" s="30"/>
      <c r="D378" s="30"/>
      <c r="E378" s="86" t="s">
        <v>237</v>
      </c>
      <c r="F378" s="17">
        <v>0</v>
      </c>
      <c r="G378" s="30">
        <v>0</v>
      </c>
      <c r="H378" s="30">
        <v>0</v>
      </c>
    </row>
    <row r="379" spans="2:8" hidden="1" x14ac:dyDescent="0.3">
      <c r="B379" s="30"/>
      <c r="C379" s="30"/>
      <c r="D379" s="30"/>
      <c r="E379" s="86" t="s">
        <v>237</v>
      </c>
      <c r="F379" s="17">
        <v>0</v>
      </c>
      <c r="G379" s="30">
        <v>0</v>
      </c>
      <c r="H379" s="30">
        <v>0</v>
      </c>
    </row>
    <row r="380" spans="2:8" hidden="1" x14ac:dyDescent="0.3">
      <c r="B380" s="30"/>
      <c r="C380" s="30"/>
      <c r="D380" s="30"/>
      <c r="E380" s="86" t="s">
        <v>237</v>
      </c>
      <c r="F380" s="17">
        <v>0</v>
      </c>
      <c r="G380" s="30">
        <v>0</v>
      </c>
      <c r="H380" s="30">
        <v>0</v>
      </c>
    </row>
    <row r="381" spans="2:8" hidden="1" x14ac:dyDescent="0.3">
      <c r="B381" s="30"/>
      <c r="C381" s="30"/>
      <c r="D381" s="30"/>
      <c r="E381" s="86" t="s">
        <v>237</v>
      </c>
      <c r="F381" s="17">
        <v>0</v>
      </c>
      <c r="G381" s="30">
        <v>0</v>
      </c>
      <c r="H381" s="30">
        <v>0</v>
      </c>
    </row>
    <row r="382" spans="2:8" hidden="1" x14ac:dyDescent="0.3">
      <c r="B382" s="30"/>
      <c r="C382" s="30"/>
      <c r="D382" s="30"/>
      <c r="E382" s="86" t="s">
        <v>237</v>
      </c>
      <c r="F382" s="17">
        <v>0</v>
      </c>
      <c r="G382" s="30">
        <v>0</v>
      </c>
      <c r="H382" s="30">
        <v>0</v>
      </c>
    </row>
    <row r="383" spans="2:8" hidden="1" x14ac:dyDescent="0.3">
      <c r="B383" s="30"/>
      <c r="C383" s="30"/>
      <c r="D383" s="30"/>
      <c r="E383" s="86" t="s">
        <v>237</v>
      </c>
      <c r="F383" s="17">
        <v>0</v>
      </c>
      <c r="G383" s="30">
        <v>0</v>
      </c>
      <c r="H383" s="30">
        <v>0</v>
      </c>
    </row>
    <row r="384" spans="2:8" hidden="1" x14ac:dyDescent="0.3">
      <c r="B384" s="30"/>
      <c r="C384" s="30"/>
      <c r="D384" s="30"/>
      <c r="E384" s="86" t="s">
        <v>237</v>
      </c>
      <c r="F384" s="17">
        <v>0</v>
      </c>
      <c r="G384" s="30">
        <v>0</v>
      </c>
      <c r="H384" s="30">
        <v>0</v>
      </c>
    </row>
    <row r="385" spans="2:8" hidden="1" x14ac:dyDescent="0.3">
      <c r="B385" s="30"/>
      <c r="C385" s="30"/>
      <c r="D385" s="30"/>
      <c r="E385" s="86" t="s">
        <v>237</v>
      </c>
      <c r="F385" s="17">
        <v>0</v>
      </c>
      <c r="G385" s="30">
        <v>0</v>
      </c>
      <c r="H385" s="30">
        <v>0</v>
      </c>
    </row>
    <row r="386" spans="2:8" hidden="1" x14ac:dyDescent="0.3">
      <c r="B386" s="30"/>
      <c r="C386" s="30"/>
      <c r="D386" s="30"/>
      <c r="E386" s="86" t="s">
        <v>237</v>
      </c>
      <c r="F386" s="17">
        <v>0</v>
      </c>
      <c r="G386" s="30">
        <v>0</v>
      </c>
      <c r="H386" s="30">
        <v>0</v>
      </c>
    </row>
    <row r="387" spans="2:8" hidden="1" x14ac:dyDescent="0.3">
      <c r="B387" s="30"/>
      <c r="C387" s="30"/>
      <c r="D387" s="30"/>
      <c r="E387" s="86" t="s">
        <v>237</v>
      </c>
      <c r="F387" s="17">
        <v>0</v>
      </c>
      <c r="G387" s="30">
        <v>0</v>
      </c>
      <c r="H387" s="30">
        <v>0</v>
      </c>
    </row>
    <row r="388" spans="2:8" hidden="1" x14ac:dyDescent="0.3">
      <c r="B388" s="30"/>
      <c r="C388" s="30"/>
      <c r="D388" s="30"/>
      <c r="E388" s="86" t="s">
        <v>237</v>
      </c>
      <c r="F388" s="17">
        <v>0</v>
      </c>
      <c r="G388" s="30">
        <v>0</v>
      </c>
      <c r="H388" s="30">
        <v>0</v>
      </c>
    </row>
    <row r="389" spans="2:8" hidden="1" x14ac:dyDescent="0.3">
      <c r="B389" s="30"/>
      <c r="C389" s="30"/>
      <c r="D389" s="30"/>
      <c r="E389" s="86" t="s">
        <v>237</v>
      </c>
      <c r="F389" s="17">
        <v>0</v>
      </c>
      <c r="G389" s="30">
        <v>0</v>
      </c>
      <c r="H389" s="30">
        <v>0</v>
      </c>
    </row>
    <row r="390" spans="2:8" hidden="1" x14ac:dyDescent="0.3">
      <c r="B390" s="30"/>
      <c r="C390" s="30"/>
      <c r="D390" s="30"/>
      <c r="E390" s="86" t="s">
        <v>237</v>
      </c>
      <c r="F390" s="17">
        <v>0</v>
      </c>
      <c r="G390" s="30">
        <v>0</v>
      </c>
      <c r="H390" s="30">
        <v>0</v>
      </c>
    </row>
    <row r="391" spans="2:8" hidden="1" x14ac:dyDescent="0.3">
      <c r="B391" s="30"/>
      <c r="C391" s="30"/>
      <c r="D391" s="30"/>
      <c r="E391" s="86" t="s">
        <v>237</v>
      </c>
      <c r="F391" s="17">
        <v>0</v>
      </c>
      <c r="G391" s="30">
        <v>0</v>
      </c>
      <c r="H391" s="30">
        <v>0</v>
      </c>
    </row>
    <row r="392" spans="2:8" hidden="1" x14ac:dyDescent="0.3">
      <c r="B392" s="30"/>
      <c r="C392" s="30"/>
      <c r="D392" s="30"/>
      <c r="E392" s="86" t="s">
        <v>237</v>
      </c>
      <c r="F392" s="17">
        <v>0</v>
      </c>
      <c r="G392" s="30">
        <v>0</v>
      </c>
      <c r="H392" s="30">
        <v>0</v>
      </c>
    </row>
    <row r="393" spans="2:8" hidden="1" x14ac:dyDescent="0.3">
      <c r="B393" s="30"/>
      <c r="C393" s="30"/>
      <c r="D393" s="30"/>
      <c r="E393" s="86" t="s">
        <v>237</v>
      </c>
      <c r="F393" s="17">
        <v>0</v>
      </c>
      <c r="G393" s="30">
        <v>0</v>
      </c>
      <c r="H393" s="30">
        <v>0</v>
      </c>
    </row>
    <row r="394" spans="2:8" hidden="1" x14ac:dyDescent="0.3">
      <c r="B394" s="30"/>
      <c r="C394" s="30"/>
      <c r="D394" s="30"/>
      <c r="E394" s="86" t="s">
        <v>237</v>
      </c>
      <c r="F394" s="17">
        <v>0</v>
      </c>
      <c r="G394" s="30">
        <v>0</v>
      </c>
      <c r="H394" s="30">
        <v>0</v>
      </c>
    </row>
    <row r="395" spans="2:8" hidden="1" x14ac:dyDescent="0.3">
      <c r="B395" s="30"/>
      <c r="C395" s="30"/>
      <c r="D395" s="30"/>
      <c r="E395" s="86" t="s">
        <v>237</v>
      </c>
      <c r="F395" s="17">
        <v>0</v>
      </c>
      <c r="G395" s="30">
        <v>0</v>
      </c>
      <c r="H395" s="30">
        <v>0</v>
      </c>
    </row>
    <row r="396" spans="2:8" hidden="1" x14ac:dyDescent="0.3">
      <c r="B396" s="30"/>
      <c r="C396" s="30"/>
      <c r="D396" s="30"/>
      <c r="E396" s="86" t="s">
        <v>237</v>
      </c>
      <c r="F396" s="17">
        <v>0</v>
      </c>
      <c r="G396" s="30">
        <v>0</v>
      </c>
      <c r="H396" s="30">
        <v>0</v>
      </c>
    </row>
    <row r="397" spans="2:8" hidden="1" x14ac:dyDescent="0.3">
      <c r="B397" s="30"/>
      <c r="C397" s="30"/>
      <c r="D397" s="30"/>
      <c r="E397" s="86" t="s">
        <v>237</v>
      </c>
      <c r="F397" s="17">
        <v>0</v>
      </c>
      <c r="G397" s="30">
        <v>0</v>
      </c>
      <c r="H397" s="30">
        <v>0</v>
      </c>
    </row>
    <row r="398" spans="2:8" hidden="1" x14ac:dyDescent="0.3">
      <c r="B398" s="30"/>
      <c r="C398" s="30"/>
      <c r="D398" s="30"/>
      <c r="E398" s="86" t="s">
        <v>237</v>
      </c>
      <c r="F398" s="17">
        <v>0</v>
      </c>
      <c r="G398" s="30">
        <v>0</v>
      </c>
      <c r="H398" s="30">
        <v>0</v>
      </c>
    </row>
    <row r="399" spans="2:8" hidden="1" x14ac:dyDescent="0.3">
      <c r="B399" s="30"/>
      <c r="C399" s="30"/>
      <c r="D399" s="30"/>
      <c r="E399" s="86" t="s">
        <v>237</v>
      </c>
      <c r="F399" s="17">
        <v>0</v>
      </c>
      <c r="G399" s="30">
        <v>0</v>
      </c>
      <c r="H399" s="30">
        <v>0</v>
      </c>
    </row>
    <row r="400" spans="2:8" hidden="1" x14ac:dyDescent="0.3">
      <c r="B400" s="30"/>
      <c r="C400" s="30"/>
      <c r="D400" s="30"/>
      <c r="E400" s="86" t="s">
        <v>237</v>
      </c>
      <c r="F400" s="17">
        <v>0</v>
      </c>
      <c r="G400" s="30">
        <v>0</v>
      </c>
      <c r="H400" s="30">
        <v>0</v>
      </c>
    </row>
    <row r="401" spans="2:8" hidden="1" x14ac:dyDescent="0.3">
      <c r="B401" s="30"/>
      <c r="C401" s="30"/>
      <c r="D401" s="30"/>
      <c r="E401" s="86" t="s">
        <v>237</v>
      </c>
      <c r="F401" s="17">
        <v>0</v>
      </c>
      <c r="G401" s="30">
        <v>0</v>
      </c>
      <c r="H401" s="30">
        <v>0</v>
      </c>
    </row>
    <row r="402" spans="2:8" hidden="1" x14ac:dyDescent="0.3">
      <c r="B402" s="30"/>
      <c r="C402" s="30"/>
      <c r="D402" s="30"/>
      <c r="E402" s="86" t="s">
        <v>237</v>
      </c>
      <c r="F402" s="17">
        <v>0</v>
      </c>
      <c r="G402" s="30">
        <v>0</v>
      </c>
      <c r="H402" s="30">
        <v>0</v>
      </c>
    </row>
    <row r="403" spans="2:8" hidden="1" x14ac:dyDescent="0.3">
      <c r="B403" s="30"/>
      <c r="C403" s="30"/>
      <c r="D403" s="30"/>
      <c r="E403" s="86" t="s">
        <v>237</v>
      </c>
      <c r="F403" s="17">
        <v>0</v>
      </c>
      <c r="G403" s="30">
        <v>0</v>
      </c>
      <c r="H403" s="30">
        <v>0</v>
      </c>
    </row>
    <row r="404" spans="2:8" hidden="1" x14ac:dyDescent="0.3">
      <c r="B404" s="30"/>
      <c r="C404" s="30"/>
      <c r="D404" s="30"/>
      <c r="E404" s="86" t="s">
        <v>237</v>
      </c>
      <c r="F404" s="17">
        <v>0</v>
      </c>
      <c r="G404" s="30">
        <v>0</v>
      </c>
      <c r="H404" s="30">
        <v>0</v>
      </c>
    </row>
    <row r="405" spans="2:8" hidden="1" x14ac:dyDescent="0.3">
      <c r="B405" s="30"/>
      <c r="C405" s="30"/>
      <c r="D405" s="30"/>
      <c r="E405" s="86" t="s">
        <v>237</v>
      </c>
      <c r="F405" s="17">
        <v>0</v>
      </c>
      <c r="G405" s="30">
        <v>0</v>
      </c>
      <c r="H405" s="30">
        <v>0</v>
      </c>
    </row>
    <row r="406" spans="2:8" hidden="1" x14ac:dyDescent="0.3">
      <c r="B406" s="30"/>
      <c r="C406" s="30"/>
      <c r="D406" s="30"/>
      <c r="E406" s="86" t="s">
        <v>237</v>
      </c>
      <c r="F406" s="17">
        <v>0</v>
      </c>
      <c r="G406" s="30">
        <v>0</v>
      </c>
      <c r="H406" s="30">
        <v>0</v>
      </c>
    </row>
    <row r="407" spans="2:8" hidden="1" x14ac:dyDescent="0.3">
      <c r="B407" s="30"/>
      <c r="C407" s="30"/>
      <c r="D407" s="30"/>
      <c r="E407" s="86" t="s">
        <v>237</v>
      </c>
      <c r="F407" s="17">
        <v>0</v>
      </c>
      <c r="G407" s="30">
        <v>0</v>
      </c>
      <c r="H407" s="30">
        <v>0</v>
      </c>
    </row>
    <row r="408" spans="2:8" hidden="1" x14ac:dyDescent="0.3">
      <c r="B408" s="30"/>
      <c r="C408" s="30"/>
      <c r="D408" s="30"/>
      <c r="E408" s="86" t="s">
        <v>237</v>
      </c>
      <c r="F408" s="17">
        <v>0</v>
      </c>
      <c r="G408" s="30">
        <v>0</v>
      </c>
      <c r="H408" s="30">
        <v>0</v>
      </c>
    </row>
    <row r="409" spans="2:8" hidden="1" x14ac:dyDescent="0.3">
      <c r="B409" s="30"/>
      <c r="C409" s="30"/>
      <c r="D409" s="30"/>
      <c r="E409" s="86" t="s">
        <v>237</v>
      </c>
      <c r="F409" s="17">
        <v>0</v>
      </c>
      <c r="G409" s="30">
        <v>0</v>
      </c>
      <c r="H409" s="30">
        <v>0</v>
      </c>
    </row>
    <row r="410" spans="2:8" hidden="1" x14ac:dyDescent="0.3">
      <c r="B410" s="30"/>
      <c r="C410" s="30"/>
      <c r="D410" s="30"/>
      <c r="E410" s="86" t="s">
        <v>237</v>
      </c>
      <c r="F410" s="17">
        <v>0</v>
      </c>
      <c r="G410" s="30">
        <v>0</v>
      </c>
      <c r="H410" s="30">
        <v>0</v>
      </c>
    </row>
    <row r="411" spans="2:8" hidden="1" x14ac:dyDescent="0.3">
      <c r="B411" s="30"/>
      <c r="C411" s="30"/>
      <c r="D411" s="30"/>
      <c r="E411" s="86" t="s">
        <v>237</v>
      </c>
      <c r="F411" s="17">
        <v>0</v>
      </c>
      <c r="G411" s="30">
        <v>0</v>
      </c>
      <c r="H411" s="30">
        <v>0</v>
      </c>
    </row>
    <row r="412" spans="2:8" hidden="1" x14ac:dyDescent="0.3">
      <c r="B412" s="30"/>
      <c r="C412" s="30"/>
      <c r="D412" s="30"/>
      <c r="E412" s="86" t="s">
        <v>237</v>
      </c>
      <c r="F412" s="17">
        <v>0</v>
      </c>
      <c r="G412" s="30">
        <v>0</v>
      </c>
      <c r="H412" s="30">
        <v>0</v>
      </c>
    </row>
    <row r="413" spans="2:8" hidden="1" x14ac:dyDescent="0.3">
      <c r="B413" s="30"/>
      <c r="C413" s="30"/>
      <c r="D413" s="30"/>
      <c r="E413" s="86" t="s">
        <v>237</v>
      </c>
      <c r="F413" s="17">
        <v>0</v>
      </c>
      <c r="G413" s="30">
        <v>0</v>
      </c>
      <c r="H413" s="30">
        <v>0</v>
      </c>
    </row>
    <row r="414" spans="2:8" hidden="1" x14ac:dyDescent="0.3">
      <c r="B414" s="30"/>
      <c r="C414" s="30"/>
      <c r="D414" s="30"/>
      <c r="E414" s="86" t="s">
        <v>237</v>
      </c>
      <c r="F414" s="17">
        <v>0</v>
      </c>
      <c r="G414" s="30">
        <v>0</v>
      </c>
      <c r="H414" s="30">
        <v>0</v>
      </c>
    </row>
    <row r="415" spans="2:8" hidden="1" x14ac:dyDescent="0.3">
      <c r="B415" s="30"/>
      <c r="C415" s="30"/>
      <c r="D415" s="30"/>
      <c r="E415" s="86" t="s">
        <v>237</v>
      </c>
      <c r="F415" s="17">
        <v>0</v>
      </c>
      <c r="G415" s="30">
        <v>0</v>
      </c>
      <c r="H415" s="30">
        <v>0</v>
      </c>
    </row>
    <row r="416" spans="2:8" hidden="1" x14ac:dyDescent="0.3">
      <c r="B416" s="30"/>
      <c r="C416" s="30"/>
      <c r="D416" s="30"/>
      <c r="E416" s="86" t="s">
        <v>237</v>
      </c>
      <c r="F416" s="17">
        <v>0</v>
      </c>
      <c r="G416" s="30">
        <v>0</v>
      </c>
      <c r="H416" s="30">
        <v>0</v>
      </c>
    </row>
    <row r="417" spans="2:8" hidden="1" x14ac:dyDescent="0.3">
      <c r="B417" s="30"/>
      <c r="C417" s="30"/>
      <c r="D417" s="30"/>
      <c r="E417" s="86" t="s">
        <v>237</v>
      </c>
      <c r="F417" s="17">
        <v>0</v>
      </c>
      <c r="G417" s="30">
        <v>0</v>
      </c>
      <c r="H417" s="30">
        <v>0</v>
      </c>
    </row>
    <row r="418" spans="2:8" hidden="1" x14ac:dyDescent="0.3">
      <c r="B418" s="30"/>
      <c r="C418" s="30"/>
      <c r="D418" s="30"/>
      <c r="E418" s="86" t="s">
        <v>237</v>
      </c>
      <c r="F418" s="17">
        <v>0</v>
      </c>
      <c r="G418" s="30">
        <v>0</v>
      </c>
      <c r="H418" s="30">
        <v>0</v>
      </c>
    </row>
    <row r="419" spans="2:8" hidden="1" x14ac:dyDescent="0.3">
      <c r="B419" s="30"/>
      <c r="C419" s="30"/>
      <c r="D419" s="30"/>
      <c r="E419" s="86" t="s">
        <v>237</v>
      </c>
      <c r="F419" s="17">
        <v>0</v>
      </c>
      <c r="G419" s="30">
        <v>0</v>
      </c>
      <c r="H419" s="30">
        <v>0</v>
      </c>
    </row>
    <row r="420" spans="2:8" hidden="1" x14ac:dyDescent="0.3">
      <c r="B420" s="30"/>
      <c r="C420" s="30"/>
      <c r="D420" s="30"/>
      <c r="E420" s="86" t="s">
        <v>237</v>
      </c>
      <c r="F420" s="17">
        <v>0</v>
      </c>
      <c r="G420" s="30">
        <v>0</v>
      </c>
      <c r="H420" s="30">
        <v>0</v>
      </c>
    </row>
    <row r="421" spans="2:8" hidden="1" x14ac:dyDescent="0.3">
      <c r="B421" s="30"/>
      <c r="C421" s="30"/>
      <c r="D421" s="30"/>
      <c r="E421" s="86" t="s">
        <v>237</v>
      </c>
      <c r="F421" s="17">
        <v>0</v>
      </c>
      <c r="G421" s="30">
        <v>0</v>
      </c>
      <c r="H421" s="30">
        <v>0</v>
      </c>
    </row>
    <row r="422" spans="2:8" hidden="1" x14ac:dyDescent="0.3">
      <c r="B422" s="30"/>
      <c r="C422" s="30"/>
      <c r="D422" s="30"/>
      <c r="E422" s="86" t="s">
        <v>237</v>
      </c>
      <c r="F422" s="17">
        <v>0</v>
      </c>
      <c r="G422" s="30">
        <v>0</v>
      </c>
      <c r="H422" s="30">
        <v>0</v>
      </c>
    </row>
    <row r="423" spans="2:8" hidden="1" x14ac:dyDescent="0.3">
      <c r="B423" s="30"/>
      <c r="C423" s="30"/>
      <c r="D423" s="30"/>
      <c r="E423" s="86" t="s">
        <v>237</v>
      </c>
      <c r="F423" s="17">
        <v>0</v>
      </c>
      <c r="G423" s="30">
        <v>0</v>
      </c>
      <c r="H423" s="30">
        <v>0</v>
      </c>
    </row>
    <row r="424" spans="2:8" hidden="1" x14ac:dyDescent="0.3">
      <c r="B424" s="30"/>
      <c r="C424" s="30"/>
      <c r="D424" s="30"/>
      <c r="E424" s="86" t="s">
        <v>237</v>
      </c>
      <c r="F424" s="17">
        <v>0</v>
      </c>
      <c r="G424" s="30">
        <v>0</v>
      </c>
      <c r="H424" s="30">
        <v>0</v>
      </c>
    </row>
    <row r="425" spans="2:8" hidden="1" x14ac:dyDescent="0.3">
      <c r="B425" s="30"/>
      <c r="C425" s="30"/>
      <c r="D425" s="30"/>
      <c r="E425" s="86" t="s">
        <v>237</v>
      </c>
      <c r="F425" s="17">
        <v>0</v>
      </c>
      <c r="G425" s="30">
        <v>0</v>
      </c>
      <c r="H425" s="30">
        <v>0</v>
      </c>
    </row>
    <row r="426" spans="2:8" hidden="1" x14ac:dyDescent="0.3">
      <c r="B426" s="30"/>
      <c r="C426" s="30"/>
      <c r="D426" s="30"/>
      <c r="E426" s="86" t="s">
        <v>237</v>
      </c>
      <c r="F426" s="17">
        <v>0</v>
      </c>
      <c r="G426" s="30">
        <v>0</v>
      </c>
      <c r="H426" s="30">
        <v>0</v>
      </c>
    </row>
    <row r="427" spans="2:8" hidden="1" x14ac:dyDescent="0.3">
      <c r="B427" s="30"/>
      <c r="C427" s="30"/>
      <c r="D427" s="30"/>
      <c r="E427" s="86" t="s">
        <v>237</v>
      </c>
      <c r="F427" s="17">
        <v>0</v>
      </c>
      <c r="G427" s="30">
        <v>0</v>
      </c>
      <c r="H427" s="30">
        <v>0</v>
      </c>
    </row>
    <row r="428" spans="2:8" hidden="1" x14ac:dyDescent="0.3">
      <c r="B428" s="30"/>
      <c r="C428" s="30"/>
      <c r="D428" s="30"/>
      <c r="E428" s="86" t="s">
        <v>237</v>
      </c>
      <c r="F428" s="17">
        <v>0</v>
      </c>
      <c r="G428" s="30">
        <v>0</v>
      </c>
      <c r="H428" s="30">
        <v>0</v>
      </c>
    </row>
    <row r="429" spans="2:8" hidden="1" x14ac:dyDescent="0.3">
      <c r="B429" s="30"/>
      <c r="C429" s="30"/>
      <c r="D429" s="30"/>
      <c r="E429" s="86" t="s">
        <v>237</v>
      </c>
      <c r="F429" s="17">
        <v>0</v>
      </c>
      <c r="G429" s="30">
        <v>0</v>
      </c>
      <c r="H429" s="30">
        <v>0</v>
      </c>
    </row>
    <row r="430" spans="2:8" hidden="1" x14ac:dyDescent="0.3">
      <c r="B430" s="30"/>
      <c r="C430" s="30"/>
      <c r="D430" s="30"/>
      <c r="E430" s="86" t="s">
        <v>237</v>
      </c>
      <c r="F430" s="17">
        <v>0</v>
      </c>
      <c r="G430" s="30">
        <v>0</v>
      </c>
      <c r="H430" s="30">
        <v>0</v>
      </c>
    </row>
    <row r="431" spans="2:8" hidden="1" x14ac:dyDescent="0.3">
      <c r="B431" s="30"/>
      <c r="C431" s="30"/>
      <c r="D431" s="30"/>
      <c r="E431" s="86" t="s">
        <v>237</v>
      </c>
      <c r="F431" s="17">
        <v>0</v>
      </c>
      <c r="G431" s="30">
        <v>0</v>
      </c>
      <c r="H431" s="30">
        <v>0</v>
      </c>
    </row>
    <row r="432" spans="2:8" hidden="1" x14ac:dyDescent="0.3">
      <c r="B432" s="30"/>
      <c r="C432" s="30"/>
      <c r="D432" s="30"/>
      <c r="E432" s="86" t="s">
        <v>237</v>
      </c>
      <c r="F432" s="17">
        <v>0</v>
      </c>
      <c r="G432" s="30">
        <v>0</v>
      </c>
      <c r="H432" s="30">
        <v>0</v>
      </c>
    </row>
    <row r="433" spans="2:8" hidden="1" x14ac:dyDescent="0.3">
      <c r="B433" s="30"/>
      <c r="C433" s="30"/>
      <c r="D433" s="30"/>
      <c r="E433" s="86" t="s">
        <v>237</v>
      </c>
      <c r="F433" s="17">
        <v>0</v>
      </c>
      <c r="G433" s="30">
        <v>0</v>
      </c>
      <c r="H433" s="30">
        <v>0</v>
      </c>
    </row>
    <row r="434" spans="2:8" hidden="1" x14ac:dyDescent="0.3">
      <c r="B434" s="30"/>
      <c r="C434" s="30"/>
      <c r="D434" s="30"/>
      <c r="E434" s="86" t="s">
        <v>237</v>
      </c>
      <c r="F434" s="17">
        <v>0</v>
      </c>
      <c r="G434" s="30">
        <v>0</v>
      </c>
      <c r="H434" s="30">
        <v>0</v>
      </c>
    </row>
    <row r="435" spans="2:8" hidden="1" x14ac:dyDescent="0.3">
      <c r="B435" s="30"/>
      <c r="C435" s="30"/>
      <c r="D435" s="30"/>
      <c r="E435" s="86" t="s">
        <v>237</v>
      </c>
      <c r="F435" s="17">
        <v>0</v>
      </c>
      <c r="G435" s="30">
        <v>0</v>
      </c>
      <c r="H435" s="30">
        <v>0</v>
      </c>
    </row>
    <row r="436" spans="2:8" hidden="1" x14ac:dyDescent="0.3">
      <c r="B436" s="30"/>
      <c r="C436" s="30"/>
      <c r="D436" s="30"/>
      <c r="E436" s="86" t="s">
        <v>237</v>
      </c>
      <c r="F436" s="17">
        <v>0</v>
      </c>
      <c r="G436" s="30">
        <v>0</v>
      </c>
      <c r="H436" s="30">
        <v>0</v>
      </c>
    </row>
    <row r="437" spans="2:8" hidden="1" x14ac:dyDescent="0.3">
      <c r="B437" s="30"/>
      <c r="C437" s="30"/>
      <c r="D437" s="30"/>
      <c r="E437" s="86" t="s">
        <v>237</v>
      </c>
      <c r="F437" s="17">
        <v>0</v>
      </c>
      <c r="G437" s="30">
        <v>0</v>
      </c>
      <c r="H437" s="30">
        <v>0</v>
      </c>
    </row>
    <row r="438" spans="2:8" hidden="1" x14ac:dyDescent="0.3">
      <c r="B438" s="30"/>
      <c r="C438" s="30"/>
      <c r="D438" s="30"/>
      <c r="E438" s="86" t="s">
        <v>237</v>
      </c>
      <c r="F438" s="17">
        <v>0</v>
      </c>
      <c r="G438" s="30">
        <v>0</v>
      </c>
      <c r="H438" s="30">
        <v>0</v>
      </c>
    </row>
    <row r="439" spans="2:8" hidden="1" x14ac:dyDescent="0.3">
      <c r="B439" s="30"/>
      <c r="C439" s="30"/>
      <c r="D439" s="30"/>
      <c r="E439" s="86" t="s">
        <v>237</v>
      </c>
      <c r="F439" s="17">
        <v>0</v>
      </c>
      <c r="G439" s="30">
        <v>0</v>
      </c>
      <c r="H439" s="30">
        <v>0</v>
      </c>
    </row>
    <row r="440" spans="2:8" hidden="1" x14ac:dyDescent="0.3">
      <c r="B440" s="30"/>
      <c r="C440" s="30"/>
      <c r="D440" s="30"/>
      <c r="E440" s="86" t="s">
        <v>237</v>
      </c>
      <c r="F440" s="17">
        <v>0</v>
      </c>
      <c r="G440" s="30">
        <v>0</v>
      </c>
      <c r="H440" s="30">
        <v>0</v>
      </c>
    </row>
    <row r="441" spans="2:8" hidden="1" x14ac:dyDescent="0.3">
      <c r="B441" s="30"/>
      <c r="C441" s="30"/>
      <c r="D441" s="30"/>
      <c r="E441" s="86" t="s">
        <v>237</v>
      </c>
      <c r="F441" s="17">
        <v>0</v>
      </c>
      <c r="G441" s="30">
        <v>0</v>
      </c>
      <c r="H441" s="30">
        <v>0</v>
      </c>
    </row>
    <row r="442" spans="2:8" hidden="1" x14ac:dyDescent="0.3">
      <c r="B442" s="30"/>
      <c r="C442" s="30"/>
      <c r="D442" s="30"/>
      <c r="E442" s="86" t="s">
        <v>237</v>
      </c>
      <c r="F442" s="17">
        <v>0</v>
      </c>
      <c r="G442" s="30">
        <v>0</v>
      </c>
      <c r="H442" s="30">
        <v>0</v>
      </c>
    </row>
    <row r="443" spans="2:8" hidden="1" x14ac:dyDescent="0.3">
      <c r="B443" s="30"/>
      <c r="C443" s="30"/>
      <c r="D443" s="30"/>
      <c r="E443" s="86" t="s">
        <v>237</v>
      </c>
      <c r="F443" s="17">
        <v>0</v>
      </c>
      <c r="G443" s="30">
        <v>0</v>
      </c>
      <c r="H443" s="30">
        <v>0</v>
      </c>
    </row>
    <row r="444" spans="2:8" hidden="1" x14ac:dyDescent="0.3">
      <c r="B444" s="30"/>
      <c r="C444" s="30"/>
      <c r="D444" s="30"/>
      <c r="E444" s="86" t="s">
        <v>237</v>
      </c>
      <c r="F444" s="17">
        <v>0</v>
      </c>
      <c r="G444" s="30">
        <v>0</v>
      </c>
      <c r="H444" s="30">
        <v>0</v>
      </c>
    </row>
    <row r="445" spans="2:8" hidden="1" x14ac:dyDescent="0.3">
      <c r="B445" s="30"/>
      <c r="C445" s="30"/>
      <c r="D445" s="30"/>
      <c r="E445" s="86" t="s">
        <v>237</v>
      </c>
      <c r="F445" s="17">
        <v>0</v>
      </c>
      <c r="G445" s="30">
        <v>0</v>
      </c>
      <c r="H445" s="30">
        <v>0</v>
      </c>
    </row>
    <row r="446" spans="2:8" hidden="1" x14ac:dyDescent="0.3">
      <c r="B446" s="30"/>
      <c r="C446" s="30"/>
      <c r="D446" s="30"/>
      <c r="E446" s="86" t="s">
        <v>237</v>
      </c>
      <c r="F446" s="17">
        <v>0</v>
      </c>
      <c r="G446" s="30">
        <v>0</v>
      </c>
      <c r="H446" s="30">
        <v>0</v>
      </c>
    </row>
    <row r="447" spans="2:8" hidden="1" x14ac:dyDescent="0.3">
      <c r="B447" s="30"/>
      <c r="C447" s="30"/>
      <c r="D447" s="30"/>
      <c r="E447" s="86" t="s">
        <v>237</v>
      </c>
      <c r="F447" s="17">
        <v>0</v>
      </c>
      <c r="G447" s="30">
        <v>0</v>
      </c>
      <c r="H447" s="30">
        <v>0</v>
      </c>
    </row>
    <row r="448" spans="2:8" hidden="1" x14ac:dyDescent="0.3">
      <c r="B448" s="30"/>
      <c r="C448" s="30"/>
      <c r="D448" s="30"/>
      <c r="E448" s="86" t="s">
        <v>237</v>
      </c>
      <c r="F448" s="17">
        <v>0</v>
      </c>
      <c r="G448" s="30">
        <v>0</v>
      </c>
      <c r="H448" s="30">
        <v>0</v>
      </c>
    </row>
    <row r="449" spans="2:8" hidden="1" x14ac:dyDescent="0.3">
      <c r="B449" s="30"/>
      <c r="C449" s="30"/>
      <c r="D449" s="30"/>
      <c r="E449" s="86" t="s">
        <v>237</v>
      </c>
      <c r="F449" s="17">
        <v>0</v>
      </c>
      <c r="G449" s="30">
        <v>0</v>
      </c>
      <c r="H449" s="30">
        <v>0</v>
      </c>
    </row>
    <row r="450" spans="2:8" hidden="1" x14ac:dyDescent="0.3">
      <c r="B450" s="30"/>
      <c r="C450" s="30"/>
      <c r="D450" s="30"/>
      <c r="E450" s="86" t="s">
        <v>237</v>
      </c>
      <c r="F450" s="17">
        <v>0</v>
      </c>
      <c r="G450" s="30">
        <v>0</v>
      </c>
      <c r="H450" s="30">
        <v>0</v>
      </c>
    </row>
    <row r="451" spans="2:8" hidden="1" x14ac:dyDescent="0.3">
      <c r="B451" s="30"/>
      <c r="C451" s="30"/>
      <c r="D451" s="30"/>
      <c r="E451" s="86" t="s">
        <v>237</v>
      </c>
      <c r="F451" s="17">
        <v>0</v>
      </c>
      <c r="G451" s="30">
        <v>0</v>
      </c>
      <c r="H451" s="30">
        <v>0</v>
      </c>
    </row>
    <row r="452" spans="2:8" hidden="1" x14ac:dyDescent="0.3">
      <c r="B452" s="30"/>
      <c r="C452" s="30"/>
      <c r="D452" s="30"/>
      <c r="E452" s="86" t="s">
        <v>237</v>
      </c>
      <c r="F452" s="17">
        <v>0</v>
      </c>
      <c r="G452" s="30">
        <v>0</v>
      </c>
      <c r="H452" s="30">
        <v>0</v>
      </c>
    </row>
    <row r="453" spans="2:8" hidden="1" x14ac:dyDescent="0.3">
      <c r="B453" s="30"/>
      <c r="C453" s="30"/>
      <c r="D453" s="30"/>
      <c r="E453" s="86" t="s">
        <v>237</v>
      </c>
      <c r="F453" s="17">
        <v>0</v>
      </c>
      <c r="G453" s="30">
        <v>0</v>
      </c>
      <c r="H453" s="30">
        <v>0</v>
      </c>
    </row>
    <row r="454" spans="2:8" hidden="1" x14ac:dyDescent="0.3">
      <c r="B454" s="30"/>
      <c r="C454" s="30"/>
      <c r="D454" s="30"/>
      <c r="E454" s="86" t="s">
        <v>237</v>
      </c>
      <c r="F454" s="17">
        <v>0</v>
      </c>
      <c r="G454" s="30">
        <v>0</v>
      </c>
      <c r="H454" s="30">
        <v>0</v>
      </c>
    </row>
    <row r="455" spans="2:8" hidden="1" x14ac:dyDescent="0.3">
      <c r="B455" s="30"/>
      <c r="C455" s="30"/>
      <c r="D455" s="30"/>
      <c r="E455" s="86" t="s">
        <v>237</v>
      </c>
      <c r="F455" s="17">
        <v>0</v>
      </c>
      <c r="G455" s="30">
        <v>0</v>
      </c>
      <c r="H455" s="30">
        <v>0</v>
      </c>
    </row>
    <row r="456" spans="2:8" hidden="1" x14ac:dyDescent="0.3">
      <c r="B456" s="30"/>
      <c r="C456" s="30"/>
      <c r="D456" s="30"/>
      <c r="E456" s="86" t="s">
        <v>237</v>
      </c>
      <c r="F456" s="17">
        <v>0</v>
      </c>
      <c r="G456" s="30">
        <v>0</v>
      </c>
      <c r="H456" s="30">
        <v>0</v>
      </c>
    </row>
    <row r="457" spans="2:8" hidden="1" x14ac:dyDescent="0.3">
      <c r="B457" s="30"/>
      <c r="C457" s="30"/>
      <c r="D457" s="30"/>
      <c r="E457" s="86" t="s">
        <v>237</v>
      </c>
      <c r="F457" s="17">
        <v>0</v>
      </c>
      <c r="G457" s="30">
        <v>0</v>
      </c>
      <c r="H457" s="30">
        <v>0</v>
      </c>
    </row>
    <row r="458" spans="2:8" hidden="1" x14ac:dyDescent="0.3">
      <c r="B458" s="30"/>
      <c r="C458" s="30"/>
      <c r="D458" s="30"/>
      <c r="E458" s="86" t="s">
        <v>237</v>
      </c>
      <c r="F458" s="17">
        <v>0</v>
      </c>
      <c r="G458" s="30">
        <v>0</v>
      </c>
      <c r="H458" s="30">
        <v>0</v>
      </c>
    </row>
    <row r="459" spans="2:8" hidden="1" x14ac:dyDescent="0.3">
      <c r="B459" s="30"/>
      <c r="C459" s="30"/>
      <c r="D459" s="30"/>
      <c r="E459" s="86" t="s">
        <v>237</v>
      </c>
      <c r="F459" s="17">
        <v>0</v>
      </c>
      <c r="G459" s="30">
        <v>0</v>
      </c>
      <c r="H459" s="30">
        <v>0</v>
      </c>
    </row>
    <row r="460" spans="2:8" hidden="1" x14ac:dyDescent="0.3">
      <c r="B460" s="30"/>
      <c r="C460" s="30"/>
      <c r="D460" s="30"/>
      <c r="E460" s="86" t="s">
        <v>237</v>
      </c>
      <c r="F460" s="17">
        <v>0</v>
      </c>
      <c r="G460" s="30">
        <v>0</v>
      </c>
      <c r="H460" s="30">
        <v>0</v>
      </c>
    </row>
    <row r="461" spans="2:8" hidden="1" x14ac:dyDescent="0.3">
      <c r="B461" s="30"/>
      <c r="C461" s="30"/>
      <c r="D461" s="30"/>
      <c r="E461" s="86" t="s">
        <v>237</v>
      </c>
      <c r="F461" s="17">
        <v>0</v>
      </c>
      <c r="G461" s="30">
        <v>0</v>
      </c>
      <c r="H461" s="30">
        <v>0</v>
      </c>
    </row>
    <row r="462" spans="2:8" hidden="1" x14ac:dyDescent="0.3">
      <c r="B462" s="30"/>
      <c r="C462" s="30"/>
      <c r="D462" s="30"/>
      <c r="E462" s="86" t="s">
        <v>237</v>
      </c>
      <c r="F462" s="17">
        <v>0</v>
      </c>
      <c r="G462" s="30">
        <v>0</v>
      </c>
      <c r="H462" s="30">
        <v>0</v>
      </c>
    </row>
    <row r="463" spans="2:8" hidden="1" x14ac:dyDescent="0.3">
      <c r="B463" s="30"/>
      <c r="C463" s="30"/>
      <c r="D463" s="30"/>
      <c r="E463" s="86" t="s">
        <v>237</v>
      </c>
      <c r="F463" s="17">
        <v>0</v>
      </c>
      <c r="G463" s="30">
        <v>0</v>
      </c>
      <c r="H463" s="30">
        <v>0</v>
      </c>
    </row>
    <row r="464" spans="2:8" hidden="1" x14ac:dyDescent="0.3">
      <c r="B464" s="30"/>
      <c r="C464" s="30"/>
      <c r="D464" s="30"/>
      <c r="E464" s="86" t="s">
        <v>237</v>
      </c>
      <c r="F464" s="17">
        <v>0</v>
      </c>
      <c r="G464" s="30">
        <v>0</v>
      </c>
      <c r="H464" s="30">
        <v>0</v>
      </c>
    </row>
    <row r="465" spans="2:8" hidden="1" x14ac:dyDescent="0.3">
      <c r="B465" s="30"/>
      <c r="C465" s="30"/>
      <c r="D465" s="30"/>
      <c r="E465" s="86" t="s">
        <v>237</v>
      </c>
      <c r="F465" s="17">
        <v>0</v>
      </c>
      <c r="G465" s="30">
        <v>0</v>
      </c>
      <c r="H465" s="30">
        <v>0</v>
      </c>
    </row>
    <row r="466" spans="2:8" hidden="1" x14ac:dyDescent="0.3">
      <c r="B466" s="30"/>
      <c r="C466" s="30"/>
      <c r="D466" s="30"/>
      <c r="E466" s="86" t="s">
        <v>237</v>
      </c>
      <c r="F466" s="17">
        <v>0</v>
      </c>
      <c r="G466" s="30">
        <v>0</v>
      </c>
      <c r="H466" s="30">
        <v>0</v>
      </c>
    </row>
    <row r="467" spans="2:8" hidden="1" x14ac:dyDescent="0.3">
      <c r="B467" s="30"/>
      <c r="C467" s="30"/>
      <c r="D467" s="30"/>
      <c r="E467" s="86" t="s">
        <v>237</v>
      </c>
      <c r="F467" s="17">
        <v>0</v>
      </c>
      <c r="G467" s="30">
        <v>0</v>
      </c>
      <c r="H467" s="30">
        <v>0</v>
      </c>
    </row>
    <row r="468" spans="2:8" hidden="1" x14ac:dyDescent="0.3">
      <c r="B468" s="30"/>
      <c r="C468" s="30"/>
      <c r="D468" s="30"/>
      <c r="E468" s="86" t="s">
        <v>237</v>
      </c>
      <c r="F468" s="17">
        <v>0</v>
      </c>
      <c r="G468" s="30">
        <v>0</v>
      </c>
      <c r="H468" s="30">
        <v>0</v>
      </c>
    </row>
    <row r="469" spans="2:8" hidden="1" x14ac:dyDescent="0.3">
      <c r="B469" s="30"/>
      <c r="C469" s="30"/>
      <c r="D469" s="30"/>
      <c r="E469" s="86" t="s">
        <v>237</v>
      </c>
      <c r="F469" s="17">
        <v>0</v>
      </c>
      <c r="G469" s="30">
        <v>0</v>
      </c>
      <c r="H469" s="30">
        <v>0</v>
      </c>
    </row>
    <row r="470" spans="2:8" hidden="1" x14ac:dyDescent="0.3">
      <c r="B470" s="30"/>
      <c r="C470" s="30"/>
      <c r="D470" s="30"/>
      <c r="E470" s="86" t="s">
        <v>237</v>
      </c>
      <c r="F470" s="17">
        <v>0</v>
      </c>
      <c r="G470" s="30">
        <v>0</v>
      </c>
      <c r="H470" s="30">
        <v>0</v>
      </c>
    </row>
    <row r="471" spans="2:8" hidden="1" x14ac:dyDescent="0.3">
      <c r="B471" s="30"/>
      <c r="C471" s="30"/>
      <c r="D471" s="30"/>
      <c r="E471" s="86" t="s">
        <v>237</v>
      </c>
      <c r="F471" s="17">
        <v>0</v>
      </c>
      <c r="G471" s="30">
        <v>0</v>
      </c>
      <c r="H471" s="30">
        <v>0</v>
      </c>
    </row>
    <row r="472" spans="2:8" hidden="1" x14ac:dyDescent="0.3">
      <c r="B472" s="30"/>
      <c r="C472" s="30"/>
      <c r="D472" s="30"/>
      <c r="E472" s="86" t="s">
        <v>237</v>
      </c>
      <c r="F472" s="17">
        <v>0</v>
      </c>
      <c r="G472" s="30">
        <v>0</v>
      </c>
      <c r="H472" s="30">
        <v>0</v>
      </c>
    </row>
    <row r="473" spans="2:8" hidden="1" x14ac:dyDescent="0.3">
      <c r="B473" s="30"/>
      <c r="C473" s="30"/>
      <c r="D473" s="30"/>
      <c r="E473" s="86" t="s">
        <v>237</v>
      </c>
      <c r="F473" s="17">
        <v>0</v>
      </c>
      <c r="G473" s="30">
        <v>0</v>
      </c>
      <c r="H473" s="30">
        <v>0</v>
      </c>
    </row>
    <row r="474" spans="2:8" hidden="1" x14ac:dyDescent="0.3">
      <c r="B474" s="30"/>
      <c r="C474" s="30"/>
      <c r="D474" s="30"/>
      <c r="E474" s="86" t="s">
        <v>237</v>
      </c>
      <c r="F474" s="17">
        <v>0</v>
      </c>
      <c r="G474" s="30">
        <v>0</v>
      </c>
      <c r="H474" s="30">
        <v>0</v>
      </c>
    </row>
    <row r="475" spans="2:8" hidden="1" x14ac:dyDescent="0.3">
      <c r="B475" s="30"/>
      <c r="C475" s="30"/>
      <c r="D475" s="30"/>
      <c r="E475" s="86" t="s">
        <v>237</v>
      </c>
      <c r="F475" s="17">
        <v>0</v>
      </c>
      <c r="G475" s="30">
        <v>0</v>
      </c>
      <c r="H475" s="30">
        <v>0</v>
      </c>
    </row>
    <row r="476" spans="2:8" hidden="1" x14ac:dyDescent="0.3">
      <c r="B476" s="30"/>
      <c r="C476" s="30"/>
      <c r="D476" s="30"/>
      <c r="E476" s="86" t="s">
        <v>237</v>
      </c>
      <c r="F476" s="17">
        <v>0</v>
      </c>
      <c r="G476" s="30">
        <v>0</v>
      </c>
      <c r="H476" s="30">
        <v>0</v>
      </c>
    </row>
    <row r="477" spans="2:8" hidden="1" x14ac:dyDescent="0.3">
      <c r="B477" s="30"/>
      <c r="C477" s="30"/>
      <c r="D477" s="30"/>
      <c r="E477" s="86" t="s">
        <v>237</v>
      </c>
      <c r="F477" s="17">
        <v>0</v>
      </c>
      <c r="G477" s="30">
        <v>0</v>
      </c>
      <c r="H477" s="30">
        <v>0</v>
      </c>
    </row>
    <row r="478" spans="2:8" hidden="1" x14ac:dyDescent="0.3">
      <c r="B478" s="30"/>
      <c r="C478" s="30"/>
      <c r="D478" s="30"/>
      <c r="E478" s="86" t="s">
        <v>237</v>
      </c>
      <c r="F478" s="17">
        <v>0</v>
      </c>
      <c r="G478" s="30">
        <v>0</v>
      </c>
      <c r="H478" s="30">
        <v>0</v>
      </c>
    </row>
    <row r="479" spans="2:8" hidden="1" x14ac:dyDescent="0.3">
      <c r="B479" s="30"/>
      <c r="C479" s="30"/>
      <c r="D479" s="30"/>
      <c r="E479" s="86" t="s">
        <v>237</v>
      </c>
      <c r="F479" s="17">
        <v>0</v>
      </c>
      <c r="G479" s="30">
        <v>0</v>
      </c>
      <c r="H479" s="30">
        <v>0</v>
      </c>
    </row>
    <row r="480" spans="2:8" hidden="1" x14ac:dyDescent="0.3">
      <c r="B480" s="30"/>
      <c r="C480" s="30"/>
      <c r="D480" s="30"/>
      <c r="E480" s="86" t="s">
        <v>237</v>
      </c>
      <c r="F480" s="17">
        <v>0</v>
      </c>
      <c r="G480" s="30">
        <v>0</v>
      </c>
      <c r="H480" s="30">
        <v>0</v>
      </c>
    </row>
    <row r="481" spans="2:8" hidden="1" x14ac:dyDescent="0.3">
      <c r="B481" s="30"/>
      <c r="C481" s="30"/>
      <c r="D481" s="30"/>
      <c r="E481" s="86" t="s">
        <v>237</v>
      </c>
      <c r="F481" s="17">
        <v>0</v>
      </c>
      <c r="G481" s="30">
        <v>0</v>
      </c>
      <c r="H481" s="30">
        <v>0</v>
      </c>
    </row>
    <row r="482" spans="2:8" hidden="1" x14ac:dyDescent="0.3">
      <c r="B482" s="30"/>
      <c r="C482" s="30"/>
      <c r="D482" s="30"/>
      <c r="E482" s="86" t="s">
        <v>237</v>
      </c>
      <c r="F482" s="17">
        <v>0</v>
      </c>
      <c r="G482" s="30">
        <v>0</v>
      </c>
      <c r="H482" s="30">
        <v>0</v>
      </c>
    </row>
    <row r="483" spans="2:8" hidden="1" x14ac:dyDescent="0.3">
      <c r="B483" s="30"/>
      <c r="C483" s="30"/>
      <c r="D483" s="30"/>
      <c r="E483" s="86" t="s">
        <v>237</v>
      </c>
      <c r="F483" s="17">
        <v>0</v>
      </c>
      <c r="G483" s="30">
        <v>0</v>
      </c>
      <c r="H483" s="30">
        <v>0</v>
      </c>
    </row>
    <row r="484" spans="2:8" hidden="1" x14ac:dyDescent="0.3">
      <c r="B484" s="30"/>
      <c r="C484" s="30"/>
      <c r="D484" s="30"/>
      <c r="E484" s="86" t="s">
        <v>237</v>
      </c>
      <c r="F484" s="17">
        <v>0</v>
      </c>
      <c r="G484" s="30">
        <v>0</v>
      </c>
      <c r="H484" s="30">
        <v>0</v>
      </c>
    </row>
    <row r="485" spans="2:8" hidden="1" x14ac:dyDescent="0.3">
      <c r="B485" s="30"/>
      <c r="C485" s="30"/>
      <c r="D485" s="30"/>
      <c r="E485" s="86" t="s">
        <v>237</v>
      </c>
      <c r="F485" s="17">
        <v>0</v>
      </c>
      <c r="G485" s="30">
        <v>0</v>
      </c>
      <c r="H485" s="30">
        <v>0</v>
      </c>
    </row>
    <row r="486" spans="2:8" hidden="1" x14ac:dyDescent="0.3">
      <c r="B486" s="30"/>
      <c r="C486" s="30"/>
      <c r="D486" s="30"/>
      <c r="E486" s="86" t="s">
        <v>237</v>
      </c>
      <c r="F486" s="17">
        <v>0</v>
      </c>
      <c r="G486" s="30">
        <v>0</v>
      </c>
      <c r="H486" s="30">
        <v>0</v>
      </c>
    </row>
    <row r="487" spans="2:8" hidden="1" x14ac:dyDescent="0.3">
      <c r="B487" s="30"/>
      <c r="C487" s="30"/>
      <c r="D487" s="30"/>
      <c r="E487" s="86" t="s">
        <v>237</v>
      </c>
      <c r="F487" s="17">
        <v>0</v>
      </c>
      <c r="G487" s="30">
        <v>0</v>
      </c>
      <c r="H487" s="30">
        <v>0</v>
      </c>
    </row>
    <row r="488" spans="2:8" hidden="1" x14ac:dyDescent="0.3">
      <c r="B488" s="30"/>
      <c r="C488" s="30"/>
      <c r="D488" s="30"/>
      <c r="E488" s="86" t="s">
        <v>237</v>
      </c>
      <c r="F488" s="17">
        <v>0</v>
      </c>
      <c r="G488" s="30">
        <v>0</v>
      </c>
      <c r="H488" s="30">
        <v>0</v>
      </c>
    </row>
    <row r="489" spans="2:8" hidden="1" x14ac:dyDescent="0.3">
      <c r="B489" s="30"/>
      <c r="C489" s="30"/>
      <c r="D489" s="30"/>
      <c r="E489" s="86" t="s">
        <v>237</v>
      </c>
      <c r="F489" s="17">
        <v>0</v>
      </c>
      <c r="G489" s="30">
        <v>0</v>
      </c>
      <c r="H489" s="30">
        <v>0</v>
      </c>
    </row>
    <row r="490" spans="2:8" hidden="1" x14ac:dyDescent="0.3">
      <c r="B490" s="30"/>
      <c r="C490" s="30"/>
      <c r="D490" s="30"/>
      <c r="E490" s="86" t="s">
        <v>237</v>
      </c>
      <c r="F490" s="17">
        <v>0</v>
      </c>
      <c r="G490" s="30">
        <v>0</v>
      </c>
      <c r="H490" s="30">
        <v>0</v>
      </c>
    </row>
    <row r="491" spans="2:8" hidden="1" x14ac:dyDescent="0.3">
      <c r="B491" s="30"/>
      <c r="C491" s="30"/>
      <c r="D491" s="30"/>
      <c r="E491" s="86" t="s">
        <v>237</v>
      </c>
      <c r="F491" s="17">
        <v>0</v>
      </c>
      <c r="G491" s="30">
        <v>0</v>
      </c>
      <c r="H491" s="30">
        <v>0</v>
      </c>
    </row>
    <row r="492" spans="2:8" hidden="1" x14ac:dyDescent="0.3">
      <c r="B492" s="30"/>
      <c r="C492" s="30"/>
      <c r="D492" s="30"/>
      <c r="E492" s="86" t="s">
        <v>237</v>
      </c>
      <c r="F492" s="17">
        <v>0</v>
      </c>
      <c r="G492" s="30">
        <v>0</v>
      </c>
      <c r="H492" s="30">
        <v>0</v>
      </c>
    </row>
    <row r="493" spans="2:8" hidden="1" x14ac:dyDescent="0.3">
      <c r="B493" s="30"/>
      <c r="C493" s="30"/>
      <c r="D493" s="30"/>
      <c r="E493" s="86" t="s">
        <v>237</v>
      </c>
      <c r="F493" s="17">
        <v>0</v>
      </c>
      <c r="G493" s="30">
        <v>0</v>
      </c>
      <c r="H493" s="30">
        <v>0</v>
      </c>
    </row>
    <row r="494" spans="2:8" hidden="1" x14ac:dyDescent="0.3">
      <c r="B494" s="30"/>
      <c r="C494" s="30"/>
      <c r="D494" s="30"/>
      <c r="E494" s="86" t="s">
        <v>237</v>
      </c>
      <c r="F494" s="17">
        <v>0</v>
      </c>
      <c r="G494" s="30">
        <v>0</v>
      </c>
      <c r="H494" s="30">
        <v>0</v>
      </c>
    </row>
    <row r="495" spans="2:8" hidden="1" x14ac:dyDescent="0.3">
      <c r="B495" s="30"/>
      <c r="C495" s="30"/>
      <c r="D495" s="30"/>
      <c r="E495" s="86" t="s">
        <v>237</v>
      </c>
      <c r="F495" s="17">
        <v>0</v>
      </c>
      <c r="G495" s="30">
        <v>0</v>
      </c>
      <c r="H495" s="30">
        <v>0</v>
      </c>
    </row>
    <row r="496" spans="2:8" hidden="1" x14ac:dyDescent="0.3">
      <c r="B496" s="30"/>
      <c r="C496" s="30"/>
      <c r="D496" s="30"/>
      <c r="E496" s="86" t="s">
        <v>237</v>
      </c>
      <c r="F496" s="17">
        <v>0</v>
      </c>
      <c r="G496" s="30">
        <v>0</v>
      </c>
      <c r="H496" s="30">
        <v>0</v>
      </c>
    </row>
    <row r="497" spans="2:8" hidden="1" x14ac:dyDescent="0.3">
      <c r="B497" s="30"/>
      <c r="C497" s="30"/>
      <c r="D497" s="30"/>
      <c r="E497" s="86" t="s">
        <v>237</v>
      </c>
      <c r="F497" s="17">
        <v>0</v>
      </c>
      <c r="G497" s="30">
        <v>0</v>
      </c>
      <c r="H497" s="30">
        <v>0</v>
      </c>
    </row>
    <row r="498" spans="2:8" hidden="1" x14ac:dyDescent="0.3">
      <c r="B498" s="30"/>
      <c r="C498" s="30"/>
      <c r="D498" s="30"/>
      <c r="E498" s="86" t="s">
        <v>237</v>
      </c>
      <c r="F498" s="17">
        <v>0</v>
      </c>
      <c r="G498" s="30">
        <v>0</v>
      </c>
      <c r="H498" s="30">
        <v>0</v>
      </c>
    </row>
    <row r="499" spans="2:8" hidden="1" x14ac:dyDescent="0.3">
      <c r="B499" s="30"/>
      <c r="C499" s="30"/>
      <c r="D499" s="30"/>
      <c r="E499" s="86" t="s">
        <v>237</v>
      </c>
      <c r="F499" s="17">
        <v>0</v>
      </c>
      <c r="G499" s="30">
        <v>0</v>
      </c>
      <c r="H499" s="30">
        <v>0</v>
      </c>
    </row>
    <row r="500" spans="2:8" hidden="1" x14ac:dyDescent="0.3">
      <c r="B500" s="30"/>
      <c r="C500" s="30"/>
      <c r="D500" s="30"/>
      <c r="E500" s="86" t="s">
        <v>237</v>
      </c>
      <c r="F500" s="17">
        <v>0</v>
      </c>
      <c r="G500" s="30">
        <v>0</v>
      </c>
      <c r="H500" s="30">
        <v>0</v>
      </c>
    </row>
    <row r="501" spans="2:8" hidden="1" x14ac:dyDescent="0.3">
      <c r="B501" s="30"/>
      <c r="C501" s="30"/>
      <c r="D501" s="30"/>
      <c r="E501" s="86" t="s">
        <v>237</v>
      </c>
      <c r="F501" s="17">
        <v>0</v>
      </c>
      <c r="G501" s="30">
        <v>0</v>
      </c>
      <c r="H501" s="30">
        <v>0</v>
      </c>
    </row>
    <row r="502" spans="2:8" hidden="1" x14ac:dyDescent="0.3">
      <c r="B502" s="30"/>
      <c r="C502" s="30"/>
      <c r="D502" s="30"/>
      <c r="E502" s="86" t="s">
        <v>237</v>
      </c>
      <c r="F502" s="17">
        <v>0</v>
      </c>
      <c r="G502" s="30">
        <v>0</v>
      </c>
      <c r="H502" s="30">
        <v>0</v>
      </c>
    </row>
    <row r="503" spans="2:8" hidden="1" x14ac:dyDescent="0.3">
      <c r="B503" s="30"/>
      <c r="C503" s="30"/>
      <c r="D503" s="30"/>
      <c r="E503" s="86" t="s">
        <v>237</v>
      </c>
      <c r="F503" s="17">
        <v>0</v>
      </c>
      <c r="G503" s="30">
        <v>0</v>
      </c>
      <c r="H503" s="30">
        <v>0</v>
      </c>
    </row>
    <row r="504" spans="2:8" hidden="1" x14ac:dyDescent="0.3">
      <c r="B504" s="30"/>
      <c r="C504" s="30"/>
      <c r="D504" s="30"/>
      <c r="E504" s="86" t="s">
        <v>237</v>
      </c>
      <c r="F504" s="17">
        <v>0</v>
      </c>
      <c r="G504" s="30">
        <v>0</v>
      </c>
      <c r="H504" s="30">
        <v>0</v>
      </c>
    </row>
    <row r="505" spans="2:8" hidden="1" x14ac:dyDescent="0.3">
      <c r="B505" s="30"/>
      <c r="C505" s="30"/>
      <c r="D505" s="30"/>
      <c r="E505" s="86" t="s">
        <v>237</v>
      </c>
      <c r="F505" s="17">
        <v>0</v>
      </c>
      <c r="G505" s="30">
        <v>0</v>
      </c>
      <c r="H505" s="30">
        <v>0</v>
      </c>
    </row>
    <row r="506" spans="2:8" hidden="1" x14ac:dyDescent="0.3">
      <c r="B506" s="30"/>
      <c r="C506" s="30"/>
      <c r="D506" s="30"/>
      <c r="E506" s="86" t="s">
        <v>237</v>
      </c>
      <c r="F506" s="17">
        <v>0</v>
      </c>
      <c r="G506" s="30">
        <v>0</v>
      </c>
      <c r="H506" s="30">
        <v>0</v>
      </c>
    </row>
    <row r="507" spans="2:8" hidden="1" x14ac:dyDescent="0.3">
      <c r="B507" s="30"/>
      <c r="C507" s="30"/>
      <c r="D507" s="30"/>
      <c r="E507" s="86" t="s">
        <v>237</v>
      </c>
      <c r="F507" s="17">
        <v>0</v>
      </c>
      <c r="G507" s="30">
        <v>0</v>
      </c>
      <c r="H507" s="30">
        <v>0</v>
      </c>
    </row>
    <row r="508" spans="2:8" hidden="1" x14ac:dyDescent="0.3">
      <c r="B508" s="30"/>
      <c r="C508" s="30"/>
      <c r="D508" s="30"/>
      <c r="E508" s="86" t="s">
        <v>237</v>
      </c>
      <c r="F508" s="17">
        <v>0</v>
      </c>
      <c r="G508" s="30">
        <v>0</v>
      </c>
      <c r="H508" s="30">
        <v>0</v>
      </c>
    </row>
    <row r="509" spans="2:8" hidden="1" x14ac:dyDescent="0.3">
      <c r="B509" s="30"/>
      <c r="C509" s="30"/>
      <c r="D509" s="30"/>
      <c r="E509" s="86" t="s">
        <v>237</v>
      </c>
      <c r="F509" s="17">
        <v>0</v>
      </c>
      <c r="G509" s="30">
        <v>0</v>
      </c>
      <c r="H509" s="30">
        <v>0</v>
      </c>
    </row>
    <row r="510" spans="2:8" hidden="1" x14ac:dyDescent="0.3">
      <c r="B510" s="30"/>
      <c r="C510" s="30"/>
      <c r="D510" s="30"/>
      <c r="E510" s="86" t="s">
        <v>237</v>
      </c>
      <c r="F510" s="17">
        <v>0</v>
      </c>
      <c r="G510" s="30">
        <v>0</v>
      </c>
      <c r="H510" s="30">
        <v>0</v>
      </c>
    </row>
    <row r="511" spans="2:8" hidden="1" x14ac:dyDescent="0.3">
      <c r="B511" s="30"/>
      <c r="C511" s="30"/>
      <c r="D511" s="30"/>
      <c r="E511" s="86" t="s">
        <v>237</v>
      </c>
      <c r="F511" s="17">
        <v>0</v>
      </c>
      <c r="G511" s="30">
        <v>0</v>
      </c>
      <c r="H511" s="30">
        <v>0</v>
      </c>
    </row>
    <row r="512" spans="2:8" hidden="1" x14ac:dyDescent="0.3">
      <c r="B512" s="30"/>
      <c r="C512" s="30"/>
      <c r="D512" s="30"/>
      <c r="E512" s="86" t="s">
        <v>237</v>
      </c>
      <c r="F512" s="17">
        <v>0</v>
      </c>
      <c r="G512" s="30">
        <v>0</v>
      </c>
      <c r="H512" s="30">
        <v>0</v>
      </c>
    </row>
    <row r="513" spans="2:8" hidden="1" x14ac:dyDescent="0.3">
      <c r="B513" s="30"/>
      <c r="C513" s="30"/>
      <c r="D513" s="30"/>
      <c r="E513" s="86" t="s">
        <v>237</v>
      </c>
      <c r="F513" s="17">
        <v>0</v>
      </c>
      <c r="G513" s="30">
        <v>0</v>
      </c>
      <c r="H513" s="30">
        <v>0</v>
      </c>
    </row>
    <row r="514" spans="2:8" hidden="1" x14ac:dyDescent="0.3">
      <c r="B514" s="30"/>
      <c r="C514" s="30"/>
      <c r="D514" s="30"/>
      <c r="E514" s="86" t="s">
        <v>237</v>
      </c>
      <c r="F514" s="17">
        <v>0</v>
      </c>
      <c r="G514" s="30">
        <v>0</v>
      </c>
      <c r="H514" s="30">
        <v>0</v>
      </c>
    </row>
    <row r="515" spans="2:8" hidden="1" x14ac:dyDescent="0.3">
      <c r="B515" s="30"/>
      <c r="C515" s="30"/>
      <c r="D515" s="30"/>
      <c r="E515" s="86" t="s">
        <v>237</v>
      </c>
      <c r="F515" s="17">
        <v>0</v>
      </c>
      <c r="G515" s="30">
        <v>0</v>
      </c>
      <c r="H515" s="30">
        <v>0</v>
      </c>
    </row>
    <row r="516" spans="2:8" hidden="1" x14ac:dyDescent="0.3">
      <c r="B516" s="30"/>
      <c r="C516" s="30"/>
      <c r="D516" s="30"/>
      <c r="E516" s="86" t="s">
        <v>237</v>
      </c>
      <c r="F516" s="17">
        <v>0</v>
      </c>
      <c r="G516" s="30">
        <v>0</v>
      </c>
      <c r="H516" s="30">
        <v>0</v>
      </c>
    </row>
    <row r="517" spans="2:8" hidden="1" x14ac:dyDescent="0.3">
      <c r="B517" s="30"/>
      <c r="C517" s="30"/>
      <c r="D517" s="30"/>
      <c r="E517" s="86" t="s">
        <v>237</v>
      </c>
      <c r="F517" s="17">
        <v>0</v>
      </c>
      <c r="G517" s="30">
        <v>0</v>
      </c>
      <c r="H517" s="30">
        <v>0</v>
      </c>
    </row>
    <row r="518" spans="2:8" hidden="1" x14ac:dyDescent="0.3">
      <c r="B518" s="30"/>
      <c r="C518" s="30"/>
      <c r="D518" s="30"/>
      <c r="E518" s="86" t="s">
        <v>237</v>
      </c>
      <c r="F518" s="17">
        <v>0</v>
      </c>
      <c r="G518" s="30">
        <v>0</v>
      </c>
      <c r="H518" s="30">
        <v>0</v>
      </c>
    </row>
    <row r="519" spans="2:8" hidden="1" x14ac:dyDescent="0.3">
      <c r="B519" s="30"/>
      <c r="C519" s="30"/>
      <c r="D519" s="30"/>
      <c r="E519" s="86" t="s">
        <v>237</v>
      </c>
      <c r="F519" s="17">
        <v>0</v>
      </c>
      <c r="G519" s="30">
        <v>0</v>
      </c>
      <c r="H519" s="30">
        <v>0</v>
      </c>
    </row>
    <row r="520" spans="2:8" hidden="1" x14ac:dyDescent="0.3">
      <c r="B520" s="30"/>
      <c r="C520" s="30"/>
      <c r="D520" s="30"/>
      <c r="E520" s="86" t="s">
        <v>237</v>
      </c>
      <c r="F520" s="17">
        <v>0</v>
      </c>
      <c r="G520" s="30">
        <v>0</v>
      </c>
      <c r="H520" s="30">
        <v>0</v>
      </c>
    </row>
    <row r="521" spans="2:8" hidden="1" x14ac:dyDescent="0.3">
      <c r="B521" s="30"/>
      <c r="C521" s="30"/>
      <c r="D521" s="30"/>
      <c r="E521" s="86" t="s">
        <v>237</v>
      </c>
      <c r="F521" s="17">
        <v>0</v>
      </c>
      <c r="G521" s="30">
        <v>0</v>
      </c>
      <c r="H521" s="30">
        <v>0</v>
      </c>
    </row>
    <row r="522" spans="2:8" hidden="1" x14ac:dyDescent="0.3">
      <c r="B522" s="30"/>
      <c r="C522" s="30"/>
      <c r="D522" s="30"/>
      <c r="E522" s="86" t="s">
        <v>237</v>
      </c>
      <c r="F522" s="17">
        <v>0</v>
      </c>
      <c r="G522" s="30">
        <v>0</v>
      </c>
      <c r="H522" s="30">
        <v>0</v>
      </c>
    </row>
    <row r="523" spans="2:8" hidden="1" x14ac:dyDescent="0.3">
      <c r="B523" s="30"/>
      <c r="C523" s="30"/>
      <c r="D523" s="30"/>
      <c r="E523" s="86" t="s">
        <v>237</v>
      </c>
      <c r="F523" s="17">
        <v>0</v>
      </c>
      <c r="G523" s="30">
        <v>0</v>
      </c>
      <c r="H523" s="30">
        <v>0</v>
      </c>
    </row>
    <row r="524" spans="2:8" hidden="1" x14ac:dyDescent="0.3">
      <c r="B524" s="30"/>
      <c r="C524" s="30"/>
      <c r="D524" s="30"/>
      <c r="E524" s="86" t="s">
        <v>237</v>
      </c>
      <c r="F524" s="17">
        <v>0</v>
      </c>
      <c r="G524" s="30">
        <v>0</v>
      </c>
      <c r="H524" s="30">
        <v>0</v>
      </c>
    </row>
    <row r="525" spans="2:8" hidden="1" x14ac:dyDescent="0.3">
      <c r="B525" s="30"/>
      <c r="C525" s="30"/>
      <c r="D525" s="30"/>
      <c r="E525" s="86" t="s">
        <v>237</v>
      </c>
      <c r="F525" s="17">
        <v>0</v>
      </c>
      <c r="G525" s="30">
        <v>0</v>
      </c>
      <c r="H525" s="30">
        <v>0</v>
      </c>
    </row>
    <row r="526" spans="2:8" hidden="1" x14ac:dyDescent="0.3">
      <c r="B526" s="30"/>
      <c r="C526" s="30"/>
      <c r="D526" s="30"/>
      <c r="E526" s="86" t="s">
        <v>237</v>
      </c>
      <c r="F526" s="17">
        <v>0</v>
      </c>
      <c r="G526" s="30">
        <v>0</v>
      </c>
      <c r="H526" s="30">
        <v>0</v>
      </c>
    </row>
    <row r="527" spans="2:8" hidden="1" x14ac:dyDescent="0.3">
      <c r="B527" s="30"/>
      <c r="C527" s="30"/>
      <c r="D527" s="30"/>
      <c r="E527" s="86" t="s">
        <v>237</v>
      </c>
      <c r="F527" s="17">
        <v>0</v>
      </c>
      <c r="G527" s="30">
        <v>0</v>
      </c>
      <c r="H527" s="30">
        <v>0</v>
      </c>
    </row>
    <row r="528" spans="2:8" hidden="1" x14ac:dyDescent="0.3">
      <c r="B528" s="30"/>
      <c r="C528" s="30"/>
      <c r="D528" s="30"/>
      <c r="E528" s="86" t="s">
        <v>237</v>
      </c>
      <c r="F528" s="17">
        <v>0</v>
      </c>
      <c r="G528" s="30">
        <v>0</v>
      </c>
      <c r="H528" s="30">
        <v>0</v>
      </c>
    </row>
    <row r="529" spans="2:8" hidden="1" x14ac:dyDescent="0.3">
      <c r="B529" s="30"/>
      <c r="C529" s="30"/>
      <c r="D529" s="30"/>
      <c r="E529" s="86" t="s">
        <v>237</v>
      </c>
      <c r="F529" s="17">
        <v>0</v>
      </c>
      <c r="G529" s="30">
        <v>0</v>
      </c>
      <c r="H529" s="30">
        <v>0</v>
      </c>
    </row>
    <row r="530" spans="2:8" hidden="1" x14ac:dyDescent="0.3">
      <c r="B530" s="30"/>
      <c r="C530" s="30"/>
      <c r="D530" s="30"/>
      <c r="E530" s="86" t="s">
        <v>237</v>
      </c>
      <c r="F530" s="17">
        <v>0</v>
      </c>
      <c r="G530" s="30">
        <v>0</v>
      </c>
      <c r="H530" s="30">
        <v>0</v>
      </c>
    </row>
    <row r="531" spans="2:8" hidden="1" x14ac:dyDescent="0.3">
      <c r="B531" s="30"/>
      <c r="C531" s="30"/>
      <c r="D531" s="30"/>
      <c r="E531" s="86" t="s">
        <v>237</v>
      </c>
      <c r="F531" s="17">
        <v>0</v>
      </c>
      <c r="G531" s="30">
        <v>0</v>
      </c>
      <c r="H531" s="30">
        <v>0</v>
      </c>
    </row>
    <row r="532" spans="2:8" hidden="1" x14ac:dyDescent="0.3">
      <c r="B532" s="30"/>
      <c r="C532" s="30"/>
      <c r="D532" s="30"/>
      <c r="E532" s="86" t="s">
        <v>237</v>
      </c>
      <c r="F532" s="17">
        <v>0</v>
      </c>
      <c r="G532" s="30">
        <v>0</v>
      </c>
      <c r="H532" s="30">
        <v>0</v>
      </c>
    </row>
    <row r="533" spans="2:8" hidden="1" x14ac:dyDescent="0.3">
      <c r="B533" s="30"/>
      <c r="C533" s="30"/>
      <c r="D533" s="30"/>
      <c r="E533" s="86" t="s">
        <v>237</v>
      </c>
      <c r="F533" s="17">
        <v>0</v>
      </c>
      <c r="G533" s="30">
        <v>0</v>
      </c>
      <c r="H533" s="30">
        <v>0</v>
      </c>
    </row>
    <row r="534" spans="2:8" hidden="1" x14ac:dyDescent="0.3">
      <c r="B534" s="30"/>
      <c r="C534" s="30"/>
      <c r="D534" s="30"/>
      <c r="E534" s="86" t="s">
        <v>237</v>
      </c>
      <c r="F534" s="17">
        <v>0</v>
      </c>
      <c r="G534" s="30">
        <v>0</v>
      </c>
      <c r="H534" s="30">
        <v>0</v>
      </c>
    </row>
    <row r="535" spans="2:8" hidden="1" x14ac:dyDescent="0.3">
      <c r="B535" s="30"/>
      <c r="C535" s="30"/>
      <c r="D535" s="30"/>
      <c r="E535" s="86" t="s">
        <v>237</v>
      </c>
      <c r="F535" s="17">
        <v>0</v>
      </c>
      <c r="G535" s="30">
        <v>0</v>
      </c>
      <c r="H535" s="30">
        <v>0</v>
      </c>
    </row>
    <row r="536" spans="2:8" hidden="1" x14ac:dyDescent="0.3">
      <c r="B536" s="30"/>
      <c r="C536" s="30"/>
      <c r="D536" s="30"/>
      <c r="E536" s="86" t="s">
        <v>237</v>
      </c>
      <c r="F536" s="17">
        <v>0</v>
      </c>
      <c r="G536" s="30">
        <v>0</v>
      </c>
      <c r="H536" s="30">
        <v>0</v>
      </c>
    </row>
    <row r="537" spans="2:8" hidden="1" x14ac:dyDescent="0.3">
      <c r="B537" s="30"/>
      <c r="C537" s="30"/>
      <c r="D537" s="30"/>
      <c r="E537" s="86" t="s">
        <v>237</v>
      </c>
      <c r="F537" s="17">
        <v>0</v>
      </c>
      <c r="G537" s="30">
        <v>0</v>
      </c>
      <c r="H537" s="30">
        <v>0</v>
      </c>
    </row>
    <row r="538" spans="2:8" hidden="1" x14ac:dyDescent="0.3">
      <c r="B538" s="30"/>
      <c r="C538" s="30"/>
      <c r="D538" s="30"/>
      <c r="E538" s="86" t="s">
        <v>237</v>
      </c>
      <c r="F538" s="17">
        <v>0</v>
      </c>
      <c r="G538" s="30">
        <v>0</v>
      </c>
      <c r="H538" s="30">
        <v>0</v>
      </c>
    </row>
    <row r="539" spans="2:8" hidden="1" x14ac:dyDescent="0.3">
      <c r="B539" s="30"/>
      <c r="C539" s="30"/>
      <c r="D539" s="30"/>
      <c r="E539" s="86" t="s">
        <v>237</v>
      </c>
      <c r="F539" s="17">
        <v>0</v>
      </c>
      <c r="G539" s="30">
        <v>0</v>
      </c>
      <c r="H539" s="30">
        <v>0</v>
      </c>
    </row>
    <row r="540" spans="2:8" hidden="1" x14ac:dyDescent="0.3">
      <c r="B540" s="30"/>
      <c r="C540" s="30"/>
      <c r="D540" s="30"/>
      <c r="E540" s="86" t="s">
        <v>237</v>
      </c>
      <c r="F540" s="17">
        <v>0</v>
      </c>
      <c r="G540" s="30">
        <v>0</v>
      </c>
      <c r="H540" s="30">
        <v>0</v>
      </c>
    </row>
    <row r="541" spans="2:8" hidden="1" x14ac:dyDescent="0.3">
      <c r="B541" s="30"/>
      <c r="C541" s="30"/>
      <c r="D541" s="30"/>
      <c r="E541" s="86" t="s">
        <v>237</v>
      </c>
      <c r="F541" s="17">
        <v>0</v>
      </c>
      <c r="G541" s="30">
        <v>0</v>
      </c>
      <c r="H541" s="30">
        <v>0</v>
      </c>
    </row>
    <row r="542" spans="2:8" hidden="1" x14ac:dyDescent="0.3">
      <c r="B542" s="30"/>
      <c r="C542" s="30"/>
      <c r="D542" s="30"/>
      <c r="E542" s="86" t="s">
        <v>237</v>
      </c>
      <c r="F542" s="17">
        <v>0</v>
      </c>
      <c r="G542" s="30">
        <v>0</v>
      </c>
      <c r="H542" s="30">
        <v>0</v>
      </c>
    </row>
    <row r="543" spans="2:8" hidden="1" x14ac:dyDescent="0.3">
      <c r="B543" s="30"/>
      <c r="C543" s="30"/>
      <c r="D543" s="30"/>
      <c r="E543" s="86" t="s">
        <v>237</v>
      </c>
      <c r="F543" s="17">
        <v>0</v>
      </c>
      <c r="G543" s="30">
        <v>0</v>
      </c>
      <c r="H543" s="30">
        <v>0</v>
      </c>
    </row>
    <row r="544" spans="2:8" hidden="1" x14ac:dyDescent="0.3">
      <c r="B544" s="30"/>
      <c r="C544" s="30"/>
      <c r="D544" s="30"/>
      <c r="E544" s="86" t="s">
        <v>237</v>
      </c>
      <c r="F544" s="17">
        <v>0</v>
      </c>
      <c r="G544" s="30">
        <v>0</v>
      </c>
      <c r="H544" s="30">
        <v>0</v>
      </c>
    </row>
    <row r="545" spans="2:8" hidden="1" x14ac:dyDescent="0.3">
      <c r="B545" s="30"/>
      <c r="C545" s="30"/>
      <c r="D545" s="30"/>
      <c r="E545" s="86" t="s">
        <v>237</v>
      </c>
      <c r="F545" s="17">
        <v>0</v>
      </c>
      <c r="G545" s="30">
        <v>0</v>
      </c>
      <c r="H545" s="30">
        <v>0</v>
      </c>
    </row>
    <row r="546" spans="2:8" hidden="1" x14ac:dyDescent="0.3">
      <c r="B546" s="30"/>
      <c r="C546" s="30"/>
      <c r="D546" s="30"/>
      <c r="E546" s="86" t="s">
        <v>237</v>
      </c>
      <c r="F546" s="17">
        <v>0</v>
      </c>
      <c r="G546" s="30">
        <v>0</v>
      </c>
      <c r="H546" s="30">
        <v>0</v>
      </c>
    </row>
    <row r="547" spans="2:8" hidden="1" x14ac:dyDescent="0.3">
      <c r="B547" s="30"/>
      <c r="C547" s="30"/>
      <c r="D547" s="30"/>
      <c r="E547" s="86" t="s">
        <v>237</v>
      </c>
      <c r="F547" s="17">
        <v>0</v>
      </c>
      <c r="G547" s="30">
        <v>0</v>
      </c>
      <c r="H547" s="30">
        <v>0</v>
      </c>
    </row>
    <row r="548" spans="2:8" hidden="1" x14ac:dyDescent="0.3">
      <c r="B548" s="30"/>
      <c r="C548" s="30"/>
      <c r="D548" s="30"/>
      <c r="E548" s="86" t="s">
        <v>237</v>
      </c>
      <c r="F548" s="17">
        <v>0</v>
      </c>
      <c r="G548" s="30">
        <v>0</v>
      </c>
      <c r="H548" s="30">
        <v>0</v>
      </c>
    </row>
    <row r="549" spans="2:8" hidden="1" x14ac:dyDescent="0.3">
      <c r="B549" s="30"/>
      <c r="C549" s="30"/>
      <c r="D549" s="30"/>
      <c r="E549" s="86" t="s">
        <v>237</v>
      </c>
      <c r="F549" s="17">
        <v>0</v>
      </c>
      <c r="G549" s="30">
        <v>0</v>
      </c>
      <c r="H549" s="30">
        <v>0</v>
      </c>
    </row>
    <row r="550" spans="2:8" hidden="1" x14ac:dyDescent="0.3">
      <c r="B550" s="30"/>
      <c r="C550" s="30"/>
      <c r="D550" s="30"/>
      <c r="E550" s="86" t="s">
        <v>237</v>
      </c>
      <c r="F550" s="17">
        <v>0</v>
      </c>
      <c r="G550" s="30">
        <v>0</v>
      </c>
      <c r="H550" s="30">
        <v>0</v>
      </c>
    </row>
    <row r="551" spans="2:8" hidden="1" x14ac:dyDescent="0.3">
      <c r="B551" s="30"/>
      <c r="C551" s="30"/>
      <c r="D551" s="30"/>
      <c r="E551" s="86" t="s">
        <v>237</v>
      </c>
      <c r="F551" s="17">
        <v>0</v>
      </c>
      <c r="G551" s="30">
        <v>0</v>
      </c>
      <c r="H551" s="30">
        <v>0</v>
      </c>
    </row>
    <row r="552" spans="2:8" hidden="1" x14ac:dyDescent="0.3">
      <c r="B552" s="30"/>
      <c r="C552" s="30"/>
      <c r="D552" s="30"/>
      <c r="E552" s="86" t="s">
        <v>237</v>
      </c>
      <c r="F552" s="17">
        <v>0</v>
      </c>
      <c r="G552" s="30">
        <v>0</v>
      </c>
      <c r="H552" s="30">
        <v>0</v>
      </c>
    </row>
    <row r="553" spans="2:8" hidden="1" x14ac:dyDescent="0.3">
      <c r="B553" s="30"/>
      <c r="C553" s="30"/>
      <c r="D553" s="30"/>
      <c r="E553" s="86" t="s">
        <v>237</v>
      </c>
      <c r="F553" s="17">
        <v>0</v>
      </c>
      <c r="G553" s="30">
        <v>0</v>
      </c>
      <c r="H553" s="30">
        <v>0</v>
      </c>
    </row>
    <row r="554" spans="2:8" hidden="1" x14ac:dyDescent="0.3">
      <c r="B554" s="30"/>
      <c r="C554" s="30"/>
      <c r="D554" s="30"/>
      <c r="E554" s="86" t="s">
        <v>237</v>
      </c>
      <c r="F554" s="17">
        <v>0</v>
      </c>
      <c r="G554" s="30">
        <v>0</v>
      </c>
      <c r="H554" s="30">
        <v>0</v>
      </c>
    </row>
    <row r="555" spans="2:8" hidden="1" x14ac:dyDescent="0.3">
      <c r="B555" s="30"/>
      <c r="C555" s="30"/>
      <c r="D555" s="30"/>
      <c r="E555" s="86" t="s">
        <v>237</v>
      </c>
      <c r="F555" s="17">
        <v>0</v>
      </c>
      <c r="G555" s="30">
        <v>0</v>
      </c>
      <c r="H555" s="30">
        <v>0</v>
      </c>
    </row>
    <row r="556" spans="2:8" hidden="1" x14ac:dyDescent="0.3">
      <c r="B556" s="30"/>
      <c r="C556" s="30"/>
      <c r="D556" s="30"/>
      <c r="E556" s="86" t="s">
        <v>237</v>
      </c>
      <c r="F556" s="17">
        <v>0</v>
      </c>
      <c r="G556" s="30">
        <v>0</v>
      </c>
      <c r="H556" s="30">
        <v>0</v>
      </c>
    </row>
    <row r="557" spans="2:8" hidden="1" x14ac:dyDescent="0.3">
      <c r="B557" s="30"/>
      <c r="C557" s="30"/>
      <c r="D557" s="30"/>
      <c r="E557" s="86" t="s">
        <v>237</v>
      </c>
      <c r="F557" s="17">
        <v>0</v>
      </c>
      <c r="G557" s="30">
        <v>0</v>
      </c>
      <c r="H557" s="30">
        <v>0</v>
      </c>
    </row>
    <row r="558" spans="2:8" hidden="1" x14ac:dyDescent="0.3">
      <c r="B558" s="30"/>
      <c r="C558" s="30"/>
      <c r="D558" s="30"/>
      <c r="E558" s="86" t="s">
        <v>237</v>
      </c>
      <c r="F558" s="17">
        <v>0</v>
      </c>
      <c r="G558" s="30">
        <v>0</v>
      </c>
      <c r="H558" s="30">
        <v>0</v>
      </c>
    </row>
    <row r="559" spans="2:8" hidden="1" x14ac:dyDescent="0.3">
      <c r="B559" s="30"/>
      <c r="C559" s="30"/>
      <c r="D559" s="30"/>
      <c r="E559" s="86" t="s">
        <v>237</v>
      </c>
      <c r="F559" s="17">
        <v>0</v>
      </c>
      <c r="G559" s="30">
        <v>0</v>
      </c>
      <c r="H559" s="30">
        <v>0</v>
      </c>
    </row>
    <row r="560" spans="2:8" hidden="1" x14ac:dyDescent="0.3">
      <c r="B560" s="30"/>
      <c r="C560" s="30"/>
      <c r="D560" s="30"/>
      <c r="E560" s="86" t="s">
        <v>237</v>
      </c>
      <c r="F560" s="17">
        <v>0</v>
      </c>
      <c r="G560" s="30">
        <v>0</v>
      </c>
      <c r="H560" s="30">
        <v>0</v>
      </c>
    </row>
    <row r="561" spans="2:8" hidden="1" x14ac:dyDescent="0.3">
      <c r="B561" s="30"/>
      <c r="C561" s="30"/>
      <c r="D561" s="30"/>
      <c r="E561" s="86" t="s">
        <v>237</v>
      </c>
      <c r="F561" s="17">
        <v>0</v>
      </c>
      <c r="G561" s="30">
        <v>0</v>
      </c>
      <c r="H561" s="30">
        <v>0</v>
      </c>
    </row>
    <row r="562" spans="2:8" hidden="1" x14ac:dyDescent="0.3">
      <c r="B562" s="30"/>
      <c r="C562" s="30"/>
      <c r="D562" s="30"/>
      <c r="E562" s="86" t="s">
        <v>237</v>
      </c>
      <c r="F562" s="17">
        <v>0</v>
      </c>
      <c r="G562" s="30">
        <v>0</v>
      </c>
      <c r="H562" s="30">
        <v>0</v>
      </c>
    </row>
    <row r="563" spans="2:8" hidden="1" x14ac:dyDescent="0.3">
      <c r="B563" s="30"/>
      <c r="C563" s="30"/>
      <c r="D563" s="30"/>
      <c r="E563" s="86" t="s">
        <v>237</v>
      </c>
      <c r="F563" s="17">
        <v>0</v>
      </c>
      <c r="G563" s="30">
        <v>0</v>
      </c>
      <c r="H563" s="30">
        <v>0</v>
      </c>
    </row>
    <row r="564" spans="2:8" hidden="1" x14ac:dyDescent="0.3">
      <c r="B564" s="30"/>
      <c r="C564" s="30"/>
      <c r="D564" s="30"/>
      <c r="E564" s="86" t="s">
        <v>237</v>
      </c>
      <c r="F564" s="17">
        <v>0</v>
      </c>
      <c r="G564" s="30">
        <v>0</v>
      </c>
      <c r="H564" s="30">
        <v>0</v>
      </c>
    </row>
    <row r="565" spans="2:8" hidden="1" x14ac:dyDescent="0.3">
      <c r="B565" s="30"/>
      <c r="C565" s="30"/>
      <c r="D565" s="30"/>
      <c r="E565" s="86" t="s">
        <v>237</v>
      </c>
      <c r="F565" s="17">
        <v>0</v>
      </c>
      <c r="G565" s="30">
        <v>0</v>
      </c>
      <c r="H565" s="30">
        <v>0</v>
      </c>
    </row>
    <row r="566" spans="2:8" hidden="1" x14ac:dyDescent="0.3">
      <c r="B566" s="30"/>
      <c r="C566" s="30"/>
      <c r="D566" s="30"/>
      <c r="E566" s="86" t="s">
        <v>237</v>
      </c>
      <c r="F566" s="17">
        <v>0</v>
      </c>
      <c r="G566" s="30">
        <v>0</v>
      </c>
      <c r="H566" s="30">
        <v>0</v>
      </c>
    </row>
    <row r="567" spans="2:8" hidden="1" x14ac:dyDescent="0.3">
      <c r="B567" s="30"/>
      <c r="C567" s="30"/>
      <c r="D567" s="30"/>
      <c r="E567" s="86" t="s">
        <v>237</v>
      </c>
      <c r="F567" s="17">
        <v>0</v>
      </c>
      <c r="G567" s="30">
        <v>0</v>
      </c>
      <c r="H567" s="30">
        <v>0</v>
      </c>
    </row>
    <row r="568" spans="2:8" hidden="1" x14ac:dyDescent="0.3">
      <c r="B568" s="30"/>
      <c r="C568" s="30"/>
      <c r="D568" s="30"/>
      <c r="E568" s="86" t="s">
        <v>237</v>
      </c>
      <c r="F568" s="17">
        <v>0</v>
      </c>
      <c r="G568" s="30">
        <v>0</v>
      </c>
      <c r="H568" s="30">
        <v>0</v>
      </c>
    </row>
    <row r="569" spans="2:8" hidden="1" x14ac:dyDescent="0.3">
      <c r="B569" s="30"/>
      <c r="C569" s="30"/>
      <c r="D569" s="30"/>
      <c r="E569" s="86" t="s">
        <v>237</v>
      </c>
      <c r="F569" s="17">
        <v>0</v>
      </c>
      <c r="G569" s="30">
        <v>0</v>
      </c>
      <c r="H569" s="30">
        <v>0</v>
      </c>
    </row>
    <row r="570" spans="2:8" hidden="1" x14ac:dyDescent="0.3">
      <c r="B570" s="30"/>
      <c r="C570" s="30"/>
      <c r="D570" s="30"/>
      <c r="E570" s="86" t="s">
        <v>237</v>
      </c>
      <c r="F570" s="17">
        <v>0</v>
      </c>
      <c r="G570" s="30">
        <v>0</v>
      </c>
      <c r="H570" s="30">
        <v>0</v>
      </c>
    </row>
    <row r="571" spans="2:8" hidden="1" x14ac:dyDescent="0.3">
      <c r="B571" s="30"/>
      <c r="C571" s="30"/>
      <c r="D571" s="30"/>
      <c r="E571" s="86" t="s">
        <v>237</v>
      </c>
      <c r="F571" s="17">
        <v>0</v>
      </c>
      <c r="G571" s="30">
        <v>0</v>
      </c>
      <c r="H571" s="30">
        <v>0</v>
      </c>
    </row>
    <row r="572" spans="2:8" hidden="1" x14ac:dyDescent="0.3">
      <c r="B572" s="30"/>
      <c r="C572" s="30"/>
      <c r="D572" s="30"/>
      <c r="E572" s="86" t="s">
        <v>237</v>
      </c>
      <c r="F572" s="17">
        <v>0</v>
      </c>
      <c r="G572" s="30">
        <v>0</v>
      </c>
      <c r="H572" s="30">
        <v>0</v>
      </c>
    </row>
    <row r="573" spans="2:8" hidden="1" x14ac:dyDescent="0.3">
      <c r="B573" s="30"/>
      <c r="C573" s="30"/>
      <c r="D573" s="30"/>
      <c r="E573" s="86" t="s">
        <v>237</v>
      </c>
      <c r="F573" s="17">
        <v>0</v>
      </c>
      <c r="G573" s="30">
        <v>0</v>
      </c>
      <c r="H573" s="30">
        <v>0</v>
      </c>
    </row>
    <row r="574" spans="2:8" hidden="1" x14ac:dyDescent="0.3">
      <c r="B574" s="30"/>
      <c r="C574" s="30"/>
      <c r="D574" s="30"/>
      <c r="E574" s="86" t="s">
        <v>237</v>
      </c>
      <c r="F574" s="17">
        <v>0</v>
      </c>
      <c r="G574" s="30">
        <v>0</v>
      </c>
      <c r="H574" s="30">
        <v>0</v>
      </c>
    </row>
    <row r="575" spans="2:8" hidden="1" x14ac:dyDescent="0.3">
      <c r="B575" s="30"/>
      <c r="C575" s="30"/>
      <c r="D575" s="30"/>
      <c r="E575" s="86" t="s">
        <v>237</v>
      </c>
      <c r="F575" s="17">
        <v>0</v>
      </c>
      <c r="G575" s="30">
        <v>0</v>
      </c>
      <c r="H575" s="30">
        <v>0</v>
      </c>
    </row>
    <row r="576" spans="2:8" hidden="1" x14ac:dyDescent="0.3">
      <c r="B576" s="30"/>
      <c r="C576" s="30"/>
      <c r="D576" s="30"/>
      <c r="E576" s="86" t="s">
        <v>237</v>
      </c>
      <c r="F576" s="17">
        <v>0</v>
      </c>
      <c r="G576" s="30">
        <v>0</v>
      </c>
      <c r="H576" s="30">
        <v>0</v>
      </c>
    </row>
    <row r="577" spans="2:8" hidden="1" x14ac:dyDescent="0.3">
      <c r="B577" s="30"/>
      <c r="C577" s="30"/>
      <c r="D577" s="30"/>
      <c r="E577" s="86" t="s">
        <v>237</v>
      </c>
      <c r="F577" s="17">
        <v>0</v>
      </c>
      <c r="G577" s="30">
        <v>0</v>
      </c>
      <c r="H577" s="30">
        <v>0</v>
      </c>
    </row>
    <row r="578" spans="2:8" hidden="1" x14ac:dyDescent="0.3">
      <c r="B578" s="30"/>
      <c r="C578" s="30"/>
      <c r="D578" s="30"/>
      <c r="E578" s="86" t="s">
        <v>237</v>
      </c>
      <c r="F578" s="17">
        <v>0</v>
      </c>
      <c r="G578" s="30">
        <v>0</v>
      </c>
      <c r="H578" s="30">
        <v>0</v>
      </c>
    </row>
    <row r="579" spans="2:8" hidden="1" x14ac:dyDescent="0.3">
      <c r="B579" s="30"/>
      <c r="C579" s="30"/>
      <c r="D579" s="30"/>
      <c r="E579" s="86" t="s">
        <v>237</v>
      </c>
      <c r="F579" s="17">
        <v>0</v>
      </c>
      <c r="G579" s="30">
        <v>0</v>
      </c>
      <c r="H579" s="30">
        <v>0</v>
      </c>
    </row>
    <row r="580" spans="2:8" hidden="1" x14ac:dyDescent="0.3">
      <c r="B580" s="30"/>
      <c r="C580" s="30"/>
      <c r="D580" s="30"/>
      <c r="E580" s="86" t="s">
        <v>237</v>
      </c>
      <c r="F580" s="17">
        <v>0</v>
      </c>
      <c r="G580" s="30">
        <v>0</v>
      </c>
      <c r="H580" s="30">
        <v>0</v>
      </c>
    </row>
    <row r="581" spans="2:8" hidden="1" x14ac:dyDescent="0.3">
      <c r="B581" s="30"/>
      <c r="C581" s="30"/>
      <c r="D581" s="30"/>
      <c r="E581" s="86" t="s">
        <v>237</v>
      </c>
      <c r="F581" s="17">
        <v>0</v>
      </c>
      <c r="G581" s="30">
        <v>0</v>
      </c>
      <c r="H581" s="30">
        <v>0</v>
      </c>
    </row>
    <row r="582" spans="2:8" hidden="1" x14ac:dyDescent="0.3">
      <c r="B582" s="30"/>
      <c r="C582" s="30"/>
      <c r="D582" s="30"/>
      <c r="E582" s="86" t="s">
        <v>237</v>
      </c>
      <c r="F582" s="17">
        <v>0</v>
      </c>
      <c r="G582" s="30">
        <v>0</v>
      </c>
      <c r="H582" s="30">
        <v>0</v>
      </c>
    </row>
    <row r="583" spans="2:8" hidden="1" x14ac:dyDescent="0.3">
      <c r="B583" s="30"/>
      <c r="C583" s="30"/>
      <c r="D583" s="30"/>
      <c r="E583" s="86" t="s">
        <v>237</v>
      </c>
      <c r="F583" s="17">
        <v>0</v>
      </c>
      <c r="G583" s="30">
        <v>0</v>
      </c>
      <c r="H583" s="30">
        <v>0</v>
      </c>
    </row>
    <row r="584" spans="2:8" hidden="1" x14ac:dyDescent="0.3">
      <c r="B584" s="30"/>
      <c r="C584" s="30"/>
      <c r="D584" s="30"/>
      <c r="E584" s="86" t="s">
        <v>237</v>
      </c>
      <c r="F584" s="17">
        <v>0</v>
      </c>
      <c r="G584" s="30">
        <v>0</v>
      </c>
      <c r="H584" s="30">
        <v>0</v>
      </c>
    </row>
    <row r="585" spans="2:8" hidden="1" x14ac:dyDescent="0.3">
      <c r="B585" s="30"/>
      <c r="C585" s="30"/>
      <c r="D585" s="30"/>
      <c r="E585" s="86" t="s">
        <v>237</v>
      </c>
      <c r="F585" s="17">
        <v>0</v>
      </c>
      <c r="G585" s="30">
        <v>0</v>
      </c>
      <c r="H585" s="30">
        <v>0</v>
      </c>
    </row>
    <row r="586" spans="2:8" hidden="1" x14ac:dyDescent="0.3">
      <c r="B586" s="30"/>
      <c r="C586" s="30"/>
      <c r="D586" s="30"/>
      <c r="E586" s="86" t="s">
        <v>237</v>
      </c>
      <c r="F586" s="17">
        <v>0</v>
      </c>
      <c r="G586" s="30">
        <v>0</v>
      </c>
      <c r="H586" s="30">
        <v>0</v>
      </c>
    </row>
    <row r="587" spans="2:8" hidden="1" x14ac:dyDescent="0.3">
      <c r="B587" s="30"/>
      <c r="C587" s="30"/>
      <c r="D587" s="30"/>
      <c r="E587" s="86" t="s">
        <v>237</v>
      </c>
      <c r="F587" s="17">
        <v>0</v>
      </c>
      <c r="G587" s="30">
        <v>0</v>
      </c>
      <c r="H587" s="30">
        <v>0</v>
      </c>
    </row>
    <row r="588" spans="2:8" hidden="1" x14ac:dyDescent="0.3">
      <c r="B588" s="30"/>
      <c r="C588" s="30"/>
      <c r="D588" s="30"/>
      <c r="E588" s="86" t="s">
        <v>237</v>
      </c>
      <c r="F588" s="17">
        <v>0</v>
      </c>
      <c r="G588" s="30">
        <v>0</v>
      </c>
      <c r="H588" s="30">
        <v>0</v>
      </c>
    </row>
    <row r="589" spans="2:8" hidden="1" x14ac:dyDescent="0.3">
      <c r="B589" s="30"/>
      <c r="C589" s="30"/>
      <c r="D589" s="30"/>
      <c r="E589" s="86" t="s">
        <v>237</v>
      </c>
      <c r="F589" s="17">
        <v>0</v>
      </c>
      <c r="G589" s="30">
        <v>0</v>
      </c>
      <c r="H589" s="30">
        <v>0</v>
      </c>
    </row>
    <row r="590" spans="2:8" hidden="1" x14ac:dyDescent="0.3">
      <c r="B590" s="30"/>
      <c r="C590" s="30"/>
      <c r="D590" s="30"/>
      <c r="E590" s="86" t="s">
        <v>237</v>
      </c>
      <c r="F590" s="17">
        <v>0</v>
      </c>
      <c r="G590" s="30">
        <v>0</v>
      </c>
      <c r="H590" s="30">
        <v>0</v>
      </c>
    </row>
    <row r="591" spans="2:8" hidden="1" x14ac:dyDescent="0.3">
      <c r="B591" s="30"/>
      <c r="C591" s="30"/>
      <c r="D591" s="30"/>
      <c r="E591" s="86" t="s">
        <v>237</v>
      </c>
      <c r="F591" s="17">
        <v>0</v>
      </c>
      <c r="G591" s="30">
        <v>0</v>
      </c>
      <c r="H591" s="30">
        <v>0</v>
      </c>
    </row>
    <row r="592" spans="2:8" hidden="1" x14ac:dyDescent="0.3">
      <c r="B592" s="30"/>
      <c r="C592" s="30"/>
      <c r="D592" s="30"/>
      <c r="E592" s="86" t="s">
        <v>237</v>
      </c>
      <c r="F592" s="17">
        <v>0</v>
      </c>
      <c r="G592" s="30">
        <v>0</v>
      </c>
      <c r="H592" s="30">
        <v>0</v>
      </c>
    </row>
    <row r="593" spans="2:8" hidden="1" x14ac:dyDescent="0.3">
      <c r="B593" s="30"/>
      <c r="C593" s="30"/>
      <c r="D593" s="30"/>
      <c r="E593" s="86" t="s">
        <v>237</v>
      </c>
      <c r="F593" s="17">
        <v>0</v>
      </c>
      <c r="G593" s="30">
        <v>0</v>
      </c>
      <c r="H593" s="30">
        <v>0</v>
      </c>
    </row>
    <row r="594" spans="2:8" hidden="1" x14ac:dyDescent="0.3">
      <c r="B594" s="30"/>
      <c r="C594" s="30"/>
      <c r="D594" s="30"/>
      <c r="E594" s="86" t="s">
        <v>237</v>
      </c>
      <c r="F594" s="17">
        <v>0</v>
      </c>
      <c r="G594" s="30">
        <v>0</v>
      </c>
      <c r="H594" s="30">
        <v>0</v>
      </c>
    </row>
    <row r="595" spans="2:8" hidden="1" x14ac:dyDescent="0.3">
      <c r="B595" s="30"/>
      <c r="C595" s="30"/>
      <c r="D595" s="30"/>
      <c r="E595" s="86" t="s">
        <v>237</v>
      </c>
      <c r="F595" s="17">
        <v>0</v>
      </c>
      <c r="G595" s="30">
        <v>0</v>
      </c>
      <c r="H595" s="30">
        <v>0</v>
      </c>
    </row>
    <row r="596" spans="2:8" hidden="1" x14ac:dyDescent="0.3">
      <c r="B596" s="30"/>
      <c r="C596" s="30"/>
      <c r="D596" s="30"/>
      <c r="E596" s="86" t="s">
        <v>237</v>
      </c>
      <c r="F596" s="17">
        <v>0</v>
      </c>
      <c r="G596" s="30">
        <v>0</v>
      </c>
      <c r="H596" s="30">
        <v>0</v>
      </c>
    </row>
    <row r="597" spans="2:8" hidden="1" x14ac:dyDescent="0.3">
      <c r="B597" s="30"/>
      <c r="C597" s="30"/>
      <c r="D597" s="30"/>
      <c r="E597" s="86" t="s">
        <v>237</v>
      </c>
      <c r="F597" s="17">
        <v>0</v>
      </c>
      <c r="G597" s="30">
        <v>0</v>
      </c>
      <c r="H597" s="30">
        <v>0</v>
      </c>
    </row>
    <row r="598" spans="2:8" hidden="1" x14ac:dyDescent="0.3">
      <c r="B598" s="30"/>
      <c r="C598" s="30"/>
      <c r="D598" s="30"/>
      <c r="E598" s="86" t="s">
        <v>237</v>
      </c>
      <c r="F598" s="17">
        <v>0</v>
      </c>
      <c r="G598" s="30">
        <v>0</v>
      </c>
      <c r="H598" s="30">
        <v>0</v>
      </c>
    </row>
    <row r="599" spans="2:8" hidden="1" x14ac:dyDescent="0.3">
      <c r="B599" s="30"/>
      <c r="C599" s="30"/>
      <c r="D599" s="30"/>
      <c r="E599" s="86" t="s">
        <v>237</v>
      </c>
      <c r="F599" s="17">
        <v>0</v>
      </c>
      <c r="G599" s="30">
        <v>0</v>
      </c>
      <c r="H599" s="30">
        <v>0</v>
      </c>
    </row>
    <row r="600" spans="2:8" hidden="1" x14ac:dyDescent="0.3">
      <c r="B600" s="30"/>
      <c r="C600" s="30"/>
      <c r="D600" s="30"/>
      <c r="E600" s="86" t="s">
        <v>237</v>
      </c>
      <c r="F600" s="17">
        <v>0</v>
      </c>
      <c r="G600" s="30">
        <v>0</v>
      </c>
      <c r="H600" s="30">
        <v>0</v>
      </c>
    </row>
    <row r="601" spans="2:8" hidden="1" x14ac:dyDescent="0.3">
      <c r="B601" s="30"/>
      <c r="C601" s="30"/>
      <c r="D601" s="30"/>
      <c r="E601" s="86" t="s">
        <v>237</v>
      </c>
      <c r="F601" s="17">
        <v>0</v>
      </c>
      <c r="G601" s="30">
        <v>0</v>
      </c>
      <c r="H601" s="30">
        <v>0</v>
      </c>
    </row>
    <row r="602" spans="2:8" hidden="1" x14ac:dyDescent="0.3">
      <c r="B602" s="30"/>
      <c r="C602" s="30"/>
      <c r="D602" s="30"/>
      <c r="E602" s="86" t="s">
        <v>237</v>
      </c>
      <c r="F602" s="17">
        <v>0</v>
      </c>
      <c r="G602" s="30">
        <v>0</v>
      </c>
      <c r="H602" s="30">
        <v>0</v>
      </c>
    </row>
    <row r="603" spans="2:8" hidden="1" x14ac:dyDescent="0.3">
      <c r="B603" s="30"/>
      <c r="C603" s="30"/>
      <c r="D603" s="30"/>
      <c r="E603" s="86" t="s">
        <v>237</v>
      </c>
      <c r="F603" s="17">
        <v>0</v>
      </c>
      <c r="G603" s="30">
        <v>0</v>
      </c>
      <c r="H603" s="30">
        <v>0</v>
      </c>
    </row>
    <row r="604" spans="2:8" hidden="1" x14ac:dyDescent="0.3">
      <c r="B604" s="30"/>
      <c r="C604" s="30"/>
      <c r="D604" s="30"/>
      <c r="E604" s="86" t="s">
        <v>237</v>
      </c>
      <c r="F604" s="17">
        <v>0</v>
      </c>
      <c r="G604" s="30">
        <v>0</v>
      </c>
      <c r="H604" s="30">
        <v>0</v>
      </c>
    </row>
    <row r="605" spans="2:8" hidden="1" x14ac:dyDescent="0.3">
      <c r="B605" s="30"/>
      <c r="C605" s="30"/>
      <c r="D605" s="30"/>
      <c r="E605" s="86" t="s">
        <v>237</v>
      </c>
      <c r="F605" s="17">
        <v>0</v>
      </c>
      <c r="G605" s="30">
        <v>0</v>
      </c>
      <c r="H605" s="30">
        <v>0</v>
      </c>
    </row>
    <row r="606" spans="2:8" hidden="1" x14ac:dyDescent="0.3">
      <c r="B606" s="30"/>
      <c r="C606" s="30"/>
      <c r="D606" s="30"/>
      <c r="E606" s="86" t="s">
        <v>237</v>
      </c>
      <c r="F606" s="17">
        <v>0</v>
      </c>
      <c r="G606" s="30">
        <v>0</v>
      </c>
      <c r="H606" s="30">
        <v>0</v>
      </c>
    </row>
    <row r="607" spans="2:8" hidden="1" x14ac:dyDescent="0.3">
      <c r="B607" s="30"/>
      <c r="C607" s="30"/>
      <c r="D607" s="30"/>
      <c r="E607" s="86" t="s">
        <v>237</v>
      </c>
      <c r="F607" s="17">
        <v>0</v>
      </c>
      <c r="G607" s="30">
        <v>0</v>
      </c>
      <c r="H607" s="30">
        <v>0</v>
      </c>
    </row>
    <row r="608" spans="2:8" hidden="1" x14ac:dyDescent="0.3">
      <c r="B608" s="30"/>
      <c r="C608" s="30"/>
      <c r="D608" s="30"/>
      <c r="E608" s="86" t="s">
        <v>237</v>
      </c>
      <c r="F608" s="17">
        <v>0</v>
      </c>
      <c r="G608" s="30">
        <v>0</v>
      </c>
      <c r="H608" s="30">
        <v>0</v>
      </c>
    </row>
    <row r="609" spans="2:8" hidden="1" x14ac:dyDescent="0.3">
      <c r="B609" s="30"/>
      <c r="C609" s="30"/>
      <c r="D609" s="30"/>
      <c r="E609" s="86" t="s">
        <v>237</v>
      </c>
      <c r="F609" s="17">
        <v>0</v>
      </c>
      <c r="G609" s="30">
        <v>0</v>
      </c>
      <c r="H609" s="30">
        <v>0</v>
      </c>
    </row>
    <row r="610" spans="2:8" hidden="1" x14ac:dyDescent="0.3">
      <c r="B610" s="30"/>
      <c r="C610" s="30"/>
      <c r="D610" s="30"/>
      <c r="E610" s="86" t="s">
        <v>237</v>
      </c>
      <c r="F610" s="17">
        <v>0</v>
      </c>
      <c r="G610" s="30">
        <v>0</v>
      </c>
      <c r="H610" s="30">
        <v>0</v>
      </c>
    </row>
    <row r="611" spans="2:8" hidden="1" x14ac:dyDescent="0.3">
      <c r="B611" s="30"/>
      <c r="C611" s="30"/>
      <c r="D611" s="30"/>
      <c r="E611" s="86" t="s">
        <v>237</v>
      </c>
      <c r="F611" s="17">
        <v>0</v>
      </c>
      <c r="G611" s="30">
        <v>0</v>
      </c>
      <c r="H611" s="30">
        <v>0</v>
      </c>
    </row>
    <row r="612" spans="2:8" hidden="1" x14ac:dyDescent="0.3">
      <c r="B612" s="30"/>
      <c r="C612" s="30"/>
      <c r="D612" s="30"/>
      <c r="E612" s="86" t="s">
        <v>237</v>
      </c>
      <c r="F612" s="17">
        <v>0</v>
      </c>
      <c r="G612" s="30">
        <v>0</v>
      </c>
      <c r="H612" s="30">
        <v>0</v>
      </c>
    </row>
    <row r="613" spans="2:8" hidden="1" x14ac:dyDescent="0.3">
      <c r="B613" s="30"/>
      <c r="C613" s="30"/>
      <c r="D613" s="30"/>
      <c r="E613" s="86" t="s">
        <v>237</v>
      </c>
      <c r="F613" s="17">
        <v>0</v>
      </c>
      <c r="G613" s="30">
        <v>0</v>
      </c>
      <c r="H613" s="30">
        <v>0</v>
      </c>
    </row>
    <row r="614" spans="2:8" hidden="1" x14ac:dyDescent="0.3">
      <c r="B614" s="30"/>
      <c r="C614" s="30"/>
      <c r="D614" s="30"/>
      <c r="E614" s="86" t="s">
        <v>237</v>
      </c>
      <c r="F614" s="17">
        <v>0</v>
      </c>
      <c r="G614" s="30">
        <v>0</v>
      </c>
      <c r="H614" s="30">
        <v>0</v>
      </c>
    </row>
    <row r="615" spans="2:8" hidden="1" x14ac:dyDescent="0.3">
      <c r="B615" s="30"/>
      <c r="C615" s="30"/>
      <c r="D615" s="30"/>
      <c r="E615" s="86" t="s">
        <v>237</v>
      </c>
      <c r="F615" s="17">
        <v>0</v>
      </c>
      <c r="G615" s="30">
        <v>0</v>
      </c>
      <c r="H615" s="30">
        <v>0</v>
      </c>
    </row>
    <row r="616" spans="2:8" hidden="1" x14ac:dyDescent="0.3">
      <c r="B616" s="30"/>
      <c r="C616" s="30"/>
      <c r="D616" s="30"/>
      <c r="E616" s="86" t="s">
        <v>237</v>
      </c>
      <c r="F616" s="17">
        <v>0</v>
      </c>
      <c r="G616" s="30">
        <v>0</v>
      </c>
      <c r="H616" s="30">
        <v>0</v>
      </c>
    </row>
    <row r="617" spans="2:8" hidden="1" x14ac:dyDescent="0.3">
      <c r="B617" s="30"/>
      <c r="C617" s="30"/>
      <c r="D617" s="30"/>
      <c r="E617" s="86" t="s">
        <v>237</v>
      </c>
      <c r="F617" s="17">
        <v>0</v>
      </c>
      <c r="G617" s="30">
        <v>0</v>
      </c>
      <c r="H617" s="30">
        <v>0</v>
      </c>
    </row>
    <row r="618" spans="2:8" hidden="1" x14ac:dyDescent="0.3">
      <c r="B618" s="30"/>
      <c r="C618" s="30"/>
      <c r="D618" s="30"/>
      <c r="E618" s="86" t="s">
        <v>237</v>
      </c>
      <c r="F618" s="17">
        <v>0</v>
      </c>
      <c r="G618" s="30">
        <v>0</v>
      </c>
      <c r="H618" s="30">
        <v>0</v>
      </c>
    </row>
    <row r="619" spans="2:8" hidden="1" x14ac:dyDescent="0.3">
      <c r="B619" s="30"/>
      <c r="C619" s="30"/>
      <c r="D619" s="30"/>
      <c r="E619" s="86" t="s">
        <v>237</v>
      </c>
      <c r="F619" s="17">
        <v>0</v>
      </c>
      <c r="G619" s="30">
        <v>0</v>
      </c>
      <c r="H619" s="30">
        <v>0</v>
      </c>
    </row>
    <row r="620" spans="2:8" hidden="1" x14ac:dyDescent="0.3">
      <c r="B620" s="30"/>
      <c r="C620" s="30"/>
      <c r="D620" s="30"/>
      <c r="E620" s="86" t="s">
        <v>237</v>
      </c>
      <c r="F620" s="17">
        <v>0</v>
      </c>
      <c r="G620" s="30">
        <v>0</v>
      </c>
      <c r="H620" s="30">
        <v>0</v>
      </c>
    </row>
    <row r="621" spans="2:8" hidden="1" x14ac:dyDescent="0.3">
      <c r="B621" s="30"/>
      <c r="C621" s="30"/>
      <c r="D621" s="30"/>
      <c r="E621" s="86" t="s">
        <v>237</v>
      </c>
      <c r="F621" s="17">
        <v>0</v>
      </c>
      <c r="G621" s="30">
        <v>0</v>
      </c>
      <c r="H621" s="30">
        <v>0</v>
      </c>
    </row>
    <row r="622" spans="2:8" hidden="1" x14ac:dyDescent="0.3">
      <c r="B622" s="30"/>
      <c r="C622" s="30"/>
      <c r="D622" s="30"/>
      <c r="E622" s="86" t="s">
        <v>237</v>
      </c>
      <c r="F622" s="17">
        <v>0</v>
      </c>
      <c r="G622" s="30">
        <v>0</v>
      </c>
      <c r="H622" s="30">
        <v>0</v>
      </c>
    </row>
    <row r="623" spans="2:8" hidden="1" x14ac:dyDescent="0.3">
      <c r="B623" s="30"/>
      <c r="C623" s="30"/>
      <c r="D623" s="30"/>
      <c r="E623" s="86" t="s">
        <v>237</v>
      </c>
      <c r="F623" s="17">
        <v>0</v>
      </c>
      <c r="G623" s="30">
        <v>0</v>
      </c>
      <c r="H623" s="30">
        <v>0</v>
      </c>
    </row>
    <row r="624" spans="2:8" hidden="1" x14ac:dyDescent="0.3">
      <c r="B624" s="30"/>
      <c r="C624" s="30"/>
      <c r="D624" s="30"/>
      <c r="E624" s="86" t="s">
        <v>237</v>
      </c>
      <c r="F624" s="17">
        <v>0</v>
      </c>
      <c r="G624" s="30">
        <v>0</v>
      </c>
      <c r="H624" s="30">
        <v>0</v>
      </c>
    </row>
    <row r="625" spans="2:8" hidden="1" x14ac:dyDescent="0.3">
      <c r="B625" s="30"/>
      <c r="C625" s="30"/>
      <c r="D625" s="30"/>
      <c r="E625" s="86" t="s">
        <v>237</v>
      </c>
      <c r="F625" s="17">
        <v>0</v>
      </c>
      <c r="G625" s="30">
        <v>0</v>
      </c>
      <c r="H625" s="30">
        <v>0</v>
      </c>
    </row>
    <row r="626" spans="2:8" hidden="1" x14ac:dyDescent="0.3">
      <c r="B626" s="30"/>
      <c r="C626" s="30"/>
      <c r="D626" s="30"/>
      <c r="E626" s="86" t="s">
        <v>237</v>
      </c>
      <c r="F626" s="17">
        <v>0</v>
      </c>
      <c r="G626" s="30">
        <v>0</v>
      </c>
      <c r="H626" s="30">
        <v>0</v>
      </c>
    </row>
    <row r="627" spans="2:8" hidden="1" x14ac:dyDescent="0.3">
      <c r="B627" s="30"/>
      <c r="C627" s="30"/>
      <c r="D627" s="30"/>
      <c r="E627" s="86" t="s">
        <v>237</v>
      </c>
      <c r="F627" s="17">
        <v>0</v>
      </c>
      <c r="G627" s="30">
        <v>0</v>
      </c>
      <c r="H627" s="30">
        <v>0</v>
      </c>
    </row>
    <row r="628" spans="2:8" hidden="1" x14ac:dyDescent="0.3">
      <c r="B628" s="30"/>
      <c r="C628" s="30"/>
      <c r="D628" s="30"/>
      <c r="E628" s="86" t="s">
        <v>237</v>
      </c>
      <c r="F628" s="17">
        <v>0</v>
      </c>
      <c r="G628" s="30">
        <v>0</v>
      </c>
      <c r="H628" s="30">
        <v>0</v>
      </c>
    </row>
    <row r="629" spans="2:8" hidden="1" x14ac:dyDescent="0.3">
      <c r="B629" s="30"/>
      <c r="C629" s="30"/>
      <c r="D629" s="30"/>
      <c r="E629" s="86" t="s">
        <v>237</v>
      </c>
      <c r="F629" s="17">
        <v>0</v>
      </c>
      <c r="G629" s="30">
        <v>0</v>
      </c>
      <c r="H629" s="30">
        <v>0</v>
      </c>
    </row>
    <row r="630" spans="2:8" hidden="1" x14ac:dyDescent="0.3">
      <c r="B630" s="30"/>
      <c r="C630" s="30"/>
      <c r="D630" s="30"/>
      <c r="E630" s="86" t="s">
        <v>237</v>
      </c>
      <c r="F630" s="17">
        <v>0</v>
      </c>
      <c r="G630" s="30">
        <v>0</v>
      </c>
      <c r="H630" s="30">
        <v>0</v>
      </c>
    </row>
    <row r="631" spans="2:8" hidden="1" x14ac:dyDescent="0.3">
      <c r="B631" s="30"/>
      <c r="C631" s="30"/>
      <c r="D631" s="30"/>
      <c r="E631" s="86" t="s">
        <v>237</v>
      </c>
      <c r="F631" s="17">
        <v>0</v>
      </c>
      <c r="G631" s="30">
        <v>0</v>
      </c>
      <c r="H631" s="30">
        <v>0</v>
      </c>
    </row>
    <row r="632" spans="2:8" hidden="1" x14ac:dyDescent="0.3">
      <c r="B632" s="30"/>
      <c r="C632" s="30"/>
      <c r="D632" s="30"/>
      <c r="E632" s="86" t="s">
        <v>237</v>
      </c>
      <c r="F632" s="17">
        <v>0</v>
      </c>
      <c r="G632" s="30">
        <v>0</v>
      </c>
      <c r="H632" s="30">
        <v>0</v>
      </c>
    </row>
    <row r="633" spans="2:8" hidden="1" x14ac:dyDescent="0.3">
      <c r="B633" s="30"/>
      <c r="C633" s="30"/>
      <c r="D633" s="30"/>
      <c r="E633" s="86" t="s">
        <v>237</v>
      </c>
      <c r="F633" s="17">
        <v>0</v>
      </c>
      <c r="G633" s="30">
        <v>0</v>
      </c>
      <c r="H633" s="30">
        <v>0</v>
      </c>
    </row>
    <row r="634" spans="2:8" hidden="1" x14ac:dyDescent="0.3">
      <c r="B634" s="30"/>
      <c r="C634" s="30"/>
      <c r="D634" s="30"/>
      <c r="E634" s="86" t="s">
        <v>237</v>
      </c>
      <c r="F634" s="17">
        <v>0</v>
      </c>
      <c r="G634" s="30">
        <v>0</v>
      </c>
      <c r="H634" s="30">
        <v>0</v>
      </c>
    </row>
    <row r="635" spans="2:8" hidden="1" x14ac:dyDescent="0.3">
      <c r="B635" s="30"/>
      <c r="C635" s="30"/>
      <c r="D635" s="30"/>
      <c r="E635" s="86" t="s">
        <v>237</v>
      </c>
      <c r="F635" s="17">
        <v>0</v>
      </c>
      <c r="G635" s="30">
        <v>0</v>
      </c>
      <c r="H635" s="30">
        <v>0</v>
      </c>
    </row>
    <row r="636" spans="2:8" hidden="1" x14ac:dyDescent="0.3">
      <c r="B636" s="30"/>
      <c r="C636" s="30"/>
      <c r="D636" s="30"/>
      <c r="E636" s="86" t="s">
        <v>237</v>
      </c>
      <c r="F636" s="17">
        <v>0</v>
      </c>
      <c r="G636" s="30">
        <v>0</v>
      </c>
      <c r="H636" s="30">
        <v>0</v>
      </c>
    </row>
    <row r="637" spans="2:8" hidden="1" x14ac:dyDescent="0.3">
      <c r="B637" s="30"/>
      <c r="C637" s="30"/>
      <c r="D637" s="30"/>
      <c r="E637" s="86" t="s">
        <v>237</v>
      </c>
      <c r="F637" s="17">
        <v>0</v>
      </c>
      <c r="G637" s="30">
        <v>0</v>
      </c>
      <c r="H637" s="30">
        <v>0</v>
      </c>
    </row>
    <row r="638" spans="2:8" hidden="1" x14ac:dyDescent="0.3">
      <c r="B638" s="30"/>
      <c r="C638" s="30"/>
      <c r="D638" s="30"/>
      <c r="E638" s="86" t="s">
        <v>237</v>
      </c>
      <c r="F638" s="17">
        <v>0</v>
      </c>
      <c r="G638" s="30">
        <v>0</v>
      </c>
      <c r="H638" s="30">
        <v>0</v>
      </c>
    </row>
    <row r="639" spans="2:8" hidden="1" x14ac:dyDescent="0.3">
      <c r="B639" s="30"/>
      <c r="C639" s="30"/>
      <c r="D639" s="30"/>
      <c r="E639" s="86" t="s">
        <v>237</v>
      </c>
      <c r="F639" s="17">
        <v>0</v>
      </c>
      <c r="G639" s="30">
        <v>0</v>
      </c>
      <c r="H639" s="30">
        <v>0</v>
      </c>
    </row>
    <row r="640" spans="2:8" hidden="1" x14ac:dyDescent="0.3">
      <c r="B640" s="30"/>
      <c r="C640" s="30"/>
      <c r="D640" s="30"/>
      <c r="E640" s="86" t="s">
        <v>237</v>
      </c>
      <c r="F640" s="17">
        <v>0</v>
      </c>
      <c r="G640" s="30">
        <v>0</v>
      </c>
      <c r="H640" s="30">
        <v>0</v>
      </c>
    </row>
    <row r="641" spans="2:8" hidden="1" x14ac:dyDescent="0.3">
      <c r="B641" s="30"/>
      <c r="C641" s="30"/>
      <c r="D641" s="30"/>
      <c r="E641" s="86" t="s">
        <v>237</v>
      </c>
      <c r="F641" s="17">
        <v>0</v>
      </c>
      <c r="G641" s="30">
        <v>0</v>
      </c>
      <c r="H641" s="30">
        <v>0</v>
      </c>
    </row>
    <row r="642" spans="2:8" hidden="1" x14ac:dyDescent="0.3">
      <c r="B642" s="30"/>
      <c r="C642" s="30"/>
      <c r="D642" s="30"/>
      <c r="E642" s="86" t="s">
        <v>237</v>
      </c>
      <c r="F642" s="17">
        <v>0</v>
      </c>
      <c r="G642" s="30">
        <v>0</v>
      </c>
      <c r="H642" s="30">
        <v>0</v>
      </c>
    </row>
    <row r="643" spans="2:8" hidden="1" x14ac:dyDescent="0.3">
      <c r="B643" s="30"/>
      <c r="C643" s="30"/>
      <c r="D643" s="30"/>
      <c r="E643" s="86" t="s">
        <v>237</v>
      </c>
      <c r="F643" s="17">
        <v>0</v>
      </c>
      <c r="G643" s="30">
        <v>0</v>
      </c>
      <c r="H643" s="30">
        <v>0</v>
      </c>
    </row>
    <row r="644" spans="2:8" hidden="1" x14ac:dyDescent="0.3">
      <c r="B644" s="30"/>
      <c r="C644" s="30"/>
      <c r="D644" s="30"/>
      <c r="E644" s="86" t="s">
        <v>237</v>
      </c>
      <c r="F644" s="17">
        <v>0</v>
      </c>
      <c r="G644" s="30">
        <v>0</v>
      </c>
      <c r="H644" s="30">
        <v>0</v>
      </c>
    </row>
    <row r="645" spans="2:8" hidden="1" x14ac:dyDescent="0.3">
      <c r="B645" s="30"/>
      <c r="C645" s="30"/>
      <c r="D645" s="30"/>
      <c r="E645" s="86" t="s">
        <v>237</v>
      </c>
      <c r="F645" s="17">
        <v>0</v>
      </c>
      <c r="G645" s="30">
        <v>0</v>
      </c>
      <c r="H645" s="30">
        <v>0</v>
      </c>
    </row>
    <row r="646" spans="2:8" hidden="1" x14ac:dyDescent="0.3">
      <c r="B646" s="30"/>
      <c r="C646" s="30"/>
      <c r="D646" s="30"/>
      <c r="E646" s="86" t="s">
        <v>237</v>
      </c>
      <c r="F646" s="17">
        <v>0</v>
      </c>
      <c r="G646" s="30">
        <v>0</v>
      </c>
      <c r="H646" s="30">
        <v>0</v>
      </c>
    </row>
    <row r="647" spans="2:8" hidden="1" x14ac:dyDescent="0.3">
      <c r="B647" s="30"/>
      <c r="C647" s="30"/>
      <c r="D647" s="30"/>
      <c r="E647" s="86" t="s">
        <v>237</v>
      </c>
      <c r="F647" s="17">
        <v>0</v>
      </c>
      <c r="G647" s="30">
        <v>0</v>
      </c>
      <c r="H647" s="30">
        <v>0</v>
      </c>
    </row>
    <row r="648" spans="2:8" hidden="1" x14ac:dyDescent="0.3">
      <c r="B648" s="30"/>
      <c r="C648" s="30"/>
      <c r="D648" s="30"/>
      <c r="E648" s="86" t="s">
        <v>237</v>
      </c>
      <c r="F648" s="17">
        <v>0</v>
      </c>
      <c r="G648" s="30">
        <v>0</v>
      </c>
      <c r="H648" s="30">
        <v>0</v>
      </c>
    </row>
    <row r="649" spans="2:8" hidden="1" x14ac:dyDescent="0.3">
      <c r="B649" s="30"/>
      <c r="C649" s="30"/>
      <c r="D649" s="30"/>
      <c r="E649" s="86" t="s">
        <v>237</v>
      </c>
      <c r="F649" s="17">
        <v>0</v>
      </c>
      <c r="G649" s="30">
        <v>0</v>
      </c>
      <c r="H649" s="30">
        <v>0</v>
      </c>
    </row>
    <row r="650" spans="2:8" hidden="1" x14ac:dyDescent="0.3">
      <c r="B650" s="30"/>
      <c r="C650" s="30"/>
      <c r="D650" s="30"/>
      <c r="E650" s="86" t="s">
        <v>237</v>
      </c>
      <c r="F650" s="17">
        <v>0</v>
      </c>
      <c r="G650" s="30">
        <v>0</v>
      </c>
      <c r="H650" s="30">
        <v>0</v>
      </c>
    </row>
    <row r="651" spans="2:8" hidden="1" x14ac:dyDescent="0.3">
      <c r="B651" s="30"/>
      <c r="C651" s="30"/>
      <c r="D651" s="30"/>
      <c r="E651" s="86" t="s">
        <v>237</v>
      </c>
      <c r="F651" s="17">
        <v>0</v>
      </c>
      <c r="G651" s="30">
        <v>0</v>
      </c>
      <c r="H651" s="30">
        <v>0</v>
      </c>
    </row>
    <row r="652" spans="2:8" hidden="1" x14ac:dyDescent="0.3">
      <c r="B652" s="30"/>
      <c r="C652" s="30"/>
      <c r="D652" s="30"/>
      <c r="E652" s="86" t="s">
        <v>237</v>
      </c>
      <c r="F652" s="17">
        <v>0</v>
      </c>
      <c r="G652" s="30">
        <v>0</v>
      </c>
      <c r="H652" s="30">
        <v>0</v>
      </c>
    </row>
    <row r="653" spans="2:8" hidden="1" x14ac:dyDescent="0.3">
      <c r="B653" s="30"/>
      <c r="C653" s="30"/>
      <c r="D653" s="30"/>
      <c r="E653" s="86" t="s">
        <v>237</v>
      </c>
      <c r="F653" s="17">
        <v>0</v>
      </c>
      <c r="G653" s="30">
        <v>0</v>
      </c>
      <c r="H653" s="30">
        <v>0</v>
      </c>
    </row>
    <row r="654" spans="2:8" hidden="1" x14ac:dyDescent="0.3">
      <c r="B654" s="30"/>
      <c r="C654" s="30"/>
      <c r="D654" s="30"/>
      <c r="E654" s="86" t="s">
        <v>237</v>
      </c>
      <c r="F654" s="17">
        <v>0</v>
      </c>
      <c r="G654" s="30">
        <v>0</v>
      </c>
      <c r="H654" s="30">
        <v>0</v>
      </c>
    </row>
    <row r="655" spans="2:8" hidden="1" x14ac:dyDescent="0.3">
      <c r="B655" s="30"/>
      <c r="C655" s="30"/>
      <c r="D655" s="30"/>
      <c r="E655" s="86" t="s">
        <v>237</v>
      </c>
      <c r="F655" s="17">
        <v>0</v>
      </c>
      <c r="G655" s="30">
        <v>0</v>
      </c>
      <c r="H655" s="30">
        <v>0</v>
      </c>
    </row>
    <row r="656" spans="2:8" hidden="1" x14ac:dyDescent="0.3">
      <c r="B656" s="30"/>
      <c r="C656" s="30"/>
      <c r="D656" s="30"/>
      <c r="E656" s="86" t="s">
        <v>237</v>
      </c>
      <c r="F656" s="17">
        <v>0</v>
      </c>
      <c r="G656" s="30">
        <v>0</v>
      </c>
      <c r="H656" s="30">
        <v>0</v>
      </c>
    </row>
    <row r="657" spans="2:8" hidden="1" x14ac:dyDescent="0.3">
      <c r="B657" s="30"/>
      <c r="C657" s="30"/>
      <c r="D657" s="30"/>
      <c r="E657" s="86" t="s">
        <v>237</v>
      </c>
      <c r="F657" s="17">
        <v>0</v>
      </c>
      <c r="G657" s="30">
        <v>0</v>
      </c>
      <c r="H657" s="30">
        <v>0</v>
      </c>
    </row>
    <row r="658" spans="2:8" hidden="1" x14ac:dyDescent="0.3">
      <c r="B658" s="30"/>
      <c r="C658" s="30"/>
      <c r="D658" s="30"/>
      <c r="E658" s="86" t="s">
        <v>237</v>
      </c>
      <c r="F658" s="17">
        <v>0</v>
      </c>
      <c r="G658" s="30">
        <v>0</v>
      </c>
      <c r="H658" s="30">
        <v>0</v>
      </c>
    </row>
    <row r="659" spans="2:8" hidden="1" x14ac:dyDescent="0.3">
      <c r="B659" s="30"/>
      <c r="C659" s="30"/>
      <c r="D659" s="30"/>
      <c r="E659" s="86" t="s">
        <v>237</v>
      </c>
      <c r="F659" s="17">
        <v>0</v>
      </c>
      <c r="G659" s="30">
        <v>0</v>
      </c>
      <c r="H659" s="30">
        <v>0</v>
      </c>
    </row>
    <row r="660" spans="2:8" hidden="1" x14ac:dyDescent="0.3">
      <c r="B660" s="30"/>
      <c r="C660" s="30"/>
      <c r="D660" s="30"/>
      <c r="E660" s="86" t="s">
        <v>237</v>
      </c>
      <c r="F660" s="17">
        <v>0</v>
      </c>
      <c r="G660" s="30">
        <v>0</v>
      </c>
      <c r="H660" s="30">
        <v>0</v>
      </c>
    </row>
    <row r="661" spans="2:8" hidden="1" x14ac:dyDescent="0.3">
      <c r="B661" s="30"/>
      <c r="C661" s="30"/>
      <c r="D661" s="30"/>
      <c r="E661" s="86" t="s">
        <v>237</v>
      </c>
      <c r="F661" s="17">
        <v>0</v>
      </c>
      <c r="G661" s="30">
        <v>0</v>
      </c>
      <c r="H661" s="30">
        <v>0</v>
      </c>
    </row>
    <row r="662" spans="2:8" hidden="1" x14ac:dyDescent="0.3">
      <c r="B662" s="30"/>
      <c r="C662" s="30"/>
      <c r="D662" s="30"/>
      <c r="E662" s="86" t="s">
        <v>237</v>
      </c>
      <c r="F662" s="17">
        <v>0</v>
      </c>
      <c r="G662" s="30">
        <v>0</v>
      </c>
      <c r="H662" s="30">
        <v>0</v>
      </c>
    </row>
    <row r="663" spans="2:8" hidden="1" x14ac:dyDescent="0.3">
      <c r="B663" s="30"/>
      <c r="C663" s="30"/>
      <c r="D663" s="30"/>
      <c r="E663" s="86" t="s">
        <v>237</v>
      </c>
      <c r="F663" s="17">
        <v>0</v>
      </c>
      <c r="G663" s="30">
        <v>0</v>
      </c>
      <c r="H663" s="30">
        <v>0</v>
      </c>
    </row>
    <row r="664" spans="2:8" hidden="1" x14ac:dyDescent="0.3">
      <c r="B664" s="30"/>
      <c r="C664" s="30"/>
      <c r="D664" s="30"/>
      <c r="E664" s="86" t="s">
        <v>237</v>
      </c>
      <c r="F664" s="17">
        <v>0</v>
      </c>
      <c r="G664" s="30">
        <v>0</v>
      </c>
      <c r="H664" s="30">
        <v>0</v>
      </c>
    </row>
    <row r="665" spans="2:8" hidden="1" x14ac:dyDescent="0.3">
      <c r="B665" s="30"/>
      <c r="C665" s="30"/>
      <c r="D665" s="30"/>
      <c r="E665" s="86" t="s">
        <v>237</v>
      </c>
      <c r="F665" s="17">
        <v>0</v>
      </c>
      <c r="G665" s="30">
        <v>0</v>
      </c>
      <c r="H665" s="30">
        <v>0</v>
      </c>
    </row>
    <row r="666" spans="2:8" hidden="1" x14ac:dyDescent="0.3">
      <c r="B666" s="30"/>
      <c r="C666" s="30"/>
      <c r="D666" s="30"/>
      <c r="E666" s="86" t="s">
        <v>237</v>
      </c>
      <c r="F666" s="17">
        <v>0</v>
      </c>
      <c r="G666" s="30">
        <v>0</v>
      </c>
      <c r="H666" s="30">
        <v>0</v>
      </c>
    </row>
    <row r="667" spans="2:8" hidden="1" x14ac:dyDescent="0.3">
      <c r="B667" s="30"/>
      <c r="C667" s="30"/>
      <c r="D667" s="30"/>
      <c r="E667" s="86" t="s">
        <v>237</v>
      </c>
      <c r="F667" s="17">
        <v>0</v>
      </c>
      <c r="G667" s="30">
        <v>0</v>
      </c>
      <c r="H667" s="30">
        <v>0</v>
      </c>
    </row>
    <row r="668" spans="2:8" hidden="1" x14ac:dyDescent="0.3">
      <c r="B668" s="30"/>
      <c r="C668" s="30"/>
      <c r="D668" s="30"/>
      <c r="E668" s="86" t="s">
        <v>237</v>
      </c>
      <c r="F668" s="17">
        <v>0</v>
      </c>
      <c r="G668" s="30">
        <v>0</v>
      </c>
      <c r="H668" s="30">
        <v>0</v>
      </c>
    </row>
    <row r="669" spans="2:8" hidden="1" x14ac:dyDescent="0.3">
      <c r="B669" s="30"/>
      <c r="C669" s="30"/>
      <c r="D669" s="30"/>
      <c r="E669" s="86" t="s">
        <v>237</v>
      </c>
      <c r="F669" s="17">
        <v>0</v>
      </c>
      <c r="G669" s="30">
        <v>0</v>
      </c>
      <c r="H669" s="30">
        <v>0</v>
      </c>
    </row>
    <row r="670" spans="2:8" hidden="1" x14ac:dyDescent="0.3">
      <c r="B670" s="30"/>
      <c r="C670" s="30"/>
      <c r="D670" s="30"/>
      <c r="E670" s="86" t="s">
        <v>237</v>
      </c>
      <c r="F670" s="17">
        <v>0</v>
      </c>
      <c r="G670" s="30">
        <v>0</v>
      </c>
      <c r="H670" s="30">
        <v>0</v>
      </c>
    </row>
    <row r="671" spans="2:8" hidden="1" x14ac:dyDescent="0.3">
      <c r="B671" s="30"/>
      <c r="C671" s="30"/>
      <c r="D671" s="30"/>
      <c r="E671" s="86" t="s">
        <v>237</v>
      </c>
      <c r="F671" s="17">
        <v>0</v>
      </c>
      <c r="G671" s="30">
        <v>0</v>
      </c>
      <c r="H671" s="30">
        <v>0</v>
      </c>
    </row>
    <row r="672" spans="2:8" hidden="1" x14ac:dyDescent="0.3">
      <c r="B672" s="30"/>
      <c r="C672" s="30"/>
      <c r="D672" s="30"/>
      <c r="E672" s="86" t="s">
        <v>237</v>
      </c>
      <c r="F672" s="17">
        <v>0</v>
      </c>
      <c r="G672" s="30">
        <v>0</v>
      </c>
      <c r="H672" s="30">
        <v>0</v>
      </c>
    </row>
    <row r="673" spans="2:8" hidden="1" x14ac:dyDescent="0.3">
      <c r="B673" s="30"/>
      <c r="C673" s="30"/>
      <c r="D673" s="30"/>
      <c r="E673" s="86" t="s">
        <v>237</v>
      </c>
      <c r="F673" s="17">
        <v>0</v>
      </c>
      <c r="G673" s="30">
        <v>0</v>
      </c>
      <c r="H673" s="30">
        <v>0</v>
      </c>
    </row>
    <row r="674" spans="2:8" hidden="1" x14ac:dyDescent="0.3">
      <c r="B674" s="30"/>
      <c r="C674" s="30"/>
      <c r="D674" s="30"/>
      <c r="E674" s="86" t="s">
        <v>237</v>
      </c>
      <c r="F674" s="17">
        <v>0</v>
      </c>
      <c r="G674" s="30">
        <v>0</v>
      </c>
      <c r="H674" s="30">
        <v>0</v>
      </c>
    </row>
    <row r="675" spans="2:8" hidden="1" x14ac:dyDescent="0.3">
      <c r="B675" s="30"/>
      <c r="C675" s="30"/>
      <c r="D675" s="30"/>
      <c r="E675" s="86" t="s">
        <v>237</v>
      </c>
      <c r="F675" s="17">
        <v>0</v>
      </c>
      <c r="G675" s="30">
        <v>0</v>
      </c>
      <c r="H675" s="30">
        <v>0</v>
      </c>
    </row>
    <row r="676" spans="2:8" hidden="1" x14ac:dyDescent="0.3">
      <c r="B676" s="30"/>
      <c r="C676" s="30"/>
      <c r="D676" s="30"/>
      <c r="E676" s="86" t="s">
        <v>237</v>
      </c>
      <c r="F676" s="17">
        <v>0</v>
      </c>
      <c r="G676" s="30">
        <v>0</v>
      </c>
      <c r="H676" s="30">
        <v>0</v>
      </c>
    </row>
    <row r="677" spans="2:8" hidden="1" x14ac:dyDescent="0.3">
      <c r="B677" s="30"/>
      <c r="C677" s="30"/>
      <c r="D677" s="30"/>
      <c r="E677" s="86" t="s">
        <v>237</v>
      </c>
      <c r="F677" s="17">
        <v>0</v>
      </c>
      <c r="G677" s="30">
        <v>0</v>
      </c>
      <c r="H677" s="30">
        <v>0</v>
      </c>
    </row>
    <row r="678" spans="2:8" hidden="1" x14ac:dyDescent="0.3">
      <c r="B678" s="30"/>
      <c r="C678" s="30"/>
      <c r="D678" s="30"/>
      <c r="E678" s="86" t="s">
        <v>237</v>
      </c>
      <c r="F678" s="17">
        <v>0</v>
      </c>
      <c r="G678" s="30">
        <v>0</v>
      </c>
      <c r="H678" s="30">
        <v>0</v>
      </c>
    </row>
    <row r="679" spans="2:8" hidden="1" x14ac:dyDescent="0.3">
      <c r="B679" s="30"/>
      <c r="C679" s="30"/>
      <c r="D679" s="30"/>
      <c r="E679" s="86" t="s">
        <v>237</v>
      </c>
      <c r="F679" s="17">
        <v>0</v>
      </c>
      <c r="G679" s="30">
        <v>0</v>
      </c>
      <c r="H679" s="30">
        <v>0</v>
      </c>
    </row>
    <row r="680" spans="2:8" hidden="1" x14ac:dyDescent="0.3">
      <c r="B680" s="30"/>
      <c r="C680" s="30"/>
      <c r="D680" s="30"/>
      <c r="E680" s="86" t="s">
        <v>237</v>
      </c>
      <c r="F680" s="17">
        <v>0</v>
      </c>
      <c r="G680" s="30">
        <v>0</v>
      </c>
      <c r="H680" s="30">
        <v>0</v>
      </c>
    </row>
    <row r="681" spans="2:8" hidden="1" x14ac:dyDescent="0.3">
      <c r="B681" s="30"/>
      <c r="C681" s="30"/>
      <c r="D681" s="30"/>
      <c r="E681" s="86" t="s">
        <v>237</v>
      </c>
      <c r="F681" s="17">
        <v>0</v>
      </c>
      <c r="G681" s="30">
        <v>0</v>
      </c>
      <c r="H681" s="30">
        <v>0</v>
      </c>
    </row>
    <row r="682" spans="2:8" hidden="1" x14ac:dyDescent="0.3">
      <c r="B682" s="30"/>
      <c r="C682" s="30"/>
      <c r="D682" s="30"/>
      <c r="E682" s="86" t="s">
        <v>237</v>
      </c>
      <c r="F682" s="17">
        <v>0</v>
      </c>
      <c r="G682" s="30">
        <v>0</v>
      </c>
      <c r="H682" s="30">
        <v>0</v>
      </c>
    </row>
    <row r="683" spans="2:8" hidden="1" x14ac:dyDescent="0.3">
      <c r="B683" s="30"/>
      <c r="C683" s="30"/>
      <c r="D683" s="30"/>
      <c r="E683" s="86" t="s">
        <v>237</v>
      </c>
      <c r="F683" s="17">
        <v>0</v>
      </c>
      <c r="G683" s="30">
        <v>0</v>
      </c>
      <c r="H683" s="30">
        <v>0</v>
      </c>
    </row>
    <row r="684" spans="2:8" hidden="1" x14ac:dyDescent="0.3">
      <c r="B684" s="30"/>
      <c r="C684" s="30"/>
      <c r="D684" s="30"/>
      <c r="E684" s="86" t="s">
        <v>237</v>
      </c>
      <c r="F684" s="17">
        <v>0</v>
      </c>
      <c r="G684" s="30">
        <v>0</v>
      </c>
      <c r="H684" s="30">
        <v>0</v>
      </c>
    </row>
    <row r="685" spans="2:8" hidden="1" x14ac:dyDescent="0.3">
      <c r="B685" s="30"/>
      <c r="C685" s="30"/>
      <c r="D685" s="30"/>
      <c r="E685" s="86" t="s">
        <v>237</v>
      </c>
      <c r="F685" s="17">
        <v>0</v>
      </c>
      <c r="G685" s="30">
        <v>0</v>
      </c>
      <c r="H685" s="30">
        <v>0</v>
      </c>
    </row>
    <row r="686" spans="2:8" hidden="1" x14ac:dyDescent="0.3">
      <c r="B686" s="30"/>
      <c r="C686" s="30"/>
      <c r="D686" s="30"/>
      <c r="E686" s="86" t="s">
        <v>237</v>
      </c>
      <c r="F686" s="17">
        <v>0</v>
      </c>
      <c r="G686" s="30">
        <v>0</v>
      </c>
      <c r="H686" s="30">
        <v>0</v>
      </c>
    </row>
    <row r="687" spans="2:8" hidden="1" x14ac:dyDescent="0.3">
      <c r="B687" s="30"/>
      <c r="C687" s="30"/>
      <c r="D687" s="30"/>
      <c r="E687" s="86" t="s">
        <v>237</v>
      </c>
      <c r="F687" s="17">
        <v>0</v>
      </c>
      <c r="G687" s="30">
        <v>0</v>
      </c>
      <c r="H687" s="30">
        <v>0</v>
      </c>
    </row>
    <row r="688" spans="2:8" hidden="1" x14ac:dyDescent="0.3">
      <c r="B688" s="30"/>
      <c r="C688" s="30"/>
      <c r="D688" s="30"/>
      <c r="E688" s="86" t="s">
        <v>237</v>
      </c>
      <c r="F688" s="17">
        <v>0</v>
      </c>
      <c r="G688" s="30">
        <v>0</v>
      </c>
      <c r="H688" s="30">
        <v>0</v>
      </c>
    </row>
    <row r="689" spans="2:8" hidden="1" x14ac:dyDescent="0.3">
      <c r="B689" s="30"/>
      <c r="C689" s="30"/>
      <c r="D689" s="30"/>
      <c r="E689" s="86" t="s">
        <v>237</v>
      </c>
      <c r="F689" s="17">
        <v>0</v>
      </c>
      <c r="G689" s="30">
        <v>0</v>
      </c>
      <c r="H689" s="30">
        <v>0</v>
      </c>
    </row>
    <row r="690" spans="2:8" hidden="1" x14ac:dyDescent="0.3">
      <c r="B690" s="30"/>
      <c r="C690" s="30"/>
      <c r="D690" s="30"/>
      <c r="E690" s="86" t="s">
        <v>237</v>
      </c>
      <c r="F690" s="17">
        <v>0</v>
      </c>
      <c r="G690" s="30">
        <v>0</v>
      </c>
      <c r="H690" s="30">
        <v>0</v>
      </c>
    </row>
    <row r="691" spans="2:8" hidden="1" x14ac:dyDescent="0.3">
      <c r="B691" s="30"/>
      <c r="C691" s="30"/>
      <c r="D691" s="30"/>
      <c r="E691" s="86" t="s">
        <v>237</v>
      </c>
      <c r="F691" s="17">
        <v>0</v>
      </c>
      <c r="G691" s="30">
        <v>0</v>
      </c>
      <c r="H691" s="30">
        <v>0</v>
      </c>
    </row>
    <row r="692" spans="2:8" hidden="1" x14ac:dyDescent="0.3">
      <c r="B692" s="30"/>
      <c r="C692" s="30"/>
      <c r="D692" s="30"/>
      <c r="E692" s="86" t="s">
        <v>237</v>
      </c>
      <c r="F692" s="17">
        <v>0</v>
      </c>
      <c r="G692" s="30">
        <v>0</v>
      </c>
      <c r="H692" s="30">
        <v>0</v>
      </c>
    </row>
    <row r="693" spans="2:8" hidden="1" x14ac:dyDescent="0.3">
      <c r="B693" s="30"/>
      <c r="C693" s="30"/>
      <c r="D693" s="30"/>
      <c r="E693" s="86" t="s">
        <v>237</v>
      </c>
      <c r="F693" s="17">
        <v>0</v>
      </c>
      <c r="G693" s="30">
        <v>0</v>
      </c>
      <c r="H693" s="30">
        <v>0</v>
      </c>
    </row>
    <row r="694" spans="2:8" hidden="1" x14ac:dyDescent="0.3">
      <c r="B694" s="30"/>
      <c r="C694" s="30"/>
      <c r="D694" s="30"/>
      <c r="E694" s="86" t="s">
        <v>237</v>
      </c>
      <c r="F694" s="17">
        <v>0</v>
      </c>
      <c r="G694" s="30">
        <v>0</v>
      </c>
      <c r="H694" s="30">
        <v>0</v>
      </c>
    </row>
    <row r="695" spans="2:8" hidden="1" x14ac:dyDescent="0.3">
      <c r="B695" s="30"/>
      <c r="C695" s="30"/>
      <c r="D695" s="30"/>
      <c r="E695" s="86" t="s">
        <v>237</v>
      </c>
      <c r="F695" s="17">
        <v>0</v>
      </c>
      <c r="G695" s="30">
        <v>0</v>
      </c>
      <c r="H695" s="30">
        <v>0</v>
      </c>
    </row>
    <row r="696" spans="2:8" hidden="1" x14ac:dyDescent="0.3">
      <c r="B696" s="30"/>
      <c r="C696" s="30"/>
      <c r="D696" s="30"/>
      <c r="E696" s="86" t="s">
        <v>237</v>
      </c>
      <c r="F696" s="17">
        <v>0</v>
      </c>
      <c r="G696" s="30">
        <v>0</v>
      </c>
      <c r="H696" s="30">
        <v>0</v>
      </c>
    </row>
    <row r="697" spans="2:8" hidden="1" x14ac:dyDescent="0.3">
      <c r="B697" s="30"/>
      <c r="C697" s="30"/>
      <c r="D697" s="30"/>
      <c r="E697" s="86" t="s">
        <v>237</v>
      </c>
      <c r="F697" s="17">
        <v>0</v>
      </c>
      <c r="G697" s="30">
        <v>0</v>
      </c>
      <c r="H697" s="30">
        <v>0</v>
      </c>
    </row>
    <row r="698" spans="2:8" hidden="1" x14ac:dyDescent="0.3">
      <c r="B698" s="30"/>
      <c r="C698" s="30"/>
      <c r="D698" s="30"/>
      <c r="E698" s="86" t="s">
        <v>237</v>
      </c>
      <c r="F698" s="17">
        <v>0</v>
      </c>
      <c r="G698" s="30">
        <v>0</v>
      </c>
      <c r="H698" s="30">
        <v>0</v>
      </c>
    </row>
    <row r="699" spans="2:8" hidden="1" x14ac:dyDescent="0.3">
      <c r="B699" s="30"/>
      <c r="C699" s="30"/>
      <c r="D699" s="30"/>
      <c r="E699" s="86" t="s">
        <v>237</v>
      </c>
      <c r="F699" s="17">
        <v>0</v>
      </c>
      <c r="G699" s="30">
        <v>0</v>
      </c>
      <c r="H699" s="30">
        <v>0</v>
      </c>
    </row>
    <row r="700" spans="2:8" hidden="1" x14ac:dyDescent="0.3">
      <c r="B700" s="30"/>
      <c r="C700" s="30"/>
      <c r="D700" s="30"/>
      <c r="E700" s="86" t="s">
        <v>237</v>
      </c>
      <c r="F700" s="17">
        <v>0</v>
      </c>
      <c r="G700" s="30">
        <v>0</v>
      </c>
      <c r="H700" s="30">
        <v>0</v>
      </c>
    </row>
    <row r="701" spans="2:8" hidden="1" x14ac:dyDescent="0.3">
      <c r="B701" s="30"/>
      <c r="C701" s="30"/>
      <c r="D701" s="30"/>
      <c r="E701" s="86" t="s">
        <v>237</v>
      </c>
      <c r="F701" s="17">
        <v>0</v>
      </c>
      <c r="G701" s="30">
        <v>0</v>
      </c>
      <c r="H701" s="30">
        <v>0</v>
      </c>
    </row>
    <row r="702" spans="2:8" hidden="1" x14ac:dyDescent="0.3">
      <c r="B702" s="30"/>
      <c r="C702" s="30"/>
      <c r="D702" s="30"/>
      <c r="E702" s="86" t="s">
        <v>237</v>
      </c>
      <c r="F702" s="17">
        <v>0</v>
      </c>
      <c r="G702" s="30">
        <v>0</v>
      </c>
      <c r="H702" s="30">
        <v>0</v>
      </c>
    </row>
    <row r="703" spans="2:8" hidden="1" x14ac:dyDescent="0.3">
      <c r="B703" s="30"/>
      <c r="C703" s="30"/>
      <c r="D703" s="30"/>
      <c r="E703" s="86" t="s">
        <v>237</v>
      </c>
      <c r="F703" s="17">
        <v>0</v>
      </c>
      <c r="G703" s="30">
        <v>0</v>
      </c>
      <c r="H703" s="30">
        <v>0</v>
      </c>
    </row>
    <row r="704" spans="2:8" hidden="1" x14ac:dyDescent="0.3">
      <c r="B704" s="30"/>
      <c r="C704" s="30"/>
      <c r="D704" s="30"/>
      <c r="E704" s="86" t="s">
        <v>237</v>
      </c>
      <c r="F704" s="17">
        <v>0</v>
      </c>
      <c r="G704" s="30">
        <v>0</v>
      </c>
      <c r="H704" s="30">
        <v>0</v>
      </c>
    </row>
    <row r="705" spans="2:8" hidden="1" x14ac:dyDescent="0.3">
      <c r="B705" s="30"/>
      <c r="C705" s="30"/>
      <c r="D705" s="30"/>
      <c r="E705" s="86" t="s">
        <v>237</v>
      </c>
      <c r="F705" s="17">
        <v>0</v>
      </c>
      <c r="G705" s="30">
        <v>0</v>
      </c>
      <c r="H705" s="30">
        <v>0</v>
      </c>
    </row>
    <row r="706" spans="2:8" hidden="1" x14ac:dyDescent="0.3">
      <c r="B706" s="30"/>
      <c r="C706" s="30"/>
      <c r="D706" s="30"/>
      <c r="E706" s="86" t="s">
        <v>237</v>
      </c>
      <c r="F706" s="17">
        <v>0</v>
      </c>
      <c r="G706" s="30">
        <v>0</v>
      </c>
      <c r="H706" s="30">
        <v>0</v>
      </c>
    </row>
    <row r="707" spans="2:8" hidden="1" x14ac:dyDescent="0.3">
      <c r="B707" s="30"/>
      <c r="C707" s="30"/>
      <c r="D707" s="30"/>
      <c r="E707" s="86" t="s">
        <v>237</v>
      </c>
      <c r="F707" s="17">
        <v>0</v>
      </c>
      <c r="G707" s="30">
        <v>0</v>
      </c>
      <c r="H707" s="30">
        <v>0</v>
      </c>
    </row>
    <row r="708" spans="2:8" hidden="1" x14ac:dyDescent="0.3">
      <c r="B708" s="30"/>
      <c r="C708" s="30"/>
      <c r="D708" s="30"/>
      <c r="E708" s="86" t="s">
        <v>237</v>
      </c>
      <c r="F708" s="17">
        <v>0</v>
      </c>
      <c r="G708" s="30">
        <v>0</v>
      </c>
      <c r="H708" s="30">
        <v>0</v>
      </c>
    </row>
    <row r="709" spans="2:8" hidden="1" x14ac:dyDescent="0.3">
      <c r="B709" s="30"/>
      <c r="C709" s="30"/>
      <c r="D709" s="30"/>
      <c r="E709" s="86" t="s">
        <v>237</v>
      </c>
      <c r="F709" s="17">
        <v>0</v>
      </c>
      <c r="G709" s="30">
        <v>0</v>
      </c>
      <c r="H709" s="30">
        <v>0</v>
      </c>
    </row>
    <row r="710" spans="2:8" hidden="1" x14ac:dyDescent="0.3">
      <c r="B710" s="30"/>
      <c r="C710" s="30"/>
      <c r="D710" s="30"/>
      <c r="E710" s="86" t="s">
        <v>237</v>
      </c>
      <c r="F710" s="17">
        <v>0</v>
      </c>
      <c r="G710" s="30">
        <v>0</v>
      </c>
      <c r="H710" s="30">
        <v>0</v>
      </c>
    </row>
    <row r="711" spans="2:8" hidden="1" x14ac:dyDescent="0.3">
      <c r="B711" s="30"/>
      <c r="C711" s="30"/>
      <c r="D711" s="30"/>
      <c r="E711" s="86" t="s">
        <v>237</v>
      </c>
      <c r="F711" s="17">
        <v>0</v>
      </c>
      <c r="G711" s="30">
        <v>0</v>
      </c>
      <c r="H711" s="30">
        <v>0</v>
      </c>
    </row>
    <row r="712" spans="2:8" hidden="1" x14ac:dyDescent="0.3">
      <c r="B712" s="30"/>
      <c r="C712" s="30"/>
      <c r="D712" s="30"/>
      <c r="E712" s="86" t="s">
        <v>237</v>
      </c>
      <c r="F712" s="17">
        <v>0</v>
      </c>
      <c r="G712" s="30">
        <v>0</v>
      </c>
      <c r="H712" s="30">
        <v>0</v>
      </c>
    </row>
    <row r="713" spans="2:8" hidden="1" x14ac:dyDescent="0.3">
      <c r="B713" s="30"/>
      <c r="C713" s="30"/>
      <c r="D713" s="30"/>
      <c r="E713" s="86" t="s">
        <v>237</v>
      </c>
      <c r="F713" s="17">
        <v>0</v>
      </c>
      <c r="G713" s="30">
        <v>0</v>
      </c>
      <c r="H713" s="30">
        <v>0</v>
      </c>
    </row>
    <row r="714" spans="2:8" hidden="1" x14ac:dyDescent="0.3">
      <c r="B714" s="30"/>
      <c r="C714" s="30"/>
      <c r="D714" s="30"/>
      <c r="E714" s="86" t="s">
        <v>237</v>
      </c>
      <c r="F714" s="17">
        <v>0</v>
      </c>
      <c r="G714" s="30">
        <v>0</v>
      </c>
      <c r="H714" s="30">
        <v>0</v>
      </c>
    </row>
    <row r="715" spans="2:8" hidden="1" x14ac:dyDescent="0.3">
      <c r="B715" s="30"/>
      <c r="C715" s="30"/>
      <c r="D715" s="30"/>
      <c r="E715" s="86" t="s">
        <v>237</v>
      </c>
      <c r="F715" s="17">
        <v>0</v>
      </c>
      <c r="G715" s="30">
        <v>0</v>
      </c>
      <c r="H715" s="30">
        <v>0</v>
      </c>
    </row>
    <row r="716" spans="2:8" hidden="1" x14ac:dyDescent="0.3">
      <c r="B716" s="30"/>
      <c r="C716" s="30"/>
      <c r="D716" s="30"/>
      <c r="E716" s="86" t="s">
        <v>237</v>
      </c>
      <c r="F716" s="17">
        <v>0</v>
      </c>
      <c r="G716" s="30">
        <v>0</v>
      </c>
      <c r="H716" s="30">
        <v>0</v>
      </c>
    </row>
    <row r="717" spans="2:8" hidden="1" x14ac:dyDescent="0.3">
      <c r="B717" s="30"/>
      <c r="C717" s="30"/>
      <c r="D717" s="30"/>
      <c r="E717" s="86" t="s">
        <v>237</v>
      </c>
      <c r="F717" s="17">
        <v>0</v>
      </c>
      <c r="G717" s="30">
        <v>0</v>
      </c>
      <c r="H717" s="30">
        <v>0</v>
      </c>
    </row>
    <row r="718" spans="2:8" hidden="1" x14ac:dyDescent="0.3">
      <c r="B718" s="30"/>
      <c r="C718" s="30"/>
      <c r="D718" s="30"/>
      <c r="E718" s="86" t="s">
        <v>237</v>
      </c>
      <c r="F718" s="17">
        <v>0</v>
      </c>
      <c r="G718" s="30">
        <v>0</v>
      </c>
      <c r="H718" s="30">
        <v>0</v>
      </c>
    </row>
    <row r="719" spans="2:8" hidden="1" x14ac:dyDescent="0.3">
      <c r="B719" s="30"/>
      <c r="C719" s="30"/>
      <c r="D719" s="30"/>
      <c r="E719" s="86" t="s">
        <v>237</v>
      </c>
      <c r="F719" s="17">
        <v>0</v>
      </c>
      <c r="G719" s="30">
        <v>0</v>
      </c>
      <c r="H719" s="30">
        <v>0</v>
      </c>
    </row>
    <row r="720" spans="2:8" hidden="1" x14ac:dyDescent="0.3">
      <c r="B720" s="30"/>
      <c r="C720" s="30"/>
      <c r="D720" s="30"/>
      <c r="E720" s="86" t="s">
        <v>237</v>
      </c>
      <c r="F720" s="17">
        <v>0</v>
      </c>
      <c r="G720" s="30">
        <v>0</v>
      </c>
      <c r="H720" s="30">
        <v>0</v>
      </c>
    </row>
    <row r="721" spans="2:8" hidden="1" x14ac:dyDescent="0.3">
      <c r="B721" s="30"/>
      <c r="C721" s="30"/>
      <c r="D721" s="30"/>
      <c r="E721" s="86" t="s">
        <v>237</v>
      </c>
      <c r="F721" s="17">
        <v>0</v>
      </c>
      <c r="G721" s="30">
        <v>0</v>
      </c>
      <c r="H721" s="30">
        <v>0</v>
      </c>
    </row>
    <row r="722" spans="2:8" hidden="1" x14ac:dyDescent="0.3">
      <c r="B722" s="30"/>
      <c r="C722" s="30"/>
      <c r="D722" s="30"/>
      <c r="E722" s="86" t="s">
        <v>237</v>
      </c>
      <c r="F722" s="17">
        <v>0</v>
      </c>
      <c r="G722" s="30">
        <v>0</v>
      </c>
      <c r="H722" s="30">
        <v>0</v>
      </c>
    </row>
    <row r="723" spans="2:8" hidden="1" x14ac:dyDescent="0.3">
      <c r="B723" s="30"/>
      <c r="C723" s="30"/>
      <c r="D723" s="30"/>
      <c r="E723" s="86" t="s">
        <v>237</v>
      </c>
      <c r="F723" s="17">
        <v>0</v>
      </c>
      <c r="G723" s="30">
        <v>0</v>
      </c>
      <c r="H723" s="30">
        <v>0</v>
      </c>
    </row>
    <row r="724" spans="2:8" hidden="1" x14ac:dyDescent="0.3">
      <c r="B724" s="30"/>
      <c r="C724" s="30"/>
      <c r="D724" s="30"/>
      <c r="E724" s="86" t="s">
        <v>237</v>
      </c>
      <c r="F724" s="17">
        <v>0</v>
      </c>
      <c r="G724" s="30">
        <v>0</v>
      </c>
      <c r="H724" s="30">
        <v>0</v>
      </c>
    </row>
    <row r="725" spans="2:8" hidden="1" x14ac:dyDescent="0.3">
      <c r="B725" s="30"/>
      <c r="C725" s="30"/>
      <c r="D725" s="30"/>
      <c r="E725" s="86" t="s">
        <v>237</v>
      </c>
      <c r="F725" s="17">
        <v>0</v>
      </c>
      <c r="G725" s="30">
        <v>0</v>
      </c>
      <c r="H725" s="30">
        <v>0</v>
      </c>
    </row>
    <row r="726" spans="2:8" hidden="1" x14ac:dyDescent="0.3">
      <c r="B726" s="30"/>
      <c r="C726" s="30"/>
      <c r="D726" s="30"/>
      <c r="E726" s="86" t="s">
        <v>237</v>
      </c>
      <c r="F726" s="17">
        <v>0</v>
      </c>
      <c r="G726" s="30">
        <v>0</v>
      </c>
      <c r="H726" s="30">
        <v>0</v>
      </c>
    </row>
    <row r="727" spans="2:8" hidden="1" x14ac:dyDescent="0.3">
      <c r="B727" s="30"/>
      <c r="C727" s="30"/>
      <c r="D727" s="30"/>
      <c r="E727" s="86" t="s">
        <v>237</v>
      </c>
      <c r="F727" s="17">
        <v>0</v>
      </c>
      <c r="G727" s="30">
        <v>0</v>
      </c>
      <c r="H727" s="30">
        <v>0</v>
      </c>
    </row>
    <row r="728" spans="2:8" hidden="1" x14ac:dyDescent="0.3">
      <c r="B728" s="30"/>
      <c r="C728" s="30"/>
      <c r="D728" s="30"/>
      <c r="E728" s="86" t="s">
        <v>237</v>
      </c>
      <c r="F728" s="17">
        <v>0</v>
      </c>
      <c r="G728" s="30">
        <v>0</v>
      </c>
      <c r="H728" s="30">
        <v>0</v>
      </c>
    </row>
    <row r="729" spans="2:8" hidden="1" x14ac:dyDescent="0.3">
      <c r="B729" s="30"/>
      <c r="C729" s="30"/>
      <c r="D729" s="30"/>
      <c r="E729" s="86" t="s">
        <v>237</v>
      </c>
      <c r="F729" s="17">
        <v>0</v>
      </c>
      <c r="G729" s="30">
        <v>0</v>
      </c>
      <c r="H729" s="30">
        <v>0</v>
      </c>
    </row>
    <row r="730" spans="2:8" hidden="1" x14ac:dyDescent="0.3">
      <c r="B730" s="30"/>
      <c r="C730" s="30"/>
      <c r="D730" s="30"/>
      <c r="E730" s="86" t="s">
        <v>237</v>
      </c>
      <c r="F730" s="17">
        <v>0</v>
      </c>
      <c r="G730" s="30">
        <v>0</v>
      </c>
      <c r="H730" s="30">
        <v>0</v>
      </c>
    </row>
    <row r="731" spans="2:8" hidden="1" x14ac:dyDescent="0.3">
      <c r="B731" s="30"/>
      <c r="C731" s="30"/>
      <c r="D731" s="30"/>
      <c r="E731" s="86" t="s">
        <v>237</v>
      </c>
      <c r="F731" s="17">
        <v>0</v>
      </c>
      <c r="G731" s="30">
        <v>0</v>
      </c>
      <c r="H731" s="30">
        <v>0</v>
      </c>
    </row>
    <row r="732" spans="2:8" hidden="1" x14ac:dyDescent="0.3">
      <c r="B732" s="30"/>
      <c r="C732" s="30"/>
      <c r="D732" s="30"/>
      <c r="E732" s="86" t="s">
        <v>237</v>
      </c>
      <c r="F732" s="17">
        <v>0</v>
      </c>
      <c r="G732" s="30">
        <v>0</v>
      </c>
      <c r="H732" s="30">
        <v>0</v>
      </c>
    </row>
    <row r="733" spans="2:8" hidden="1" x14ac:dyDescent="0.3">
      <c r="B733" s="30"/>
      <c r="C733" s="30"/>
      <c r="D733" s="30"/>
      <c r="E733" s="86" t="s">
        <v>237</v>
      </c>
      <c r="F733" s="17">
        <v>0</v>
      </c>
      <c r="G733" s="30">
        <v>0</v>
      </c>
      <c r="H733" s="30">
        <v>0</v>
      </c>
    </row>
    <row r="734" spans="2:8" hidden="1" x14ac:dyDescent="0.3">
      <c r="B734" s="30"/>
      <c r="C734" s="30"/>
      <c r="D734" s="30"/>
      <c r="E734" s="86" t="s">
        <v>237</v>
      </c>
      <c r="F734" s="17">
        <v>0</v>
      </c>
      <c r="G734" s="30">
        <v>0</v>
      </c>
      <c r="H734" s="30">
        <v>0</v>
      </c>
    </row>
    <row r="735" spans="2:8" hidden="1" x14ac:dyDescent="0.3">
      <c r="B735" s="30"/>
      <c r="C735" s="30"/>
      <c r="D735" s="30"/>
      <c r="E735" s="86" t="s">
        <v>237</v>
      </c>
      <c r="F735" s="17">
        <v>0</v>
      </c>
      <c r="G735" s="30">
        <v>0</v>
      </c>
      <c r="H735" s="30">
        <v>0</v>
      </c>
    </row>
    <row r="736" spans="2:8" hidden="1" x14ac:dyDescent="0.3">
      <c r="B736" s="30"/>
      <c r="C736" s="30"/>
      <c r="D736" s="30"/>
      <c r="E736" s="86" t="s">
        <v>237</v>
      </c>
      <c r="F736" s="17">
        <v>0</v>
      </c>
      <c r="G736" s="30">
        <v>0</v>
      </c>
      <c r="H736" s="30">
        <v>0</v>
      </c>
    </row>
    <row r="737" spans="2:8" hidden="1" x14ac:dyDescent="0.3">
      <c r="B737" s="30"/>
      <c r="C737" s="30"/>
      <c r="D737" s="30"/>
      <c r="E737" s="86" t="s">
        <v>237</v>
      </c>
      <c r="F737" s="17">
        <v>0</v>
      </c>
      <c r="G737" s="30">
        <v>0</v>
      </c>
      <c r="H737" s="30">
        <v>0</v>
      </c>
    </row>
    <row r="738" spans="2:8" hidden="1" x14ac:dyDescent="0.3">
      <c r="B738" s="30"/>
      <c r="C738" s="30"/>
      <c r="D738" s="30"/>
      <c r="E738" s="86" t="s">
        <v>237</v>
      </c>
      <c r="F738" s="17">
        <v>0</v>
      </c>
      <c r="G738" s="30">
        <v>0</v>
      </c>
      <c r="H738" s="30">
        <v>0</v>
      </c>
    </row>
    <row r="739" spans="2:8" hidden="1" x14ac:dyDescent="0.3">
      <c r="B739" s="30"/>
      <c r="C739" s="30"/>
      <c r="D739" s="30"/>
      <c r="E739" s="86" t="s">
        <v>237</v>
      </c>
      <c r="F739" s="17">
        <v>0</v>
      </c>
      <c r="G739" s="30">
        <v>0</v>
      </c>
      <c r="H739" s="30">
        <v>0</v>
      </c>
    </row>
    <row r="740" spans="2:8" hidden="1" x14ac:dyDescent="0.3">
      <c r="B740" s="30"/>
      <c r="C740" s="30"/>
      <c r="D740" s="30"/>
      <c r="E740" s="86" t="s">
        <v>237</v>
      </c>
      <c r="F740" s="17">
        <v>0</v>
      </c>
      <c r="G740" s="30">
        <v>0</v>
      </c>
      <c r="H740" s="30">
        <v>0</v>
      </c>
    </row>
    <row r="741" spans="2:8" hidden="1" x14ac:dyDescent="0.3">
      <c r="B741" s="30"/>
      <c r="C741" s="30"/>
      <c r="D741" s="30"/>
      <c r="E741" s="86" t="s">
        <v>237</v>
      </c>
      <c r="F741" s="17">
        <v>0</v>
      </c>
      <c r="G741" s="30">
        <v>0</v>
      </c>
      <c r="H741" s="30">
        <v>0</v>
      </c>
    </row>
    <row r="742" spans="2:8" hidden="1" x14ac:dyDescent="0.3">
      <c r="B742" s="30"/>
      <c r="C742" s="30"/>
      <c r="D742" s="30"/>
      <c r="E742" s="86" t="s">
        <v>237</v>
      </c>
      <c r="F742" s="17">
        <v>0</v>
      </c>
      <c r="G742" s="30">
        <v>0</v>
      </c>
      <c r="H742" s="30">
        <v>0</v>
      </c>
    </row>
    <row r="743" spans="2:8" hidden="1" x14ac:dyDescent="0.3">
      <c r="B743" s="30"/>
      <c r="C743" s="30"/>
      <c r="D743" s="30"/>
      <c r="E743" s="86" t="s">
        <v>237</v>
      </c>
      <c r="F743" s="17">
        <v>0</v>
      </c>
      <c r="G743" s="30">
        <v>0</v>
      </c>
      <c r="H743" s="30">
        <v>0</v>
      </c>
    </row>
    <row r="744" spans="2:8" hidden="1" x14ac:dyDescent="0.3">
      <c r="B744" s="30"/>
      <c r="C744" s="30"/>
      <c r="D744" s="30"/>
      <c r="E744" s="86" t="s">
        <v>237</v>
      </c>
      <c r="F744" s="17">
        <v>0</v>
      </c>
      <c r="G744" s="30">
        <v>0</v>
      </c>
      <c r="H744" s="30">
        <v>0</v>
      </c>
    </row>
    <row r="745" spans="2:8" hidden="1" x14ac:dyDescent="0.3">
      <c r="B745" s="30"/>
      <c r="C745" s="30"/>
      <c r="D745" s="30"/>
      <c r="E745" s="86" t="s">
        <v>237</v>
      </c>
      <c r="F745" s="17">
        <v>0</v>
      </c>
      <c r="G745" s="30">
        <v>0</v>
      </c>
      <c r="H745" s="30">
        <v>0</v>
      </c>
    </row>
    <row r="746" spans="2:8" hidden="1" x14ac:dyDescent="0.3">
      <c r="B746" s="30"/>
      <c r="C746" s="30"/>
      <c r="D746" s="30"/>
      <c r="E746" s="86" t="s">
        <v>237</v>
      </c>
      <c r="F746" s="17">
        <v>0</v>
      </c>
      <c r="G746" s="30">
        <v>0</v>
      </c>
      <c r="H746" s="30">
        <v>0</v>
      </c>
    </row>
    <row r="747" spans="2:8" hidden="1" x14ac:dyDescent="0.3">
      <c r="B747" s="30"/>
      <c r="C747" s="30"/>
      <c r="D747" s="30"/>
      <c r="E747" s="86" t="s">
        <v>237</v>
      </c>
      <c r="F747" s="17">
        <v>0</v>
      </c>
      <c r="G747" s="30">
        <v>0</v>
      </c>
      <c r="H747" s="30">
        <v>0</v>
      </c>
    </row>
    <row r="748" spans="2:8" hidden="1" x14ac:dyDescent="0.3">
      <c r="B748" s="30"/>
      <c r="C748" s="30"/>
      <c r="D748" s="30"/>
      <c r="E748" s="86" t="s">
        <v>237</v>
      </c>
      <c r="F748" s="17">
        <v>0</v>
      </c>
      <c r="G748" s="30">
        <v>0</v>
      </c>
      <c r="H748" s="30">
        <v>0</v>
      </c>
    </row>
    <row r="749" spans="2:8" hidden="1" x14ac:dyDescent="0.3">
      <c r="B749" s="30"/>
      <c r="C749" s="30"/>
      <c r="D749" s="30"/>
      <c r="E749" s="86" t="s">
        <v>237</v>
      </c>
      <c r="F749" s="17">
        <v>0</v>
      </c>
      <c r="G749" s="30">
        <v>0</v>
      </c>
      <c r="H749" s="30">
        <v>0</v>
      </c>
    </row>
    <row r="750" spans="2:8" hidden="1" x14ac:dyDescent="0.3">
      <c r="B750" s="30"/>
      <c r="C750" s="30"/>
      <c r="D750" s="30"/>
      <c r="E750" s="86" t="s">
        <v>237</v>
      </c>
      <c r="F750" s="17">
        <v>0</v>
      </c>
      <c r="G750" s="30">
        <v>0</v>
      </c>
      <c r="H750" s="30">
        <v>0</v>
      </c>
    </row>
    <row r="751" spans="2:8" hidden="1" x14ac:dyDescent="0.3">
      <c r="B751" s="30"/>
      <c r="C751" s="30"/>
      <c r="D751" s="30"/>
      <c r="E751" s="86" t="s">
        <v>237</v>
      </c>
      <c r="F751" s="17">
        <v>0</v>
      </c>
      <c r="G751" s="30">
        <v>0</v>
      </c>
      <c r="H751" s="30">
        <v>0</v>
      </c>
    </row>
    <row r="752" spans="2:8" hidden="1" x14ac:dyDescent="0.3">
      <c r="B752" s="30"/>
      <c r="C752" s="30"/>
      <c r="D752" s="30"/>
      <c r="E752" s="86" t="s">
        <v>237</v>
      </c>
      <c r="F752" s="17">
        <v>0</v>
      </c>
      <c r="G752" s="30">
        <v>0</v>
      </c>
      <c r="H752" s="30">
        <v>0</v>
      </c>
    </row>
    <row r="753" spans="2:8" hidden="1" x14ac:dyDescent="0.3">
      <c r="B753" s="30"/>
      <c r="C753" s="30"/>
      <c r="D753" s="30"/>
      <c r="E753" s="86" t="s">
        <v>237</v>
      </c>
      <c r="F753" s="17">
        <v>0</v>
      </c>
      <c r="G753" s="30">
        <v>0</v>
      </c>
      <c r="H753" s="30">
        <v>0</v>
      </c>
    </row>
    <row r="754" spans="2:8" hidden="1" x14ac:dyDescent="0.3">
      <c r="B754" s="30"/>
      <c r="C754" s="30"/>
      <c r="D754" s="30"/>
      <c r="E754" s="86" t="s">
        <v>237</v>
      </c>
      <c r="F754" s="17">
        <v>0</v>
      </c>
      <c r="G754" s="30">
        <v>0</v>
      </c>
      <c r="H754" s="30">
        <v>0</v>
      </c>
    </row>
    <row r="755" spans="2:8" hidden="1" x14ac:dyDescent="0.3">
      <c r="B755" s="30"/>
      <c r="C755" s="30"/>
      <c r="D755" s="30"/>
      <c r="E755" s="86" t="s">
        <v>237</v>
      </c>
      <c r="F755" s="17">
        <v>0</v>
      </c>
      <c r="G755" s="30">
        <v>0</v>
      </c>
      <c r="H755" s="30">
        <v>0</v>
      </c>
    </row>
    <row r="756" spans="2:8" hidden="1" x14ac:dyDescent="0.3">
      <c r="B756" s="30"/>
      <c r="C756" s="30"/>
      <c r="D756" s="30"/>
      <c r="E756" s="86" t="s">
        <v>237</v>
      </c>
      <c r="F756" s="17">
        <v>0</v>
      </c>
      <c r="G756" s="30">
        <v>0</v>
      </c>
      <c r="H756" s="30">
        <v>0</v>
      </c>
    </row>
    <row r="757" spans="2:8" hidden="1" x14ac:dyDescent="0.3">
      <c r="B757" s="30"/>
      <c r="C757" s="30"/>
      <c r="D757" s="30"/>
      <c r="E757" s="86" t="s">
        <v>237</v>
      </c>
      <c r="F757" s="17">
        <v>0</v>
      </c>
      <c r="G757" s="30">
        <v>0</v>
      </c>
      <c r="H757" s="30">
        <v>0</v>
      </c>
    </row>
    <row r="758" spans="2:8" hidden="1" x14ac:dyDescent="0.3">
      <c r="B758" s="30"/>
      <c r="C758" s="30"/>
      <c r="D758" s="30"/>
      <c r="E758" s="86" t="s">
        <v>237</v>
      </c>
      <c r="F758" s="17">
        <v>0</v>
      </c>
      <c r="G758" s="30">
        <v>0</v>
      </c>
      <c r="H758" s="30">
        <v>0</v>
      </c>
    </row>
    <row r="759" spans="2:8" hidden="1" x14ac:dyDescent="0.3">
      <c r="B759" s="30"/>
      <c r="C759" s="30"/>
      <c r="D759" s="30"/>
      <c r="E759" s="86" t="s">
        <v>237</v>
      </c>
      <c r="F759" s="17">
        <v>0</v>
      </c>
      <c r="G759" s="30">
        <v>0</v>
      </c>
      <c r="H759" s="30">
        <v>0</v>
      </c>
    </row>
    <row r="760" spans="2:8" hidden="1" x14ac:dyDescent="0.3">
      <c r="B760" s="30"/>
      <c r="C760" s="30"/>
      <c r="D760" s="30"/>
      <c r="E760" s="86" t="s">
        <v>237</v>
      </c>
      <c r="F760" s="17">
        <v>0</v>
      </c>
      <c r="G760" s="30">
        <v>0</v>
      </c>
      <c r="H760" s="30">
        <v>0</v>
      </c>
    </row>
    <row r="761" spans="2:8" hidden="1" x14ac:dyDescent="0.3">
      <c r="B761" s="30"/>
      <c r="C761" s="30"/>
      <c r="D761" s="30"/>
      <c r="E761" s="86" t="s">
        <v>237</v>
      </c>
      <c r="F761" s="17">
        <v>0</v>
      </c>
      <c r="G761" s="30">
        <v>0</v>
      </c>
      <c r="H761" s="30">
        <v>0</v>
      </c>
    </row>
    <row r="762" spans="2:8" hidden="1" x14ac:dyDescent="0.3">
      <c r="B762" s="30"/>
      <c r="C762" s="30"/>
      <c r="D762" s="30"/>
      <c r="E762" s="86" t="s">
        <v>237</v>
      </c>
      <c r="F762" s="17">
        <v>0</v>
      </c>
      <c r="G762" s="30">
        <v>0</v>
      </c>
      <c r="H762" s="30">
        <v>0</v>
      </c>
    </row>
    <row r="763" spans="2:8" hidden="1" x14ac:dyDescent="0.3">
      <c r="B763" s="30"/>
      <c r="C763" s="30"/>
      <c r="D763" s="30"/>
      <c r="E763" s="86" t="s">
        <v>237</v>
      </c>
      <c r="F763" s="17">
        <v>0</v>
      </c>
      <c r="G763" s="30">
        <v>0</v>
      </c>
      <c r="H763" s="30">
        <v>0</v>
      </c>
    </row>
    <row r="764" spans="2:8" hidden="1" x14ac:dyDescent="0.3">
      <c r="B764" s="30"/>
      <c r="C764" s="30"/>
      <c r="D764" s="30"/>
      <c r="E764" s="86" t="s">
        <v>237</v>
      </c>
      <c r="F764" s="17">
        <v>0</v>
      </c>
      <c r="G764" s="30">
        <v>0</v>
      </c>
      <c r="H764" s="30">
        <v>0</v>
      </c>
    </row>
    <row r="765" spans="2:8" hidden="1" x14ac:dyDescent="0.3">
      <c r="B765" s="30"/>
      <c r="C765" s="30"/>
      <c r="D765" s="30"/>
      <c r="E765" s="86" t="s">
        <v>237</v>
      </c>
      <c r="F765" s="17">
        <v>0</v>
      </c>
      <c r="G765" s="30">
        <v>0</v>
      </c>
      <c r="H765" s="30">
        <v>0</v>
      </c>
    </row>
    <row r="766" spans="2:8" hidden="1" x14ac:dyDescent="0.3">
      <c r="B766" s="30"/>
      <c r="C766" s="30"/>
      <c r="D766" s="30"/>
      <c r="E766" s="86" t="s">
        <v>237</v>
      </c>
      <c r="F766" s="17">
        <v>0</v>
      </c>
      <c r="G766" s="30">
        <v>0</v>
      </c>
      <c r="H766" s="30">
        <v>0</v>
      </c>
    </row>
    <row r="767" spans="2:8" hidden="1" x14ac:dyDescent="0.3">
      <c r="B767" s="30"/>
      <c r="C767" s="30"/>
      <c r="D767" s="30"/>
      <c r="E767" s="86" t="s">
        <v>237</v>
      </c>
      <c r="F767" s="17">
        <v>0</v>
      </c>
      <c r="G767" s="30">
        <v>0</v>
      </c>
      <c r="H767" s="30">
        <v>0</v>
      </c>
    </row>
    <row r="768" spans="2:8" hidden="1" x14ac:dyDescent="0.3">
      <c r="B768" s="30"/>
      <c r="C768" s="30"/>
      <c r="D768" s="30"/>
      <c r="E768" s="86" t="s">
        <v>237</v>
      </c>
      <c r="F768" s="17">
        <v>0</v>
      </c>
      <c r="G768" s="30">
        <v>0</v>
      </c>
      <c r="H768" s="30">
        <v>0</v>
      </c>
    </row>
    <row r="769" spans="2:8" hidden="1" x14ac:dyDescent="0.3">
      <c r="B769" s="30"/>
      <c r="C769" s="30"/>
      <c r="D769" s="30"/>
      <c r="E769" s="86" t="s">
        <v>237</v>
      </c>
      <c r="F769" s="17">
        <v>0</v>
      </c>
      <c r="G769" s="30">
        <v>0</v>
      </c>
      <c r="H769" s="30">
        <v>0</v>
      </c>
    </row>
    <row r="770" spans="2:8" hidden="1" x14ac:dyDescent="0.3">
      <c r="B770" s="30"/>
      <c r="C770" s="30"/>
      <c r="D770" s="30"/>
      <c r="E770" s="86" t="s">
        <v>237</v>
      </c>
      <c r="F770" s="17">
        <v>0</v>
      </c>
      <c r="G770" s="30">
        <v>0</v>
      </c>
      <c r="H770" s="30">
        <v>0</v>
      </c>
    </row>
    <row r="771" spans="2:8" hidden="1" x14ac:dyDescent="0.3">
      <c r="B771" s="30"/>
      <c r="C771" s="30"/>
      <c r="D771" s="30"/>
      <c r="E771" s="86" t="s">
        <v>237</v>
      </c>
      <c r="F771" s="17">
        <v>0</v>
      </c>
      <c r="G771" s="30">
        <v>0</v>
      </c>
      <c r="H771" s="30">
        <v>0</v>
      </c>
    </row>
    <row r="772" spans="2:8" hidden="1" x14ac:dyDescent="0.3">
      <c r="B772" s="30"/>
      <c r="C772" s="30"/>
      <c r="D772" s="30"/>
      <c r="E772" s="86" t="s">
        <v>237</v>
      </c>
      <c r="F772" s="17">
        <v>0</v>
      </c>
      <c r="G772" s="30">
        <v>0</v>
      </c>
      <c r="H772" s="30">
        <v>0</v>
      </c>
    </row>
    <row r="773" spans="2:8" hidden="1" x14ac:dyDescent="0.3">
      <c r="B773" s="30"/>
      <c r="C773" s="30"/>
      <c r="D773" s="30"/>
      <c r="E773" s="86" t="s">
        <v>237</v>
      </c>
      <c r="F773" s="17">
        <v>0</v>
      </c>
      <c r="G773" s="30">
        <v>0</v>
      </c>
      <c r="H773" s="30">
        <v>0</v>
      </c>
    </row>
    <row r="774" spans="2:8" hidden="1" x14ac:dyDescent="0.3">
      <c r="B774" s="30"/>
      <c r="C774" s="30"/>
      <c r="D774" s="30"/>
      <c r="E774" s="86" t="s">
        <v>237</v>
      </c>
      <c r="F774" s="17">
        <v>0</v>
      </c>
      <c r="G774" s="30">
        <v>0</v>
      </c>
      <c r="H774" s="30">
        <v>0</v>
      </c>
    </row>
    <row r="775" spans="2:8" hidden="1" x14ac:dyDescent="0.3">
      <c r="B775" s="30"/>
      <c r="C775" s="30"/>
      <c r="D775" s="30"/>
      <c r="E775" s="86" t="s">
        <v>237</v>
      </c>
      <c r="F775" s="17">
        <v>0</v>
      </c>
      <c r="G775" s="30">
        <v>0</v>
      </c>
      <c r="H775" s="30">
        <v>0</v>
      </c>
    </row>
    <row r="776" spans="2:8" hidden="1" x14ac:dyDescent="0.3">
      <c r="B776" s="30"/>
      <c r="C776" s="30"/>
      <c r="D776" s="30"/>
      <c r="E776" s="86" t="s">
        <v>237</v>
      </c>
      <c r="F776" s="17">
        <v>0</v>
      </c>
      <c r="G776" s="30">
        <v>0</v>
      </c>
      <c r="H776" s="30">
        <v>0</v>
      </c>
    </row>
    <row r="777" spans="2:8" hidden="1" x14ac:dyDescent="0.3">
      <c r="B777" s="30"/>
      <c r="C777" s="30"/>
      <c r="D777" s="30"/>
      <c r="E777" s="86" t="s">
        <v>237</v>
      </c>
      <c r="F777" s="17">
        <v>0</v>
      </c>
      <c r="G777" s="30">
        <v>0</v>
      </c>
      <c r="H777" s="30">
        <v>0</v>
      </c>
    </row>
    <row r="778" spans="2:8" hidden="1" x14ac:dyDescent="0.3">
      <c r="B778" s="30"/>
      <c r="C778" s="30"/>
      <c r="D778" s="30"/>
      <c r="E778" s="86" t="s">
        <v>237</v>
      </c>
      <c r="F778" s="17">
        <v>0</v>
      </c>
      <c r="G778" s="30">
        <v>0</v>
      </c>
      <c r="H778" s="30">
        <v>0</v>
      </c>
    </row>
    <row r="779" spans="2:8" hidden="1" x14ac:dyDescent="0.3">
      <c r="B779" s="30"/>
      <c r="C779" s="30"/>
      <c r="D779" s="30"/>
      <c r="E779" s="86" t="s">
        <v>237</v>
      </c>
      <c r="F779" s="17">
        <v>0</v>
      </c>
      <c r="G779" s="30">
        <v>0</v>
      </c>
      <c r="H779" s="30">
        <v>0</v>
      </c>
    </row>
    <row r="780" spans="2:8" hidden="1" x14ac:dyDescent="0.3">
      <c r="B780" s="30"/>
      <c r="C780" s="30"/>
      <c r="D780" s="30"/>
      <c r="E780" s="86" t="s">
        <v>237</v>
      </c>
      <c r="F780" s="17">
        <v>0</v>
      </c>
      <c r="G780" s="30">
        <v>0</v>
      </c>
      <c r="H780" s="30">
        <v>0</v>
      </c>
    </row>
    <row r="781" spans="2:8" hidden="1" x14ac:dyDescent="0.3">
      <c r="B781" s="30"/>
      <c r="C781" s="30"/>
      <c r="D781" s="30"/>
      <c r="E781" s="86" t="s">
        <v>237</v>
      </c>
      <c r="F781" s="17">
        <v>0</v>
      </c>
      <c r="G781" s="30">
        <v>0</v>
      </c>
      <c r="H781" s="30">
        <v>0</v>
      </c>
    </row>
    <row r="782" spans="2:8" hidden="1" x14ac:dyDescent="0.3">
      <c r="B782" s="30"/>
      <c r="C782" s="30"/>
      <c r="D782" s="30"/>
      <c r="E782" s="86" t="s">
        <v>237</v>
      </c>
      <c r="F782" s="17">
        <v>0</v>
      </c>
      <c r="G782" s="30">
        <v>0</v>
      </c>
      <c r="H782" s="30">
        <v>0</v>
      </c>
    </row>
    <row r="783" spans="2:8" hidden="1" x14ac:dyDescent="0.3">
      <c r="B783" s="30"/>
      <c r="C783" s="30"/>
      <c r="D783" s="30"/>
      <c r="E783" s="86" t="s">
        <v>237</v>
      </c>
      <c r="F783" s="17">
        <v>0</v>
      </c>
      <c r="G783" s="30">
        <v>0</v>
      </c>
      <c r="H783" s="30">
        <v>0</v>
      </c>
    </row>
    <row r="784" spans="2:8" hidden="1" x14ac:dyDescent="0.3">
      <c r="B784" s="30"/>
      <c r="C784" s="30"/>
      <c r="D784" s="30"/>
      <c r="E784" s="86" t="s">
        <v>237</v>
      </c>
      <c r="F784" s="17">
        <v>0</v>
      </c>
      <c r="G784" s="30">
        <v>0</v>
      </c>
      <c r="H784" s="30">
        <v>0</v>
      </c>
    </row>
    <row r="785" spans="2:8" hidden="1" x14ac:dyDescent="0.3">
      <c r="B785" s="30"/>
      <c r="C785" s="30"/>
      <c r="D785" s="30"/>
      <c r="E785" s="86" t="s">
        <v>237</v>
      </c>
      <c r="F785" s="17">
        <v>0</v>
      </c>
      <c r="G785" s="30">
        <v>0</v>
      </c>
      <c r="H785" s="30">
        <v>0</v>
      </c>
    </row>
    <row r="786" spans="2:8" hidden="1" x14ac:dyDescent="0.3">
      <c r="B786" s="30"/>
      <c r="C786" s="30"/>
      <c r="D786" s="30"/>
      <c r="E786" s="86" t="s">
        <v>237</v>
      </c>
      <c r="F786" s="17">
        <v>0</v>
      </c>
      <c r="G786" s="30">
        <v>0</v>
      </c>
      <c r="H786" s="30">
        <v>0</v>
      </c>
    </row>
    <row r="787" spans="2:8" hidden="1" x14ac:dyDescent="0.3">
      <c r="B787" s="30"/>
      <c r="C787" s="30"/>
      <c r="D787" s="30"/>
      <c r="E787" s="86" t="s">
        <v>237</v>
      </c>
      <c r="F787" s="17">
        <v>0</v>
      </c>
      <c r="G787" s="30">
        <v>0</v>
      </c>
      <c r="H787" s="30">
        <v>0</v>
      </c>
    </row>
    <row r="788" spans="2:8" hidden="1" x14ac:dyDescent="0.3">
      <c r="B788" s="30"/>
      <c r="C788" s="30"/>
      <c r="D788" s="30"/>
      <c r="E788" s="86" t="s">
        <v>237</v>
      </c>
      <c r="F788" s="17">
        <v>0</v>
      </c>
      <c r="G788" s="30">
        <v>0</v>
      </c>
      <c r="H788" s="30">
        <v>0</v>
      </c>
    </row>
    <row r="789" spans="2:8" hidden="1" x14ac:dyDescent="0.3">
      <c r="B789" s="30"/>
      <c r="C789" s="30"/>
      <c r="D789" s="30"/>
      <c r="E789" s="86" t="s">
        <v>237</v>
      </c>
      <c r="F789" s="17">
        <v>0</v>
      </c>
      <c r="G789" s="30">
        <v>0</v>
      </c>
      <c r="H789" s="30">
        <v>0</v>
      </c>
    </row>
    <row r="790" spans="2:8" hidden="1" x14ac:dyDescent="0.3">
      <c r="B790" s="30"/>
      <c r="C790" s="30"/>
      <c r="D790" s="30"/>
      <c r="E790" s="86" t="s">
        <v>237</v>
      </c>
      <c r="F790" s="17">
        <v>0</v>
      </c>
      <c r="G790" s="30">
        <v>0</v>
      </c>
      <c r="H790" s="30">
        <v>0</v>
      </c>
    </row>
    <row r="791" spans="2:8" hidden="1" x14ac:dyDescent="0.3">
      <c r="B791" s="30"/>
      <c r="C791" s="30"/>
      <c r="D791" s="30"/>
      <c r="E791" s="86" t="s">
        <v>237</v>
      </c>
      <c r="F791" s="17">
        <v>0</v>
      </c>
      <c r="G791" s="30">
        <v>0</v>
      </c>
      <c r="H791" s="30">
        <v>0</v>
      </c>
    </row>
    <row r="792" spans="2:8" hidden="1" x14ac:dyDescent="0.3">
      <c r="B792" s="30"/>
      <c r="C792" s="30"/>
      <c r="D792" s="30"/>
      <c r="E792" s="86" t="s">
        <v>237</v>
      </c>
      <c r="F792" s="17">
        <v>0</v>
      </c>
      <c r="G792" s="30">
        <v>0</v>
      </c>
      <c r="H792" s="30">
        <v>0</v>
      </c>
    </row>
    <row r="793" spans="2:8" hidden="1" x14ac:dyDescent="0.3">
      <c r="B793" s="30"/>
      <c r="C793" s="30"/>
      <c r="D793" s="30"/>
      <c r="E793" s="86" t="s">
        <v>237</v>
      </c>
      <c r="F793" s="17">
        <v>0</v>
      </c>
      <c r="G793" s="30">
        <v>0</v>
      </c>
      <c r="H793" s="30">
        <v>0</v>
      </c>
    </row>
    <row r="794" spans="2:8" hidden="1" x14ac:dyDescent="0.3">
      <c r="B794" s="30"/>
      <c r="C794" s="30"/>
      <c r="D794" s="30"/>
      <c r="E794" s="86" t="s">
        <v>237</v>
      </c>
      <c r="F794" s="17">
        <v>0</v>
      </c>
      <c r="G794" s="30">
        <v>0</v>
      </c>
      <c r="H794" s="30">
        <v>0</v>
      </c>
    </row>
    <row r="795" spans="2:8" hidden="1" x14ac:dyDescent="0.3">
      <c r="B795" s="30"/>
      <c r="C795" s="30"/>
      <c r="D795" s="30"/>
      <c r="E795" s="86" t="s">
        <v>237</v>
      </c>
      <c r="F795" s="17">
        <v>0</v>
      </c>
      <c r="G795" s="30">
        <v>0</v>
      </c>
      <c r="H795" s="30">
        <v>0</v>
      </c>
    </row>
    <row r="796" spans="2:8" hidden="1" x14ac:dyDescent="0.3">
      <c r="B796" s="30"/>
      <c r="C796" s="30"/>
      <c r="D796" s="30"/>
      <c r="E796" s="86" t="s">
        <v>237</v>
      </c>
      <c r="F796" s="17">
        <v>0</v>
      </c>
      <c r="G796" s="30">
        <v>0</v>
      </c>
      <c r="H796" s="30">
        <v>0</v>
      </c>
    </row>
    <row r="797" spans="2:8" hidden="1" x14ac:dyDescent="0.3">
      <c r="B797" s="30"/>
      <c r="C797" s="30"/>
      <c r="D797" s="30"/>
      <c r="E797" s="86" t="s">
        <v>237</v>
      </c>
      <c r="F797" s="17">
        <v>0</v>
      </c>
      <c r="G797" s="30">
        <v>0</v>
      </c>
      <c r="H797" s="30">
        <v>0</v>
      </c>
    </row>
    <row r="798" spans="2:8" hidden="1" x14ac:dyDescent="0.3">
      <c r="B798" s="30"/>
      <c r="C798" s="30"/>
      <c r="D798" s="30"/>
      <c r="E798" s="86" t="s">
        <v>237</v>
      </c>
      <c r="F798" s="17">
        <v>0</v>
      </c>
      <c r="G798" s="30">
        <v>0</v>
      </c>
      <c r="H798" s="30">
        <v>0</v>
      </c>
    </row>
    <row r="799" spans="2:8" hidden="1" x14ac:dyDescent="0.3">
      <c r="B799" s="30"/>
      <c r="C799" s="30"/>
      <c r="D799" s="30"/>
      <c r="E799" s="86" t="s">
        <v>237</v>
      </c>
      <c r="F799" s="17">
        <v>0</v>
      </c>
      <c r="G799" s="30">
        <v>0</v>
      </c>
      <c r="H799" s="30">
        <v>0</v>
      </c>
    </row>
    <row r="800" spans="2:8" hidden="1" x14ac:dyDescent="0.3">
      <c r="B800" s="30"/>
      <c r="C800" s="30"/>
      <c r="D800" s="30"/>
      <c r="E800" s="86" t="s">
        <v>237</v>
      </c>
      <c r="F800" s="17">
        <v>0</v>
      </c>
      <c r="G800" s="30">
        <v>0</v>
      </c>
      <c r="H800" s="30">
        <v>0</v>
      </c>
    </row>
    <row r="801" spans="2:8" hidden="1" x14ac:dyDescent="0.3">
      <c r="B801" s="30"/>
      <c r="C801" s="30"/>
      <c r="D801" s="30"/>
      <c r="E801" s="86" t="s">
        <v>237</v>
      </c>
      <c r="F801" s="17">
        <v>0</v>
      </c>
      <c r="G801" s="30">
        <v>0</v>
      </c>
      <c r="H801" s="30">
        <v>0</v>
      </c>
    </row>
    <row r="802" spans="2:8" hidden="1" x14ac:dyDescent="0.3">
      <c r="B802" s="30"/>
      <c r="C802" s="30"/>
      <c r="D802" s="30"/>
      <c r="E802" s="86" t="s">
        <v>237</v>
      </c>
      <c r="F802" s="17">
        <v>0</v>
      </c>
      <c r="G802" s="30">
        <v>0</v>
      </c>
      <c r="H802" s="30">
        <v>0</v>
      </c>
    </row>
    <row r="803" spans="2:8" hidden="1" x14ac:dyDescent="0.3">
      <c r="B803" s="30"/>
      <c r="C803" s="30"/>
      <c r="D803" s="30"/>
      <c r="E803" s="86" t="s">
        <v>237</v>
      </c>
      <c r="F803" s="17">
        <v>0</v>
      </c>
      <c r="G803" s="30">
        <v>0</v>
      </c>
      <c r="H803" s="30">
        <v>0</v>
      </c>
    </row>
    <row r="804" spans="2:8" hidden="1" x14ac:dyDescent="0.3">
      <c r="B804" s="30"/>
      <c r="C804" s="30"/>
      <c r="D804" s="30"/>
      <c r="E804" s="86" t="s">
        <v>237</v>
      </c>
      <c r="F804" s="17">
        <v>0</v>
      </c>
      <c r="G804" s="30">
        <v>0</v>
      </c>
      <c r="H804" s="30">
        <v>0</v>
      </c>
    </row>
    <row r="805" spans="2:8" hidden="1" x14ac:dyDescent="0.3">
      <c r="B805" s="30"/>
      <c r="C805" s="30"/>
      <c r="D805" s="30"/>
      <c r="E805" s="86" t="s">
        <v>237</v>
      </c>
      <c r="F805" s="17">
        <v>0</v>
      </c>
      <c r="G805" s="30">
        <v>0</v>
      </c>
      <c r="H805" s="30">
        <v>0</v>
      </c>
    </row>
    <row r="806" spans="2:8" hidden="1" x14ac:dyDescent="0.3">
      <c r="B806" s="30"/>
      <c r="C806" s="30"/>
      <c r="D806" s="30"/>
      <c r="E806" s="86" t="s">
        <v>237</v>
      </c>
      <c r="F806" s="17">
        <v>0</v>
      </c>
      <c r="G806" s="30">
        <v>0</v>
      </c>
      <c r="H806" s="30">
        <v>0</v>
      </c>
    </row>
    <row r="807" spans="2:8" hidden="1" x14ac:dyDescent="0.3">
      <c r="B807" s="30"/>
      <c r="C807" s="30"/>
      <c r="D807" s="30"/>
      <c r="E807" s="86" t="s">
        <v>237</v>
      </c>
      <c r="F807" s="17">
        <v>0</v>
      </c>
      <c r="G807" s="30">
        <v>0</v>
      </c>
      <c r="H807" s="30">
        <v>0</v>
      </c>
    </row>
    <row r="808" spans="2:8" hidden="1" x14ac:dyDescent="0.3">
      <c r="B808" s="30"/>
      <c r="C808" s="30"/>
      <c r="D808" s="30"/>
      <c r="E808" s="86" t="s">
        <v>237</v>
      </c>
      <c r="F808" s="17">
        <v>0</v>
      </c>
      <c r="G808" s="30">
        <v>0</v>
      </c>
      <c r="H808" s="30">
        <v>0</v>
      </c>
    </row>
    <row r="809" spans="2:8" hidden="1" x14ac:dyDescent="0.3">
      <c r="B809" s="30"/>
      <c r="C809" s="30"/>
      <c r="D809" s="30"/>
      <c r="E809" s="86" t="s">
        <v>237</v>
      </c>
      <c r="F809" s="17">
        <v>0</v>
      </c>
      <c r="G809" s="30">
        <v>0</v>
      </c>
      <c r="H809" s="30">
        <v>0</v>
      </c>
    </row>
    <row r="810" spans="2:8" hidden="1" x14ac:dyDescent="0.3">
      <c r="B810" s="30"/>
      <c r="C810" s="30"/>
      <c r="D810" s="30"/>
      <c r="E810" s="86" t="s">
        <v>237</v>
      </c>
      <c r="F810" s="17">
        <v>0</v>
      </c>
      <c r="G810" s="30">
        <v>0</v>
      </c>
      <c r="H810" s="30">
        <v>0</v>
      </c>
    </row>
    <row r="811" spans="2:8" hidden="1" x14ac:dyDescent="0.3">
      <c r="B811" s="30"/>
      <c r="C811" s="30"/>
      <c r="D811" s="30"/>
      <c r="E811" s="86" t="s">
        <v>237</v>
      </c>
      <c r="F811" s="17">
        <v>0</v>
      </c>
      <c r="G811" s="30">
        <v>0</v>
      </c>
      <c r="H811" s="30">
        <v>0</v>
      </c>
    </row>
    <row r="812" spans="2:8" hidden="1" x14ac:dyDescent="0.3">
      <c r="B812" s="30"/>
      <c r="C812" s="30"/>
      <c r="D812" s="30"/>
      <c r="E812" s="86" t="s">
        <v>237</v>
      </c>
      <c r="F812" s="17">
        <v>0</v>
      </c>
      <c r="G812" s="30">
        <v>0</v>
      </c>
      <c r="H812" s="30">
        <v>0</v>
      </c>
    </row>
    <row r="813" spans="2:8" hidden="1" x14ac:dyDescent="0.3">
      <c r="B813" s="30"/>
      <c r="C813" s="30"/>
      <c r="D813" s="30"/>
      <c r="E813" s="86" t="s">
        <v>237</v>
      </c>
      <c r="F813" s="17">
        <v>0</v>
      </c>
      <c r="G813" s="30">
        <v>0</v>
      </c>
      <c r="H813" s="30">
        <v>0</v>
      </c>
    </row>
    <row r="814" spans="2:8" hidden="1" x14ac:dyDescent="0.3">
      <c r="B814" s="30"/>
      <c r="C814" s="30"/>
      <c r="D814" s="30"/>
      <c r="E814" s="86" t="s">
        <v>237</v>
      </c>
      <c r="F814" s="17">
        <v>0</v>
      </c>
      <c r="G814" s="30">
        <v>0</v>
      </c>
      <c r="H814" s="30">
        <v>0</v>
      </c>
    </row>
    <row r="815" spans="2:8" hidden="1" x14ac:dyDescent="0.3">
      <c r="B815" s="30"/>
      <c r="C815" s="30"/>
      <c r="D815" s="30"/>
      <c r="E815" s="86" t="s">
        <v>237</v>
      </c>
      <c r="F815" s="17">
        <v>0</v>
      </c>
      <c r="G815" s="30">
        <v>0</v>
      </c>
      <c r="H815" s="30">
        <v>0</v>
      </c>
    </row>
    <row r="816" spans="2:8" hidden="1" x14ac:dyDescent="0.3">
      <c r="B816" s="30"/>
      <c r="C816" s="30"/>
      <c r="D816" s="30"/>
      <c r="E816" s="86" t="s">
        <v>237</v>
      </c>
      <c r="F816" s="17">
        <v>0</v>
      </c>
      <c r="G816" s="30">
        <v>0</v>
      </c>
      <c r="H816" s="30">
        <v>0</v>
      </c>
    </row>
    <row r="817" spans="2:8" hidden="1" x14ac:dyDescent="0.3">
      <c r="B817" s="30"/>
      <c r="C817" s="30"/>
      <c r="D817" s="30"/>
      <c r="E817" s="86" t="s">
        <v>237</v>
      </c>
      <c r="F817" s="17">
        <v>0</v>
      </c>
      <c r="G817" s="30">
        <v>0</v>
      </c>
      <c r="H817" s="30">
        <v>0</v>
      </c>
    </row>
    <row r="818" spans="2:8" hidden="1" x14ac:dyDescent="0.3">
      <c r="B818" s="30"/>
      <c r="C818" s="30"/>
      <c r="D818" s="30"/>
      <c r="E818" s="86" t="s">
        <v>237</v>
      </c>
      <c r="F818" s="17">
        <v>0</v>
      </c>
      <c r="G818" s="30">
        <v>0</v>
      </c>
      <c r="H818" s="30">
        <v>0</v>
      </c>
    </row>
    <row r="819" spans="2:8" hidden="1" x14ac:dyDescent="0.3">
      <c r="B819" s="30"/>
      <c r="C819" s="30"/>
      <c r="D819" s="30"/>
      <c r="E819" s="86" t="s">
        <v>237</v>
      </c>
      <c r="F819" s="17">
        <v>0</v>
      </c>
      <c r="G819" s="30">
        <v>0</v>
      </c>
      <c r="H819" s="30">
        <v>0</v>
      </c>
    </row>
    <row r="820" spans="2:8" hidden="1" x14ac:dyDescent="0.3">
      <c r="B820" s="30"/>
      <c r="C820" s="30"/>
      <c r="D820" s="30"/>
      <c r="E820" s="86" t="s">
        <v>237</v>
      </c>
      <c r="F820" s="17">
        <v>0</v>
      </c>
      <c r="G820" s="30">
        <v>0</v>
      </c>
      <c r="H820" s="30">
        <v>0</v>
      </c>
    </row>
    <row r="821" spans="2:8" hidden="1" x14ac:dyDescent="0.3">
      <c r="B821" s="30"/>
      <c r="C821" s="30"/>
      <c r="D821" s="30"/>
      <c r="E821" s="86" t="s">
        <v>237</v>
      </c>
      <c r="F821" s="17">
        <v>0</v>
      </c>
      <c r="G821" s="30">
        <v>0</v>
      </c>
      <c r="H821" s="30">
        <v>0</v>
      </c>
    </row>
    <row r="822" spans="2:8" hidden="1" x14ac:dyDescent="0.3">
      <c r="B822" s="30"/>
      <c r="C822" s="30"/>
      <c r="D822" s="30"/>
      <c r="E822" s="86" t="s">
        <v>237</v>
      </c>
      <c r="F822" s="17">
        <v>0</v>
      </c>
      <c r="G822" s="30">
        <v>0</v>
      </c>
      <c r="H822" s="30">
        <v>0</v>
      </c>
    </row>
    <row r="823" spans="2:8" hidden="1" x14ac:dyDescent="0.3">
      <c r="B823" s="30"/>
      <c r="C823" s="30"/>
      <c r="D823" s="30"/>
      <c r="E823" s="86" t="s">
        <v>237</v>
      </c>
      <c r="F823" s="17">
        <v>0</v>
      </c>
      <c r="G823" s="30">
        <v>0</v>
      </c>
      <c r="H823" s="30">
        <v>0</v>
      </c>
    </row>
    <row r="824" spans="2:8" hidden="1" x14ac:dyDescent="0.3">
      <c r="B824" s="30"/>
      <c r="C824" s="30"/>
      <c r="D824" s="30"/>
      <c r="E824" s="86" t="s">
        <v>237</v>
      </c>
      <c r="F824" s="17">
        <v>0</v>
      </c>
      <c r="G824" s="30">
        <v>0</v>
      </c>
      <c r="H824" s="30">
        <v>0</v>
      </c>
    </row>
    <row r="825" spans="2:8" hidden="1" x14ac:dyDescent="0.3">
      <c r="B825" s="30"/>
      <c r="C825" s="30"/>
      <c r="D825" s="30"/>
      <c r="E825" s="86" t="s">
        <v>237</v>
      </c>
      <c r="F825" s="17">
        <v>0</v>
      </c>
      <c r="G825" s="30">
        <v>0</v>
      </c>
      <c r="H825" s="30">
        <v>0</v>
      </c>
    </row>
    <row r="826" spans="2:8" hidden="1" x14ac:dyDescent="0.3">
      <c r="B826" s="30"/>
      <c r="C826" s="30"/>
      <c r="D826" s="30"/>
      <c r="E826" s="86" t="s">
        <v>237</v>
      </c>
      <c r="F826" s="17">
        <v>0</v>
      </c>
      <c r="G826" s="30">
        <v>0</v>
      </c>
      <c r="H826" s="30">
        <v>0</v>
      </c>
    </row>
    <row r="827" spans="2:8" hidden="1" x14ac:dyDescent="0.3">
      <c r="B827" s="30"/>
      <c r="C827" s="30"/>
      <c r="D827" s="30"/>
      <c r="E827" s="86" t="s">
        <v>237</v>
      </c>
      <c r="F827" s="17">
        <v>0</v>
      </c>
      <c r="G827" s="30">
        <v>0</v>
      </c>
      <c r="H827" s="30">
        <v>0</v>
      </c>
    </row>
    <row r="828" spans="2:8" hidden="1" x14ac:dyDescent="0.3">
      <c r="B828" s="30"/>
      <c r="C828" s="30"/>
      <c r="D828" s="30"/>
      <c r="E828" s="86" t="s">
        <v>237</v>
      </c>
      <c r="F828" s="17">
        <v>0</v>
      </c>
      <c r="G828" s="30">
        <v>0</v>
      </c>
      <c r="H828" s="30">
        <v>0</v>
      </c>
    </row>
    <row r="829" spans="2:8" hidden="1" x14ac:dyDescent="0.3">
      <c r="B829" s="30"/>
      <c r="C829" s="30"/>
      <c r="D829" s="30"/>
      <c r="E829" s="86" t="s">
        <v>237</v>
      </c>
      <c r="F829" s="17">
        <v>0</v>
      </c>
      <c r="G829" s="30">
        <v>0</v>
      </c>
      <c r="H829" s="30">
        <v>0</v>
      </c>
    </row>
    <row r="830" spans="2:8" hidden="1" x14ac:dyDescent="0.3">
      <c r="B830" s="30"/>
      <c r="C830" s="30"/>
      <c r="D830" s="30"/>
      <c r="E830" s="86" t="s">
        <v>237</v>
      </c>
      <c r="F830" s="17">
        <v>0</v>
      </c>
      <c r="G830" s="30">
        <v>0</v>
      </c>
      <c r="H830" s="30">
        <v>0</v>
      </c>
    </row>
    <row r="831" spans="2:8" hidden="1" x14ac:dyDescent="0.3">
      <c r="B831" s="30"/>
      <c r="C831" s="30"/>
      <c r="D831" s="30"/>
      <c r="E831" s="86" t="s">
        <v>237</v>
      </c>
      <c r="F831" s="17">
        <v>0</v>
      </c>
      <c r="G831" s="30">
        <v>0</v>
      </c>
      <c r="H831" s="30">
        <v>0</v>
      </c>
    </row>
    <row r="832" spans="2:8" hidden="1" x14ac:dyDescent="0.3">
      <c r="B832" s="30"/>
      <c r="C832" s="30"/>
      <c r="D832" s="30"/>
      <c r="E832" s="86" t="s">
        <v>237</v>
      </c>
      <c r="F832" s="17">
        <v>0</v>
      </c>
      <c r="G832" s="30">
        <v>0</v>
      </c>
      <c r="H832" s="30">
        <v>0</v>
      </c>
    </row>
    <row r="833" spans="2:8" hidden="1" x14ac:dyDescent="0.3">
      <c r="B833" s="30"/>
      <c r="C833" s="30"/>
      <c r="D833" s="30"/>
      <c r="E833" s="86" t="s">
        <v>237</v>
      </c>
      <c r="F833" s="17">
        <v>0</v>
      </c>
      <c r="G833" s="30">
        <v>0</v>
      </c>
      <c r="H833" s="30">
        <v>0</v>
      </c>
    </row>
    <row r="834" spans="2:8" hidden="1" x14ac:dyDescent="0.3">
      <c r="B834" s="30"/>
      <c r="C834" s="30"/>
      <c r="D834" s="30"/>
      <c r="E834" s="86" t="s">
        <v>237</v>
      </c>
      <c r="F834" s="17">
        <v>0</v>
      </c>
      <c r="G834" s="30">
        <v>0</v>
      </c>
      <c r="H834" s="30">
        <v>0</v>
      </c>
    </row>
    <row r="835" spans="2:8" hidden="1" x14ac:dyDescent="0.3">
      <c r="B835" s="30"/>
      <c r="C835" s="30"/>
      <c r="D835" s="30"/>
      <c r="E835" s="86" t="s">
        <v>237</v>
      </c>
      <c r="F835" s="17">
        <v>0</v>
      </c>
      <c r="G835" s="30">
        <v>0</v>
      </c>
      <c r="H835" s="30">
        <v>0</v>
      </c>
    </row>
    <row r="836" spans="2:8" hidden="1" x14ac:dyDescent="0.3">
      <c r="B836" s="30"/>
      <c r="C836" s="30"/>
      <c r="D836" s="30"/>
      <c r="E836" s="86" t="s">
        <v>237</v>
      </c>
      <c r="F836" s="17">
        <v>0</v>
      </c>
      <c r="G836" s="30">
        <v>0</v>
      </c>
      <c r="H836" s="30">
        <v>0</v>
      </c>
    </row>
    <row r="837" spans="2:8" hidden="1" x14ac:dyDescent="0.3">
      <c r="B837" s="30"/>
      <c r="C837" s="30"/>
      <c r="D837" s="30"/>
      <c r="E837" s="86" t="s">
        <v>237</v>
      </c>
      <c r="F837" s="17">
        <v>0</v>
      </c>
      <c r="G837" s="30">
        <v>0</v>
      </c>
      <c r="H837" s="30">
        <v>0</v>
      </c>
    </row>
    <row r="838" spans="2:8" hidden="1" x14ac:dyDescent="0.3">
      <c r="B838" s="30"/>
      <c r="C838" s="30"/>
      <c r="D838" s="30"/>
      <c r="E838" s="86" t="s">
        <v>237</v>
      </c>
      <c r="F838" s="17">
        <v>0</v>
      </c>
      <c r="G838" s="30">
        <v>0</v>
      </c>
      <c r="H838" s="30">
        <v>0</v>
      </c>
    </row>
    <row r="839" spans="2:8" hidden="1" x14ac:dyDescent="0.3">
      <c r="B839" s="30"/>
      <c r="C839" s="30"/>
      <c r="D839" s="30"/>
      <c r="E839" s="86" t="s">
        <v>237</v>
      </c>
      <c r="F839" s="17">
        <v>0</v>
      </c>
      <c r="G839" s="30">
        <v>0</v>
      </c>
      <c r="H839" s="30">
        <v>0</v>
      </c>
    </row>
    <row r="840" spans="2:8" hidden="1" x14ac:dyDescent="0.3">
      <c r="B840" s="30"/>
      <c r="C840" s="30"/>
      <c r="D840" s="30"/>
      <c r="E840" s="86" t="s">
        <v>237</v>
      </c>
      <c r="F840" s="17">
        <v>0</v>
      </c>
      <c r="G840" s="30">
        <v>0</v>
      </c>
      <c r="H840" s="30">
        <v>0</v>
      </c>
    </row>
    <row r="841" spans="2:8" hidden="1" x14ac:dyDescent="0.3">
      <c r="B841" s="30"/>
      <c r="C841" s="30"/>
      <c r="D841" s="30"/>
      <c r="E841" s="86" t="s">
        <v>237</v>
      </c>
      <c r="F841" s="17">
        <v>0</v>
      </c>
      <c r="G841" s="30">
        <v>0</v>
      </c>
      <c r="H841" s="30">
        <v>0</v>
      </c>
    </row>
    <row r="842" spans="2:8" hidden="1" x14ac:dyDescent="0.3">
      <c r="B842" s="30"/>
      <c r="C842" s="30"/>
      <c r="D842" s="30"/>
      <c r="E842" s="86" t="s">
        <v>237</v>
      </c>
      <c r="F842" s="17">
        <v>0</v>
      </c>
      <c r="G842" s="30">
        <v>0</v>
      </c>
      <c r="H842" s="30">
        <v>0</v>
      </c>
    </row>
    <row r="843" spans="2:8" hidden="1" x14ac:dyDescent="0.3">
      <c r="B843" s="30"/>
      <c r="C843" s="30"/>
      <c r="D843" s="30"/>
      <c r="E843" s="86" t="s">
        <v>237</v>
      </c>
      <c r="F843" s="17">
        <v>0</v>
      </c>
      <c r="G843" s="30">
        <v>0</v>
      </c>
      <c r="H843" s="30">
        <v>0</v>
      </c>
    </row>
    <row r="844" spans="2:8" hidden="1" x14ac:dyDescent="0.3">
      <c r="B844" s="30"/>
      <c r="C844" s="30"/>
      <c r="D844" s="30"/>
      <c r="E844" s="86" t="s">
        <v>237</v>
      </c>
      <c r="F844" s="17">
        <v>0</v>
      </c>
      <c r="G844" s="30">
        <v>0</v>
      </c>
      <c r="H844" s="30">
        <v>0</v>
      </c>
    </row>
    <row r="845" spans="2:8" hidden="1" x14ac:dyDescent="0.3">
      <c r="B845" s="30"/>
      <c r="C845" s="30"/>
      <c r="D845" s="30"/>
      <c r="E845" s="86" t="s">
        <v>237</v>
      </c>
      <c r="F845" s="17">
        <v>0</v>
      </c>
      <c r="G845" s="30">
        <v>0</v>
      </c>
      <c r="H845" s="30">
        <v>0</v>
      </c>
    </row>
    <row r="846" spans="2:8" hidden="1" x14ac:dyDescent="0.3">
      <c r="B846" s="30"/>
      <c r="C846" s="30"/>
      <c r="D846" s="30"/>
      <c r="E846" s="86" t="s">
        <v>237</v>
      </c>
      <c r="F846" s="17">
        <v>0</v>
      </c>
      <c r="G846" s="30">
        <v>0</v>
      </c>
      <c r="H846" s="30">
        <v>0</v>
      </c>
    </row>
    <row r="847" spans="2:8" hidden="1" x14ac:dyDescent="0.3">
      <c r="B847" s="30"/>
      <c r="C847" s="30"/>
      <c r="D847" s="30"/>
      <c r="E847" s="86" t="s">
        <v>237</v>
      </c>
      <c r="F847" s="17">
        <v>0</v>
      </c>
      <c r="G847" s="30">
        <v>0</v>
      </c>
      <c r="H847" s="30">
        <v>0</v>
      </c>
    </row>
    <row r="848" spans="2:8" hidden="1" x14ac:dyDescent="0.3">
      <c r="B848" s="30"/>
      <c r="C848" s="30"/>
      <c r="D848" s="30"/>
      <c r="E848" s="86" t="s">
        <v>237</v>
      </c>
      <c r="F848" s="17">
        <v>0</v>
      </c>
      <c r="G848" s="30">
        <v>0</v>
      </c>
      <c r="H848" s="30">
        <v>0</v>
      </c>
    </row>
    <row r="849" spans="2:8" hidden="1" x14ac:dyDescent="0.3">
      <c r="B849" s="30"/>
      <c r="C849" s="30"/>
      <c r="D849" s="30"/>
      <c r="E849" s="86" t="s">
        <v>237</v>
      </c>
      <c r="F849" s="17">
        <v>0</v>
      </c>
      <c r="G849" s="30">
        <v>0</v>
      </c>
      <c r="H849" s="30">
        <v>0</v>
      </c>
    </row>
    <row r="850" spans="2:8" hidden="1" x14ac:dyDescent="0.3">
      <c r="B850" s="30"/>
      <c r="C850" s="30"/>
      <c r="D850" s="30"/>
      <c r="E850" s="86" t="s">
        <v>237</v>
      </c>
      <c r="F850" s="17">
        <v>0</v>
      </c>
      <c r="G850" s="30">
        <v>0</v>
      </c>
      <c r="H850" s="30">
        <v>0</v>
      </c>
    </row>
    <row r="851" spans="2:8" hidden="1" x14ac:dyDescent="0.3">
      <c r="B851" s="30"/>
      <c r="C851" s="30"/>
      <c r="D851" s="30"/>
      <c r="E851" s="86" t="s">
        <v>237</v>
      </c>
      <c r="F851" s="17">
        <v>0</v>
      </c>
      <c r="G851" s="30">
        <v>0</v>
      </c>
      <c r="H851" s="30">
        <v>0</v>
      </c>
    </row>
    <row r="852" spans="2:8" hidden="1" x14ac:dyDescent="0.3">
      <c r="B852" s="30"/>
      <c r="C852" s="30"/>
      <c r="D852" s="30"/>
      <c r="E852" s="86" t="s">
        <v>237</v>
      </c>
      <c r="F852" s="17">
        <v>0</v>
      </c>
      <c r="G852" s="30">
        <v>0</v>
      </c>
      <c r="H852" s="30">
        <v>0</v>
      </c>
    </row>
    <row r="853" spans="2:8" hidden="1" x14ac:dyDescent="0.3">
      <c r="B853" s="30"/>
      <c r="C853" s="30"/>
      <c r="D853" s="30"/>
      <c r="E853" s="86" t="s">
        <v>237</v>
      </c>
      <c r="F853" s="17">
        <v>0</v>
      </c>
      <c r="G853" s="30">
        <v>0</v>
      </c>
      <c r="H853" s="30">
        <v>0</v>
      </c>
    </row>
    <row r="854" spans="2:8" hidden="1" x14ac:dyDescent="0.3">
      <c r="B854" s="30"/>
      <c r="C854" s="30"/>
      <c r="D854" s="30"/>
      <c r="E854" s="86" t="s">
        <v>237</v>
      </c>
      <c r="F854" s="17">
        <v>0</v>
      </c>
      <c r="G854" s="30">
        <v>0</v>
      </c>
      <c r="H854" s="30">
        <v>0</v>
      </c>
    </row>
    <row r="855" spans="2:8" hidden="1" x14ac:dyDescent="0.3">
      <c r="B855" s="30"/>
      <c r="C855" s="30"/>
      <c r="D855" s="30"/>
      <c r="E855" s="86" t="s">
        <v>237</v>
      </c>
      <c r="F855" s="17">
        <v>0</v>
      </c>
      <c r="G855" s="30">
        <v>0</v>
      </c>
      <c r="H855" s="30">
        <v>0</v>
      </c>
    </row>
    <row r="856" spans="2:8" hidden="1" x14ac:dyDescent="0.3">
      <c r="B856" s="30"/>
      <c r="C856" s="30"/>
      <c r="D856" s="30"/>
      <c r="E856" s="86" t="s">
        <v>237</v>
      </c>
      <c r="F856" s="17">
        <v>0</v>
      </c>
      <c r="G856" s="30">
        <v>0</v>
      </c>
      <c r="H856" s="30">
        <v>0</v>
      </c>
    </row>
    <row r="857" spans="2:8" hidden="1" x14ac:dyDescent="0.3">
      <c r="B857" s="30"/>
      <c r="C857" s="30"/>
      <c r="D857" s="30"/>
      <c r="E857" s="86" t="s">
        <v>237</v>
      </c>
      <c r="F857" s="17">
        <v>0</v>
      </c>
      <c r="G857" s="30">
        <v>0</v>
      </c>
      <c r="H857" s="30">
        <v>0</v>
      </c>
    </row>
    <row r="858" spans="2:8" hidden="1" x14ac:dyDescent="0.3">
      <c r="B858" s="30"/>
      <c r="C858" s="30"/>
      <c r="D858" s="30"/>
      <c r="E858" s="86" t="s">
        <v>237</v>
      </c>
      <c r="F858" s="17">
        <v>0</v>
      </c>
      <c r="G858" s="30">
        <v>0</v>
      </c>
      <c r="H858" s="30">
        <v>0</v>
      </c>
    </row>
    <row r="859" spans="2:8" hidden="1" x14ac:dyDescent="0.3">
      <c r="B859" s="30"/>
      <c r="C859" s="30"/>
      <c r="D859" s="30"/>
      <c r="E859" s="86" t="s">
        <v>237</v>
      </c>
      <c r="F859" s="17">
        <v>0</v>
      </c>
      <c r="G859" s="30">
        <v>0</v>
      </c>
      <c r="H859" s="30">
        <v>0</v>
      </c>
    </row>
    <row r="860" spans="2:8" hidden="1" x14ac:dyDescent="0.3">
      <c r="B860" s="30"/>
      <c r="C860" s="30"/>
      <c r="D860" s="30"/>
      <c r="E860" s="86" t="s">
        <v>237</v>
      </c>
      <c r="F860" s="17">
        <v>0</v>
      </c>
      <c r="G860" s="30">
        <v>0</v>
      </c>
      <c r="H860" s="30">
        <v>0</v>
      </c>
    </row>
    <row r="861" spans="2:8" hidden="1" x14ac:dyDescent="0.3">
      <c r="B861" s="30"/>
      <c r="C861" s="30"/>
      <c r="D861" s="30"/>
      <c r="E861" s="86" t="s">
        <v>237</v>
      </c>
      <c r="F861" s="17">
        <v>0</v>
      </c>
      <c r="G861" s="30">
        <v>0</v>
      </c>
      <c r="H861" s="30">
        <v>0</v>
      </c>
    </row>
    <row r="862" spans="2:8" hidden="1" x14ac:dyDescent="0.3">
      <c r="B862" s="30"/>
      <c r="C862" s="30"/>
      <c r="D862" s="30"/>
      <c r="E862" s="86" t="s">
        <v>237</v>
      </c>
      <c r="F862" s="17">
        <v>0</v>
      </c>
      <c r="G862" s="30">
        <v>0</v>
      </c>
      <c r="H862" s="30">
        <v>0</v>
      </c>
    </row>
    <row r="863" spans="2:8" hidden="1" x14ac:dyDescent="0.3">
      <c r="B863" s="30"/>
      <c r="C863" s="30"/>
      <c r="D863" s="30"/>
      <c r="E863" s="86" t="s">
        <v>237</v>
      </c>
      <c r="F863" s="17">
        <v>0</v>
      </c>
      <c r="G863" s="30">
        <v>0</v>
      </c>
      <c r="H863" s="30">
        <v>0</v>
      </c>
    </row>
    <row r="864" spans="2:8" hidden="1" x14ac:dyDescent="0.3">
      <c r="B864" s="30"/>
      <c r="C864" s="30"/>
      <c r="D864" s="30"/>
      <c r="E864" s="86" t="s">
        <v>237</v>
      </c>
      <c r="F864" s="17">
        <v>0</v>
      </c>
      <c r="G864" s="30">
        <v>0</v>
      </c>
      <c r="H864" s="30">
        <v>0</v>
      </c>
    </row>
    <row r="865" spans="2:8" hidden="1" x14ac:dyDescent="0.3">
      <c r="B865" s="30"/>
      <c r="C865" s="30"/>
      <c r="D865" s="30"/>
      <c r="E865" s="86" t="s">
        <v>237</v>
      </c>
      <c r="F865" s="17">
        <v>0</v>
      </c>
      <c r="G865" s="30">
        <v>0</v>
      </c>
      <c r="H865" s="30">
        <v>0</v>
      </c>
    </row>
    <row r="866" spans="2:8" hidden="1" x14ac:dyDescent="0.3">
      <c r="B866" s="30"/>
      <c r="C866" s="30"/>
      <c r="D866" s="30"/>
      <c r="E866" s="86" t="s">
        <v>237</v>
      </c>
      <c r="F866" s="17">
        <v>0</v>
      </c>
      <c r="G866" s="30">
        <v>0</v>
      </c>
      <c r="H866" s="30">
        <v>0</v>
      </c>
    </row>
    <row r="867" spans="2:8" hidden="1" x14ac:dyDescent="0.3">
      <c r="B867" s="30"/>
      <c r="C867" s="30"/>
      <c r="D867" s="30"/>
      <c r="E867" s="86" t="s">
        <v>237</v>
      </c>
      <c r="F867" s="17">
        <v>0</v>
      </c>
      <c r="G867" s="30">
        <v>0</v>
      </c>
      <c r="H867" s="30">
        <v>0</v>
      </c>
    </row>
    <row r="868" spans="2:8" hidden="1" x14ac:dyDescent="0.3">
      <c r="B868" s="30"/>
      <c r="C868" s="30"/>
      <c r="D868" s="30"/>
      <c r="E868" s="86" t="s">
        <v>237</v>
      </c>
      <c r="F868" s="17">
        <v>0</v>
      </c>
      <c r="G868" s="30">
        <v>0</v>
      </c>
      <c r="H868" s="30">
        <v>0</v>
      </c>
    </row>
    <row r="869" spans="2:8" hidden="1" x14ac:dyDescent="0.3">
      <c r="B869" s="30"/>
      <c r="C869" s="30"/>
      <c r="D869" s="30"/>
      <c r="E869" s="86" t="s">
        <v>237</v>
      </c>
      <c r="F869" s="17">
        <v>0</v>
      </c>
      <c r="G869" s="30">
        <v>0</v>
      </c>
      <c r="H869" s="30">
        <v>0</v>
      </c>
    </row>
    <row r="870" spans="2:8" hidden="1" x14ac:dyDescent="0.3">
      <c r="B870" s="30"/>
      <c r="C870" s="30"/>
      <c r="D870" s="30"/>
      <c r="E870" s="86" t="s">
        <v>237</v>
      </c>
      <c r="F870" s="17">
        <v>0</v>
      </c>
      <c r="G870" s="30">
        <v>0</v>
      </c>
      <c r="H870" s="30">
        <v>0</v>
      </c>
    </row>
    <row r="871" spans="2:8" hidden="1" x14ac:dyDescent="0.3">
      <c r="B871" s="30"/>
      <c r="C871" s="30"/>
      <c r="D871" s="30"/>
      <c r="E871" s="86" t="s">
        <v>237</v>
      </c>
      <c r="F871" s="17">
        <v>0</v>
      </c>
      <c r="G871" s="30">
        <v>0</v>
      </c>
      <c r="H871" s="30">
        <v>0</v>
      </c>
    </row>
    <row r="872" spans="2:8" hidden="1" x14ac:dyDescent="0.3">
      <c r="B872" s="30"/>
      <c r="C872" s="30"/>
      <c r="D872" s="30"/>
      <c r="E872" s="86" t="s">
        <v>237</v>
      </c>
      <c r="F872" s="17">
        <v>0</v>
      </c>
      <c r="G872" s="30">
        <v>0</v>
      </c>
      <c r="H872" s="30">
        <v>0</v>
      </c>
    </row>
    <row r="873" spans="2:8" hidden="1" x14ac:dyDescent="0.3">
      <c r="B873" s="30"/>
      <c r="C873" s="30"/>
      <c r="D873" s="30"/>
      <c r="E873" s="86" t="s">
        <v>237</v>
      </c>
      <c r="F873" s="17">
        <v>0</v>
      </c>
      <c r="G873" s="30">
        <v>0</v>
      </c>
      <c r="H873" s="30">
        <v>0</v>
      </c>
    </row>
    <row r="874" spans="2:8" hidden="1" x14ac:dyDescent="0.3">
      <c r="B874" s="30"/>
      <c r="C874" s="30"/>
      <c r="D874" s="30"/>
      <c r="E874" s="86" t="s">
        <v>237</v>
      </c>
      <c r="F874" s="17">
        <v>0</v>
      </c>
      <c r="G874" s="30">
        <v>0</v>
      </c>
      <c r="H874" s="30">
        <v>0</v>
      </c>
    </row>
    <row r="875" spans="2:8" hidden="1" x14ac:dyDescent="0.3">
      <c r="B875" s="30"/>
      <c r="C875" s="30"/>
      <c r="D875" s="30"/>
      <c r="E875" s="86" t="s">
        <v>237</v>
      </c>
      <c r="F875" s="17">
        <v>0</v>
      </c>
      <c r="G875" s="30">
        <v>0</v>
      </c>
      <c r="H875" s="30">
        <v>0</v>
      </c>
    </row>
    <row r="876" spans="2:8" hidden="1" x14ac:dyDescent="0.3">
      <c r="B876" s="30"/>
      <c r="C876" s="30"/>
      <c r="D876" s="30"/>
      <c r="E876" s="86" t="s">
        <v>237</v>
      </c>
      <c r="F876" s="17">
        <v>0</v>
      </c>
      <c r="G876" s="30">
        <v>0</v>
      </c>
      <c r="H876" s="30">
        <v>0</v>
      </c>
    </row>
    <row r="877" spans="2:8" hidden="1" x14ac:dyDescent="0.3">
      <c r="B877" s="30"/>
      <c r="C877" s="30"/>
      <c r="D877" s="30"/>
      <c r="E877" s="86" t="s">
        <v>237</v>
      </c>
      <c r="F877" s="17">
        <v>0</v>
      </c>
      <c r="G877" s="30">
        <v>0</v>
      </c>
      <c r="H877" s="30">
        <v>0</v>
      </c>
    </row>
    <row r="878" spans="2:8" hidden="1" x14ac:dyDescent="0.3">
      <c r="B878" s="30"/>
      <c r="C878" s="30"/>
      <c r="D878" s="30"/>
      <c r="E878" s="86" t="s">
        <v>237</v>
      </c>
      <c r="F878" s="17">
        <v>0</v>
      </c>
      <c r="G878" s="30">
        <v>0</v>
      </c>
      <c r="H878" s="30">
        <v>0</v>
      </c>
    </row>
    <row r="879" spans="2:8" hidden="1" x14ac:dyDescent="0.3">
      <c r="B879" s="30"/>
      <c r="C879" s="30"/>
      <c r="D879" s="30"/>
      <c r="E879" s="86" t="s">
        <v>237</v>
      </c>
      <c r="F879" s="17">
        <v>0</v>
      </c>
      <c r="G879" s="30">
        <v>0</v>
      </c>
      <c r="H879" s="30">
        <v>0</v>
      </c>
    </row>
    <row r="880" spans="2:8" hidden="1" x14ac:dyDescent="0.3">
      <c r="B880" s="30"/>
      <c r="C880" s="30"/>
      <c r="D880" s="30"/>
      <c r="E880" s="86" t="s">
        <v>237</v>
      </c>
      <c r="F880" s="17">
        <v>0</v>
      </c>
      <c r="G880" s="30">
        <v>0</v>
      </c>
      <c r="H880" s="30">
        <v>0</v>
      </c>
    </row>
    <row r="881" spans="2:8" hidden="1" x14ac:dyDescent="0.3">
      <c r="B881" s="30"/>
      <c r="C881" s="30"/>
      <c r="D881" s="30"/>
      <c r="E881" s="86" t="s">
        <v>237</v>
      </c>
      <c r="F881" s="17">
        <v>0</v>
      </c>
      <c r="G881" s="30">
        <v>0</v>
      </c>
      <c r="H881" s="30">
        <v>0</v>
      </c>
    </row>
    <row r="882" spans="2:8" hidden="1" x14ac:dyDescent="0.3">
      <c r="B882" s="30"/>
      <c r="C882" s="30"/>
      <c r="D882" s="30"/>
      <c r="E882" s="86" t="s">
        <v>237</v>
      </c>
      <c r="F882" s="17">
        <v>0</v>
      </c>
      <c r="G882" s="30">
        <v>0</v>
      </c>
      <c r="H882" s="30">
        <v>0</v>
      </c>
    </row>
    <row r="883" spans="2:8" hidden="1" x14ac:dyDescent="0.3">
      <c r="B883" s="30"/>
      <c r="C883" s="30"/>
      <c r="D883" s="30"/>
      <c r="E883" s="86" t="s">
        <v>237</v>
      </c>
      <c r="F883" s="17">
        <v>0</v>
      </c>
      <c r="G883" s="30">
        <v>0</v>
      </c>
      <c r="H883" s="30">
        <v>0</v>
      </c>
    </row>
    <row r="884" spans="2:8" hidden="1" x14ac:dyDescent="0.3">
      <c r="B884" s="30"/>
      <c r="C884" s="30"/>
      <c r="D884" s="30"/>
      <c r="E884" s="86" t="s">
        <v>237</v>
      </c>
      <c r="F884" s="17">
        <v>0</v>
      </c>
      <c r="G884" s="30">
        <v>0</v>
      </c>
      <c r="H884" s="30">
        <v>0</v>
      </c>
    </row>
    <row r="885" spans="2:8" hidden="1" x14ac:dyDescent="0.3">
      <c r="B885" s="30"/>
      <c r="C885" s="30"/>
      <c r="D885" s="30"/>
      <c r="E885" s="86" t="s">
        <v>237</v>
      </c>
      <c r="F885" s="17">
        <v>0</v>
      </c>
      <c r="G885" s="30">
        <v>0</v>
      </c>
      <c r="H885" s="30">
        <v>0</v>
      </c>
    </row>
    <row r="886" spans="2:8" hidden="1" x14ac:dyDescent="0.3">
      <c r="B886" s="30"/>
      <c r="C886" s="30"/>
      <c r="D886" s="30"/>
      <c r="E886" s="86" t="s">
        <v>237</v>
      </c>
      <c r="F886" s="17">
        <v>0</v>
      </c>
      <c r="G886" s="30">
        <v>0</v>
      </c>
      <c r="H886" s="30">
        <v>0</v>
      </c>
    </row>
    <row r="887" spans="2:8" hidden="1" x14ac:dyDescent="0.3">
      <c r="B887" s="30"/>
      <c r="C887" s="30"/>
      <c r="D887" s="30"/>
      <c r="E887" s="86" t="s">
        <v>237</v>
      </c>
      <c r="F887" s="17">
        <v>0</v>
      </c>
      <c r="G887" s="30">
        <v>0</v>
      </c>
      <c r="H887" s="30">
        <v>0</v>
      </c>
    </row>
    <row r="888" spans="2:8" hidden="1" x14ac:dyDescent="0.3">
      <c r="B888" s="30"/>
      <c r="C888" s="30"/>
      <c r="D888" s="30"/>
      <c r="E888" s="86" t="s">
        <v>237</v>
      </c>
      <c r="F888" s="17">
        <v>0</v>
      </c>
      <c r="G888" s="30">
        <v>0</v>
      </c>
      <c r="H888" s="30">
        <v>0</v>
      </c>
    </row>
    <row r="889" spans="2:8" hidden="1" x14ac:dyDescent="0.3">
      <c r="B889" s="30"/>
      <c r="C889" s="30"/>
      <c r="D889" s="30"/>
      <c r="E889" s="86" t="s">
        <v>237</v>
      </c>
      <c r="F889" s="17">
        <v>0</v>
      </c>
      <c r="G889" s="30">
        <v>0</v>
      </c>
      <c r="H889" s="30">
        <v>0</v>
      </c>
    </row>
    <row r="890" spans="2:8" hidden="1" x14ac:dyDescent="0.3">
      <c r="B890" s="30"/>
      <c r="C890" s="30"/>
      <c r="D890" s="30"/>
      <c r="E890" s="86" t="s">
        <v>237</v>
      </c>
      <c r="F890" s="17">
        <v>0</v>
      </c>
      <c r="G890" s="30">
        <v>0</v>
      </c>
      <c r="H890" s="30">
        <v>0</v>
      </c>
    </row>
    <row r="891" spans="2:8" hidden="1" x14ac:dyDescent="0.3">
      <c r="B891" s="30"/>
      <c r="C891" s="30"/>
      <c r="D891" s="30"/>
      <c r="E891" s="86" t="s">
        <v>237</v>
      </c>
      <c r="F891" s="17">
        <v>0</v>
      </c>
      <c r="G891" s="30">
        <v>0</v>
      </c>
      <c r="H891" s="30">
        <v>0</v>
      </c>
    </row>
    <row r="892" spans="2:8" hidden="1" x14ac:dyDescent="0.3">
      <c r="B892" s="30"/>
      <c r="C892" s="30"/>
      <c r="D892" s="30"/>
      <c r="E892" s="86" t="s">
        <v>237</v>
      </c>
      <c r="F892" s="17">
        <v>0</v>
      </c>
      <c r="G892" s="30">
        <v>0</v>
      </c>
      <c r="H892" s="30">
        <v>0</v>
      </c>
    </row>
    <row r="893" spans="2:8" hidden="1" x14ac:dyDescent="0.3">
      <c r="B893" s="30"/>
      <c r="C893" s="30"/>
      <c r="D893" s="30"/>
      <c r="E893" s="86" t="s">
        <v>237</v>
      </c>
      <c r="F893" s="17">
        <v>0</v>
      </c>
      <c r="G893" s="30">
        <v>0</v>
      </c>
      <c r="H893" s="30">
        <v>0</v>
      </c>
    </row>
    <row r="894" spans="2:8" hidden="1" x14ac:dyDescent="0.3">
      <c r="B894" s="30"/>
      <c r="C894" s="30"/>
      <c r="D894" s="30"/>
      <c r="E894" s="86" t="s">
        <v>237</v>
      </c>
      <c r="F894" s="17">
        <v>0</v>
      </c>
      <c r="G894" s="30">
        <v>0</v>
      </c>
      <c r="H894" s="30">
        <v>0</v>
      </c>
    </row>
    <row r="895" spans="2:8" hidden="1" x14ac:dyDescent="0.3">
      <c r="B895" s="30"/>
      <c r="C895" s="30"/>
      <c r="D895" s="30"/>
      <c r="E895" s="86" t="s">
        <v>237</v>
      </c>
      <c r="F895" s="17">
        <v>0</v>
      </c>
      <c r="G895" s="30">
        <v>0</v>
      </c>
      <c r="H895" s="30">
        <v>0</v>
      </c>
    </row>
    <row r="896" spans="2:8" hidden="1" x14ac:dyDescent="0.3">
      <c r="B896" s="30"/>
      <c r="C896" s="30"/>
      <c r="D896" s="30"/>
      <c r="E896" s="86" t="s">
        <v>237</v>
      </c>
      <c r="F896" s="17">
        <v>0</v>
      </c>
      <c r="G896" s="30">
        <v>0</v>
      </c>
      <c r="H896" s="30">
        <v>0</v>
      </c>
    </row>
    <row r="897" spans="2:11" hidden="1" x14ac:dyDescent="0.3">
      <c r="B897" s="30"/>
      <c r="C897" s="30"/>
      <c r="D897" s="30"/>
      <c r="E897" s="86" t="s">
        <v>237</v>
      </c>
      <c r="F897" s="17">
        <v>0</v>
      </c>
      <c r="G897" s="30">
        <v>0</v>
      </c>
      <c r="H897" s="30">
        <v>0</v>
      </c>
    </row>
    <row r="898" spans="2:11" hidden="1" x14ac:dyDescent="0.3">
      <c r="B898" s="30"/>
      <c r="C898" s="30"/>
      <c r="D898" s="30"/>
      <c r="E898" s="86" t="s">
        <v>237</v>
      </c>
      <c r="F898" s="17">
        <v>0</v>
      </c>
      <c r="G898" s="30">
        <v>0</v>
      </c>
      <c r="H898" s="30">
        <v>0</v>
      </c>
    </row>
    <row r="899" spans="2:11" hidden="1" x14ac:dyDescent="0.3">
      <c r="B899" s="30"/>
      <c r="C899" s="30"/>
      <c r="D899" s="30"/>
      <c r="E899" s="86" t="s">
        <v>237</v>
      </c>
      <c r="F899" s="17">
        <v>0</v>
      </c>
      <c r="G899" s="30">
        <v>0</v>
      </c>
      <c r="H899" s="30">
        <v>0</v>
      </c>
    </row>
    <row r="900" spans="2:11" hidden="1" x14ac:dyDescent="0.3">
      <c r="B900" s="30"/>
      <c r="C900" s="30"/>
      <c r="D900" s="30"/>
      <c r="E900" s="86" t="s">
        <v>237</v>
      </c>
      <c r="F900" s="17">
        <v>0</v>
      </c>
      <c r="G900" s="30">
        <v>0</v>
      </c>
      <c r="H900" s="30">
        <v>0</v>
      </c>
    </row>
    <row r="901" spans="2:11" hidden="1" x14ac:dyDescent="0.3">
      <c r="B901" s="30"/>
      <c r="C901" s="30"/>
      <c r="D901" s="30"/>
      <c r="E901" s="86" t="s">
        <v>237</v>
      </c>
      <c r="F901" s="17">
        <v>0</v>
      </c>
      <c r="G901" s="30">
        <v>0</v>
      </c>
      <c r="H901" s="30">
        <v>0</v>
      </c>
    </row>
    <row r="902" spans="2:11" hidden="1" x14ac:dyDescent="0.3">
      <c r="B902" s="30"/>
      <c r="C902" s="30"/>
      <c r="D902" s="30"/>
      <c r="E902" s="86" t="s">
        <v>237</v>
      </c>
      <c r="F902" s="17">
        <v>0</v>
      </c>
      <c r="G902" s="30">
        <v>0</v>
      </c>
      <c r="H902" s="30">
        <v>0</v>
      </c>
    </row>
    <row r="903" spans="2:11" hidden="1" x14ac:dyDescent="0.3">
      <c r="B903" s="30"/>
      <c r="C903" s="30"/>
      <c r="D903" s="30"/>
      <c r="E903" s="86" t="s">
        <v>237</v>
      </c>
      <c r="F903" s="17">
        <v>0</v>
      </c>
      <c r="G903" s="30">
        <v>0</v>
      </c>
      <c r="H903" s="30">
        <v>0</v>
      </c>
    </row>
    <row r="904" spans="2:11" hidden="1" x14ac:dyDescent="0.3">
      <c r="B904" s="30"/>
      <c r="C904" s="30"/>
      <c r="D904" s="30"/>
      <c r="E904" s="86" t="s">
        <v>237</v>
      </c>
      <c r="F904" s="17">
        <v>0</v>
      </c>
      <c r="G904" s="30">
        <v>0</v>
      </c>
      <c r="H904" s="30">
        <v>0</v>
      </c>
    </row>
    <row r="905" spans="2:11" hidden="1" x14ac:dyDescent="0.3">
      <c r="B905" s="30"/>
      <c r="C905" s="30"/>
      <c r="D905" s="30"/>
      <c r="E905" s="86" t="s">
        <v>237</v>
      </c>
      <c r="F905" s="17">
        <v>0</v>
      </c>
      <c r="G905" s="30">
        <v>0</v>
      </c>
      <c r="H905" s="30">
        <v>0</v>
      </c>
    </row>
    <row r="906" spans="2:11" hidden="1" x14ac:dyDescent="0.3">
      <c r="B906" s="30"/>
      <c r="C906" s="30"/>
      <c r="D906" s="30"/>
      <c r="E906" s="86" t="s">
        <v>237</v>
      </c>
      <c r="F906" s="17">
        <v>0</v>
      </c>
      <c r="G906" s="30">
        <v>0</v>
      </c>
      <c r="H906" s="30">
        <v>0</v>
      </c>
    </row>
    <row r="907" spans="2:11" hidden="1" x14ac:dyDescent="0.3">
      <c r="B907" s="30"/>
      <c r="C907" s="30"/>
      <c r="D907" s="30"/>
      <c r="E907" s="86" t="s">
        <v>237</v>
      </c>
      <c r="F907" s="17">
        <v>0</v>
      </c>
      <c r="G907" s="30">
        <v>0</v>
      </c>
      <c r="H907" s="30">
        <v>0</v>
      </c>
    </row>
    <row r="908" spans="2:11" hidden="1" x14ac:dyDescent="0.3">
      <c r="B908" s="30"/>
      <c r="C908" s="30"/>
      <c r="D908" s="30"/>
      <c r="E908" s="86" t="s">
        <v>237</v>
      </c>
      <c r="F908" s="17">
        <v>0</v>
      </c>
      <c r="G908" s="30">
        <v>0</v>
      </c>
      <c r="H908" s="30">
        <v>0</v>
      </c>
    </row>
    <row r="909" spans="2:11" hidden="1" x14ac:dyDescent="0.3">
      <c r="B909" s="30"/>
      <c r="C909" s="30"/>
      <c r="D909" s="30"/>
      <c r="E909" s="86" t="s">
        <v>237</v>
      </c>
      <c r="F909" s="17">
        <v>0</v>
      </c>
      <c r="G909" s="30">
        <v>0</v>
      </c>
      <c r="H909" s="30">
        <v>0</v>
      </c>
    </row>
    <row r="910" spans="2:11" hidden="1" x14ac:dyDescent="0.3">
      <c r="B910" s="30"/>
      <c r="C910" s="30"/>
      <c r="D910" s="30"/>
      <c r="E910" s="86" t="s">
        <v>237</v>
      </c>
      <c r="F910" s="17">
        <v>0</v>
      </c>
      <c r="G910" s="30">
        <v>0</v>
      </c>
      <c r="H910" s="30">
        <v>0</v>
      </c>
    </row>
    <row r="911" spans="2:11" hidden="1" x14ac:dyDescent="0.3">
      <c r="B911" s="30" t="s">
        <v>7</v>
      </c>
      <c r="C911" s="30" t="s">
        <v>7</v>
      </c>
      <c r="D911" s="30" t="s">
        <v>7</v>
      </c>
      <c r="E911" s="86" t="s">
        <v>7</v>
      </c>
      <c r="F911" s="17" t="s">
        <v>7</v>
      </c>
      <c r="G911" s="30" t="s">
        <v>7</v>
      </c>
      <c r="H911" s="30" t="s">
        <v>7</v>
      </c>
      <c r="I911" s="1" t="s">
        <v>7</v>
      </c>
      <c r="J911" s="1" t="s">
        <v>7</v>
      </c>
      <c r="K911" s="1" t="s">
        <v>7</v>
      </c>
    </row>
  </sheetData>
  <autoFilter ref="B2:H911" xr:uid="{9965BB46-3B3C-4424-BA61-E81752F978A8}">
    <filterColumn colId="4">
      <filters>
        <filter val="CABLE Nª 10 C/ALTERNA AZUL"/>
        <filter val="CABLE Nª 10 C/ALTERNA GRIS"/>
        <filter val="CABLE Nª 10 C/ALTERNA MARRON"/>
        <filter val="CABLE Nª 10 C/ALTERNA NEGRO"/>
        <filter val="CABLE Nª 10 C/ALTERNA VERDE/AMARILLO"/>
        <filter val="CABLE Nª 16 C/ALTERNA AZUL"/>
        <filter val="CABLE Nª 16 C/ALTERNA GRIS"/>
        <filter val="CABLE Nª 16 C/ALTERNA MARRON"/>
        <filter val="CABLE Nª 16 C/ALTERNA NEGRO"/>
        <filter val="CABLE Nª 6 C/ALTERNA AZUL"/>
        <filter val="CABLE Nª 6 C/ALTERNA GRIS"/>
        <filter val="CABLE Nª 6 C/ALTERNA MARRON"/>
        <filter val="CABLE Nª 6 C/ALTERNA NEGRO"/>
        <filter val="CABLE Nª 6 C/ALTERNA VERDE/AMARILLO"/>
        <filter val="CABLE Nª 6 P/PLACA SOLAR NEGRO"/>
        <filter val="CABLE Nª 6 P/PLACA SOLAR ROJO"/>
        <filter val="CABLE UTP RJ45 1.8m (VICTRON ENERGY)"/>
        <filter val="JUEGO CABLE PARA BATERIA DE LITIO B4850"/>
        <filter val="KIT CABLE BATERIA ARK"/>
        <filter val="KIT CABLE M4 H/M AIKO 610WP"/>
        <filter val="PERRILLO PAR CABLE Nª 6/8mm 25x30 A/GALVANIZADO Y T/HEZAGONAL"/>
        <filter val="REPUESTO CABLE FIAT 1.5mm TARJETA-DISPLAY 16 PINES"/>
      </filters>
    </filterColumn>
  </autoFilter>
  <mergeCells count="1">
    <mergeCell ref="B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5AB-8082-4CB4-9F90-43A0EA96EC03}">
  <sheetPr>
    <tabColor rgb="FFFFFF00"/>
  </sheetPr>
  <dimension ref="A1:M46"/>
  <sheetViews>
    <sheetView zoomScale="85" zoomScaleNormal="85" workbookViewId="0">
      <pane ySplit="5" topLeftCell="A6" activePane="bottomLeft" state="frozen"/>
      <selection pane="bottomLeft" activeCell="I7" sqref="I7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33</v>
      </c>
      <c r="J1" s="69"/>
      <c r="K1" s="87" t="s">
        <v>468</v>
      </c>
      <c r="L1" s="87" t="s">
        <v>523</v>
      </c>
      <c r="M1" s="74"/>
    </row>
    <row r="2" spans="1:13" s="51" customFormat="1" ht="39.6" customHeight="1" x14ac:dyDescent="0.3">
      <c r="A2" s="278" t="s">
        <v>349</v>
      </c>
      <c r="B2" s="280"/>
      <c r="C2" s="282"/>
      <c r="D2" s="283"/>
      <c r="E2" s="283"/>
      <c r="F2" s="291"/>
      <c r="G2" s="292" t="s">
        <v>355</v>
      </c>
      <c r="H2" s="290"/>
      <c r="I2" s="62">
        <v>33</v>
      </c>
      <c r="J2" s="69"/>
      <c r="K2" s="110" t="s">
        <v>554</v>
      </c>
      <c r="L2" s="110" t="s">
        <v>523</v>
      </c>
      <c r="M2" s="74"/>
    </row>
    <row r="3" spans="1:13" s="51" customFormat="1" ht="39.6" customHeight="1" x14ac:dyDescent="0.3">
      <c r="A3" s="278" t="s">
        <v>258</v>
      </c>
      <c r="B3" s="280"/>
      <c r="C3" s="308"/>
      <c r="D3" s="309"/>
      <c r="E3" s="68"/>
      <c r="F3" s="61" t="s">
        <v>353</v>
      </c>
      <c r="G3" s="295" t="s">
        <v>369</v>
      </c>
      <c r="H3" s="296"/>
      <c r="I3" s="127"/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/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9</v>
      </c>
      <c r="C6" s="12">
        <v>2</v>
      </c>
      <c r="D6" s="12">
        <v>291</v>
      </c>
      <c r="E6" s="12" t="str">
        <f t="shared" ref="E6:E44" si="0">CONCATENATE(B6,"-",C6,"-",D6)</f>
        <v>9-2-291</v>
      </c>
      <c r="F6" s="64" t="str">
        <f>IFERROR(VLOOKUP(E6,'LISTA ITEMS (2)'!$E$2:$G$910,2,FALSE)," ")</f>
        <v>TUBO ELECTRICO PVC 25mm - 3mt(AISCAN)</v>
      </c>
      <c r="G6" s="79" t="str">
        <f>IFERROR(VLOOKUP(E6,'LISTA ITEMS (2)'!$E$2:$G$910,3,FALSE)," ")</f>
        <v>UND</v>
      </c>
      <c r="H6" s="196"/>
      <c r="I6" s="12" t="s">
        <v>356</v>
      </c>
      <c r="J6" s="76"/>
      <c r="K6" s="72"/>
      <c r="L6" s="75">
        <f t="shared" ref="L6:L44" si="1">+H6-K6</f>
        <v>0</v>
      </c>
      <c r="M6" s="12"/>
    </row>
    <row r="7" spans="1:13" s="15" customFormat="1" ht="31.95" customHeight="1" x14ac:dyDescent="0.3">
      <c r="A7" s="12">
        <v>2</v>
      </c>
      <c r="B7" s="12">
        <v>16</v>
      </c>
      <c r="C7" s="12">
        <v>52</v>
      </c>
      <c r="D7" s="12">
        <v>292</v>
      </c>
      <c r="E7" s="12" t="str">
        <f t="shared" si="0"/>
        <v>16-52-292</v>
      </c>
      <c r="F7" s="64" t="str">
        <f>IFERROR(VLOOKUP(E7,'LISTA ITEMS (2)'!$E$2:$G$910,2,FALSE)," ")</f>
        <v>TERMICO EPBE63M1NC63M1NC40 1P+N C40 (MAXGE)</v>
      </c>
      <c r="G7" s="79" t="str">
        <f>IFERROR(VLOOKUP(E7,'LISTA ITEMS (2)'!$E$2:$G$910,3,FALSE)," ")</f>
        <v>UND</v>
      </c>
      <c r="H7" s="196"/>
      <c r="I7" s="12" t="s">
        <v>356</v>
      </c>
      <c r="J7" s="76"/>
      <c r="K7" s="72"/>
      <c r="L7" s="75">
        <f t="shared" si="1"/>
        <v>0</v>
      </c>
      <c r="M7" s="12"/>
    </row>
    <row r="8" spans="1:13" s="15" customFormat="1" ht="31.95" customHeight="1" x14ac:dyDescent="0.3">
      <c r="A8" s="12">
        <v>3</v>
      </c>
      <c r="B8" s="12">
        <v>13</v>
      </c>
      <c r="C8" s="12">
        <v>21</v>
      </c>
      <c r="D8" s="12">
        <v>181</v>
      </c>
      <c r="E8" s="12" t="str">
        <f t="shared" si="0"/>
        <v>13-21-181</v>
      </c>
      <c r="F8" s="64" t="str">
        <f>IFERROR(VLOOKUP(E8,'LISTA ITEMS (2)'!$E$2:$G$910,2,FALSE)," ")</f>
        <v>TACO P/BRIDA NEGRO</v>
      </c>
      <c r="G8" s="79" t="str">
        <f>IFERROR(VLOOKUP(E8,'LISTA ITEMS (2)'!$E$2:$G$910,3,FALSE)," ")</f>
        <v>UND</v>
      </c>
      <c r="H8" s="196"/>
      <c r="I8" s="12" t="s">
        <v>356</v>
      </c>
      <c r="J8" s="76"/>
      <c r="K8" s="72"/>
      <c r="L8" s="75">
        <f t="shared" si="1"/>
        <v>0</v>
      </c>
      <c r="M8" s="194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315</v>
      </c>
      <c r="E9" s="12" t="str">
        <f t="shared" si="0"/>
        <v>10-37-315</v>
      </c>
      <c r="F9" s="64" t="str">
        <f>IFERROR(VLOOKUP(E9,'LISTA ITEMS (2)'!$E$2:$G$910,2,FALSE)," ")</f>
        <v>SOPORTE FINAL NEGRO</v>
      </c>
      <c r="G9" s="79" t="str">
        <f>IFERROR(VLOOKUP(E9,'LISTA ITEMS (2)'!$E$2:$G$910,3,FALSE)," ")</f>
        <v>UND</v>
      </c>
      <c r="H9" s="196"/>
      <c r="I9" s="12" t="s">
        <v>356</v>
      </c>
      <c r="J9" s="76"/>
      <c r="K9" s="72"/>
      <c r="L9" s="75">
        <f t="shared" si="1"/>
        <v>0</v>
      </c>
      <c r="M9" s="194"/>
    </row>
    <row r="10" spans="1:13" s="15" customFormat="1" ht="31.95" customHeight="1" x14ac:dyDescent="0.3">
      <c r="A10" s="12">
        <v>5</v>
      </c>
      <c r="B10" s="12">
        <v>10</v>
      </c>
      <c r="C10" s="12">
        <v>37</v>
      </c>
      <c r="D10" s="12">
        <v>330</v>
      </c>
      <c r="E10" s="12" t="str">
        <f t="shared" si="0"/>
        <v>10-37-330</v>
      </c>
      <c r="F10" s="64" t="str">
        <f>IFERROR(VLOOKUP(E10,'LISTA ITEMS (2)'!$E$2:$G$910,2,FALSE)," ")</f>
        <v>SOPORTE EN L ALUMINIO GRIS</v>
      </c>
      <c r="G10" s="79" t="str">
        <f>IFERROR(VLOOKUP(E10,'LISTA ITEMS (2)'!$E$2:$G$910,3,FALSE)," ")</f>
        <v>UND</v>
      </c>
      <c r="H10" s="196"/>
      <c r="I10" s="12" t="s">
        <v>356</v>
      </c>
      <c r="J10" s="76"/>
      <c r="K10" s="72"/>
      <c r="L10" s="75">
        <f t="shared" si="1"/>
        <v>0</v>
      </c>
      <c r="M10" s="12"/>
    </row>
    <row r="11" spans="1:13" s="15" customFormat="1" ht="31.95" customHeight="1" x14ac:dyDescent="0.3">
      <c r="A11" s="12">
        <v>6</v>
      </c>
      <c r="B11" s="12">
        <v>10</v>
      </c>
      <c r="C11" s="12">
        <v>37</v>
      </c>
      <c r="D11" s="12">
        <v>232</v>
      </c>
      <c r="E11" s="12" t="str">
        <f t="shared" si="0"/>
        <v>10-37-232</v>
      </c>
      <c r="F11" s="64" t="str">
        <f>IFERROR(VLOOKUP(E11,'LISTA ITEMS (2)'!$E$2:$G$910,2,FALSE)," ")</f>
        <v>SOPORTE CENTRAL NEGRO</v>
      </c>
      <c r="G11" s="79" t="str">
        <f>IFERROR(VLOOKUP(E11,'LISTA ITEMS (2)'!$E$2:$G$910,3,FALSE)," ")</f>
        <v>UND</v>
      </c>
      <c r="H11" s="196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>
        <v>17</v>
      </c>
      <c r="C12" s="12">
        <v>44</v>
      </c>
      <c r="D12" s="12">
        <v>272</v>
      </c>
      <c r="E12" s="12" t="str">
        <f t="shared" si="0"/>
        <v>17-44-272</v>
      </c>
      <c r="F12" s="64" t="str">
        <f>IFERROR(VLOOKUP(E12,'LISTA ITEMS (2)'!$E$2:$G$910,2,FALSE)," ")</f>
        <v>SELLANTE QUIMICO GRIS</v>
      </c>
      <c r="G12" s="79" t="str">
        <f>IFERROR(VLOOKUP(E12,'LISTA ITEMS (2)'!$E$2:$G$910,3,FALSE)," ")</f>
        <v>UND</v>
      </c>
      <c r="H12" s="196"/>
      <c r="I12" s="12" t="s">
        <v>356</v>
      </c>
      <c r="J12" s="76"/>
      <c r="K12" s="72"/>
      <c r="L12" s="75">
        <f t="shared" si="1"/>
        <v>0</v>
      </c>
      <c r="M12" s="3"/>
    </row>
    <row r="13" spans="1:13" s="15" customFormat="1" ht="31.95" customHeight="1" x14ac:dyDescent="0.3">
      <c r="A13" s="12">
        <v>8</v>
      </c>
      <c r="B13" s="12">
        <v>17</v>
      </c>
      <c r="C13" s="12">
        <v>44</v>
      </c>
      <c r="D13" s="12">
        <v>272</v>
      </c>
      <c r="E13" s="12" t="str">
        <f t="shared" si="0"/>
        <v>17-44-272</v>
      </c>
      <c r="F13" s="64" t="str">
        <f>IFERROR(VLOOKUP(E13,'LISTA ITEMS (2)'!$E$2:$G$910,2,FALSE)," ")</f>
        <v>SELLANTE QUIMICO GRIS</v>
      </c>
      <c r="G13" s="79" t="str">
        <f>IFERROR(VLOOKUP(E13,'LISTA ITEMS (2)'!$E$2:$G$910,3,FALSE)," ")</f>
        <v>UND</v>
      </c>
      <c r="H13" s="196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>
        <v>17</v>
      </c>
      <c r="C14" s="12">
        <v>44</v>
      </c>
      <c r="D14" s="12">
        <v>271</v>
      </c>
      <c r="E14" s="12" t="str">
        <f t="shared" si="0"/>
        <v>17-44-271</v>
      </c>
      <c r="F14" s="64" t="str">
        <f>IFERROR(VLOOKUP(E14,'LISTA ITEMS (2)'!$E$2:$G$910,2,FALSE)," ")</f>
        <v>SELLANTE QUIMICO BLANCO</v>
      </c>
      <c r="G14" s="79" t="str">
        <f>IFERROR(VLOOKUP(E14,'LISTA ITEMS (2)'!$E$2:$G$910,3,FALSE)," ")</f>
        <v>UND</v>
      </c>
      <c r="H14" s="196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>
        <v>17</v>
      </c>
      <c r="C15" s="12">
        <v>44</v>
      </c>
      <c r="D15" s="12">
        <v>271</v>
      </c>
      <c r="E15" s="12" t="str">
        <f t="shared" si="0"/>
        <v>17-44-271</v>
      </c>
      <c r="F15" s="64" t="str">
        <f>IFERROR(VLOOKUP(E15,'LISTA ITEMS (2)'!$E$2:$G$910,2,FALSE)," ")</f>
        <v>SELLANTE QUIMICO BLANCO</v>
      </c>
      <c r="G15" s="79" t="str">
        <f>IFERROR(VLOOKUP(E15,'LISTA ITEMS (2)'!$E$2:$G$910,3,FALSE)," ")</f>
        <v>UND</v>
      </c>
      <c r="H15" s="196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>
        <v>16</v>
      </c>
      <c r="C16" s="12">
        <v>48</v>
      </c>
      <c r="D16" s="12">
        <v>281</v>
      </c>
      <c r="E16" s="12" t="str">
        <f t="shared" si="0"/>
        <v>16-48-281</v>
      </c>
      <c r="F16" s="64" t="str">
        <f>IFERROR(VLOOKUP(E16,'LISTA ITEMS (2)'!$E$2:$G$910,2,FALSE)," ")</f>
        <v>PORTA FUSIBLE SGF-32-DC (MAXGE)</v>
      </c>
      <c r="G16" s="79" t="str">
        <f>IFERROR(VLOOKUP(E16,'LISTA ITEMS (2)'!$E$2:$G$910,3,FALSE)," ")</f>
        <v>UND</v>
      </c>
      <c r="H16" s="196"/>
      <c r="I16" s="12" t="s">
        <v>356</v>
      </c>
      <c r="J16" s="76"/>
      <c r="K16" s="72"/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>
        <v>16</v>
      </c>
      <c r="C17" s="12">
        <v>53</v>
      </c>
      <c r="D17" s="12">
        <v>290</v>
      </c>
      <c r="E17" s="12" t="str">
        <f t="shared" si="0"/>
        <v>16-53-290</v>
      </c>
      <c r="F17" s="64" t="str">
        <f>IFERROR(VLOOKUP(E17,'LISTA ITEMS (2)'!$E$2:$G$910,2,FALSE)," ")</f>
        <v>PINCHO DE COMUNICACIÓN WIFI SHINEWILAN X2 (GROWATT)</v>
      </c>
      <c r="G17" s="79" t="str">
        <f>IFERROR(VLOOKUP(E17,'LISTA ITEMS (2)'!$E$2:$G$910,3,FALSE)," ")</f>
        <v>UND</v>
      </c>
      <c r="H17" s="196"/>
      <c r="I17" s="12" t="s">
        <v>356</v>
      </c>
      <c r="J17" s="76"/>
      <c r="K17" s="72"/>
      <c r="L17" s="75">
        <f t="shared" si="1"/>
        <v>0</v>
      </c>
      <c r="M17" s="85"/>
    </row>
    <row r="18" spans="1:13" s="15" customFormat="1" ht="31.95" customHeight="1" x14ac:dyDescent="0.3">
      <c r="A18" s="12">
        <v>13</v>
      </c>
      <c r="B18" s="12">
        <v>10</v>
      </c>
      <c r="C18" s="12">
        <v>42</v>
      </c>
      <c r="D18" s="12">
        <v>268</v>
      </c>
      <c r="E18" s="12" t="str">
        <f t="shared" si="0"/>
        <v>10-42-268</v>
      </c>
      <c r="F18" s="64" t="str">
        <f>IFERROR(VLOOKUP(E18,'LISTA ITEMS (2)'!$E$2:$G$910,2,FALSE)," ")</f>
        <v>PATA ALUMINIO PARA ESTRUCTURA PLACA SOLAR ANGULO 30º</v>
      </c>
      <c r="G18" s="79" t="str">
        <f>IFERROR(VLOOKUP(E18,'LISTA ITEMS (2)'!$E$2:$G$910,3,FALSE)," ")</f>
        <v>UND</v>
      </c>
      <c r="H18" s="196"/>
      <c r="I18" s="12" t="s">
        <v>356</v>
      </c>
      <c r="J18" s="76"/>
      <c r="K18" s="72"/>
      <c r="L18" s="75">
        <f t="shared" si="1"/>
        <v>0</v>
      </c>
      <c r="M18" s="12"/>
    </row>
    <row r="19" spans="1:13" s="15" customFormat="1" ht="31.95" customHeight="1" x14ac:dyDescent="0.3">
      <c r="A19" s="12">
        <v>14</v>
      </c>
      <c r="B19" s="12">
        <v>16</v>
      </c>
      <c r="C19" s="12">
        <v>51</v>
      </c>
      <c r="D19" s="12">
        <v>309</v>
      </c>
      <c r="E19" s="12" t="str">
        <f t="shared" si="0"/>
        <v>16-51-309</v>
      </c>
      <c r="F19" s="64" t="str">
        <f>IFERROR(VLOOKUP(E19,'LISTA ITEMS (2)'!$E$2:$G$910,2,FALSE)," ")</f>
        <v>LIMITADOR MONOFASICO EPS1 C/2 - 275-40 (MAXGE)</v>
      </c>
      <c r="G19" s="79" t="str">
        <f>IFERROR(VLOOKUP(E19,'LISTA ITEMS (2)'!$E$2:$G$910,3,FALSE)," ")</f>
        <v>UND</v>
      </c>
      <c r="H19" s="196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>
        <v>16</v>
      </c>
      <c r="C20" s="12">
        <v>50</v>
      </c>
      <c r="D20" s="12">
        <v>283</v>
      </c>
      <c r="E20" s="12" t="str">
        <f t="shared" si="0"/>
        <v>16-50-283</v>
      </c>
      <c r="F20" s="64" t="str">
        <f>IFERROR(VLOOKUP(E20,'LISTA ITEMS (2)'!$E$2:$G$910,2,FALSE)," ")</f>
        <v>FUSIBLE 32A-1000VDC (SASSIN)</v>
      </c>
      <c r="G20" s="79" t="str">
        <f>IFERROR(VLOOKUP(E20,'LISTA ITEMS (2)'!$E$2:$G$910,3,FALSE)," ")</f>
        <v>UND</v>
      </c>
      <c r="H20" s="196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12">
        <v>10</v>
      </c>
      <c r="C21" s="12">
        <v>43</v>
      </c>
      <c r="D21" s="12">
        <v>270</v>
      </c>
      <c r="E21" s="12" t="str">
        <f t="shared" si="0"/>
        <v>10-43-270</v>
      </c>
      <c r="F21" s="64" t="str">
        <f>IFERROR(VLOOKUP(E21,'LISTA ITEMS (2)'!$E$2:$G$910,2,FALSE)," ")</f>
        <v>EMPALME ALUMINIO P/BARRA</v>
      </c>
      <c r="G21" s="79" t="str">
        <f>IFERROR(VLOOKUP(E21,'LISTA ITEMS (2)'!$E$2:$G$910,3,FALSE)," ")</f>
        <v>UND</v>
      </c>
      <c r="H21" s="196"/>
      <c r="I21" s="12" t="s">
        <v>356</v>
      </c>
      <c r="J21" s="76"/>
      <c r="K21" s="72"/>
      <c r="L21" s="75">
        <f t="shared" si="1"/>
        <v>0</v>
      </c>
      <c r="M21" s="12"/>
    </row>
    <row r="22" spans="1:13" s="15" customFormat="1" ht="31.95" customHeight="1" x14ac:dyDescent="0.3">
      <c r="A22" s="12">
        <v>17</v>
      </c>
      <c r="B22" s="12">
        <v>14</v>
      </c>
      <c r="C22" s="12">
        <v>24</v>
      </c>
      <c r="D22" s="12">
        <v>193</v>
      </c>
      <c r="E22" s="12" t="str">
        <f t="shared" si="0"/>
        <v>14-24-193</v>
      </c>
      <c r="F22" s="64" t="str">
        <f>IFERROR(VLOOKUP(E22,'LISTA ITEMS (2)'!$E$2:$G$910,2,FALSE)," ")</f>
        <v>DISCO CORTE ACERO/INOX A1 2EN1</v>
      </c>
      <c r="G22" s="79" t="str">
        <f>IFERROR(VLOOKUP(E22,'LISTA ITEMS (2)'!$E$2:$G$910,3,FALSE)," ")</f>
        <v>UND</v>
      </c>
      <c r="H22" s="196"/>
      <c r="I22" s="12" t="s">
        <v>356</v>
      </c>
      <c r="J22" s="76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18</v>
      </c>
      <c r="B23" s="12">
        <v>16</v>
      </c>
      <c r="C23" s="12">
        <v>47</v>
      </c>
      <c r="D23" s="12">
        <v>318</v>
      </c>
      <c r="E23" s="12" t="str">
        <f t="shared" si="0"/>
        <v>16-47-318</v>
      </c>
      <c r="F23" s="64" t="str">
        <f>IFERROR(VLOOKUP(E23,'LISTA ITEMS (2)'!$E$2:$G$910,2,FALSE)," ")</f>
        <v>DIFERENCIAL EPR2A040030 2P-40A-30mA (MAXGE)</v>
      </c>
      <c r="G23" s="79" t="str">
        <f>IFERROR(VLOOKUP(E23,'LISTA ITEMS (2)'!$E$2:$G$910,3,FALSE)," ")</f>
        <v>UND</v>
      </c>
      <c r="H23" s="196"/>
      <c r="I23" s="12" t="s">
        <v>356</v>
      </c>
      <c r="J23" s="76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>
        <v>9</v>
      </c>
      <c r="C24" s="12">
        <v>32</v>
      </c>
      <c r="D24" s="12">
        <v>224</v>
      </c>
      <c r="E24" s="12" t="str">
        <f t="shared" si="0"/>
        <v>9-32-224</v>
      </c>
      <c r="F24" s="64" t="str">
        <f>IFERROR(VLOOKUP(E24,'LISTA ITEMS (2)'!$E$2:$G$910,2,FALSE)," ")</f>
        <v>CURVA PVC M-25 GRIS TIPO B</v>
      </c>
      <c r="G24" s="79" t="str">
        <f>IFERROR(VLOOKUP(E24,'LISTA ITEMS (2)'!$E$2:$G$910,3,FALSE)," ")</f>
        <v>UND</v>
      </c>
      <c r="H24" s="196"/>
      <c r="I24" s="12" t="s">
        <v>356</v>
      </c>
      <c r="J24" s="76"/>
      <c r="K24" s="72"/>
      <c r="L24" s="75">
        <f t="shared" si="1"/>
        <v>0</v>
      </c>
      <c r="M24" s="194"/>
    </row>
    <row r="25" spans="1:13" s="15" customFormat="1" ht="31.95" customHeight="1" x14ac:dyDescent="0.3">
      <c r="A25" s="12">
        <v>20</v>
      </c>
      <c r="B25" s="12">
        <v>9</v>
      </c>
      <c r="C25" s="12">
        <v>32</v>
      </c>
      <c r="D25" s="12">
        <v>223</v>
      </c>
      <c r="E25" s="12" t="str">
        <f t="shared" si="0"/>
        <v>9-32-223</v>
      </c>
      <c r="F25" s="64" t="str">
        <f>IFERROR(VLOOKUP(E25,'LISTA ITEMS (2)'!$E$2:$G$910,2,FALSE)," ")</f>
        <v>CURVA PVC M-25 GRIS TIPO A</v>
      </c>
      <c r="G25" s="79" t="str">
        <f>IFERROR(VLOOKUP(E25,'LISTA ITEMS (2)'!$E$2:$G$910,3,FALSE)," ")</f>
        <v>UND</v>
      </c>
      <c r="H25" s="196"/>
      <c r="I25" s="12" t="s">
        <v>356</v>
      </c>
      <c r="J25" s="76"/>
      <c r="K25" s="72"/>
      <c r="L25" s="75">
        <f t="shared" si="1"/>
        <v>0</v>
      </c>
      <c r="M25" s="12"/>
    </row>
    <row r="26" spans="1:13" s="15" customFormat="1" ht="31.95" customHeight="1" x14ac:dyDescent="0.3">
      <c r="A26" s="12">
        <v>21</v>
      </c>
      <c r="B26" s="12">
        <v>16</v>
      </c>
      <c r="C26" s="12">
        <v>49</v>
      </c>
      <c r="D26" s="12">
        <v>288</v>
      </c>
      <c r="E26" s="12" t="str">
        <f t="shared" si="0"/>
        <v>16-49-288</v>
      </c>
      <c r="F26" s="64" t="str">
        <f>IFERROR(VLOOKUP(E26,'LISTA ITEMS (2)'!$E$2:$G$910,2,FALSE)," ")</f>
        <v>CONTACTOR MODULAR EPC1-6322-P7 (MAXGE)</v>
      </c>
      <c r="G26" s="79" t="str">
        <f>IFERROR(VLOOKUP(E26,'LISTA ITEMS (2)'!$E$2:$G$910,3,FALSE)," ")</f>
        <v>UND</v>
      </c>
      <c r="H26" s="196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22</v>
      </c>
      <c r="B27" s="12">
        <v>16</v>
      </c>
      <c r="C27" s="12">
        <v>61</v>
      </c>
      <c r="D27" s="12">
        <v>332</v>
      </c>
      <c r="E27" s="12" t="str">
        <f t="shared" si="0"/>
        <v>16-61-332</v>
      </c>
      <c r="F27" s="64" t="str">
        <f>IFERROR(VLOOKUP(E27,'LISTA ITEMS (2)'!$E$2:$G$910,2,FALSE)," ")</f>
        <v>CONECTOR FOTOVOLTAICO MACHO M4 NEGRO</v>
      </c>
      <c r="G27" s="79" t="str">
        <f>IFERROR(VLOOKUP(E27,'LISTA ITEMS (2)'!$E$2:$G$910,3,FALSE)," ")</f>
        <v>UND</v>
      </c>
      <c r="H27" s="196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23</v>
      </c>
      <c r="B28" s="12">
        <v>16</v>
      </c>
      <c r="C28" s="12">
        <v>61</v>
      </c>
      <c r="D28" s="12">
        <v>331</v>
      </c>
      <c r="E28" s="12" t="str">
        <f t="shared" si="0"/>
        <v>16-61-331</v>
      </c>
      <c r="F28" s="64" t="str">
        <f>IFERROR(VLOOKUP(E28,'LISTA ITEMS (2)'!$E$2:$G$910,2,FALSE)," ")</f>
        <v>CONECTOR FOTOVOLTAICO HEMBRA M4 NEGRO</v>
      </c>
      <c r="G28" s="79" t="str">
        <f>IFERROR(VLOOKUP(E28,'LISTA ITEMS (2)'!$E$2:$G$910,3,FALSE)," ")</f>
        <v>UND</v>
      </c>
      <c r="H28" s="196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31.95" customHeight="1" x14ac:dyDescent="0.3">
      <c r="A29" s="12">
        <v>24</v>
      </c>
      <c r="B29" s="12">
        <v>16</v>
      </c>
      <c r="C29" s="12">
        <v>45</v>
      </c>
      <c r="D29" s="12">
        <v>276</v>
      </c>
      <c r="E29" s="12" t="str">
        <f t="shared" si="0"/>
        <v>16-45-276</v>
      </c>
      <c r="F29" s="64" t="str">
        <f>IFERROR(VLOOKUP(E29,'LISTA ITEMS (2)'!$E$2:$G$910,2,FALSE)," ")</f>
        <v>CAJA ESTANCA (COCHERA) EXTERIOR 18PT (IDE)</v>
      </c>
      <c r="G29" s="79" t="str">
        <f>IFERROR(VLOOKUP(E29,'LISTA ITEMS (2)'!$E$2:$G$910,3,FALSE)," ")</f>
        <v>UND</v>
      </c>
      <c r="H29" s="196"/>
      <c r="I29" s="12" t="s">
        <v>356</v>
      </c>
      <c r="J29" s="72"/>
      <c r="K29" s="72"/>
      <c r="L29" s="75">
        <f t="shared" si="1"/>
        <v>0</v>
      </c>
      <c r="M29" s="12"/>
    </row>
    <row r="30" spans="1:13" s="15" customFormat="1" ht="31.95" customHeight="1" x14ac:dyDescent="0.3">
      <c r="A30" s="12">
        <v>25</v>
      </c>
      <c r="B30" s="12">
        <v>16</v>
      </c>
      <c r="C30" s="12">
        <v>45</v>
      </c>
      <c r="D30" s="12">
        <v>275</v>
      </c>
      <c r="E30" s="12" t="str">
        <f t="shared" si="0"/>
        <v>16-45-275</v>
      </c>
      <c r="F30" s="64" t="str">
        <f>IFERROR(VLOOKUP(E30,'LISTA ITEMS (2)'!$E$2:$G$910,2,FALSE)," ")</f>
        <v>CAJA DISTRIBUCION INTERIOR 18 ELEM. (SOLERA)</v>
      </c>
      <c r="G30" s="79" t="str">
        <f>IFERROR(VLOOKUP(E30,'LISTA ITEMS (2)'!$E$2:$G$910,3,FALSE)," ")</f>
        <v>UND</v>
      </c>
      <c r="H30" s="196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26</v>
      </c>
      <c r="B31" s="12">
        <v>3</v>
      </c>
      <c r="C31" s="12">
        <v>31</v>
      </c>
      <c r="D31" s="12">
        <v>278</v>
      </c>
      <c r="E31" s="12" t="str">
        <f t="shared" si="0"/>
        <v>3-31-278</v>
      </c>
      <c r="F31" s="64" t="str">
        <f>IFERROR(VLOOKUP(E31,'LISTA ITEMS (2)'!$E$2:$G$910,2,FALSE)," ")</f>
        <v>CABLE Nª 6 P/PLACA SOLAR ROJO</v>
      </c>
      <c r="G31" s="79" t="str">
        <f>IFERROR(VLOOKUP(E31,'LISTA ITEMS (2)'!$E$2:$G$910,3,FALSE)," ")</f>
        <v>MT</v>
      </c>
      <c r="H31" s="196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customHeight="1" x14ac:dyDescent="0.3">
      <c r="A32" s="12">
        <v>27</v>
      </c>
      <c r="B32" s="12">
        <v>3</v>
      </c>
      <c r="C32" s="12">
        <v>31</v>
      </c>
      <c r="D32" s="12">
        <v>277</v>
      </c>
      <c r="E32" s="12" t="str">
        <f t="shared" si="0"/>
        <v>3-31-277</v>
      </c>
      <c r="F32" s="64" t="str">
        <f>IFERROR(VLOOKUP(E32,'LISTA ITEMS (2)'!$E$2:$G$910,2,FALSE)," ")</f>
        <v>CABLE Nª 6 P/PLACA SOLAR NEGRO</v>
      </c>
      <c r="G32" s="79" t="str">
        <f>IFERROR(VLOOKUP(E32,'LISTA ITEMS (2)'!$E$2:$G$910,3,FALSE)," ")</f>
        <v>MT</v>
      </c>
      <c r="H32" s="196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customHeight="1" x14ac:dyDescent="0.3">
      <c r="A33" s="12">
        <v>28</v>
      </c>
      <c r="B33" s="12">
        <v>13</v>
      </c>
      <c r="C33" s="12">
        <v>22</v>
      </c>
      <c r="D33" s="12">
        <v>184</v>
      </c>
      <c r="E33" s="12" t="str">
        <f t="shared" si="0"/>
        <v>13-22-184</v>
      </c>
      <c r="F33" s="64" t="str">
        <f>IFERROR(VLOOKUP(E33,'LISTA ITEMS (2)'!$E$2:$G$910,2,FALSE)," ")</f>
        <v>BRIDA P/EXTERIOR NEGRA</v>
      </c>
      <c r="G33" s="79" t="str">
        <f>IFERROR(VLOOKUP(E33,'LISTA ITEMS (2)'!$E$2:$G$910,3,FALSE)," ")</f>
        <v>UND</v>
      </c>
      <c r="H33" s="196"/>
      <c r="I33" s="12" t="s">
        <v>356</v>
      </c>
      <c r="J33" s="76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29</v>
      </c>
      <c r="B34" s="12">
        <v>13</v>
      </c>
      <c r="C34" s="12">
        <v>22</v>
      </c>
      <c r="D34" s="12">
        <v>184</v>
      </c>
      <c r="E34" s="12" t="str">
        <f t="shared" si="0"/>
        <v>13-22-184</v>
      </c>
      <c r="F34" s="64" t="str">
        <f>IFERROR(VLOOKUP(E34,'LISTA ITEMS (2)'!$E$2:$G$910,2,FALSE)," ")</f>
        <v>BRIDA P/EXTERIOR NEGRA</v>
      </c>
      <c r="G34" s="79" t="str">
        <f>IFERROR(VLOOKUP(E34,'LISTA ITEMS (2)'!$E$2:$G$910,3,FALSE)," ")</f>
        <v>UND</v>
      </c>
      <c r="H34" s="196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30</v>
      </c>
      <c r="B35" s="12">
        <v>10</v>
      </c>
      <c r="C35" s="12">
        <v>15</v>
      </c>
      <c r="D35" s="12">
        <v>269</v>
      </c>
      <c r="E35" s="12" t="str">
        <f t="shared" si="0"/>
        <v>10-15-269</v>
      </c>
      <c r="F35" s="64" t="str">
        <f>IFERROR(VLOOKUP(E35,'LISTA ITEMS (2)'!$E$2:$G$910,2,FALSE)," ")</f>
        <v>BARRA ALUMINIO PARA ESTRUCTURA  3.60mt</v>
      </c>
      <c r="G35" s="79" t="str">
        <f>IFERROR(VLOOKUP(E35,'LISTA ITEMS (2)'!$E$2:$G$910,3,FALSE)," ")</f>
        <v>UND</v>
      </c>
      <c r="H35" s="196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34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s="15" customFormat="1" ht="31.95" customHeight="1" x14ac:dyDescent="0.3">
      <c r="A40" s="12">
        <v>35</v>
      </c>
      <c r="B40" s="12"/>
      <c r="C40" s="12"/>
      <c r="D40" s="12"/>
      <c r="E40" s="12" t="str">
        <f t="shared" si="0"/>
        <v>--</v>
      </c>
      <c r="F40" s="64">
        <f>IFERROR(VLOOKUP(E40,'LISTA ITEMS (2)'!$E$2:$G$910,2,FALSE)," ")</f>
        <v>0</v>
      </c>
      <c r="G40" s="79">
        <f>IFERROR(VLOOKUP(E40,'LISTA ITEMS (2)'!$E$2:$G$910,3,FALSE)," ")</f>
        <v>0</v>
      </c>
      <c r="H40" s="196"/>
      <c r="I40" s="12" t="s">
        <v>356</v>
      </c>
      <c r="J40" s="76"/>
      <c r="K40" s="72"/>
      <c r="L40" s="75">
        <f t="shared" si="1"/>
        <v>0</v>
      </c>
      <c r="M40" s="12"/>
    </row>
    <row r="41" spans="1:13" s="15" customFormat="1" ht="31.95" customHeight="1" x14ac:dyDescent="0.3">
      <c r="A41" s="12">
        <v>36</v>
      </c>
      <c r="B41" s="12"/>
      <c r="C41" s="12"/>
      <c r="D41" s="12"/>
      <c r="E41" s="12" t="str">
        <f t="shared" si="0"/>
        <v>--</v>
      </c>
      <c r="F41" s="64">
        <f>IFERROR(VLOOKUP(E41,'LISTA ITEMS (2)'!$E$2:$G$910,2,FALSE)," ")</f>
        <v>0</v>
      </c>
      <c r="G41" s="79">
        <f>IFERROR(VLOOKUP(E41,'LISTA ITEMS (2)'!$E$2:$G$910,3,FALSE)," ")</f>
        <v>0</v>
      </c>
      <c r="H41" s="196"/>
      <c r="I41" s="12" t="s">
        <v>356</v>
      </c>
      <c r="J41" s="76"/>
      <c r="K41" s="72"/>
      <c r="L41" s="75">
        <f t="shared" si="1"/>
        <v>0</v>
      </c>
      <c r="M41" s="12"/>
    </row>
    <row r="42" spans="1:13" s="15" customFormat="1" ht="31.95" customHeight="1" x14ac:dyDescent="0.3">
      <c r="A42" s="12">
        <v>37</v>
      </c>
      <c r="B42" s="12"/>
      <c r="C42" s="12"/>
      <c r="D42" s="12"/>
      <c r="E42" s="12" t="str">
        <f t="shared" si="0"/>
        <v>--</v>
      </c>
      <c r="F42" s="64">
        <f>IFERROR(VLOOKUP(E42,'LISTA ITEMS (2)'!$E$2:$G$910,2,FALSE)," ")</f>
        <v>0</v>
      </c>
      <c r="G42" s="79">
        <f>IFERROR(VLOOKUP(E42,'LISTA ITEMS (2)'!$E$2:$G$910,3,FALSE)," ")</f>
        <v>0</v>
      </c>
      <c r="H42" s="196"/>
      <c r="I42" s="12" t="s">
        <v>356</v>
      </c>
      <c r="J42" s="76"/>
      <c r="K42" s="72"/>
      <c r="L42" s="75">
        <f t="shared" si="1"/>
        <v>0</v>
      </c>
      <c r="M42" s="12"/>
    </row>
    <row r="43" spans="1:13" s="15" customFormat="1" ht="31.95" customHeight="1" x14ac:dyDescent="0.3">
      <c r="A43" s="12">
        <v>38</v>
      </c>
      <c r="B43" s="12"/>
      <c r="C43" s="12"/>
      <c r="D43" s="12"/>
      <c r="E43" s="12" t="str">
        <f t="shared" si="0"/>
        <v>--</v>
      </c>
      <c r="F43" s="64">
        <f>IFERROR(VLOOKUP(E43,'LISTA ITEMS (2)'!$E$2:$G$910,2,FALSE)," ")</f>
        <v>0</v>
      </c>
      <c r="G43" s="79">
        <f>IFERROR(VLOOKUP(E43,'LISTA ITEMS (2)'!$E$2:$G$910,3,FALSE)," ")</f>
        <v>0</v>
      </c>
      <c r="H43" s="196"/>
      <c r="I43" s="12" t="s">
        <v>356</v>
      </c>
      <c r="J43" s="76"/>
      <c r="K43" s="72"/>
      <c r="L43" s="75">
        <f t="shared" si="1"/>
        <v>0</v>
      </c>
      <c r="M43" s="12"/>
    </row>
    <row r="44" spans="1:13" s="15" customFormat="1" ht="31.95" customHeight="1" x14ac:dyDescent="0.3">
      <c r="A44" s="12">
        <v>39</v>
      </c>
      <c r="B44" s="12"/>
      <c r="C44" s="12"/>
      <c r="D44" s="12"/>
      <c r="E44" s="12" t="str">
        <f t="shared" si="0"/>
        <v>--</v>
      </c>
      <c r="F44" s="64">
        <f>IFERROR(VLOOKUP(E44,'LISTA ITEMS (2)'!$E$2:$G$910,2,FALSE)," ")</f>
        <v>0</v>
      </c>
      <c r="G44" s="79">
        <f>IFERROR(VLOOKUP(E44,'LISTA ITEMS (2)'!$E$2:$G$910,3,FALSE)," ")</f>
        <v>0</v>
      </c>
      <c r="H44" s="196"/>
      <c r="I44" s="12" t="s">
        <v>356</v>
      </c>
      <c r="J44" s="76"/>
      <c r="K44" s="72"/>
      <c r="L44" s="75">
        <f t="shared" si="1"/>
        <v>0</v>
      </c>
      <c r="M44" s="12"/>
    </row>
    <row r="45" spans="1:13" ht="2.4" customHeight="1" x14ac:dyDescent="0.3"/>
    <row r="46" spans="1:13" ht="69.599999999999994" customHeight="1" x14ac:dyDescent="0.3">
      <c r="A46" s="305" t="s">
        <v>686</v>
      </c>
      <c r="B46" s="306"/>
      <c r="C46" s="306"/>
      <c r="D46" s="306"/>
      <c r="E46" s="306"/>
      <c r="F46" s="306"/>
      <c r="G46" s="306"/>
      <c r="H46" s="306"/>
      <c r="I46" s="30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46:I46"/>
    <mergeCell ref="C1:F1"/>
    <mergeCell ref="B5:D5"/>
    <mergeCell ref="A2:B2"/>
    <mergeCell ref="C2:F2"/>
    <mergeCell ref="A3:B3"/>
    <mergeCell ref="C3:D3"/>
    <mergeCell ref="A1:B1"/>
    <mergeCell ref="G1:H1"/>
    <mergeCell ref="G2:H2"/>
    <mergeCell ref="G3:H3"/>
    <mergeCell ref="A4:D4"/>
    <mergeCell ref="F4:I4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BD44-AE50-482C-8C0A-0E6AB6EC144D}">
  <sheetPr>
    <tabColor rgb="FF00B0F0"/>
  </sheetPr>
  <dimension ref="A1:W195"/>
  <sheetViews>
    <sheetView zoomScale="85" zoomScaleNormal="85" workbookViewId="0">
      <pane xSplit="1" ySplit="2" topLeftCell="B13" activePane="bottomRight" state="frozen"/>
      <selection pane="topRight" activeCell="B1" sqref="B1"/>
      <selection pane="bottomLeft" activeCell="A3" sqref="A3"/>
      <selection pane="bottomRight" activeCell="M80" sqref="M80"/>
    </sheetView>
  </sheetViews>
  <sheetFormatPr baseColWidth="10" defaultColWidth="11.5546875" defaultRowHeight="15.6" x14ac:dyDescent="0.3"/>
  <cols>
    <col min="1" max="1" width="6.5546875" style="9" customWidth="1"/>
    <col min="2" max="2" width="9.88671875" style="9" customWidth="1"/>
    <col min="3" max="3" width="9.109375" style="95" customWidth="1"/>
    <col min="4" max="4" width="13.77734375" style="26" hidden="1" customWidth="1"/>
    <col min="5" max="5" width="9.109375" style="26" hidden="1" customWidth="1"/>
    <col min="6" max="6" width="11.33203125" style="26" hidden="1" customWidth="1"/>
    <col min="7" max="7" width="11.88671875" style="29" hidden="1" customWidth="1"/>
    <col min="8" max="8" width="7.44140625" style="23" customWidth="1"/>
    <col min="9" max="9" width="7.33203125" style="23" customWidth="1"/>
    <col min="10" max="10" width="6.5546875" style="23" customWidth="1"/>
    <col min="11" max="11" width="14" style="24" customWidth="1"/>
    <col min="12" max="12" width="37.21875" style="1" customWidth="1"/>
    <col min="13" max="13" width="8.33203125" style="25" bestFit="1" customWidth="1"/>
    <col min="14" max="14" width="11.109375" style="26" customWidth="1"/>
    <col min="15" max="15" width="29.33203125" style="26" hidden="1" customWidth="1"/>
    <col min="16" max="16" width="22.44140625" style="7" hidden="1" customWidth="1"/>
    <col min="17" max="17" width="11.6640625" style="23" customWidth="1"/>
    <col min="18" max="18" width="3.44140625" style="7" customWidth="1"/>
    <col min="19" max="19" width="11.5546875" style="7"/>
    <col min="20" max="20" width="39.44140625" style="1" customWidth="1"/>
    <col min="21" max="21" width="5.88671875" style="23" customWidth="1"/>
    <col min="22" max="22" width="8.109375" style="23" customWidth="1"/>
    <col min="23" max="23" width="7.77734375" style="23" customWidth="1"/>
    <col min="24" max="16384" width="11.5546875" style="7"/>
  </cols>
  <sheetData>
    <row r="1" spans="1:23" s="22" customFormat="1" ht="28.95" customHeight="1" x14ac:dyDescent="0.3">
      <c r="A1" s="303" t="s">
        <v>255</v>
      </c>
      <c r="B1" s="303"/>
      <c r="C1" s="303"/>
      <c r="D1" s="303"/>
      <c r="E1" s="301" t="s">
        <v>256</v>
      </c>
      <c r="F1" s="301"/>
      <c r="G1" s="301"/>
      <c r="H1" s="301"/>
      <c r="I1" s="301"/>
      <c r="J1" s="301"/>
      <c r="K1" s="301"/>
      <c r="L1" s="301"/>
      <c r="M1" s="301"/>
      <c r="N1" s="301"/>
      <c r="O1" s="302"/>
      <c r="Q1" s="9"/>
      <c r="S1" s="168" t="s">
        <v>565</v>
      </c>
      <c r="T1" s="168"/>
      <c r="U1" s="168"/>
      <c r="V1" s="310" t="s">
        <v>565</v>
      </c>
      <c r="W1" s="311"/>
    </row>
    <row r="2" spans="1:23" s="9" customFormat="1" ht="41.4" x14ac:dyDescent="0.3">
      <c r="A2" s="43" t="s">
        <v>9</v>
      </c>
      <c r="B2" s="60" t="s">
        <v>350</v>
      </c>
      <c r="C2" s="96" t="s">
        <v>264</v>
      </c>
      <c r="D2" s="45" t="s">
        <v>257</v>
      </c>
      <c r="E2" s="45" t="s">
        <v>258</v>
      </c>
      <c r="F2" s="46" t="s">
        <v>556</v>
      </c>
      <c r="G2" s="47" t="s">
        <v>266</v>
      </c>
      <c r="H2" s="43" t="s">
        <v>0</v>
      </c>
      <c r="I2" s="43" t="s">
        <v>473</v>
      </c>
      <c r="J2" s="43" t="s">
        <v>2</v>
      </c>
      <c r="K2" s="48" t="s">
        <v>3</v>
      </c>
      <c r="L2" s="49" t="s">
        <v>4</v>
      </c>
      <c r="M2" s="44" t="s">
        <v>5</v>
      </c>
      <c r="N2" s="46" t="s">
        <v>560</v>
      </c>
      <c r="O2" s="155" t="s">
        <v>259</v>
      </c>
      <c r="P2" s="122" t="s">
        <v>475</v>
      </c>
      <c r="Q2" s="154" t="s">
        <v>561</v>
      </c>
      <c r="S2" s="158" t="s">
        <v>348</v>
      </c>
      <c r="T2" s="159" t="s">
        <v>4</v>
      </c>
      <c r="U2" s="159" t="s">
        <v>564</v>
      </c>
      <c r="V2" s="159" t="s">
        <v>562</v>
      </c>
      <c r="W2" s="159" t="s">
        <v>563</v>
      </c>
    </row>
    <row r="3" spans="1:23" ht="41.4" x14ac:dyDescent="0.3">
      <c r="A3" s="27">
        <v>1</v>
      </c>
      <c r="B3" s="65">
        <v>1</v>
      </c>
      <c r="C3" s="50">
        <v>2</v>
      </c>
      <c r="D3" s="41" t="s">
        <v>260</v>
      </c>
      <c r="E3" s="42" t="s">
        <v>261</v>
      </c>
      <c r="F3" s="41" t="s">
        <v>262</v>
      </c>
      <c r="G3" s="88">
        <v>46055</v>
      </c>
      <c r="H3" s="72">
        <v>13</v>
      </c>
      <c r="I3" s="72">
        <v>22</v>
      </c>
      <c r="J3" s="72">
        <v>184</v>
      </c>
      <c r="K3" s="89" t="str">
        <f t="shared" ref="K3:K34" si="0">CONCATENATE(H3,"-",I3,"-",J3)</f>
        <v>13-22-184</v>
      </c>
      <c r="L3" s="90" t="str">
        <f>IFERROR(VLOOKUP(K3,'LISTA ITEMS (2)'!$E$2:$G$910,2,FALSE)," ")</f>
        <v>BRIDA P/EXTERIOR NEGRA</v>
      </c>
      <c r="M3" s="91" t="str">
        <f>IFERROR(VLOOKUP(K3,'LISTA ITEMS (2)'!$E$2:$G$910,3,FALSE)," ")</f>
        <v>UND</v>
      </c>
      <c r="N3" s="119">
        <v>100</v>
      </c>
      <c r="O3" s="92" t="s">
        <v>263</v>
      </c>
      <c r="P3" s="125"/>
      <c r="Q3" s="156">
        <v>50</v>
      </c>
      <c r="S3" s="160" t="s">
        <v>170</v>
      </c>
      <c r="T3" s="161" t="str">
        <f t="shared" ref="T3:T36" si="1">VLOOKUP(S3,$K$2:$M$195,2,FALSE)</f>
        <v>BRIDA P/EXTERIOR NEGRA</v>
      </c>
      <c r="U3" s="162" t="str">
        <f t="shared" ref="U3:U36" si="2">VLOOKUP(S3,$K$2:$M$195,3,FALSE)</f>
        <v>UND</v>
      </c>
      <c r="V3" s="163">
        <f t="shared" ref="V3:V36" si="3">SUMIF($K$3:$K$195,S3,$N$3:$N$195)</f>
        <v>500</v>
      </c>
      <c r="W3" s="163">
        <f t="shared" ref="W3:W36" si="4">SUMIF($K$3:$K$195,S3,$Q$3:$Q$195)</f>
        <v>100</v>
      </c>
    </row>
    <row r="4" spans="1:23" ht="41.4" x14ac:dyDescent="0.3">
      <c r="A4" s="27">
        <v>2</v>
      </c>
      <c r="B4" s="65">
        <v>1</v>
      </c>
      <c r="C4" s="50">
        <v>2</v>
      </c>
      <c r="D4" s="41" t="s">
        <v>260</v>
      </c>
      <c r="E4" s="42" t="s">
        <v>261</v>
      </c>
      <c r="F4" s="41" t="s">
        <v>262</v>
      </c>
      <c r="G4" s="88">
        <v>46055</v>
      </c>
      <c r="H4" s="72">
        <v>6</v>
      </c>
      <c r="I4" s="72">
        <v>23</v>
      </c>
      <c r="J4" s="72">
        <v>192</v>
      </c>
      <c r="K4" s="89" t="str">
        <f t="shared" si="0"/>
        <v>6-23-192</v>
      </c>
      <c r="L4" s="90" t="str">
        <f>IFERROR(VLOOKUP(K4,'LISTA ITEMS (2)'!$E$2:$G$910,2,FALSE)," ")</f>
        <v xml:space="preserve">CINTA ACERO PERFORADA PARA MONTAJE </v>
      </c>
      <c r="M4" s="91" t="str">
        <f>IFERROR(VLOOKUP(K4,'LISTA ITEMS (2)'!$E$2:$G$910,3,FALSE)," ")</f>
        <v>UND</v>
      </c>
      <c r="N4" s="119">
        <v>2</v>
      </c>
      <c r="O4" s="92" t="s">
        <v>263</v>
      </c>
      <c r="P4" s="125"/>
      <c r="Q4" s="156">
        <v>2</v>
      </c>
      <c r="S4" s="160" t="s">
        <v>178</v>
      </c>
      <c r="T4" s="161" t="str">
        <f t="shared" si="1"/>
        <v xml:space="preserve">CINTA ACERO PERFORADA PARA MONTAJE </v>
      </c>
      <c r="U4" s="162" t="str">
        <f t="shared" si="2"/>
        <v>UND</v>
      </c>
      <c r="V4" s="163">
        <f t="shared" si="3"/>
        <v>9.5</v>
      </c>
      <c r="W4" s="163">
        <f t="shared" si="4"/>
        <v>3.5</v>
      </c>
    </row>
    <row r="5" spans="1:23" ht="41.4" x14ac:dyDescent="0.3">
      <c r="A5" s="27">
        <v>3</v>
      </c>
      <c r="B5" s="65">
        <v>1</v>
      </c>
      <c r="C5" s="50">
        <v>2</v>
      </c>
      <c r="D5" s="41" t="s">
        <v>260</v>
      </c>
      <c r="E5" s="42" t="s">
        <v>261</v>
      </c>
      <c r="F5" s="41" t="s">
        <v>262</v>
      </c>
      <c r="G5" s="88">
        <v>46055</v>
      </c>
      <c r="H5" s="72">
        <v>14</v>
      </c>
      <c r="I5" s="72">
        <v>24</v>
      </c>
      <c r="J5" s="72">
        <v>193</v>
      </c>
      <c r="K5" s="89" t="str">
        <f t="shared" si="0"/>
        <v>14-24-193</v>
      </c>
      <c r="L5" s="90" t="str">
        <f>IFERROR(VLOOKUP(K5,'LISTA ITEMS (2)'!$E$2:$G$910,2,FALSE)," ")</f>
        <v>DISCO CORTE ACERO/INOX A1 2EN1</v>
      </c>
      <c r="M5" s="91" t="str">
        <f>IFERROR(VLOOKUP(K5,'LISTA ITEMS (2)'!$E$2:$G$910,3,FALSE)," ")</f>
        <v>UND</v>
      </c>
      <c r="N5" s="119">
        <v>1</v>
      </c>
      <c r="O5" s="92" t="s">
        <v>263</v>
      </c>
      <c r="P5" s="125"/>
      <c r="Q5" s="156">
        <v>1</v>
      </c>
      <c r="S5" s="160" t="s">
        <v>179</v>
      </c>
      <c r="T5" s="161" t="str">
        <f t="shared" si="1"/>
        <v>DISCO CORTE ACERO/INOX A1 2EN1</v>
      </c>
      <c r="U5" s="162" t="str">
        <f t="shared" si="2"/>
        <v>UND</v>
      </c>
      <c r="V5" s="163">
        <f t="shared" si="3"/>
        <v>7</v>
      </c>
      <c r="W5" s="163">
        <f t="shared" si="4"/>
        <v>2</v>
      </c>
    </row>
    <row r="6" spans="1:23" ht="41.4" x14ac:dyDescent="0.3">
      <c r="A6" s="27">
        <v>4</v>
      </c>
      <c r="B6" s="65">
        <v>1</v>
      </c>
      <c r="C6" s="50">
        <v>2</v>
      </c>
      <c r="D6" s="41" t="s">
        <v>260</v>
      </c>
      <c r="E6" s="42" t="s">
        <v>261</v>
      </c>
      <c r="F6" s="41" t="s">
        <v>262</v>
      </c>
      <c r="G6" s="88">
        <v>46055</v>
      </c>
      <c r="H6" s="72">
        <v>3</v>
      </c>
      <c r="I6" s="72">
        <v>31</v>
      </c>
      <c r="J6" s="72">
        <v>209</v>
      </c>
      <c r="K6" s="89" t="str">
        <f t="shared" si="0"/>
        <v>3-31-209</v>
      </c>
      <c r="L6" s="90" t="str">
        <f>IFERROR(VLOOKUP(K6,'LISTA ITEMS (2)'!$E$2:$G$910,2,FALSE)," ")</f>
        <v>CABLE Nª 6 C/ALTERNA MARRON</v>
      </c>
      <c r="M6" s="91" t="str">
        <f>IFERROR(VLOOKUP(K6,'LISTA ITEMS (2)'!$E$2:$G$910,3,FALSE)," ")</f>
        <v>MT</v>
      </c>
      <c r="N6" s="120">
        <v>100</v>
      </c>
      <c r="O6" s="92" t="s">
        <v>263</v>
      </c>
      <c r="P6" s="125"/>
      <c r="Q6" s="156">
        <v>100</v>
      </c>
      <c r="S6" s="160" t="s">
        <v>196</v>
      </c>
      <c r="T6" s="161" t="str">
        <f t="shared" si="1"/>
        <v>CABLE Nª 6 C/ALTERNA MARRON</v>
      </c>
      <c r="U6" s="162" t="str">
        <f t="shared" si="2"/>
        <v>MT</v>
      </c>
      <c r="V6" s="163">
        <f t="shared" si="3"/>
        <v>200</v>
      </c>
      <c r="W6" s="163">
        <f t="shared" si="4"/>
        <v>130</v>
      </c>
    </row>
    <row r="7" spans="1:23" ht="41.4" x14ac:dyDescent="0.3">
      <c r="A7" s="27">
        <v>5</v>
      </c>
      <c r="B7" s="65">
        <v>1</v>
      </c>
      <c r="C7" s="50">
        <v>2</v>
      </c>
      <c r="D7" s="41" t="s">
        <v>260</v>
      </c>
      <c r="E7" s="42" t="s">
        <v>261</v>
      </c>
      <c r="F7" s="41" t="s">
        <v>262</v>
      </c>
      <c r="G7" s="88">
        <v>46055</v>
      </c>
      <c r="H7" s="72">
        <v>3</v>
      </c>
      <c r="I7" s="72">
        <v>31</v>
      </c>
      <c r="J7" s="72">
        <v>210</v>
      </c>
      <c r="K7" s="89" t="str">
        <f t="shared" si="0"/>
        <v>3-31-210</v>
      </c>
      <c r="L7" s="90" t="str">
        <f>IFERROR(VLOOKUP(K7,'LISTA ITEMS (2)'!$E$2:$G$910,2,FALSE)," ")</f>
        <v>CABLE Nª 6 C/ALTERNA GRIS</v>
      </c>
      <c r="M7" s="91" t="str">
        <f>IFERROR(VLOOKUP(K7,'LISTA ITEMS (2)'!$E$2:$G$910,3,FALSE)," ")</f>
        <v>MT</v>
      </c>
      <c r="N7" s="120">
        <v>100</v>
      </c>
      <c r="O7" s="92" t="s">
        <v>263</v>
      </c>
      <c r="P7" s="125"/>
      <c r="Q7" s="156">
        <v>100</v>
      </c>
      <c r="S7" s="160" t="s">
        <v>197</v>
      </c>
      <c r="T7" s="161" t="str">
        <f t="shared" si="1"/>
        <v>CABLE Nª 6 C/ALTERNA GRIS</v>
      </c>
      <c r="U7" s="162" t="str">
        <f t="shared" si="2"/>
        <v>MT</v>
      </c>
      <c r="V7" s="163">
        <f t="shared" si="3"/>
        <v>200</v>
      </c>
      <c r="W7" s="163">
        <f t="shared" si="4"/>
        <v>130</v>
      </c>
    </row>
    <row r="8" spans="1:23" ht="41.4" x14ac:dyDescent="0.3">
      <c r="A8" s="27">
        <v>6</v>
      </c>
      <c r="B8" s="65">
        <v>1</v>
      </c>
      <c r="C8" s="50">
        <v>2</v>
      </c>
      <c r="D8" s="41" t="s">
        <v>260</v>
      </c>
      <c r="E8" s="42" t="s">
        <v>261</v>
      </c>
      <c r="F8" s="41" t="s">
        <v>262</v>
      </c>
      <c r="G8" s="88">
        <v>46055</v>
      </c>
      <c r="H8" s="72">
        <v>3</v>
      </c>
      <c r="I8" s="72">
        <v>31</v>
      </c>
      <c r="J8" s="72">
        <v>212</v>
      </c>
      <c r="K8" s="89" t="str">
        <f t="shared" si="0"/>
        <v>3-31-212</v>
      </c>
      <c r="L8" s="90" t="str">
        <f>IFERROR(VLOOKUP(K8,'LISTA ITEMS (2)'!$E$2:$G$910,2,FALSE)," ")</f>
        <v>CABLE Nª 6 C/ALTERNA AZUL</v>
      </c>
      <c r="M8" s="91" t="str">
        <f>IFERROR(VLOOKUP(K8,'LISTA ITEMS (2)'!$E$2:$G$910,3,FALSE)," ")</f>
        <v>MT</v>
      </c>
      <c r="N8" s="120">
        <v>100</v>
      </c>
      <c r="O8" s="92" t="s">
        <v>263</v>
      </c>
      <c r="P8" s="125"/>
      <c r="Q8" s="156">
        <v>100</v>
      </c>
      <c r="S8" s="160" t="s">
        <v>199</v>
      </c>
      <c r="T8" s="161" t="str">
        <f t="shared" si="1"/>
        <v>CABLE Nª 6 C/ALTERNA AZUL</v>
      </c>
      <c r="U8" s="162" t="str">
        <f t="shared" si="2"/>
        <v>MT</v>
      </c>
      <c r="V8" s="163">
        <f t="shared" si="3"/>
        <v>300</v>
      </c>
      <c r="W8" s="163">
        <f t="shared" si="4"/>
        <v>200</v>
      </c>
    </row>
    <row r="9" spans="1:23" ht="41.4" x14ac:dyDescent="0.3">
      <c r="A9" s="27">
        <v>7</v>
      </c>
      <c r="B9" s="65">
        <v>1</v>
      </c>
      <c r="C9" s="50">
        <v>2</v>
      </c>
      <c r="D9" s="41" t="s">
        <v>260</v>
      </c>
      <c r="E9" s="42" t="s">
        <v>261</v>
      </c>
      <c r="F9" s="41" t="s">
        <v>262</v>
      </c>
      <c r="G9" s="88">
        <v>46055</v>
      </c>
      <c r="H9" s="72">
        <v>3</v>
      </c>
      <c r="I9" s="72">
        <v>31</v>
      </c>
      <c r="J9" s="72">
        <v>213</v>
      </c>
      <c r="K9" s="89" t="str">
        <f t="shared" si="0"/>
        <v>3-31-213</v>
      </c>
      <c r="L9" s="90" t="str">
        <f>IFERROR(VLOOKUP(K9,'LISTA ITEMS (2)'!$E$2:$G$910,2,FALSE)," ")</f>
        <v>CABLE Nª 6 C/ALTERNA NEGRO</v>
      </c>
      <c r="M9" s="91" t="str">
        <f>IFERROR(VLOOKUP(K9,'LISTA ITEMS (2)'!$E$2:$G$910,3,FALSE)," ")</f>
        <v>MT</v>
      </c>
      <c r="N9" s="120">
        <v>100</v>
      </c>
      <c r="O9" s="92" t="s">
        <v>263</v>
      </c>
      <c r="P9" s="125"/>
      <c r="Q9" s="156">
        <v>100</v>
      </c>
      <c r="S9" s="160" t="s">
        <v>200</v>
      </c>
      <c r="T9" s="161" t="str">
        <f t="shared" si="1"/>
        <v>CABLE Nª 6 C/ALTERNA NEGRO</v>
      </c>
      <c r="U9" s="162" t="str">
        <f t="shared" si="2"/>
        <v>MT</v>
      </c>
      <c r="V9" s="163">
        <f t="shared" si="3"/>
        <v>200</v>
      </c>
      <c r="W9" s="163">
        <f t="shared" si="4"/>
        <v>200</v>
      </c>
    </row>
    <row r="10" spans="1:23" ht="41.4" x14ac:dyDescent="0.3">
      <c r="A10" s="27">
        <v>8</v>
      </c>
      <c r="B10" s="65">
        <v>1</v>
      </c>
      <c r="C10" s="50">
        <v>2</v>
      </c>
      <c r="D10" s="41" t="s">
        <v>260</v>
      </c>
      <c r="E10" s="42" t="s">
        <v>261</v>
      </c>
      <c r="F10" s="41" t="s">
        <v>262</v>
      </c>
      <c r="G10" s="88">
        <v>46055</v>
      </c>
      <c r="H10" s="72">
        <v>9</v>
      </c>
      <c r="I10" s="72">
        <v>32</v>
      </c>
      <c r="J10" s="72">
        <v>223</v>
      </c>
      <c r="K10" s="89" t="str">
        <f t="shared" si="0"/>
        <v>9-32-223</v>
      </c>
      <c r="L10" s="90" t="str">
        <f>IFERROR(VLOOKUP(K10,'LISTA ITEMS (2)'!$E$2:$G$910,2,FALSE)," ")</f>
        <v>CURVA PVC M-25 GRIS TIPO A</v>
      </c>
      <c r="M10" s="91" t="str">
        <f>IFERROR(VLOOKUP(K10,'LISTA ITEMS (2)'!$E$2:$G$910,3,FALSE)," ")</f>
        <v>UND</v>
      </c>
      <c r="N10" s="119">
        <f>20*3</f>
        <v>60</v>
      </c>
      <c r="O10" s="92" t="s">
        <v>263</v>
      </c>
      <c r="P10" s="125"/>
      <c r="Q10" s="156">
        <v>22</v>
      </c>
      <c r="S10" s="160" t="s">
        <v>210</v>
      </c>
      <c r="T10" s="161" t="str">
        <f t="shared" si="1"/>
        <v>CURVA PVC M-25 GRIS TIPO A</v>
      </c>
      <c r="U10" s="162" t="str">
        <f t="shared" si="2"/>
        <v>UND</v>
      </c>
      <c r="V10" s="163">
        <f t="shared" si="3"/>
        <v>100</v>
      </c>
      <c r="W10" s="163">
        <f t="shared" si="4"/>
        <v>22</v>
      </c>
    </row>
    <row r="11" spans="1:23" ht="41.4" x14ac:dyDescent="0.3">
      <c r="A11" s="27">
        <v>9</v>
      </c>
      <c r="B11" s="65">
        <v>1</v>
      </c>
      <c r="C11" s="50">
        <v>2</v>
      </c>
      <c r="D11" s="41" t="s">
        <v>260</v>
      </c>
      <c r="E11" s="42" t="s">
        <v>261</v>
      </c>
      <c r="F11" s="41" t="s">
        <v>262</v>
      </c>
      <c r="G11" s="88">
        <v>46055</v>
      </c>
      <c r="H11" s="72">
        <v>4</v>
      </c>
      <c r="I11" s="72">
        <v>15</v>
      </c>
      <c r="J11" s="72">
        <v>267</v>
      </c>
      <c r="K11" s="89" t="str">
        <f t="shared" si="0"/>
        <v>4-15-267</v>
      </c>
      <c r="L11" s="90" t="str">
        <f>IFERROR(VLOOKUP(K11,'LISTA ITEMS (2)'!$E$2:$G$910,2,FALSE)," ")</f>
        <v>BARRA PERFORADA PARA REFUERZO 20X10X2MT GALV.</v>
      </c>
      <c r="M11" s="91" t="str">
        <f>IFERROR(VLOOKUP(K11,'LISTA ITEMS (2)'!$E$2:$G$910,3,FALSE)," ")</f>
        <v>UND</v>
      </c>
      <c r="N11" s="119">
        <v>30</v>
      </c>
      <c r="O11" s="92" t="s">
        <v>263</v>
      </c>
      <c r="P11" s="125"/>
      <c r="Q11" s="156"/>
      <c r="S11" s="160" t="s">
        <v>293</v>
      </c>
      <c r="T11" s="161" t="str">
        <f t="shared" si="1"/>
        <v>BARRA PERFORADA PARA REFUERZO 20X10X2MT GALV.</v>
      </c>
      <c r="U11" s="162" t="str">
        <f t="shared" si="2"/>
        <v>UND</v>
      </c>
      <c r="V11" s="163">
        <f t="shared" si="3"/>
        <v>30</v>
      </c>
      <c r="W11" s="163">
        <f t="shared" si="4"/>
        <v>0</v>
      </c>
    </row>
    <row r="12" spans="1:23" ht="41.4" x14ac:dyDescent="0.3">
      <c r="A12" s="27">
        <v>10</v>
      </c>
      <c r="B12" s="65">
        <v>1</v>
      </c>
      <c r="C12" s="50">
        <v>2</v>
      </c>
      <c r="D12" s="41" t="s">
        <v>260</v>
      </c>
      <c r="E12" s="42" t="s">
        <v>261</v>
      </c>
      <c r="F12" s="41" t="s">
        <v>262</v>
      </c>
      <c r="G12" s="88">
        <v>46055</v>
      </c>
      <c r="H12" s="72">
        <v>10</v>
      </c>
      <c r="I12" s="72">
        <v>42</v>
      </c>
      <c r="J12" s="72">
        <v>268</v>
      </c>
      <c r="K12" s="89" t="str">
        <f t="shared" si="0"/>
        <v>10-42-268</v>
      </c>
      <c r="L12" s="90" t="str">
        <f>IFERROR(VLOOKUP(K12,'LISTA ITEMS (2)'!$E$2:$G$910,2,FALSE)," ")</f>
        <v>PATA ALUMINIO PARA ESTRUCTURA PLACA SOLAR ANGULO 30º</v>
      </c>
      <c r="M12" s="91" t="str">
        <f>IFERROR(VLOOKUP(K12,'LISTA ITEMS (2)'!$E$2:$G$910,3,FALSE)," ")</f>
        <v>UND</v>
      </c>
      <c r="N12" s="119">
        <v>20</v>
      </c>
      <c r="O12" s="92" t="s">
        <v>263</v>
      </c>
      <c r="P12" s="125"/>
      <c r="Q12" s="156">
        <v>10</v>
      </c>
      <c r="S12" s="160" t="s">
        <v>294</v>
      </c>
      <c r="T12" s="161" t="str">
        <f t="shared" si="1"/>
        <v>PATA ALUMINIO PARA ESTRUCTURA PLACA SOLAR ANGULO 30º</v>
      </c>
      <c r="U12" s="162" t="str">
        <f t="shared" si="2"/>
        <v>UND</v>
      </c>
      <c r="V12" s="163">
        <f t="shared" si="3"/>
        <v>28</v>
      </c>
      <c r="W12" s="163">
        <f t="shared" si="4"/>
        <v>18</v>
      </c>
    </row>
    <row r="13" spans="1:23" ht="41.4" x14ac:dyDescent="0.3">
      <c r="A13" s="27">
        <v>11</v>
      </c>
      <c r="B13" s="65">
        <v>1</v>
      </c>
      <c r="C13" s="50">
        <v>2</v>
      </c>
      <c r="D13" s="41" t="s">
        <v>260</v>
      </c>
      <c r="E13" s="42" t="s">
        <v>261</v>
      </c>
      <c r="F13" s="41" t="s">
        <v>262</v>
      </c>
      <c r="G13" s="88">
        <v>46055</v>
      </c>
      <c r="H13" s="72">
        <v>10</v>
      </c>
      <c r="I13" s="72">
        <v>15</v>
      </c>
      <c r="J13" s="72">
        <v>269</v>
      </c>
      <c r="K13" s="89" t="str">
        <f t="shared" si="0"/>
        <v>10-15-269</v>
      </c>
      <c r="L13" s="90" t="str">
        <f>IFERROR(VLOOKUP(K13,'LISTA ITEMS (2)'!$E$2:$G$910,2,FALSE)," ")</f>
        <v>BARRA ALUMINIO PARA ESTRUCTURA  3.60mt</v>
      </c>
      <c r="M13" s="91" t="str">
        <f>IFERROR(VLOOKUP(K13,'LISTA ITEMS (2)'!$E$2:$G$910,3,FALSE)," ")</f>
        <v>UND</v>
      </c>
      <c r="N13" s="119">
        <v>20</v>
      </c>
      <c r="O13" s="92" t="s">
        <v>263</v>
      </c>
      <c r="P13" s="125"/>
      <c r="Q13" s="156"/>
      <c r="S13" s="160" t="s">
        <v>295</v>
      </c>
      <c r="T13" s="161" t="str">
        <f t="shared" si="1"/>
        <v>BARRA ALUMINIO PARA ESTRUCTURA  3.60mt</v>
      </c>
      <c r="U13" s="162" t="str">
        <f t="shared" si="2"/>
        <v>UND</v>
      </c>
      <c r="V13" s="163">
        <f t="shared" si="3"/>
        <v>30</v>
      </c>
      <c r="W13" s="163">
        <f t="shared" si="4"/>
        <v>0</v>
      </c>
    </row>
    <row r="14" spans="1:23" ht="41.4" x14ac:dyDescent="0.3">
      <c r="A14" s="27">
        <v>12</v>
      </c>
      <c r="B14" s="65">
        <v>1</v>
      </c>
      <c r="C14" s="50">
        <v>2</v>
      </c>
      <c r="D14" s="41" t="s">
        <v>260</v>
      </c>
      <c r="E14" s="42" t="s">
        <v>261</v>
      </c>
      <c r="F14" s="41" t="s">
        <v>262</v>
      </c>
      <c r="G14" s="88">
        <v>46055</v>
      </c>
      <c r="H14" s="72">
        <v>13</v>
      </c>
      <c r="I14" s="72">
        <v>25</v>
      </c>
      <c r="J14" s="72">
        <v>255</v>
      </c>
      <c r="K14" s="89" t="str">
        <f t="shared" si="0"/>
        <v>13-25-255</v>
      </c>
      <c r="L14" s="90" t="str">
        <f>IFERROR(VLOOKUP(K14,'LISTA ITEMS (2)'!$E$2:$G$910,2,FALSE)," ")</f>
        <v>ANCLAJE PLASTICO MULTIUSO C/COLLARIN 10X61MM</v>
      </c>
      <c r="M14" s="91" t="str">
        <f>IFERROR(VLOOKUP(K14,'LISTA ITEMS (2)'!$E$2:$G$910,3,FALSE)," ")</f>
        <v>UND</v>
      </c>
      <c r="N14" s="119">
        <v>50</v>
      </c>
      <c r="O14" s="92" t="s">
        <v>263</v>
      </c>
      <c r="P14" s="125"/>
      <c r="Q14" s="156">
        <v>50</v>
      </c>
      <c r="S14" s="160" t="s">
        <v>281</v>
      </c>
      <c r="T14" s="161" t="str">
        <f t="shared" si="1"/>
        <v>ANCLAJE PLASTICO MULTIUSO C/COLLARIN 10X61MM</v>
      </c>
      <c r="U14" s="162" t="str">
        <f t="shared" si="2"/>
        <v>UND</v>
      </c>
      <c r="V14" s="163">
        <f t="shared" si="3"/>
        <v>50</v>
      </c>
      <c r="W14" s="163">
        <f t="shared" si="4"/>
        <v>50</v>
      </c>
    </row>
    <row r="15" spans="1:23" ht="41.4" x14ac:dyDescent="0.3">
      <c r="A15" s="27">
        <v>13</v>
      </c>
      <c r="B15" s="65">
        <v>1</v>
      </c>
      <c r="C15" s="50">
        <v>2</v>
      </c>
      <c r="D15" s="41" t="s">
        <v>260</v>
      </c>
      <c r="E15" s="42" t="s">
        <v>261</v>
      </c>
      <c r="F15" s="41" t="s">
        <v>262</v>
      </c>
      <c r="G15" s="88">
        <v>46055</v>
      </c>
      <c r="H15" s="72">
        <v>10</v>
      </c>
      <c r="I15" s="72">
        <v>43</v>
      </c>
      <c r="J15" s="72">
        <v>270</v>
      </c>
      <c r="K15" s="89" t="str">
        <f t="shared" si="0"/>
        <v>10-43-270</v>
      </c>
      <c r="L15" s="90" t="str">
        <f>IFERROR(VLOOKUP(K15,'LISTA ITEMS (2)'!$E$2:$G$910,2,FALSE)," ")</f>
        <v>EMPALME ALUMINIO P/BARRA</v>
      </c>
      <c r="M15" s="91" t="str">
        <f>IFERROR(VLOOKUP(K15,'LISTA ITEMS (2)'!$E$2:$G$910,3,FALSE)," ")</f>
        <v>UND</v>
      </c>
      <c r="N15" s="119">
        <v>15</v>
      </c>
      <c r="O15" s="92" t="s">
        <v>263</v>
      </c>
      <c r="P15" s="125"/>
      <c r="Q15" s="156">
        <v>15</v>
      </c>
      <c r="S15" s="160" t="s">
        <v>297</v>
      </c>
      <c r="T15" s="161" t="str">
        <f t="shared" si="1"/>
        <v>EMPALME ALUMINIO P/BARRA</v>
      </c>
      <c r="U15" s="162" t="str">
        <f t="shared" si="2"/>
        <v>UND</v>
      </c>
      <c r="V15" s="163">
        <f t="shared" si="3"/>
        <v>39</v>
      </c>
      <c r="W15" s="163">
        <f t="shared" si="4"/>
        <v>23</v>
      </c>
    </row>
    <row r="16" spans="1:23" ht="41.4" x14ac:dyDescent="0.3">
      <c r="A16" s="27">
        <v>14</v>
      </c>
      <c r="B16" s="65">
        <v>1</v>
      </c>
      <c r="C16" s="50">
        <v>2</v>
      </c>
      <c r="D16" s="41" t="s">
        <v>260</v>
      </c>
      <c r="E16" s="42" t="s">
        <v>261</v>
      </c>
      <c r="F16" s="41" t="s">
        <v>262</v>
      </c>
      <c r="G16" s="88">
        <v>46055</v>
      </c>
      <c r="H16" s="72">
        <v>17</v>
      </c>
      <c r="I16" s="72">
        <v>44</v>
      </c>
      <c r="J16" s="72">
        <v>271</v>
      </c>
      <c r="K16" s="89" t="str">
        <f t="shared" si="0"/>
        <v>17-44-271</v>
      </c>
      <c r="L16" s="90" t="str">
        <f>IFERROR(VLOOKUP(K16,'LISTA ITEMS (2)'!$E$2:$G$910,2,FALSE)," ")</f>
        <v>SELLANTE QUIMICO BLANCO</v>
      </c>
      <c r="M16" s="91" t="str">
        <f>IFERROR(VLOOKUP(K16,'LISTA ITEMS (2)'!$E$2:$G$910,3,FALSE)," ")</f>
        <v>UND</v>
      </c>
      <c r="N16" s="119">
        <v>1</v>
      </c>
      <c r="O16" s="92" t="s">
        <v>263</v>
      </c>
      <c r="P16" s="125"/>
      <c r="Q16" s="156">
        <v>2</v>
      </c>
      <c r="S16" s="160" t="s">
        <v>299</v>
      </c>
      <c r="T16" s="161" t="str">
        <f t="shared" si="1"/>
        <v>SELLANTE QUIMICO BLANCO</v>
      </c>
      <c r="U16" s="162" t="str">
        <f t="shared" si="2"/>
        <v>UND</v>
      </c>
      <c r="V16" s="163">
        <f t="shared" si="3"/>
        <v>4</v>
      </c>
      <c r="W16" s="163">
        <f t="shared" si="4"/>
        <v>3</v>
      </c>
    </row>
    <row r="17" spans="1:23" ht="41.4" x14ac:dyDescent="0.3">
      <c r="A17" s="27">
        <v>15</v>
      </c>
      <c r="B17" s="65">
        <v>1</v>
      </c>
      <c r="C17" s="50">
        <v>2</v>
      </c>
      <c r="D17" s="41" t="s">
        <v>260</v>
      </c>
      <c r="E17" s="42" t="s">
        <v>261</v>
      </c>
      <c r="F17" s="41" t="s">
        <v>262</v>
      </c>
      <c r="G17" s="88">
        <v>46055</v>
      </c>
      <c r="H17" s="72">
        <v>17</v>
      </c>
      <c r="I17" s="72">
        <v>44</v>
      </c>
      <c r="J17" s="72">
        <v>272</v>
      </c>
      <c r="K17" s="89" t="str">
        <f t="shared" si="0"/>
        <v>17-44-272</v>
      </c>
      <c r="L17" s="90" t="str">
        <f>IFERROR(VLOOKUP(K17,'LISTA ITEMS (2)'!$E$2:$G$910,2,FALSE)," ")</f>
        <v>SELLANTE QUIMICO GRIS</v>
      </c>
      <c r="M17" s="91" t="str">
        <f>IFERROR(VLOOKUP(K17,'LISTA ITEMS (2)'!$E$2:$G$910,3,FALSE)," ")</f>
        <v>UND</v>
      </c>
      <c r="N17" s="119">
        <v>1</v>
      </c>
      <c r="O17" s="92" t="s">
        <v>263</v>
      </c>
      <c r="P17" s="125"/>
      <c r="Q17" s="156">
        <v>0.5</v>
      </c>
      <c r="S17" s="160" t="s">
        <v>301</v>
      </c>
      <c r="T17" s="161" t="str">
        <f t="shared" si="1"/>
        <v>SELLANTE QUIMICO GRIS</v>
      </c>
      <c r="U17" s="162" t="str">
        <f t="shared" si="2"/>
        <v>UND</v>
      </c>
      <c r="V17" s="163">
        <f t="shared" si="3"/>
        <v>4</v>
      </c>
      <c r="W17" s="163">
        <f t="shared" si="4"/>
        <v>1.5</v>
      </c>
    </row>
    <row r="18" spans="1:23" ht="43.2" x14ac:dyDescent="0.3">
      <c r="A18" s="27">
        <v>16</v>
      </c>
      <c r="B18" s="65">
        <v>1</v>
      </c>
      <c r="C18" s="50">
        <v>2</v>
      </c>
      <c r="D18" s="41" t="s">
        <v>260</v>
      </c>
      <c r="E18" s="42" t="s">
        <v>261</v>
      </c>
      <c r="F18" s="41" t="s">
        <v>262</v>
      </c>
      <c r="G18" s="88">
        <v>46055</v>
      </c>
      <c r="H18" s="72">
        <v>7</v>
      </c>
      <c r="I18" s="72">
        <v>35</v>
      </c>
      <c r="J18" s="72">
        <v>274</v>
      </c>
      <c r="K18" s="89" t="str">
        <f t="shared" si="0"/>
        <v>7-35-274</v>
      </c>
      <c r="L18" s="90" t="str">
        <f>IFERROR(VLOOKUP(K18,'LISTA ITEMS (2)'!$E$2:$G$910,2,FALSE)," ")</f>
        <v>INVERSOR HIBRIDO MONOFASICO SPE 10000ES 10KW BATER. BAJO VOLTAJE Y BACKUP INCORP. (GROWATT)</v>
      </c>
      <c r="M18" s="91" t="str">
        <f>IFERROR(VLOOKUP(K18,'LISTA ITEMS (2)'!$E$2:$G$910,3,FALSE)," ")</f>
        <v>UND</v>
      </c>
      <c r="N18" s="119">
        <v>1</v>
      </c>
      <c r="O18" s="92" t="s">
        <v>307</v>
      </c>
      <c r="P18" s="125"/>
      <c r="Q18" s="156"/>
      <c r="S18" s="160" t="s">
        <v>305</v>
      </c>
      <c r="T18" s="161" t="str">
        <f t="shared" si="1"/>
        <v>INVERSOR HIBRIDO MONOFASICO SPE 10000ES 10KW BATER. BAJO VOLTAJE Y BACKUP INCORP. (GROWATT)</v>
      </c>
      <c r="U18" s="162" t="str">
        <f t="shared" si="2"/>
        <v>UND</v>
      </c>
      <c r="V18" s="163">
        <f t="shared" si="3"/>
        <v>1</v>
      </c>
      <c r="W18" s="163">
        <f t="shared" si="4"/>
        <v>0</v>
      </c>
    </row>
    <row r="19" spans="1:23" ht="43.2" x14ac:dyDescent="0.3">
      <c r="A19" s="27">
        <v>17</v>
      </c>
      <c r="B19" s="65">
        <v>1</v>
      </c>
      <c r="C19" s="50">
        <v>2</v>
      </c>
      <c r="D19" s="41" t="s">
        <v>260</v>
      </c>
      <c r="E19" s="42" t="s">
        <v>261</v>
      </c>
      <c r="F19" s="41" t="s">
        <v>262</v>
      </c>
      <c r="G19" s="88">
        <v>46055</v>
      </c>
      <c r="H19" s="72">
        <v>16</v>
      </c>
      <c r="I19" s="72">
        <v>45</v>
      </c>
      <c r="J19" s="72">
        <v>275</v>
      </c>
      <c r="K19" s="89" t="str">
        <f t="shared" si="0"/>
        <v>16-45-275</v>
      </c>
      <c r="L19" s="90" t="str">
        <f>IFERROR(VLOOKUP(K19,'LISTA ITEMS (2)'!$E$2:$G$910,2,FALSE)," ")</f>
        <v>CAJA DISTRIBUCION INTERIOR 18 ELEM. (SOLERA)</v>
      </c>
      <c r="M19" s="91" t="str">
        <f>IFERROR(VLOOKUP(K19,'LISTA ITEMS (2)'!$E$2:$G$910,3,FALSE)," ")</f>
        <v>UND</v>
      </c>
      <c r="N19" s="119">
        <v>1</v>
      </c>
      <c r="O19" s="92" t="s">
        <v>307</v>
      </c>
      <c r="P19" s="125"/>
      <c r="Q19" s="156"/>
      <c r="S19" s="160" t="s">
        <v>308</v>
      </c>
      <c r="T19" s="161" t="str">
        <f t="shared" si="1"/>
        <v>CAJA DISTRIBUCION INTERIOR 18 ELEM. (SOLERA)</v>
      </c>
      <c r="U19" s="162" t="str">
        <f t="shared" si="2"/>
        <v>UND</v>
      </c>
      <c r="V19" s="163">
        <f t="shared" si="3"/>
        <v>4</v>
      </c>
      <c r="W19" s="163">
        <f t="shared" si="4"/>
        <v>1</v>
      </c>
    </row>
    <row r="20" spans="1:23" ht="43.2" x14ac:dyDescent="0.3">
      <c r="A20" s="27">
        <v>18</v>
      </c>
      <c r="B20" s="65">
        <v>1</v>
      </c>
      <c r="C20" s="50">
        <v>2</v>
      </c>
      <c r="D20" s="41" t="s">
        <v>260</v>
      </c>
      <c r="E20" s="42" t="s">
        <v>261</v>
      </c>
      <c r="F20" s="41" t="s">
        <v>262</v>
      </c>
      <c r="G20" s="88">
        <v>46055</v>
      </c>
      <c r="H20" s="72">
        <v>16</v>
      </c>
      <c r="I20" s="72">
        <v>45</v>
      </c>
      <c r="J20" s="72">
        <v>276</v>
      </c>
      <c r="K20" s="89" t="str">
        <f t="shared" si="0"/>
        <v>16-45-276</v>
      </c>
      <c r="L20" s="90" t="str">
        <f>IFERROR(VLOOKUP(K20,'LISTA ITEMS (2)'!$E$2:$G$910,2,FALSE)," ")</f>
        <v>CAJA ESTANCA (COCHERA) EXTERIOR 18PT (IDE)</v>
      </c>
      <c r="M20" s="91" t="str">
        <f>IFERROR(VLOOKUP(K20,'LISTA ITEMS (2)'!$E$2:$G$910,3,FALSE)," ")</f>
        <v>UND</v>
      </c>
      <c r="N20" s="119">
        <v>1</v>
      </c>
      <c r="O20" s="92" t="s">
        <v>307</v>
      </c>
      <c r="P20" s="125"/>
      <c r="Q20" s="156"/>
      <c r="S20" s="160" t="s">
        <v>310</v>
      </c>
      <c r="T20" s="161" t="str">
        <f t="shared" si="1"/>
        <v>CAJA ESTANCA (COCHERA) EXTERIOR 18PT (IDE)</v>
      </c>
      <c r="U20" s="162" t="str">
        <f t="shared" si="2"/>
        <v>UND</v>
      </c>
      <c r="V20" s="163">
        <f t="shared" si="3"/>
        <v>3</v>
      </c>
      <c r="W20" s="163">
        <f t="shared" si="4"/>
        <v>1</v>
      </c>
    </row>
    <row r="21" spans="1:23" ht="43.2" x14ac:dyDescent="0.3">
      <c r="A21" s="27">
        <v>19</v>
      </c>
      <c r="B21" s="65">
        <v>1</v>
      </c>
      <c r="C21" s="50">
        <v>2</v>
      </c>
      <c r="D21" s="41" t="s">
        <v>260</v>
      </c>
      <c r="E21" s="42" t="s">
        <v>261</v>
      </c>
      <c r="F21" s="41" t="s">
        <v>262</v>
      </c>
      <c r="G21" s="88">
        <v>46055</v>
      </c>
      <c r="H21" s="72">
        <v>3</v>
      </c>
      <c r="I21" s="72">
        <v>31</v>
      </c>
      <c r="J21" s="72">
        <v>277</v>
      </c>
      <c r="K21" s="89" t="str">
        <f t="shared" si="0"/>
        <v>3-31-277</v>
      </c>
      <c r="L21" s="90" t="str">
        <f>IFERROR(VLOOKUP(K21,'LISTA ITEMS (2)'!$E$2:$G$910,2,FALSE)," ")</f>
        <v>CABLE Nª 6 P/PLACA SOLAR NEGRO</v>
      </c>
      <c r="M21" s="91" t="str">
        <f>IFERROR(VLOOKUP(K21,'LISTA ITEMS (2)'!$E$2:$G$910,3,FALSE)," ")</f>
        <v>MT</v>
      </c>
      <c r="N21" s="119">
        <v>30</v>
      </c>
      <c r="O21" s="92" t="s">
        <v>307</v>
      </c>
      <c r="P21" s="125"/>
      <c r="Q21" s="156"/>
      <c r="S21" s="160" t="s">
        <v>327</v>
      </c>
      <c r="T21" s="161" t="str">
        <f t="shared" si="1"/>
        <v>CABLE Nª 6 P/PLACA SOLAR NEGRO</v>
      </c>
      <c r="U21" s="162" t="str">
        <f t="shared" si="2"/>
        <v>MT</v>
      </c>
      <c r="V21" s="163">
        <f t="shared" si="3"/>
        <v>60</v>
      </c>
      <c r="W21" s="163">
        <f t="shared" si="4"/>
        <v>15</v>
      </c>
    </row>
    <row r="22" spans="1:23" ht="43.2" x14ac:dyDescent="0.3">
      <c r="A22" s="27">
        <v>20</v>
      </c>
      <c r="B22" s="65">
        <v>1</v>
      </c>
      <c r="C22" s="50">
        <v>2</v>
      </c>
      <c r="D22" s="41" t="s">
        <v>260</v>
      </c>
      <c r="E22" s="42" t="s">
        <v>261</v>
      </c>
      <c r="F22" s="41" t="s">
        <v>262</v>
      </c>
      <c r="G22" s="88">
        <v>46055</v>
      </c>
      <c r="H22" s="72">
        <v>3</v>
      </c>
      <c r="I22" s="72">
        <v>31</v>
      </c>
      <c r="J22" s="72">
        <v>278</v>
      </c>
      <c r="K22" s="89" t="str">
        <f t="shared" si="0"/>
        <v>3-31-278</v>
      </c>
      <c r="L22" s="90" t="str">
        <f>IFERROR(VLOOKUP(K22,'LISTA ITEMS (2)'!$E$2:$G$910,2,FALSE)," ")</f>
        <v>CABLE Nª 6 P/PLACA SOLAR ROJO</v>
      </c>
      <c r="M22" s="91" t="str">
        <f>IFERROR(VLOOKUP(K22,'LISTA ITEMS (2)'!$E$2:$G$910,3,FALSE)," ")</f>
        <v>MT</v>
      </c>
      <c r="N22" s="119">
        <v>30</v>
      </c>
      <c r="O22" s="92" t="s">
        <v>307</v>
      </c>
      <c r="P22" s="125"/>
      <c r="Q22" s="156"/>
      <c r="S22" s="160" t="s">
        <v>329</v>
      </c>
      <c r="T22" s="161" t="str">
        <f t="shared" si="1"/>
        <v>CABLE Nª 6 P/PLACA SOLAR ROJO</v>
      </c>
      <c r="U22" s="162" t="str">
        <f t="shared" si="2"/>
        <v>MT</v>
      </c>
      <c r="V22" s="163">
        <f t="shared" si="3"/>
        <v>60</v>
      </c>
      <c r="W22" s="163">
        <f t="shared" si="4"/>
        <v>15</v>
      </c>
    </row>
    <row r="23" spans="1:23" ht="43.2" x14ac:dyDescent="0.3">
      <c r="A23" s="27">
        <v>21</v>
      </c>
      <c r="B23" s="65">
        <v>1</v>
      </c>
      <c r="C23" s="50">
        <v>2</v>
      </c>
      <c r="D23" s="41" t="s">
        <v>260</v>
      </c>
      <c r="E23" s="42" t="s">
        <v>261</v>
      </c>
      <c r="F23" s="41" t="s">
        <v>262</v>
      </c>
      <c r="G23" s="88">
        <v>46055</v>
      </c>
      <c r="H23" s="72">
        <v>16</v>
      </c>
      <c r="I23" s="72">
        <v>46</v>
      </c>
      <c r="J23" s="72">
        <v>279</v>
      </c>
      <c r="K23" s="89" t="str">
        <f t="shared" si="0"/>
        <v>16-46-279</v>
      </c>
      <c r="L23" s="90" t="str">
        <f>IFERROR(VLOOKUP(K23,'LISTA ITEMS (2)'!$E$2:$G$910,2,FALSE)," ")</f>
        <v>MANGUERA CORRUGADA 25mm NEGRA</v>
      </c>
      <c r="M23" s="91" t="str">
        <f>IFERROR(VLOOKUP(K23,'LISTA ITEMS (2)'!$E$2:$G$910,3,FALSE)," ")</f>
        <v>MT</v>
      </c>
      <c r="N23" s="119">
        <v>1</v>
      </c>
      <c r="O23" s="92" t="s">
        <v>307</v>
      </c>
      <c r="P23" s="125"/>
      <c r="Q23" s="156">
        <v>1</v>
      </c>
      <c r="S23" s="160" t="s">
        <v>331</v>
      </c>
      <c r="T23" s="161" t="str">
        <f t="shared" si="1"/>
        <v>MANGUERA CORRUGADA 25mm NEGRA</v>
      </c>
      <c r="U23" s="162" t="str">
        <f t="shared" si="2"/>
        <v>MT</v>
      </c>
      <c r="V23" s="163">
        <f t="shared" si="3"/>
        <v>1</v>
      </c>
      <c r="W23" s="163">
        <f t="shared" si="4"/>
        <v>1</v>
      </c>
    </row>
    <row r="24" spans="1:23" ht="43.2" x14ac:dyDescent="0.3">
      <c r="A24" s="27">
        <v>22</v>
      </c>
      <c r="B24" s="65">
        <v>1</v>
      </c>
      <c r="C24" s="50">
        <v>2</v>
      </c>
      <c r="D24" s="41" t="s">
        <v>260</v>
      </c>
      <c r="E24" s="42" t="s">
        <v>261</v>
      </c>
      <c r="F24" s="41" t="s">
        <v>262</v>
      </c>
      <c r="G24" s="88">
        <v>46055</v>
      </c>
      <c r="H24" s="72">
        <v>3</v>
      </c>
      <c r="I24" s="72">
        <v>31</v>
      </c>
      <c r="J24" s="72">
        <v>222</v>
      </c>
      <c r="K24" s="89" t="str">
        <f t="shared" si="0"/>
        <v>3-31-222</v>
      </c>
      <c r="L24" s="90" t="str">
        <f>IFERROR(VLOOKUP(K24,'LISTA ITEMS (2)'!$E$2:$G$910,2,FALSE)," ")</f>
        <v>CABLE Nª 10 C/ALTERNA NEGRO</v>
      </c>
      <c r="M24" s="91" t="str">
        <f>IFERROR(VLOOKUP(K24,'LISTA ITEMS (2)'!$E$2:$G$910,3,FALSE)," ")</f>
        <v>MT</v>
      </c>
      <c r="N24" s="119">
        <v>100</v>
      </c>
      <c r="O24" s="92" t="s">
        <v>307</v>
      </c>
      <c r="P24" s="125"/>
      <c r="Q24" s="156">
        <v>88</v>
      </c>
      <c r="S24" s="160" t="s">
        <v>209</v>
      </c>
      <c r="T24" s="161" t="str">
        <f t="shared" si="1"/>
        <v>CABLE Nª 10 C/ALTERNA NEGRO</v>
      </c>
      <c r="U24" s="162" t="str">
        <f t="shared" si="2"/>
        <v>MT</v>
      </c>
      <c r="V24" s="163">
        <f t="shared" si="3"/>
        <v>180</v>
      </c>
      <c r="W24" s="163">
        <f t="shared" si="4"/>
        <v>113</v>
      </c>
    </row>
    <row r="25" spans="1:23" ht="43.2" x14ac:dyDescent="0.3">
      <c r="A25" s="27">
        <v>23</v>
      </c>
      <c r="B25" s="65">
        <v>1</v>
      </c>
      <c r="C25" s="50">
        <v>2</v>
      </c>
      <c r="D25" s="41" t="s">
        <v>260</v>
      </c>
      <c r="E25" s="42" t="s">
        <v>261</v>
      </c>
      <c r="F25" s="41" t="s">
        <v>262</v>
      </c>
      <c r="G25" s="88">
        <v>46055</v>
      </c>
      <c r="H25" s="72">
        <v>3</v>
      </c>
      <c r="I25" s="72">
        <v>31</v>
      </c>
      <c r="J25" s="72">
        <v>221</v>
      </c>
      <c r="K25" s="89" t="str">
        <f t="shared" si="0"/>
        <v>3-31-221</v>
      </c>
      <c r="L25" s="90" t="str">
        <f>IFERROR(VLOOKUP(K25,'LISTA ITEMS (2)'!$E$2:$G$910,2,FALSE)," ")</f>
        <v>CABLE Nª 10 C/ALTERNA AZUL</v>
      </c>
      <c r="M25" s="91" t="str">
        <f>IFERROR(VLOOKUP(K25,'LISTA ITEMS (2)'!$E$2:$G$910,3,FALSE)," ")</f>
        <v>MT</v>
      </c>
      <c r="N25" s="119">
        <v>100</v>
      </c>
      <c r="O25" s="92" t="s">
        <v>307</v>
      </c>
      <c r="P25" s="125"/>
      <c r="Q25" s="156">
        <v>88</v>
      </c>
      <c r="S25" s="160" t="s">
        <v>208</v>
      </c>
      <c r="T25" s="161" t="str">
        <f t="shared" si="1"/>
        <v>CABLE Nª 10 C/ALTERNA AZUL</v>
      </c>
      <c r="U25" s="162" t="str">
        <f t="shared" si="2"/>
        <v>MT</v>
      </c>
      <c r="V25" s="163">
        <f t="shared" si="3"/>
        <v>200</v>
      </c>
      <c r="W25" s="163">
        <f t="shared" si="4"/>
        <v>113</v>
      </c>
    </row>
    <row r="26" spans="1:23" ht="43.2" x14ac:dyDescent="0.3">
      <c r="A26" s="27">
        <v>24</v>
      </c>
      <c r="B26" s="65">
        <v>1</v>
      </c>
      <c r="C26" s="50">
        <v>2</v>
      </c>
      <c r="D26" s="41" t="s">
        <v>260</v>
      </c>
      <c r="E26" s="42" t="s">
        <v>261</v>
      </c>
      <c r="F26" s="41" t="s">
        <v>262</v>
      </c>
      <c r="G26" s="88">
        <v>46055</v>
      </c>
      <c r="H26" s="72">
        <v>3</v>
      </c>
      <c r="I26" s="72">
        <v>31</v>
      </c>
      <c r="J26" s="72">
        <v>220</v>
      </c>
      <c r="K26" s="89" t="str">
        <f t="shared" si="0"/>
        <v>3-31-220</v>
      </c>
      <c r="L26" s="90" t="str">
        <f>IFERROR(VLOOKUP(K26,'LISTA ITEMS (2)'!$E$2:$G$910,2,FALSE)," ")</f>
        <v>CABLE Nª 10 C/ALTERNA GRIS</v>
      </c>
      <c r="M26" s="91" t="str">
        <f>IFERROR(VLOOKUP(K26,'LISTA ITEMS (2)'!$E$2:$G$910,3,FALSE)," ")</f>
        <v>MT</v>
      </c>
      <c r="N26" s="119">
        <v>100</v>
      </c>
      <c r="O26" s="92" t="s">
        <v>307</v>
      </c>
      <c r="P26" s="125"/>
      <c r="Q26" s="156">
        <v>88</v>
      </c>
      <c r="S26" s="160" t="s">
        <v>207</v>
      </c>
      <c r="T26" s="161" t="str">
        <f t="shared" si="1"/>
        <v>CABLE Nª 10 C/ALTERNA GRIS</v>
      </c>
      <c r="U26" s="162" t="str">
        <f t="shared" si="2"/>
        <v>MT</v>
      </c>
      <c r="V26" s="163">
        <f t="shared" si="3"/>
        <v>200</v>
      </c>
      <c r="W26" s="163">
        <f t="shared" si="4"/>
        <v>168</v>
      </c>
    </row>
    <row r="27" spans="1:23" ht="43.2" x14ac:dyDescent="0.3">
      <c r="A27" s="27">
        <v>25</v>
      </c>
      <c r="B27" s="65">
        <v>1</v>
      </c>
      <c r="C27" s="50">
        <v>2</v>
      </c>
      <c r="D27" s="41" t="s">
        <v>260</v>
      </c>
      <c r="E27" s="42" t="s">
        <v>261</v>
      </c>
      <c r="F27" s="41" t="s">
        <v>262</v>
      </c>
      <c r="G27" s="88">
        <v>46055</v>
      </c>
      <c r="H27" s="72">
        <v>3</v>
      </c>
      <c r="I27" s="72">
        <v>31</v>
      </c>
      <c r="J27" s="72">
        <v>219</v>
      </c>
      <c r="K27" s="89" t="str">
        <f t="shared" si="0"/>
        <v>3-31-219</v>
      </c>
      <c r="L27" s="90" t="str">
        <f>IFERROR(VLOOKUP(K27,'LISTA ITEMS (2)'!$E$2:$G$910,2,FALSE)," ")</f>
        <v>CABLE Nª 10 C/ALTERNA MARRON</v>
      </c>
      <c r="M27" s="91" t="str">
        <f>IFERROR(VLOOKUP(K27,'LISTA ITEMS (2)'!$E$2:$G$910,3,FALSE)," ")</f>
        <v>MT</v>
      </c>
      <c r="N27" s="119">
        <v>100</v>
      </c>
      <c r="O27" s="92" t="s">
        <v>307</v>
      </c>
      <c r="P27" s="125"/>
      <c r="Q27" s="156">
        <v>88</v>
      </c>
      <c r="S27" s="160" t="s">
        <v>206</v>
      </c>
      <c r="T27" s="161" t="str">
        <f t="shared" si="1"/>
        <v>CABLE Nª 10 C/ALTERNA MARRON</v>
      </c>
      <c r="U27" s="162" t="str">
        <f t="shared" si="2"/>
        <v>MT</v>
      </c>
      <c r="V27" s="163">
        <f t="shared" si="3"/>
        <v>160</v>
      </c>
      <c r="W27" s="163">
        <f t="shared" si="4"/>
        <v>113</v>
      </c>
    </row>
    <row r="28" spans="1:23" ht="43.2" x14ac:dyDescent="0.3">
      <c r="A28" s="27">
        <v>26</v>
      </c>
      <c r="B28" s="65">
        <v>1</v>
      </c>
      <c r="C28" s="50">
        <v>2</v>
      </c>
      <c r="D28" s="41" t="s">
        <v>260</v>
      </c>
      <c r="E28" s="42" t="s">
        <v>261</v>
      </c>
      <c r="F28" s="41" t="s">
        <v>262</v>
      </c>
      <c r="G28" s="88">
        <v>46055</v>
      </c>
      <c r="H28" s="72">
        <v>3</v>
      </c>
      <c r="I28" s="72">
        <v>31</v>
      </c>
      <c r="J28" s="72">
        <v>218</v>
      </c>
      <c r="K28" s="89" t="str">
        <f t="shared" si="0"/>
        <v>3-31-218</v>
      </c>
      <c r="L28" s="90" t="str">
        <f>IFERROR(VLOOKUP(K28,'LISTA ITEMS (2)'!$E$2:$G$910,2,FALSE)," ")</f>
        <v>CABLE Nª 10 C/ALTERNA VERDE/AMARILLO</v>
      </c>
      <c r="M28" s="91" t="str">
        <f>IFERROR(VLOOKUP(K28,'LISTA ITEMS (2)'!$E$2:$G$910,3,FALSE)," ")</f>
        <v>MT</v>
      </c>
      <c r="N28" s="119">
        <v>60</v>
      </c>
      <c r="O28" s="92" t="s">
        <v>307</v>
      </c>
      <c r="P28" s="125"/>
      <c r="Q28" s="156">
        <v>88</v>
      </c>
      <c r="S28" s="160" t="s">
        <v>205</v>
      </c>
      <c r="T28" s="161" t="str">
        <f t="shared" si="1"/>
        <v>CABLE Nª 10 C/ALTERNA VERDE/AMARILLO</v>
      </c>
      <c r="U28" s="162" t="str">
        <f t="shared" si="2"/>
        <v>MT</v>
      </c>
      <c r="V28" s="163">
        <f t="shared" si="3"/>
        <v>130</v>
      </c>
      <c r="W28" s="163">
        <f t="shared" si="4"/>
        <v>113</v>
      </c>
    </row>
    <row r="29" spans="1:23" ht="43.2" x14ac:dyDescent="0.3">
      <c r="A29" s="27">
        <v>27</v>
      </c>
      <c r="B29" s="65">
        <v>1</v>
      </c>
      <c r="C29" s="50">
        <v>2</v>
      </c>
      <c r="D29" s="41" t="s">
        <v>260</v>
      </c>
      <c r="E29" s="42" t="s">
        <v>261</v>
      </c>
      <c r="F29" s="41" t="s">
        <v>262</v>
      </c>
      <c r="G29" s="88">
        <v>46055</v>
      </c>
      <c r="H29" s="72">
        <v>16</v>
      </c>
      <c r="I29" s="72">
        <v>47</v>
      </c>
      <c r="J29" s="72">
        <v>280</v>
      </c>
      <c r="K29" s="89" t="str">
        <f t="shared" si="0"/>
        <v>16-47-280</v>
      </c>
      <c r="L29" s="90" t="str">
        <f>IFERROR(VLOOKUP(K29,'LISTA ITEMS (2)'!$E$2:$G$910,2,FALSE)," ")</f>
        <v>DIFERENCIAL EPR2A063030 2P-63A-30mA (MAXGE)</v>
      </c>
      <c r="M29" s="91" t="str">
        <f>IFERROR(VLOOKUP(K29,'LISTA ITEMS (2)'!$E$2:$G$910,3,FALSE)," ")</f>
        <v>UND</v>
      </c>
      <c r="N29" s="119">
        <v>2</v>
      </c>
      <c r="O29" s="92" t="s">
        <v>307</v>
      </c>
      <c r="P29" s="125"/>
      <c r="Q29" s="156">
        <v>1</v>
      </c>
      <c r="S29" s="160" t="s">
        <v>333</v>
      </c>
      <c r="T29" s="161" t="str">
        <f t="shared" si="1"/>
        <v>DIFERENCIAL EPR2A063030 2P-63A-30mA (MAXGE)</v>
      </c>
      <c r="U29" s="162" t="str">
        <f t="shared" si="2"/>
        <v>UND</v>
      </c>
      <c r="V29" s="163">
        <f t="shared" si="3"/>
        <v>3</v>
      </c>
      <c r="W29" s="163">
        <f t="shared" si="4"/>
        <v>1</v>
      </c>
    </row>
    <row r="30" spans="1:23" ht="43.2" x14ac:dyDescent="0.3">
      <c r="A30" s="27">
        <v>28</v>
      </c>
      <c r="B30" s="65">
        <v>1</v>
      </c>
      <c r="C30" s="50">
        <v>2</v>
      </c>
      <c r="D30" s="41" t="s">
        <v>260</v>
      </c>
      <c r="E30" s="42" t="s">
        <v>261</v>
      </c>
      <c r="F30" s="41" t="s">
        <v>262</v>
      </c>
      <c r="G30" s="88">
        <v>46055</v>
      </c>
      <c r="H30" s="72">
        <v>16</v>
      </c>
      <c r="I30" s="72">
        <v>48</v>
      </c>
      <c r="J30" s="72">
        <v>281</v>
      </c>
      <c r="K30" s="89" t="str">
        <f t="shared" si="0"/>
        <v>16-48-281</v>
      </c>
      <c r="L30" s="90" t="str">
        <f>IFERROR(VLOOKUP(K30,'LISTA ITEMS (2)'!$E$2:$G$910,2,FALSE)," ")</f>
        <v>PORTA FUSIBLE SGF-32-DC (MAXGE)</v>
      </c>
      <c r="M30" s="91" t="str">
        <f>IFERROR(VLOOKUP(K30,'LISTA ITEMS (2)'!$E$2:$G$910,3,FALSE)," ")</f>
        <v>UND</v>
      </c>
      <c r="N30" s="119">
        <v>4</v>
      </c>
      <c r="O30" s="92" t="s">
        <v>307</v>
      </c>
      <c r="P30" s="125"/>
      <c r="Q30" s="156"/>
      <c r="S30" s="160" t="s">
        <v>335</v>
      </c>
      <c r="T30" s="161" t="str">
        <f t="shared" si="1"/>
        <v>PORTA FUSIBLE SGF-32-DC (MAXGE)</v>
      </c>
      <c r="U30" s="162" t="str">
        <f t="shared" si="2"/>
        <v>UND</v>
      </c>
      <c r="V30" s="163">
        <f t="shared" si="3"/>
        <v>4</v>
      </c>
      <c r="W30" s="163">
        <f t="shared" si="4"/>
        <v>0</v>
      </c>
    </row>
    <row r="31" spans="1:23" ht="43.2" x14ac:dyDescent="0.3">
      <c r="A31" s="27">
        <v>29</v>
      </c>
      <c r="B31" s="65">
        <v>1</v>
      </c>
      <c r="C31" s="50">
        <v>2</v>
      </c>
      <c r="D31" s="41" t="s">
        <v>260</v>
      </c>
      <c r="E31" s="42" t="s">
        <v>261</v>
      </c>
      <c r="F31" s="41" t="s">
        <v>262</v>
      </c>
      <c r="G31" s="88">
        <v>46055</v>
      </c>
      <c r="H31" s="72">
        <v>16</v>
      </c>
      <c r="I31" s="72">
        <v>49</v>
      </c>
      <c r="J31" s="72">
        <v>282</v>
      </c>
      <c r="K31" s="89" t="str">
        <f t="shared" si="0"/>
        <v>16-49-282</v>
      </c>
      <c r="L31" s="90" t="str">
        <f>IFERROR(VLOOKUP(K31,'LISTA ITEMS (2)'!$E$2:$G$910,2,FALSE)," ")</f>
        <v>CONTACTOR MODULAR RV32 (REVALCO)</v>
      </c>
      <c r="M31" s="91" t="str">
        <f>IFERROR(VLOOKUP(K31,'LISTA ITEMS (2)'!$E$2:$G$910,3,FALSE)," ")</f>
        <v>UND</v>
      </c>
      <c r="N31" s="119">
        <v>1</v>
      </c>
      <c r="O31" s="92" t="s">
        <v>307</v>
      </c>
      <c r="P31" s="125"/>
      <c r="Q31" s="156"/>
      <c r="S31" s="160" t="s">
        <v>337</v>
      </c>
      <c r="T31" s="161" t="str">
        <f t="shared" si="1"/>
        <v>CONTACTOR MODULAR RV32 (REVALCO)</v>
      </c>
      <c r="U31" s="162" t="str">
        <f t="shared" si="2"/>
        <v>UND</v>
      </c>
      <c r="V31" s="163">
        <f t="shared" si="3"/>
        <v>2</v>
      </c>
      <c r="W31" s="163">
        <f t="shared" si="4"/>
        <v>0</v>
      </c>
    </row>
    <row r="32" spans="1:23" ht="43.2" x14ac:dyDescent="0.3">
      <c r="A32" s="27">
        <v>30</v>
      </c>
      <c r="B32" s="65">
        <v>1</v>
      </c>
      <c r="C32" s="50">
        <v>2</v>
      </c>
      <c r="D32" s="41" t="s">
        <v>260</v>
      </c>
      <c r="E32" s="42" t="s">
        <v>261</v>
      </c>
      <c r="F32" s="41" t="s">
        <v>262</v>
      </c>
      <c r="G32" s="88">
        <v>46055</v>
      </c>
      <c r="H32" s="72">
        <v>16</v>
      </c>
      <c r="I32" s="72">
        <v>50</v>
      </c>
      <c r="J32" s="72">
        <v>283</v>
      </c>
      <c r="K32" s="89" t="str">
        <f t="shared" si="0"/>
        <v>16-50-283</v>
      </c>
      <c r="L32" s="90" t="str">
        <f>IFERROR(VLOOKUP(K32,'LISTA ITEMS (2)'!$E$2:$G$910,2,FALSE)," ")</f>
        <v>FUSIBLE 32A-1000VDC (SASSIN)</v>
      </c>
      <c r="M32" s="91" t="str">
        <f>IFERROR(VLOOKUP(K32,'LISTA ITEMS (2)'!$E$2:$G$910,3,FALSE)," ")</f>
        <v>UND</v>
      </c>
      <c r="N32" s="119">
        <v>10</v>
      </c>
      <c r="O32" s="92" t="s">
        <v>307</v>
      </c>
      <c r="P32" s="125"/>
      <c r="Q32" s="156">
        <v>6</v>
      </c>
      <c r="S32" s="160" t="s">
        <v>340</v>
      </c>
      <c r="T32" s="161" t="str">
        <f t="shared" si="1"/>
        <v>FUSIBLE 32A-1000VDC (SASSIN)</v>
      </c>
      <c r="U32" s="162" t="str">
        <f t="shared" si="2"/>
        <v>UND</v>
      </c>
      <c r="V32" s="163">
        <f t="shared" si="3"/>
        <v>10</v>
      </c>
      <c r="W32" s="163">
        <f t="shared" si="4"/>
        <v>6</v>
      </c>
    </row>
    <row r="33" spans="1:23" ht="43.2" x14ac:dyDescent="0.3">
      <c r="A33" s="27">
        <v>31</v>
      </c>
      <c r="B33" s="65">
        <v>1</v>
      </c>
      <c r="C33" s="50">
        <v>2</v>
      </c>
      <c r="D33" s="41" t="s">
        <v>260</v>
      </c>
      <c r="E33" s="42" t="s">
        <v>261</v>
      </c>
      <c r="F33" s="41" t="s">
        <v>262</v>
      </c>
      <c r="G33" s="88">
        <v>46055</v>
      </c>
      <c r="H33" s="72">
        <v>16</v>
      </c>
      <c r="I33" s="72">
        <v>51</v>
      </c>
      <c r="J33" s="72">
        <v>284</v>
      </c>
      <c r="K33" s="89" t="str">
        <f t="shared" si="0"/>
        <v>16-51-284</v>
      </c>
      <c r="L33" s="90" t="str">
        <f>IFERROR(VLOOKUP(K33,'LISTA ITEMS (2)'!$E$2:$G$910,2,FALSE)," ")</f>
        <v>LIMITADOR MONOFASICO 3SU1 15/30kA-275V (SASSIN)</v>
      </c>
      <c r="M33" s="91" t="str">
        <f>IFERROR(VLOOKUP(K33,'LISTA ITEMS (2)'!$E$2:$G$910,3,FALSE)," ")</f>
        <v>UND</v>
      </c>
      <c r="N33" s="119">
        <v>1</v>
      </c>
      <c r="O33" s="92" t="s">
        <v>307</v>
      </c>
      <c r="P33" s="125"/>
      <c r="Q33" s="156"/>
      <c r="S33" s="160" t="s">
        <v>342</v>
      </c>
      <c r="T33" s="161" t="str">
        <f t="shared" si="1"/>
        <v>LIMITADOR MONOFASICO 3SU1 15/30kA-275V (SASSIN)</v>
      </c>
      <c r="U33" s="162" t="str">
        <f t="shared" si="2"/>
        <v>UND</v>
      </c>
      <c r="V33" s="163">
        <f t="shared" si="3"/>
        <v>1</v>
      </c>
      <c r="W33" s="163">
        <f t="shared" si="4"/>
        <v>0</v>
      </c>
    </row>
    <row r="34" spans="1:23" ht="43.2" x14ac:dyDescent="0.3">
      <c r="A34" s="27">
        <v>32</v>
      </c>
      <c r="B34" s="65">
        <v>1</v>
      </c>
      <c r="C34" s="50">
        <v>2</v>
      </c>
      <c r="D34" s="41" t="s">
        <v>260</v>
      </c>
      <c r="E34" s="42" t="s">
        <v>261</v>
      </c>
      <c r="F34" s="41" t="s">
        <v>262</v>
      </c>
      <c r="G34" s="88">
        <v>46055</v>
      </c>
      <c r="H34" s="72">
        <v>16</v>
      </c>
      <c r="I34" s="72">
        <v>52</v>
      </c>
      <c r="J34" s="72">
        <v>285</v>
      </c>
      <c r="K34" s="89" t="str">
        <f t="shared" si="0"/>
        <v>16-52-285</v>
      </c>
      <c r="L34" s="90" t="str">
        <f>IFERROR(VLOOKUP(K34,'LISTA ITEMS (2)'!$E$2:$G$910,2,FALSE)," ")</f>
        <v>TERMICO EPBE63M1NC63 1P+N C63 (MAXGE)</v>
      </c>
      <c r="M34" s="91" t="str">
        <f>IFERROR(VLOOKUP(K34,'LISTA ITEMS (2)'!$E$2:$G$910,3,FALSE)," ")</f>
        <v>UND</v>
      </c>
      <c r="N34" s="119">
        <v>2</v>
      </c>
      <c r="O34" s="92" t="s">
        <v>307</v>
      </c>
      <c r="P34" s="125"/>
      <c r="Q34" s="156">
        <v>1</v>
      </c>
      <c r="S34" s="160" t="s">
        <v>344</v>
      </c>
      <c r="T34" s="161" t="str">
        <f t="shared" si="1"/>
        <v>TERMICO EPBE63M1NC63 1P+N C63 (MAXGE)</v>
      </c>
      <c r="U34" s="162" t="str">
        <f t="shared" si="2"/>
        <v>UND</v>
      </c>
      <c r="V34" s="163">
        <f t="shared" si="3"/>
        <v>3</v>
      </c>
      <c r="W34" s="163">
        <f t="shared" si="4"/>
        <v>1</v>
      </c>
    </row>
    <row r="35" spans="1:23" ht="41.4" x14ac:dyDescent="0.3">
      <c r="A35" s="27">
        <v>33</v>
      </c>
      <c r="B35" s="97">
        <v>2</v>
      </c>
      <c r="C35" s="98">
        <v>4</v>
      </c>
      <c r="D35" s="99" t="s">
        <v>470</v>
      </c>
      <c r="E35" s="99" t="s">
        <v>471</v>
      </c>
      <c r="F35" s="99" t="s">
        <v>472</v>
      </c>
      <c r="G35" s="100">
        <v>46179</v>
      </c>
      <c r="H35" s="101">
        <v>13</v>
      </c>
      <c r="I35" s="101">
        <v>21</v>
      </c>
      <c r="J35" s="101">
        <v>181</v>
      </c>
      <c r="K35" s="102" t="str">
        <f t="shared" ref="K35:K66" si="5">CONCATENATE(H35,"-",I35,"-",J35)</f>
        <v>13-21-181</v>
      </c>
      <c r="L35" s="103" t="str">
        <f>IFERROR(VLOOKUP(K35,'LISTA ITEMS (2)'!$E$2:$G$910,2,FALSE)," ")</f>
        <v>TACO P/BRIDA NEGRO</v>
      </c>
      <c r="M35" s="104" t="str">
        <f>IFERROR(VLOOKUP(K35,'LISTA ITEMS (2)'!$E$2:$G$910,3,FALSE)," ")</f>
        <v>UND</v>
      </c>
      <c r="N35" s="105">
        <v>100</v>
      </c>
      <c r="O35" s="105" t="s">
        <v>474</v>
      </c>
      <c r="P35" s="126"/>
      <c r="Q35" s="156">
        <v>100</v>
      </c>
      <c r="R35" s="93"/>
      <c r="S35" s="160" t="s">
        <v>167</v>
      </c>
      <c r="T35" s="161" t="str">
        <f t="shared" si="1"/>
        <v>TACO P/BRIDA NEGRO</v>
      </c>
      <c r="U35" s="162" t="str">
        <f t="shared" si="2"/>
        <v>UND</v>
      </c>
      <c r="V35" s="163">
        <f t="shared" si="3"/>
        <v>300</v>
      </c>
      <c r="W35" s="163">
        <f t="shared" si="4"/>
        <v>100</v>
      </c>
    </row>
    <row r="36" spans="1:23" ht="41.4" x14ac:dyDescent="0.3">
      <c r="A36" s="27">
        <v>34</v>
      </c>
      <c r="B36" s="97">
        <v>2</v>
      </c>
      <c r="C36" s="98">
        <v>4</v>
      </c>
      <c r="D36" s="99" t="s">
        <v>470</v>
      </c>
      <c r="E36" s="99" t="s">
        <v>471</v>
      </c>
      <c r="F36" s="99" t="s">
        <v>472</v>
      </c>
      <c r="G36" s="100">
        <v>46179</v>
      </c>
      <c r="H36" s="106">
        <v>13</v>
      </c>
      <c r="I36" s="106">
        <v>22</v>
      </c>
      <c r="J36" s="106">
        <v>183</v>
      </c>
      <c r="K36" s="107" t="str">
        <f t="shared" si="5"/>
        <v>13-22-183</v>
      </c>
      <c r="L36" s="108" t="str">
        <f>IFERROR(VLOOKUP(K36,'LISTA ITEMS (2)'!$E$2:$G$910,2,FALSE)," ")</f>
        <v>BRIDA P/INTERIOR NEGRA</v>
      </c>
      <c r="M36" s="109" t="str">
        <f>IFERROR(VLOOKUP(K36,'LISTA ITEMS (2)'!$E$2:$G$910,3,FALSE)," ")</f>
        <v>UND</v>
      </c>
      <c r="N36" s="121">
        <v>100</v>
      </c>
      <c r="O36" s="105" t="s">
        <v>474</v>
      </c>
      <c r="P36" s="125"/>
      <c r="Q36" s="156">
        <v>100</v>
      </c>
      <c r="S36" s="160" t="s">
        <v>169</v>
      </c>
      <c r="T36" s="161" t="str">
        <f t="shared" si="1"/>
        <v>BRIDA P/INTERIOR NEGRA</v>
      </c>
      <c r="U36" s="162" t="str">
        <f t="shared" si="2"/>
        <v>UND</v>
      </c>
      <c r="V36" s="163">
        <f t="shared" si="3"/>
        <v>200</v>
      </c>
      <c r="W36" s="163">
        <f t="shared" si="4"/>
        <v>100</v>
      </c>
    </row>
    <row r="37" spans="1:23" ht="41.4" x14ac:dyDescent="0.3">
      <c r="A37" s="27">
        <v>35</v>
      </c>
      <c r="B37" s="97">
        <v>2</v>
      </c>
      <c r="C37" s="98">
        <v>4</v>
      </c>
      <c r="D37" s="99" t="s">
        <v>470</v>
      </c>
      <c r="E37" s="99" t="s">
        <v>471</v>
      </c>
      <c r="F37" s="99" t="s">
        <v>472</v>
      </c>
      <c r="G37" s="100">
        <v>46179</v>
      </c>
      <c r="H37" s="106">
        <v>13</v>
      </c>
      <c r="I37" s="106">
        <v>22</v>
      </c>
      <c r="J37" s="106">
        <v>184</v>
      </c>
      <c r="K37" s="107" t="str">
        <f t="shared" si="5"/>
        <v>13-22-184</v>
      </c>
      <c r="L37" s="108" t="str">
        <f>IFERROR(VLOOKUP(K37,'LISTA ITEMS (2)'!$E$2:$G$910,2,FALSE)," ")</f>
        <v>BRIDA P/EXTERIOR NEGRA</v>
      </c>
      <c r="M37" s="109" t="str">
        <f>IFERROR(VLOOKUP(K37,'LISTA ITEMS (2)'!$E$2:$G$910,3,FALSE)," ")</f>
        <v>UND</v>
      </c>
      <c r="N37" s="121">
        <v>50</v>
      </c>
      <c r="O37" s="105" t="s">
        <v>474</v>
      </c>
      <c r="P37" s="125"/>
      <c r="Q37" s="156">
        <v>50</v>
      </c>
      <c r="S37" s="125"/>
      <c r="T37" s="17"/>
      <c r="U37" s="30"/>
      <c r="V37" s="16"/>
      <c r="W37" s="16"/>
    </row>
    <row r="38" spans="1:23" ht="41.4" x14ac:dyDescent="0.3">
      <c r="A38" s="27">
        <v>36</v>
      </c>
      <c r="B38" s="97">
        <v>2</v>
      </c>
      <c r="C38" s="98">
        <v>4</v>
      </c>
      <c r="D38" s="99" t="s">
        <v>470</v>
      </c>
      <c r="E38" s="99" t="s">
        <v>471</v>
      </c>
      <c r="F38" s="99" t="s">
        <v>472</v>
      </c>
      <c r="G38" s="100">
        <v>46179</v>
      </c>
      <c r="H38" s="106">
        <v>10</v>
      </c>
      <c r="I38" s="106">
        <v>37</v>
      </c>
      <c r="J38" s="106">
        <v>232</v>
      </c>
      <c r="K38" s="107" t="str">
        <f t="shared" si="5"/>
        <v>10-37-232</v>
      </c>
      <c r="L38" s="108" t="str">
        <f>IFERROR(VLOOKUP(K38,'LISTA ITEMS (2)'!$E$2:$G$910,2,FALSE)," ")</f>
        <v>SOPORTE CENTRAL NEGRO</v>
      </c>
      <c r="M38" s="109" t="str">
        <f>IFERROR(VLOOKUP(K38,'LISTA ITEMS (2)'!$E$2:$G$910,3,FALSE)," ")</f>
        <v>UND</v>
      </c>
      <c r="N38" s="121">
        <v>25</v>
      </c>
      <c r="O38" s="105" t="s">
        <v>474</v>
      </c>
      <c r="P38" s="125"/>
      <c r="Q38" s="156">
        <v>25</v>
      </c>
      <c r="S38" s="160" t="s">
        <v>219</v>
      </c>
      <c r="T38" s="161" t="str">
        <f>VLOOKUP(S38,$K$2:$M$195,2,FALSE)</f>
        <v>SOPORTE CENTRAL NEGRO</v>
      </c>
      <c r="U38" s="162" t="str">
        <f>VLOOKUP(S38,$K$2:$M$195,3,FALSE)</f>
        <v>UND</v>
      </c>
      <c r="V38" s="163">
        <f>SUMIF($K$3:$K$195,S38,$N$3:$N$195)</f>
        <v>80</v>
      </c>
      <c r="W38" s="163">
        <f>SUMIF($K$3:$K$195,S38,$Q$3:$Q$195)</f>
        <v>25</v>
      </c>
    </row>
    <row r="39" spans="1:23" ht="41.4" x14ac:dyDescent="0.3">
      <c r="A39" s="27">
        <v>37</v>
      </c>
      <c r="B39" s="97">
        <v>2</v>
      </c>
      <c r="C39" s="98">
        <v>4</v>
      </c>
      <c r="D39" s="99" t="s">
        <v>470</v>
      </c>
      <c r="E39" s="99" t="s">
        <v>471</v>
      </c>
      <c r="F39" s="99" t="s">
        <v>472</v>
      </c>
      <c r="G39" s="100">
        <v>46179</v>
      </c>
      <c r="H39" s="106">
        <v>10</v>
      </c>
      <c r="I39" s="106">
        <v>37</v>
      </c>
      <c r="J39" s="106">
        <v>315</v>
      </c>
      <c r="K39" s="107" t="str">
        <f t="shared" si="5"/>
        <v>10-37-315</v>
      </c>
      <c r="L39" s="108" t="str">
        <f>IFERROR(VLOOKUP(K39,'LISTA ITEMS (2)'!$E$2:$G$910,2,FALSE)," ")</f>
        <v>SOPORTE FINAL NEGRO</v>
      </c>
      <c r="M39" s="109" t="str">
        <f>IFERROR(VLOOKUP(K39,'LISTA ITEMS (2)'!$E$2:$G$910,3,FALSE)," ")</f>
        <v>UND</v>
      </c>
      <c r="N39" s="121">
        <v>25</v>
      </c>
      <c r="O39" s="105" t="s">
        <v>474</v>
      </c>
      <c r="P39" s="125"/>
      <c r="Q39" s="156">
        <v>25</v>
      </c>
      <c r="S39" s="160" t="s">
        <v>435</v>
      </c>
      <c r="T39" s="161" t="str">
        <f>VLOOKUP(S39,$K$2:$M$195,2,FALSE)</f>
        <v>SOPORTE FINAL NEGRO</v>
      </c>
      <c r="U39" s="162" t="str">
        <f>VLOOKUP(S39,$K$2:$M$195,3,FALSE)</f>
        <v>UND</v>
      </c>
      <c r="V39" s="163">
        <f>SUMIF($K$3:$K$195,S39,$N$3:$N$195)</f>
        <v>80</v>
      </c>
      <c r="W39" s="163">
        <f>SUMIF($K$3:$K$195,S39,$Q$3:$Q$195)</f>
        <v>25</v>
      </c>
    </row>
    <row r="40" spans="1:23" ht="41.4" x14ac:dyDescent="0.3">
      <c r="A40" s="27">
        <v>38</v>
      </c>
      <c r="B40" s="97">
        <v>2</v>
      </c>
      <c r="C40" s="98">
        <v>4</v>
      </c>
      <c r="D40" s="99" t="s">
        <v>470</v>
      </c>
      <c r="E40" s="99" t="s">
        <v>471</v>
      </c>
      <c r="F40" s="99" t="s">
        <v>472</v>
      </c>
      <c r="G40" s="100">
        <v>46179</v>
      </c>
      <c r="H40" s="106">
        <v>6</v>
      </c>
      <c r="I40" s="106">
        <v>23</v>
      </c>
      <c r="J40" s="106">
        <v>192</v>
      </c>
      <c r="K40" s="107" t="str">
        <f t="shared" si="5"/>
        <v>6-23-192</v>
      </c>
      <c r="L40" s="108" t="str">
        <f>IFERROR(VLOOKUP(K40,'LISTA ITEMS (2)'!$E$2:$G$910,2,FALSE)," ")</f>
        <v xml:space="preserve">CINTA ACERO PERFORADA PARA MONTAJE </v>
      </c>
      <c r="M40" s="109" t="str">
        <f>IFERROR(VLOOKUP(K40,'LISTA ITEMS (2)'!$E$2:$G$910,3,FALSE)," ")</f>
        <v>UND</v>
      </c>
      <c r="N40" s="121">
        <v>3</v>
      </c>
      <c r="O40" s="105" t="s">
        <v>474</v>
      </c>
      <c r="P40" s="125"/>
      <c r="Q40" s="156">
        <v>1.5</v>
      </c>
      <c r="S40" s="125"/>
      <c r="T40" s="17"/>
      <c r="U40" s="30"/>
      <c r="V40" s="16"/>
      <c r="W40" s="16"/>
    </row>
    <row r="41" spans="1:23" ht="41.4" x14ac:dyDescent="0.3">
      <c r="A41" s="27">
        <v>39</v>
      </c>
      <c r="B41" s="97">
        <v>2</v>
      </c>
      <c r="C41" s="98">
        <v>4</v>
      </c>
      <c r="D41" s="99" t="s">
        <v>470</v>
      </c>
      <c r="E41" s="99" t="s">
        <v>471</v>
      </c>
      <c r="F41" s="99" t="s">
        <v>472</v>
      </c>
      <c r="G41" s="100">
        <v>46179</v>
      </c>
      <c r="H41" s="106">
        <v>16</v>
      </c>
      <c r="I41" s="106">
        <v>45</v>
      </c>
      <c r="J41" s="106">
        <v>294</v>
      </c>
      <c r="K41" s="107" t="str">
        <f t="shared" si="5"/>
        <v>16-45-294</v>
      </c>
      <c r="L41" s="108" t="str">
        <f>IFERROR(VLOOKUP(K41,'LISTA ITEMS (2)'!$E$2:$G$910,2,FALSE)," ")</f>
        <v>CAJA DE ESTANCA 133X180X80 EV161 (IDE)</v>
      </c>
      <c r="M41" s="109" t="str">
        <f>IFERROR(VLOOKUP(K41,'LISTA ITEMS (2)'!$E$2:$G$910,3,FALSE)," ")</f>
        <v>UND</v>
      </c>
      <c r="N41" s="121">
        <v>1</v>
      </c>
      <c r="O41" s="105" t="s">
        <v>474</v>
      </c>
      <c r="P41" s="125"/>
      <c r="Q41" s="156"/>
      <c r="S41" s="160" t="s">
        <v>393</v>
      </c>
      <c r="T41" s="161" t="str">
        <f>VLOOKUP(S41,$K$2:$M$195,2,FALSE)</f>
        <v>CAJA DE ESTANCA 133X180X80 EV161 (IDE)</v>
      </c>
      <c r="U41" s="162" t="str">
        <f>VLOOKUP(S41,$K$2:$M$195,3,FALSE)</f>
        <v>UND</v>
      </c>
      <c r="V41" s="163">
        <f>SUMIF($K$3:$K$195,S41,$N$3:$N$195)</f>
        <v>2</v>
      </c>
      <c r="W41" s="163">
        <f>SUMIF($K$3:$K$195,S41,$Q$3:$Q$195)</f>
        <v>0</v>
      </c>
    </row>
    <row r="42" spans="1:23" ht="41.4" x14ac:dyDescent="0.3">
      <c r="A42" s="27">
        <v>40</v>
      </c>
      <c r="B42" s="97">
        <v>2</v>
      </c>
      <c r="C42" s="98">
        <v>4</v>
      </c>
      <c r="D42" s="99" t="s">
        <v>470</v>
      </c>
      <c r="E42" s="99" t="s">
        <v>471</v>
      </c>
      <c r="F42" s="99" t="s">
        <v>472</v>
      </c>
      <c r="G42" s="100">
        <v>46179</v>
      </c>
      <c r="H42" s="106">
        <v>10</v>
      </c>
      <c r="I42" s="106">
        <v>43</v>
      </c>
      <c r="J42" s="106">
        <v>270</v>
      </c>
      <c r="K42" s="107" t="str">
        <f t="shared" si="5"/>
        <v>10-43-270</v>
      </c>
      <c r="L42" s="108" t="str">
        <f>IFERROR(VLOOKUP(K42,'LISTA ITEMS (2)'!$E$2:$G$910,2,FALSE)," ")</f>
        <v>EMPALME ALUMINIO P/BARRA</v>
      </c>
      <c r="M42" s="109" t="str">
        <f>IFERROR(VLOOKUP(K42,'LISTA ITEMS (2)'!$E$2:$G$910,3,FALSE)," ")</f>
        <v>UND</v>
      </c>
      <c r="N42" s="121">
        <v>8</v>
      </c>
      <c r="O42" s="105" t="s">
        <v>474</v>
      </c>
      <c r="P42" s="125"/>
      <c r="Q42" s="156">
        <v>8</v>
      </c>
      <c r="S42" s="125"/>
      <c r="T42" s="17"/>
      <c r="U42" s="30"/>
      <c r="V42" s="16"/>
      <c r="W42" s="16"/>
    </row>
    <row r="43" spans="1:23" ht="41.4" x14ac:dyDescent="0.3">
      <c r="A43" s="27">
        <v>41</v>
      </c>
      <c r="B43" s="97">
        <v>2</v>
      </c>
      <c r="C43" s="98">
        <v>4</v>
      </c>
      <c r="D43" s="99" t="s">
        <v>470</v>
      </c>
      <c r="E43" s="99" t="s">
        <v>471</v>
      </c>
      <c r="F43" s="99" t="s">
        <v>472</v>
      </c>
      <c r="G43" s="100">
        <v>46179</v>
      </c>
      <c r="H43" s="106">
        <v>16</v>
      </c>
      <c r="I43" s="106">
        <v>45</v>
      </c>
      <c r="J43" s="106">
        <v>276</v>
      </c>
      <c r="K43" s="107" t="str">
        <f t="shared" si="5"/>
        <v>16-45-276</v>
      </c>
      <c r="L43" s="108" t="str">
        <f>IFERROR(VLOOKUP(K43,'LISTA ITEMS (2)'!$E$2:$G$910,2,FALSE)," ")</f>
        <v>CAJA ESTANCA (COCHERA) EXTERIOR 18PT (IDE)</v>
      </c>
      <c r="M43" s="109" t="str">
        <f>IFERROR(VLOOKUP(K43,'LISTA ITEMS (2)'!$E$2:$G$910,3,FALSE)," ")</f>
        <v>UND</v>
      </c>
      <c r="N43" s="121">
        <v>1</v>
      </c>
      <c r="O43" s="105" t="s">
        <v>474</v>
      </c>
      <c r="P43" s="125"/>
      <c r="Q43" s="156">
        <v>1</v>
      </c>
      <c r="S43" s="125"/>
      <c r="T43" s="17"/>
      <c r="U43" s="30"/>
      <c r="V43" s="16"/>
      <c r="W43" s="16"/>
    </row>
    <row r="44" spans="1:23" ht="41.4" x14ac:dyDescent="0.3">
      <c r="A44" s="27">
        <v>42</v>
      </c>
      <c r="B44" s="97">
        <v>2</v>
      </c>
      <c r="C44" s="98">
        <v>4</v>
      </c>
      <c r="D44" s="99" t="s">
        <v>470</v>
      </c>
      <c r="E44" s="99" t="s">
        <v>471</v>
      </c>
      <c r="F44" s="99" t="s">
        <v>472</v>
      </c>
      <c r="G44" s="100">
        <v>46179</v>
      </c>
      <c r="H44" s="106">
        <v>16</v>
      </c>
      <c r="I44" s="106">
        <v>45</v>
      </c>
      <c r="J44" s="106">
        <v>317</v>
      </c>
      <c r="K44" s="107" t="str">
        <f t="shared" si="5"/>
        <v>16-45-317</v>
      </c>
      <c r="L44" s="108" t="str">
        <f>IFERROR(VLOOKUP(K44,'LISTA ITEMS (2)'!$E$2:$G$910,2,FALSE)," ")</f>
        <v>CAJA DISTRIBUCION INTERIOR 8 ELEM. (SOLERA)</v>
      </c>
      <c r="M44" s="109" t="str">
        <f>IFERROR(VLOOKUP(K44,'LISTA ITEMS (2)'!$E$2:$G$910,3,FALSE)," ")</f>
        <v>UND</v>
      </c>
      <c r="N44" s="121">
        <v>1</v>
      </c>
      <c r="O44" s="105" t="s">
        <v>474</v>
      </c>
      <c r="P44" s="125"/>
      <c r="Q44" s="156">
        <v>1</v>
      </c>
      <c r="S44" s="160" t="s">
        <v>439</v>
      </c>
      <c r="T44" s="161" t="str">
        <f>VLOOKUP(S44,$K$2:$M$195,2,FALSE)</f>
        <v>CAJA DISTRIBUCION INTERIOR 8 ELEM. (SOLERA)</v>
      </c>
      <c r="U44" s="162" t="str">
        <f>VLOOKUP(S44,$K$2:$M$195,3,FALSE)</f>
        <v>UND</v>
      </c>
      <c r="V44" s="163">
        <f>SUMIF($K$3:$K$195,S44,$N$3:$N$195)</f>
        <v>2</v>
      </c>
      <c r="W44" s="163">
        <f>SUMIF($K$3:$K$195,S44,$Q$3:$Q$195)</f>
        <v>1</v>
      </c>
    </row>
    <row r="45" spans="1:23" ht="41.4" x14ac:dyDescent="0.3">
      <c r="A45" s="27">
        <v>43</v>
      </c>
      <c r="B45" s="97">
        <v>2</v>
      </c>
      <c r="C45" s="98">
        <v>4</v>
      </c>
      <c r="D45" s="99" t="s">
        <v>470</v>
      </c>
      <c r="E45" s="99" t="s">
        <v>471</v>
      </c>
      <c r="F45" s="99" t="s">
        <v>472</v>
      </c>
      <c r="G45" s="100">
        <v>46179</v>
      </c>
      <c r="H45" s="106">
        <v>16</v>
      </c>
      <c r="I45" s="106">
        <v>47</v>
      </c>
      <c r="J45" s="106">
        <v>318</v>
      </c>
      <c r="K45" s="107" t="str">
        <f t="shared" si="5"/>
        <v>16-47-318</v>
      </c>
      <c r="L45" s="108" t="str">
        <f>IFERROR(VLOOKUP(K45,'LISTA ITEMS (2)'!$E$2:$G$910,2,FALSE)," ")</f>
        <v>DIFERENCIAL EPR2A040030 2P-40A-30mA (MAXGE)</v>
      </c>
      <c r="M45" s="109" t="str">
        <f>IFERROR(VLOOKUP(K45,'LISTA ITEMS (2)'!$E$2:$G$910,3,FALSE)," ")</f>
        <v>UND</v>
      </c>
      <c r="N45" s="121">
        <v>1</v>
      </c>
      <c r="O45" s="105" t="s">
        <v>474</v>
      </c>
      <c r="P45" s="125"/>
      <c r="Q45" s="156"/>
      <c r="S45" s="160" t="s">
        <v>441</v>
      </c>
      <c r="T45" s="161" t="str">
        <f>VLOOKUP(S45,$K$2:$M$195,2,FALSE)</f>
        <v>DIFERENCIAL EPR2A040030 2P-40A-30mA (MAXGE)</v>
      </c>
      <c r="U45" s="162" t="str">
        <f>VLOOKUP(S45,$K$2:$M$195,3,FALSE)</f>
        <v>UND</v>
      </c>
      <c r="V45" s="163">
        <f>SUMIF($K$3:$K$195,S45,$N$3:$N$195)</f>
        <v>4</v>
      </c>
      <c r="W45" s="163">
        <f>SUMIF($K$3:$K$195,S45,$Q$3:$Q$195)</f>
        <v>0</v>
      </c>
    </row>
    <row r="46" spans="1:23" ht="41.4" x14ac:dyDescent="0.3">
      <c r="A46" s="27">
        <v>44</v>
      </c>
      <c r="B46" s="97">
        <v>2</v>
      </c>
      <c r="C46" s="98">
        <v>4</v>
      </c>
      <c r="D46" s="99" t="s">
        <v>470</v>
      </c>
      <c r="E46" s="99" t="s">
        <v>471</v>
      </c>
      <c r="F46" s="99" t="s">
        <v>472</v>
      </c>
      <c r="G46" s="100">
        <v>46179</v>
      </c>
      <c r="H46" s="106">
        <v>16</v>
      </c>
      <c r="I46" s="106">
        <v>52</v>
      </c>
      <c r="J46" s="106">
        <v>319</v>
      </c>
      <c r="K46" s="107" t="str">
        <f t="shared" si="5"/>
        <v>16-52-319</v>
      </c>
      <c r="L46" s="108" t="str">
        <f>IFERROR(VLOOKUP(K46,'LISTA ITEMS (2)'!$E$2:$G$910,2,FALSE)," ")</f>
        <v>TERMICO EPBE63M1NC25 1P+N C25 (MAXGE)</v>
      </c>
      <c r="M46" s="109" t="str">
        <f>IFERROR(VLOOKUP(K46,'LISTA ITEMS (2)'!$E$2:$G$910,3,FALSE)," ")</f>
        <v>UND</v>
      </c>
      <c r="N46" s="121">
        <v>1</v>
      </c>
      <c r="O46" s="105" t="s">
        <v>474</v>
      </c>
      <c r="P46" s="125"/>
      <c r="Q46" s="156"/>
      <c r="S46" s="160" t="s">
        <v>443</v>
      </c>
      <c r="T46" s="161" t="str">
        <f>VLOOKUP(S46,$K$2:$M$195,2,FALSE)</f>
        <v>TERMICO EPBE63M1NC25 1P+N C25 (MAXGE)</v>
      </c>
      <c r="U46" s="162" t="str">
        <f>VLOOKUP(S46,$K$2:$M$195,3,FALSE)</f>
        <v>UND</v>
      </c>
      <c r="V46" s="163">
        <f>SUMIF($K$3:$K$195,S46,$N$3:$N$195)</f>
        <v>1</v>
      </c>
      <c r="W46" s="163">
        <f>SUMIF($K$3:$K$195,S46,$Q$3:$Q$195)</f>
        <v>0</v>
      </c>
    </row>
    <row r="47" spans="1:23" ht="41.4" x14ac:dyDescent="0.3">
      <c r="A47" s="27">
        <v>45</v>
      </c>
      <c r="B47" s="97">
        <v>2</v>
      </c>
      <c r="C47" s="98">
        <v>4</v>
      </c>
      <c r="D47" s="99" t="s">
        <v>470</v>
      </c>
      <c r="E47" s="99" t="s">
        <v>471</v>
      </c>
      <c r="F47" s="99" t="s">
        <v>472</v>
      </c>
      <c r="G47" s="100">
        <v>46179</v>
      </c>
      <c r="H47" s="106">
        <v>16</v>
      </c>
      <c r="I47" s="106">
        <v>45</v>
      </c>
      <c r="J47" s="106">
        <v>275</v>
      </c>
      <c r="K47" s="107" t="str">
        <f t="shared" si="5"/>
        <v>16-45-275</v>
      </c>
      <c r="L47" s="108" t="str">
        <f>IFERROR(VLOOKUP(K47,'LISTA ITEMS (2)'!$E$2:$G$910,2,FALSE)," ")</f>
        <v>CAJA DISTRIBUCION INTERIOR 18 ELEM. (SOLERA)</v>
      </c>
      <c r="M47" s="109" t="str">
        <f>IFERROR(VLOOKUP(K47,'LISTA ITEMS (2)'!$E$2:$G$910,3,FALSE)," ")</f>
        <v>UND</v>
      </c>
      <c r="N47" s="121">
        <v>1</v>
      </c>
      <c r="O47" s="105" t="s">
        <v>474</v>
      </c>
      <c r="P47" s="125"/>
      <c r="Q47" s="156">
        <v>1</v>
      </c>
      <c r="S47" s="125"/>
      <c r="T47" s="17"/>
      <c r="U47" s="30"/>
      <c r="V47" s="16"/>
      <c r="W47" s="16"/>
    </row>
    <row r="48" spans="1:23" ht="41.4" x14ac:dyDescent="0.3">
      <c r="A48" s="27">
        <v>46</v>
      </c>
      <c r="B48" s="97">
        <v>2</v>
      </c>
      <c r="C48" s="98">
        <v>4</v>
      </c>
      <c r="D48" s="99" t="s">
        <v>470</v>
      </c>
      <c r="E48" s="99" t="s">
        <v>471</v>
      </c>
      <c r="F48" s="99" t="s">
        <v>472</v>
      </c>
      <c r="G48" s="100">
        <v>46179</v>
      </c>
      <c r="H48" s="106">
        <v>16</v>
      </c>
      <c r="I48" s="106">
        <v>45</v>
      </c>
      <c r="J48" s="106">
        <v>299</v>
      </c>
      <c r="K48" s="107" t="str">
        <f t="shared" si="5"/>
        <v>16-45-299</v>
      </c>
      <c r="L48" s="108" t="str">
        <f>IFERROR(VLOOKUP(K48,'LISTA ITEMS (2)'!$E$2:$G$910,2,FALSE)," ")</f>
        <v>CAJA ESTANCA (COCHERA) EXTERIOR 8PT (IDE)</v>
      </c>
      <c r="M48" s="109" t="str">
        <f>IFERROR(VLOOKUP(K48,'LISTA ITEMS (2)'!$E$2:$G$910,3,FALSE)," ")</f>
        <v>UND</v>
      </c>
      <c r="N48" s="121">
        <v>1</v>
      </c>
      <c r="O48" s="105" t="s">
        <v>474</v>
      </c>
      <c r="P48" s="125"/>
      <c r="Q48" s="156"/>
      <c r="S48" s="160" t="s">
        <v>403</v>
      </c>
      <c r="T48" s="161" t="str">
        <f>VLOOKUP(S48,$K$2:$M$195,2,FALSE)</f>
        <v>CAJA ESTANCA (COCHERA) EXTERIOR 8PT (IDE)</v>
      </c>
      <c r="U48" s="162" t="str">
        <f>VLOOKUP(S48,$K$2:$M$195,3,FALSE)</f>
        <v>UND</v>
      </c>
      <c r="V48" s="163">
        <f>SUMIF($K$3:$K$195,S48,$N$3:$N$195)</f>
        <v>1</v>
      </c>
      <c r="W48" s="163">
        <f>SUMIF($K$3:$K$195,S48,$Q$3:$Q$195)</f>
        <v>0</v>
      </c>
    </row>
    <row r="49" spans="1:23" ht="41.4" x14ac:dyDescent="0.3">
      <c r="A49" s="27">
        <v>47</v>
      </c>
      <c r="B49" s="97">
        <v>2</v>
      </c>
      <c r="C49" s="98">
        <v>4</v>
      </c>
      <c r="D49" s="99" t="s">
        <v>470</v>
      </c>
      <c r="E49" s="99" t="s">
        <v>471</v>
      </c>
      <c r="F49" s="99" t="s">
        <v>472</v>
      </c>
      <c r="G49" s="100">
        <v>46179</v>
      </c>
      <c r="H49" s="106">
        <v>10</v>
      </c>
      <c r="I49" s="106">
        <v>42</v>
      </c>
      <c r="J49" s="106">
        <v>268</v>
      </c>
      <c r="K49" s="107" t="str">
        <f t="shared" si="5"/>
        <v>10-42-268</v>
      </c>
      <c r="L49" s="108" t="str">
        <f>IFERROR(VLOOKUP(K49,'LISTA ITEMS (2)'!$E$2:$G$910,2,FALSE)," ")</f>
        <v>PATA ALUMINIO PARA ESTRUCTURA PLACA SOLAR ANGULO 30º</v>
      </c>
      <c r="M49" s="109" t="str">
        <f>IFERROR(VLOOKUP(K49,'LISTA ITEMS (2)'!$E$2:$G$910,3,FALSE)," ")</f>
        <v>UND</v>
      </c>
      <c r="N49" s="121">
        <v>8</v>
      </c>
      <c r="O49" s="105" t="s">
        <v>474</v>
      </c>
      <c r="P49" s="125"/>
      <c r="Q49" s="156">
        <v>8</v>
      </c>
      <c r="S49" s="125"/>
      <c r="T49" s="17"/>
      <c r="U49" s="30"/>
      <c r="V49" s="16"/>
      <c r="W49" s="16"/>
    </row>
    <row r="50" spans="1:23" ht="41.4" x14ac:dyDescent="0.3">
      <c r="A50" s="27">
        <v>48</v>
      </c>
      <c r="B50" s="97">
        <v>2</v>
      </c>
      <c r="C50" s="98">
        <v>4</v>
      </c>
      <c r="D50" s="99" t="s">
        <v>470</v>
      </c>
      <c r="E50" s="99" t="s">
        <v>471</v>
      </c>
      <c r="F50" s="99" t="s">
        <v>472</v>
      </c>
      <c r="G50" s="100">
        <v>46179</v>
      </c>
      <c r="H50" s="106">
        <v>16</v>
      </c>
      <c r="I50" s="106">
        <v>31</v>
      </c>
      <c r="J50" s="106">
        <v>320</v>
      </c>
      <c r="K50" s="107" t="str">
        <f t="shared" si="5"/>
        <v>16-31-320</v>
      </c>
      <c r="L50" s="108" t="str">
        <f>IFERROR(VLOOKUP(K50,'LISTA ITEMS (2)'!$E$2:$G$910,2,FALSE)," ")</f>
        <v xml:space="preserve">JUEGO CABLE PARA BATERIA DE LITIO B4850 </v>
      </c>
      <c r="M50" s="109" t="str">
        <f>IFERROR(VLOOKUP(K50,'LISTA ITEMS (2)'!$E$2:$G$910,3,FALSE)," ")</f>
        <v>UND</v>
      </c>
      <c r="N50" s="121">
        <v>1</v>
      </c>
      <c r="O50" s="105" t="s">
        <v>474</v>
      </c>
      <c r="P50" s="125"/>
      <c r="Q50" s="156"/>
      <c r="S50" s="160" t="s">
        <v>445</v>
      </c>
      <c r="T50" s="161" t="str">
        <f>VLOOKUP(S50,$K$2:$M$195,2,FALSE)</f>
        <v xml:space="preserve">JUEGO CABLE PARA BATERIA DE LITIO B4850 </v>
      </c>
      <c r="U50" s="162" t="str">
        <f>VLOOKUP(S50,$K$2:$M$195,3,FALSE)</f>
        <v>UND</v>
      </c>
      <c r="V50" s="163">
        <f>SUMIF($K$3:$K$195,S50,$N$3:$N$195)</f>
        <v>1</v>
      </c>
      <c r="W50" s="163">
        <f>SUMIF($K$3:$K$195,S50,$Q$3:$Q$195)</f>
        <v>0</v>
      </c>
    </row>
    <row r="51" spans="1:23" ht="41.4" x14ac:dyDescent="0.3">
      <c r="A51" s="27">
        <v>49</v>
      </c>
      <c r="B51" s="97">
        <v>2</v>
      </c>
      <c r="C51" s="98">
        <v>4</v>
      </c>
      <c r="D51" s="99" t="s">
        <v>470</v>
      </c>
      <c r="E51" s="99" t="s">
        <v>471</v>
      </c>
      <c r="F51" s="99" t="s">
        <v>472</v>
      </c>
      <c r="G51" s="100">
        <v>46179</v>
      </c>
      <c r="H51" s="106">
        <v>17</v>
      </c>
      <c r="I51" s="106">
        <v>44</v>
      </c>
      <c r="J51" s="106">
        <v>271</v>
      </c>
      <c r="K51" s="107" t="str">
        <f t="shared" si="5"/>
        <v>17-44-271</v>
      </c>
      <c r="L51" s="108" t="str">
        <f>IFERROR(VLOOKUP(K51,'LISTA ITEMS (2)'!$E$2:$G$910,2,FALSE)," ")</f>
        <v>SELLANTE QUIMICO BLANCO</v>
      </c>
      <c r="M51" s="109" t="str">
        <f>IFERROR(VLOOKUP(K51,'LISTA ITEMS (2)'!$E$2:$G$910,3,FALSE)," ")</f>
        <v>UND</v>
      </c>
      <c r="N51" s="121">
        <v>1</v>
      </c>
      <c r="O51" s="105" t="s">
        <v>474</v>
      </c>
      <c r="P51" s="125"/>
      <c r="Q51" s="156">
        <v>1</v>
      </c>
      <c r="S51" s="125"/>
      <c r="T51" s="17"/>
      <c r="U51" s="30"/>
      <c r="V51" s="16"/>
      <c r="W51" s="16"/>
    </row>
    <row r="52" spans="1:23" ht="41.4" x14ac:dyDescent="0.3">
      <c r="A52" s="27">
        <v>50</v>
      </c>
      <c r="B52" s="97">
        <v>2</v>
      </c>
      <c r="C52" s="98">
        <v>4</v>
      </c>
      <c r="D52" s="99" t="s">
        <v>470</v>
      </c>
      <c r="E52" s="99" t="s">
        <v>471</v>
      </c>
      <c r="F52" s="99" t="s">
        <v>472</v>
      </c>
      <c r="G52" s="100">
        <v>46179</v>
      </c>
      <c r="H52" s="106">
        <v>17</v>
      </c>
      <c r="I52" s="106">
        <v>44</v>
      </c>
      <c r="J52" s="106">
        <v>272</v>
      </c>
      <c r="K52" s="107" t="str">
        <f t="shared" si="5"/>
        <v>17-44-272</v>
      </c>
      <c r="L52" s="108" t="str">
        <f>IFERROR(VLOOKUP(K52,'LISTA ITEMS (2)'!$E$2:$G$910,2,FALSE)," ")</f>
        <v>SELLANTE QUIMICO GRIS</v>
      </c>
      <c r="M52" s="109" t="str">
        <f>IFERROR(VLOOKUP(K52,'LISTA ITEMS (2)'!$E$2:$G$910,3,FALSE)," ")</f>
        <v>UND</v>
      </c>
      <c r="N52" s="121">
        <v>1</v>
      </c>
      <c r="O52" s="105" t="s">
        <v>474</v>
      </c>
      <c r="P52" s="125"/>
      <c r="Q52" s="156">
        <v>1</v>
      </c>
      <c r="S52" s="125"/>
      <c r="T52" s="17"/>
      <c r="U52" s="30"/>
      <c r="V52" s="16"/>
      <c r="W52" s="16"/>
    </row>
    <row r="53" spans="1:23" ht="43.2" x14ac:dyDescent="0.3">
      <c r="A53" s="27">
        <v>51</v>
      </c>
      <c r="B53" s="97">
        <v>2</v>
      </c>
      <c r="C53" s="98">
        <v>4</v>
      </c>
      <c r="D53" s="99" t="s">
        <v>470</v>
      </c>
      <c r="E53" s="99" t="s">
        <v>471</v>
      </c>
      <c r="F53" s="99" t="s">
        <v>472</v>
      </c>
      <c r="G53" s="100">
        <v>46179</v>
      </c>
      <c r="H53" s="106">
        <v>8</v>
      </c>
      <c r="I53" s="106">
        <v>27</v>
      </c>
      <c r="J53" s="106">
        <v>321</v>
      </c>
      <c r="K53" s="107" t="str">
        <f t="shared" si="5"/>
        <v>8-27-321</v>
      </c>
      <c r="L53" s="108" t="str">
        <f>IFERROR(VLOOKUP(K53,'LISTA ITEMS (2)'!$E$2:$G$910,2,FALSE)," ")</f>
        <v>TORNILLO AUTOTALADRANTE CON C/HEXAGONAL - R/PARCIAL - ARANDELA CAUCHO 6X120mm  A/GALV.</v>
      </c>
      <c r="M53" s="109" t="str">
        <f>IFERROR(VLOOKUP(K53,'LISTA ITEMS (2)'!$E$2:$G$910,3,FALSE)," ")</f>
        <v>UND</v>
      </c>
      <c r="N53" s="121">
        <v>20</v>
      </c>
      <c r="O53" s="105" t="s">
        <v>474</v>
      </c>
      <c r="P53" s="125"/>
      <c r="Q53" s="156">
        <v>20</v>
      </c>
      <c r="S53" s="160" t="s">
        <v>447</v>
      </c>
      <c r="T53" s="161" t="str">
        <f>VLOOKUP(S53,$K$2:$M$195,2,FALSE)</f>
        <v>TORNILLO AUTOTALADRANTE CON C/HEXAGONAL - R/PARCIAL - ARANDELA CAUCHO 6X120mm  A/GALV.</v>
      </c>
      <c r="U53" s="162" t="str">
        <f>VLOOKUP(S53,$K$2:$M$195,3,FALSE)</f>
        <v>UND</v>
      </c>
      <c r="V53" s="163">
        <f>SUMIF($K$3:$K$195,S53,$N$3:$N$195)</f>
        <v>40</v>
      </c>
      <c r="W53" s="163">
        <f>SUMIF($K$3:$K$195,S53,$Q$3:$Q$195)</f>
        <v>20</v>
      </c>
    </row>
    <row r="54" spans="1:23" ht="41.4" x14ac:dyDescent="0.3">
      <c r="A54" s="27">
        <v>52</v>
      </c>
      <c r="B54" s="97">
        <v>2</v>
      </c>
      <c r="C54" s="98">
        <v>4</v>
      </c>
      <c r="D54" s="99" t="s">
        <v>470</v>
      </c>
      <c r="E54" s="99" t="s">
        <v>471</v>
      </c>
      <c r="F54" s="99" t="s">
        <v>472</v>
      </c>
      <c r="G54" s="100">
        <v>46179</v>
      </c>
      <c r="H54" s="106">
        <v>16</v>
      </c>
      <c r="I54" s="106">
        <v>59</v>
      </c>
      <c r="J54" s="106">
        <v>322</v>
      </c>
      <c r="K54" s="107" t="str">
        <f t="shared" si="5"/>
        <v>16-59-322</v>
      </c>
      <c r="L54" s="108" t="str">
        <f>IFERROR(VLOOKUP(K54,'LISTA ITEMS (2)'!$E$2:$G$910,2,FALSE)," ")</f>
        <v>CLAVIJA CAUCHO NEGRA 10/16A</v>
      </c>
      <c r="M54" s="109" t="str">
        <f>IFERROR(VLOOKUP(K54,'LISTA ITEMS (2)'!$E$2:$G$910,3,FALSE)," ")</f>
        <v>UND</v>
      </c>
      <c r="N54" s="121">
        <v>1</v>
      </c>
      <c r="O54" s="105" t="s">
        <v>474</v>
      </c>
      <c r="P54" s="125"/>
      <c r="Q54" s="156"/>
      <c r="S54" s="160" t="s">
        <v>373</v>
      </c>
      <c r="T54" s="161" t="str">
        <f>VLOOKUP(S54,$K$2:$M$195,2,FALSE)</f>
        <v>CLAVIJA CAUCHO NEGRA 10/16A</v>
      </c>
      <c r="U54" s="162" t="str">
        <f>VLOOKUP(S54,$K$2:$M$195,3,FALSE)</f>
        <v>UND</v>
      </c>
      <c r="V54" s="163">
        <f>SUMIF($K$3:$K$195,S54,$N$3:$N$195)</f>
        <v>1</v>
      </c>
      <c r="W54" s="163">
        <f>SUMIF($K$3:$K$195,S54,$Q$3:$Q$195)</f>
        <v>0</v>
      </c>
    </row>
    <row r="55" spans="1:23" ht="41.4" x14ac:dyDescent="0.3">
      <c r="A55" s="27">
        <v>53</v>
      </c>
      <c r="B55" s="97">
        <v>2</v>
      </c>
      <c r="C55" s="98">
        <v>4</v>
      </c>
      <c r="D55" s="99" t="s">
        <v>470</v>
      </c>
      <c r="E55" s="99" t="s">
        <v>471</v>
      </c>
      <c r="F55" s="99" t="s">
        <v>472</v>
      </c>
      <c r="G55" s="100">
        <v>46179</v>
      </c>
      <c r="H55" s="106">
        <v>9</v>
      </c>
      <c r="I55" s="106">
        <v>2</v>
      </c>
      <c r="J55" s="106">
        <v>291</v>
      </c>
      <c r="K55" s="107" t="str">
        <f t="shared" si="5"/>
        <v>9-2-291</v>
      </c>
      <c r="L55" s="108" t="str">
        <f>IFERROR(VLOOKUP(K55,'LISTA ITEMS (2)'!$E$2:$G$910,2,FALSE)," ")</f>
        <v>TUBO ELECTRICO PVC 25mm - 3mt(AISCAN)</v>
      </c>
      <c r="M55" s="109" t="str">
        <f>IFERROR(VLOOKUP(K55,'LISTA ITEMS (2)'!$E$2:$G$910,3,FALSE)," ")</f>
        <v>UND</v>
      </c>
      <c r="N55" s="121">
        <v>8</v>
      </c>
      <c r="O55" s="105" t="s">
        <v>474</v>
      </c>
      <c r="P55" s="125"/>
      <c r="Q55" s="156">
        <v>6</v>
      </c>
      <c r="S55" s="160" t="s">
        <v>387</v>
      </c>
      <c r="T55" s="161" t="str">
        <f>VLOOKUP(S55,$K$2:$M$195,2,FALSE)</f>
        <v>TUBO ELECTRICO PVC 25mm - 3mt(AISCAN)</v>
      </c>
      <c r="U55" s="162" t="str">
        <f>VLOOKUP(S55,$K$2:$M$195,3,FALSE)</f>
        <v>UND</v>
      </c>
      <c r="V55" s="163">
        <f>SUMIF($K$3:$K$195,S55,$N$3:$N$195)</f>
        <v>25</v>
      </c>
      <c r="W55" s="163">
        <f>SUMIF($K$3:$K$195,S55,$Q$3:$Q$195)</f>
        <v>6</v>
      </c>
    </row>
    <row r="56" spans="1:23" ht="41.4" x14ac:dyDescent="0.3">
      <c r="A56" s="27">
        <v>54</v>
      </c>
      <c r="B56" s="97">
        <v>2</v>
      </c>
      <c r="C56" s="98">
        <v>4</v>
      </c>
      <c r="D56" s="99" t="s">
        <v>470</v>
      </c>
      <c r="E56" s="99" t="s">
        <v>471</v>
      </c>
      <c r="F56" s="99" t="s">
        <v>472</v>
      </c>
      <c r="G56" s="100">
        <v>46179</v>
      </c>
      <c r="H56" s="106">
        <v>10</v>
      </c>
      <c r="I56" s="106">
        <v>15</v>
      </c>
      <c r="J56" s="106">
        <v>269</v>
      </c>
      <c r="K56" s="107" t="str">
        <f t="shared" si="5"/>
        <v>10-15-269</v>
      </c>
      <c r="L56" s="108" t="str">
        <f>IFERROR(VLOOKUP(K56,'LISTA ITEMS (2)'!$E$2:$G$910,2,FALSE)," ")</f>
        <v>BARRA ALUMINIO PARA ESTRUCTURA  3.60mt</v>
      </c>
      <c r="M56" s="109" t="str">
        <f>IFERROR(VLOOKUP(K56,'LISTA ITEMS (2)'!$E$2:$G$910,3,FALSE)," ")</f>
        <v>UND</v>
      </c>
      <c r="N56" s="121">
        <v>10</v>
      </c>
      <c r="O56" s="105" t="s">
        <v>474</v>
      </c>
      <c r="P56" s="125"/>
      <c r="Q56" s="156"/>
      <c r="S56" s="125"/>
      <c r="T56" s="17"/>
      <c r="U56" s="30"/>
      <c r="V56" s="16"/>
      <c r="W56" s="16"/>
    </row>
    <row r="57" spans="1:23" ht="41.4" x14ac:dyDescent="0.3">
      <c r="A57" s="27">
        <v>55</v>
      </c>
      <c r="B57" s="97">
        <v>2</v>
      </c>
      <c r="C57" s="98">
        <v>4</v>
      </c>
      <c r="D57" s="99" t="s">
        <v>470</v>
      </c>
      <c r="E57" s="99" t="s">
        <v>471</v>
      </c>
      <c r="F57" s="99" t="s">
        <v>472</v>
      </c>
      <c r="G57" s="100">
        <v>46179</v>
      </c>
      <c r="H57" s="106">
        <v>7</v>
      </c>
      <c r="I57" s="106">
        <v>38</v>
      </c>
      <c r="J57" s="106">
        <v>247</v>
      </c>
      <c r="K57" s="107" t="str">
        <f t="shared" si="5"/>
        <v>7-38-247</v>
      </c>
      <c r="L57" s="108" t="str">
        <f>IFERROR(VLOOKUP(K57,'LISTA ITEMS (2)'!$E$2:$G$910,2,FALSE)," ")</f>
        <v>PLACA SOLAR JAM60D42-535LB 535W / 44.13V</v>
      </c>
      <c r="M57" s="109" t="str">
        <f>IFERROR(VLOOKUP(K57,'LISTA ITEMS (2)'!$E$2:$G$910,3,FALSE)," ")</f>
        <v>UND</v>
      </c>
      <c r="N57" s="121">
        <v>8</v>
      </c>
      <c r="O57" s="105" t="s">
        <v>474</v>
      </c>
      <c r="P57" s="125"/>
      <c r="Q57" s="156">
        <v>8</v>
      </c>
      <c r="S57" s="160" t="s">
        <v>234</v>
      </c>
      <c r="T57" s="161" t="str">
        <f>VLOOKUP(S57,$K$2:$M$195,2,FALSE)</f>
        <v>PLACA SOLAR JAM60D42-535LB 535W / 44.13V</v>
      </c>
      <c r="U57" s="162" t="str">
        <f>VLOOKUP(S57,$K$2:$M$195,3,FALSE)</f>
        <v>UND</v>
      </c>
      <c r="V57" s="163">
        <f>SUMIF($K$3:$K$195,S57,$N$3:$N$195)</f>
        <v>30</v>
      </c>
      <c r="W57" s="163">
        <f>SUMIF($K$3:$K$195,S57,$Q$3:$Q$195)</f>
        <v>8</v>
      </c>
    </row>
    <row r="58" spans="1:23" ht="41.4" x14ac:dyDescent="0.3">
      <c r="A58" s="27">
        <v>56</v>
      </c>
      <c r="B58" s="97">
        <v>2</v>
      </c>
      <c r="C58" s="98">
        <v>4</v>
      </c>
      <c r="D58" s="99" t="s">
        <v>470</v>
      </c>
      <c r="E58" s="99" t="s">
        <v>471</v>
      </c>
      <c r="F58" s="99" t="s">
        <v>472</v>
      </c>
      <c r="G58" s="100">
        <v>46179</v>
      </c>
      <c r="H58" s="106">
        <v>7</v>
      </c>
      <c r="I58" s="106">
        <v>54</v>
      </c>
      <c r="J58" s="106">
        <v>323</v>
      </c>
      <c r="K58" s="107" t="str">
        <f t="shared" si="5"/>
        <v>7-54-323</v>
      </c>
      <c r="L58" s="108" t="str">
        <f>IFERROR(VLOOKUP(K58,'LISTA ITEMS (2)'!$E$2:$G$910,2,FALSE)," ")</f>
        <v>BATERIA LPF LITHIUM B3 (DYNESS)</v>
      </c>
      <c r="M58" s="109" t="str">
        <f>IFERROR(VLOOKUP(K58,'LISTA ITEMS (2)'!$E$2:$G$910,3,FALSE)," ")</f>
        <v>UND</v>
      </c>
      <c r="N58" s="121">
        <v>3</v>
      </c>
      <c r="O58" s="105" t="s">
        <v>474</v>
      </c>
      <c r="P58" s="125"/>
      <c r="Q58" s="156"/>
      <c r="S58" s="160" t="s">
        <v>449</v>
      </c>
      <c r="T58" s="161" t="str">
        <f>VLOOKUP(S58,$K$2:$M$195,2,FALSE)</f>
        <v>BATERIA LPF LITHIUM B3 (DYNESS)</v>
      </c>
      <c r="U58" s="162" t="str">
        <f>VLOOKUP(S58,$K$2:$M$195,3,FALSE)</f>
        <v>UND</v>
      </c>
      <c r="V58" s="163">
        <f>SUMIF($K$3:$K$195,S58,$N$3:$N$195)</f>
        <v>3</v>
      </c>
      <c r="W58" s="163">
        <f>SUMIF($K$3:$K$195,S58,$Q$3:$Q$195)</f>
        <v>0</v>
      </c>
    </row>
    <row r="59" spans="1:23" ht="41.4" x14ac:dyDescent="0.3">
      <c r="A59" s="27">
        <v>57</v>
      </c>
      <c r="B59" s="97">
        <v>2</v>
      </c>
      <c r="C59" s="98">
        <v>4</v>
      </c>
      <c r="D59" s="99" t="s">
        <v>470</v>
      </c>
      <c r="E59" s="99" t="s">
        <v>471</v>
      </c>
      <c r="F59" s="99" t="s">
        <v>472</v>
      </c>
      <c r="G59" s="100">
        <v>46179</v>
      </c>
      <c r="H59" s="106">
        <v>14</v>
      </c>
      <c r="I59" s="106">
        <v>24</v>
      </c>
      <c r="J59" s="106">
        <v>193</v>
      </c>
      <c r="K59" s="107" t="str">
        <f t="shared" si="5"/>
        <v>14-24-193</v>
      </c>
      <c r="L59" s="108" t="str">
        <f>IFERROR(VLOOKUP(K59,'LISTA ITEMS (2)'!$E$2:$G$910,2,FALSE)," ")</f>
        <v>DISCO CORTE ACERO/INOX A1 2EN1</v>
      </c>
      <c r="M59" s="109" t="str">
        <f>IFERROR(VLOOKUP(K59,'LISTA ITEMS (2)'!$E$2:$G$910,3,FALSE)," ")</f>
        <v>UND</v>
      </c>
      <c r="N59" s="121">
        <v>3</v>
      </c>
      <c r="O59" s="105" t="s">
        <v>474</v>
      </c>
      <c r="P59" s="125"/>
      <c r="Q59" s="156">
        <v>1</v>
      </c>
      <c r="S59" s="125"/>
      <c r="T59" s="17"/>
      <c r="U59" s="30"/>
      <c r="V59" s="16"/>
      <c r="W59" s="16"/>
    </row>
    <row r="60" spans="1:23" ht="41.4" x14ac:dyDescent="0.3">
      <c r="A60" s="27">
        <v>58</v>
      </c>
      <c r="B60" s="97">
        <v>2</v>
      </c>
      <c r="C60" s="98">
        <v>4</v>
      </c>
      <c r="D60" s="99" t="s">
        <v>470</v>
      </c>
      <c r="E60" s="99" t="s">
        <v>471</v>
      </c>
      <c r="F60" s="99" t="s">
        <v>472</v>
      </c>
      <c r="G60" s="100">
        <v>46179</v>
      </c>
      <c r="H60" s="106">
        <v>16</v>
      </c>
      <c r="I60" s="106">
        <v>60</v>
      </c>
      <c r="J60" s="106">
        <v>324</v>
      </c>
      <c r="K60" s="107" t="str">
        <f t="shared" si="5"/>
        <v>16-60-324</v>
      </c>
      <c r="L60" s="108" t="str">
        <f>IFERROR(VLOOKUP(K60,'LISTA ITEMS (2)'!$E$2:$G$910,2,FALSE)," ")</f>
        <v>REGLETA CONEXIÓN ELECTRICA 35mm NEGRA 12Puntos</v>
      </c>
      <c r="M60" s="109" t="str">
        <f>IFERROR(VLOOKUP(K60,'LISTA ITEMS (2)'!$E$2:$G$910,3,FALSE)," ")</f>
        <v>UND</v>
      </c>
      <c r="N60" s="121">
        <v>1</v>
      </c>
      <c r="O60" s="105" t="s">
        <v>474</v>
      </c>
      <c r="P60" s="125"/>
      <c r="Q60" s="156"/>
      <c r="S60" s="160" t="s">
        <v>451</v>
      </c>
      <c r="T60" s="161" t="str">
        <f>VLOOKUP(S60,$K$2:$M$195,2,FALSE)</f>
        <v>REGLETA CONEXIÓN ELECTRICA 35mm NEGRA 12Puntos</v>
      </c>
      <c r="U60" s="162" t="str">
        <f>VLOOKUP(S60,$K$2:$M$195,3,FALSE)</f>
        <v>UND</v>
      </c>
      <c r="V60" s="163">
        <f>SUMIF($K$3:$K$195,S60,$N$3:$N$195)</f>
        <v>1</v>
      </c>
      <c r="W60" s="163">
        <f>SUMIF($K$3:$K$195,S60,$Q$3:$Q$195)</f>
        <v>0</v>
      </c>
    </row>
    <row r="61" spans="1:23" ht="41.4" x14ac:dyDescent="0.3">
      <c r="A61" s="27">
        <v>59</v>
      </c>
      <c r="B61" s="97">
        <v>2</v>
      </c>
      <c r="C61" s="98">
        <v>4</v>
      </c>
      <c r="D61" s="99" t="s">
        <v>470</v>
      </c>
      <c r="E61" s="99" t="s">
        <v>471</v>
      </c>
      <c r="F61" s="99" t="s">
        <v>472</v>
      </c>
      <c r="G61" s="100">
        <v>46179</v>
      </c>
      <c r="H61" s="106">
        <v>16</v>
      </c>
      <c r="I61" s="106">
        <v>60</v>
      </c>
      <c r="J61" s="106">
        <v>325</v>
      </c>
      <c r="K61" s="107" t="str">
        <f t="shared" si="5"/>
        <v>16-60-325</v>
      </c>
      <c r="L61" s="108" t="str">
        <f>IFERROR(VLOOKUP(K61,'LISTA ITEMS (2)'!$E$2:$G$910,2,FALSE)," ")</f>
        <v>REGLETA CONEXIÓN ELECTRICA 16mm NEGRA</v>
      </c>
      <c r="M61" s="109" t="str">
        <f>IFERROR(VLOOKUP(K61,'LISTA ITEMS (2)'!$E$2:$G$910,3,FALSE)," ")</f>
        <v>UND</v>
      </c>
      <c r="N61" s="121">
        <v>1</v>
      </c>
      <c r="O61" s="105" t="s">
        <v>474</v>
      </c>
      <c r="P61" s="125"/>
      <c r="Q61" s="156"/>
      <c r="S61" s="160" t="s">
        <v>452</v>
      </c>
      <c r="T61" s="161" t="str">
        <f>VLOOKUP(S61,$K$2:$M$195,2,FALSE)</f>
        <v>REGLETA CONEXIÓN ELECTRICA 16mm NEGRA</v>
      </c>
      <c r="U61" s="162" t="str">
        <f>VLOOKUP(S61,$K$2:$M$195,3,FALSE)</f>
        <v>UND</v>
      </c>
      <c r="V61" s="163">
        <f>SUMIF($K$3:$K$195,S61,$N$3:$N$195)</f>
        <v>1</v>
      </c>
      <c r="W61" s="163">
        <f>SUMIF($K$3:$K$195,S61,$Q$3:$Q$195)</f>
        <v>0</v>
      </c>
    </row>
    <row r="62" spans="1:23" ht="41.4" x14ac:dyDescent="0.3">
      <c r="A62" s="27">
        <v>60</v>
      </c>
      <c r="B62" s="97">
        <v>2</v>
      </c>
      <c r="C62" s="98">
        <v>4</v>
      </c>
      <c r="D62" s="99" t="s">
        <v>470</v>
      </c>
      <c r="E62" s="99" t="s">
        <v>471</v>
      </c>
      <c r="F62" s="99" t="s">
        <v>472</v>
      </c>
      <c r="G62" s="100">
        <v>46179</v>
      </c>
      <c r="H62" s="106">
        <v>3</v>
      </c>
      <c r="I62" s="106">
        <v>31</v>
      </c>
      <c r="J62" s="106">
        <v>277</v>
      </c>
      <c r="K62" s="107" t="str">
        <f t="shared" si="5"/>
        <v>3-31-277</v>
      </c>
      <c r="L62" s="108" t="str">
        <f>IFERROR(VLOOKUP(K62,'LISTA ITEMS (2)'!$E$2:$G$910,2,FALSE)," ")</f>
        <v>CABLE Nª 6 P/PLACA SOLAR NEGRO</v>
      </c>
      <c r="M62" s="109" t="str">
        <f>IFERROR(VLOOKUP(K62,'LISTA ITEMS (2)'!$E$2:$G$910,3,FALSE)," ")</f>
        <v>MT</v>
      </c>
      <c r="N62" s="121">
        <v>15</v>
      </c>
      <c r="O62" s="105" t="s">
        <v>474</v>
      </c>
      <c r="P62" s="125"/>
      <c r="Q62" s="156">
        <v>15</v>
      </c>
      <c r="S62" s="125"/>
      <c r="T62" s="17"/>
      <c r="U62" s="30"/>
      <c r="V62" s="16"/>
      <c r="W62" s="16"/>
    </row>
    <row r="63" spans="1:23" ht="41.4" x14ac:dyDescent="0.3">
      <c r="A63" s="27">
        <v>61</v>
      </c>
      <c r="B63" s="97">
        <v>2</v>
      </c>
      <c r="C63" s="98">
        <v>4</v>
      </c>
      <c r="D63" s="99" t="s">
        <v>470</v>
      </c>
      <c r="E63" s="99" t="s">
        <v>471</v>
      </c>
      <c r="F63" s="99" t="s">
        <v>472</v>
      </c>
      <c r="G63" s="100">
        <v>46179</v>
      </c>
      <c r="H63" s="106">
        <v>3</v>
      </c>
      <c r="I63" s="106">
        <v>31</v>
      </c>
      <c r="J63" s="106">
        <v>278</v>
      </c>
      <c r="K63" s="107" t="str">
        <f t="shared" si="5"/>
        <v>3-31-278</v>
      </c>
      <c r="L63" s="108" t="str">
        <f>IFERROR(VLOOKUP(K63,'LISTA ITEMS (2)'!$E$2:$G$910,2,FALSE)," ")</f>
        <v>CABLE Nª 6 P/PLACA SOLAR ROJO</v>
      </c>
      <c r="M63" s="109" t="str">
        <f>IFERROR(VLOOKUP(K63,'LISTA ITEMS (2)'!$E$2:$G$910,3,FALSE)," ")</f>
        <v>MT</v>
      </c>
      <c r="N63" s="121">
        <v>15</v>
      </c>
      <c r="O63" s="105" t="s">
        <v>474</v>
      </c>
      <c r="P63" s="125"/>
      <c r="Q63" s="156">
        <v>15</v>
      </c>
      <c r="S63" s="125"/>
      <c r="T63" s="17"/>
      <c r="U63" s="30"/>
      <c r="V63" s="16"/>
      <c r="W63" s="16"/>
    </row>
    <row r="64" spans="1:23" ht="41.4" x14ac:dyDescent="0.3">
      <c r="A64" s="27">
        <v>62</v>
      </c>
      <c r="B64" s="97">
        <v>2</v>
      </c>
      <c r="C64" s="98">
        <v>4</v>
      </c>
      <c r="D64" s="99" t="s">
        <v>470</v>
      </c>
      <c r="E64" s="99" t="s">
        <v>471</v>
      </c>
      <c r="F64" s="99" t="s">
        <v>472</v>
      </c>
      <c r="G64" s="100">
        <v>46179</v>
      </c>
      <c r="H64" s="106">
        <v>4</v>
      </c>
      <c r="I64" s="106">
        <v>15</v>
      </c>
      <c r="J64" s="106">
        <v>326</v>
      </c>
      <c r="K64" s="107" t="str">
        <f t="shared" si="5"/>
        <v>4-15-326</v>
      </c>
      <c r="L64" s="108" t="str">
        <f>IFERROR(VLOOKUP(K64,'LISTA ITEMS (2)'!$E$2:$G$910,2,FALSE)," ")</f>
        <v>BARRA PERFORADA PARA REFUERZO 27x18x2MT GALV.</v>
      </c>
      <c r="M64" s="109" t="str">
        <f>IFERROR(VLOOKUP(K64,'LISTA ITEMS (2)'!$E$2:$G$910,3,FALSE)," ")</f>
        <v>UND</v>
      </c>
      <c r="N64" s="121">
        <v>6</v>
      </c>
      <c r="O64" s="105" t="s">
        <v>474</v>
      </c>
      <c r="P64" s="125"/>
      <c r="Q64" s="156">
        <v>6</v>
      </c>
      <c r="S64" s="160" t="s">
        <v>454</v>
      </c>
      <c r="T64" s="161" t="str">
        <f>VLOOKUP(S64,$K$2:$M$195,2,FALSE)</f>
        <v>BARRA PERFORADA PARA REFUERZO 27x18x2MT GALV.</v>
      </c>
      <c r="U64" s="162" t="str">
        <f>VLOOKUP(S64,$K$2:$M$195,3,FALSE)</f>
        <v>UND</v>
      </c>
      <c r="V64" s="163">
        <f>SUMIF($K$3:$K$195,S64,$N$3:$N$195)</f>
        <v>19</v>
      </c>
      <c r="W64" s="163">
        <f>SUMIF($K$3:$K$195,S64,$Q$3:$Q$195)</f>
        <v>6</v>
      </c>
    </row>
    <row r="65" spans="1:23" ht="41.4" x14ac:dyDescent="0.3">
      <c r="A65" s="27">
        <v>63</v>
      </c>
      <c r="B65" s="97">
        <v>2</v>
      </c>
      <c r="C65" s="98">
        <v>4</v>
      </c>
      <c r="D65" s="99" t="s">
        <v>470</v>
      </c>
      <c r="E65" s="99" t="s">
        <v>471</v>
      </c>
      <c r="F65" s="99" t="s">
        <v>472</v>
      </c>
      <c r="G65" s="100">
        <v>46179</v>
      </c>
      <c r="H65" s="106">
        <v>7</v>
      </c>
      <c r="I65" s="106">
        <v>35</v>
      </c>
      <c r="J65" s="106">
        <v>327</v>
      </c>
      <c r="K65" s="107" t="str">
        <f t="shared" si="5"/>
        <v>7-35-327</v>
      </c>
      <c r="L65" s="108" t="str">
        <f>IFERROR(VLOOKUP(K65,'LISTA ITEMS (2)'!$E$2:$G$910,2,FALSE)," ")</f>
        <v xml:space="preserve">INVERSOR 48/5000/70-50-230V MULTIPLUS (VICTROM ENERGY)  </v>
      </c>
      <c r="M65" s="109" t="str">
        <f>IFERROR(VLOOKUP(K65,'LISTA ITEMS (2)'!$E$2:$G$910,3,FALSE)," ")</f>
        <v>UND</v>
      </c>
      <c r="N65" s="121">
        <v>1</v>
      </c>
      <c r="O65" s="105" t="s">
        <v>474</v>
      </c>
      <c r="P65" s="125"/>
      <c r="Q65" s="156">
        <v>1</v>
      </c>
      <c r="S65" s="160" t="s">
        <v>456</v>
      </c>
      <c r="T65" s="161" t="str">
        <f>VLOOKUP(S65,$K$2:$M$195,2,FALSE)</f>
        <v xml:space="preserve">INVERSOR 48/5000/70-50-230V MULTIPLUS (VICTROM ENERGY)  </v>
      </c>
      <c r="U65" s="162" t="str">
        <f>VLOOKUP(S65,$K$2:$M$195,3,FALSE)</f>
        <v>UND</v>
      </c>
      <c r="V65" s="163">
        <f>SUMIF($K$3:$K$195,S65,$N$3:$N$195)</f>
        <v>1</v>
      </c>
      <c r="W65" s="163">
        <f>SUMIF($K$3:$K$195,S65,$Q$3:$Q$195)</f>
        <v>1</v>
      </c>
    </row>
    <row r="66" spans="1:23" ht="41.4" x14ac:dyDescent="0.3">
      <c r="A66" s="27">
        <v>64</v>
      </c>
      <c r="B66" s="97">
        <v>2</v>
      </c>
      <c r="C66" s="98">
        <v>4</v>
      </c>
      <c r="D66" s="99" t="s">
        <v>470</v>
      </c>
      <c r="E66" s="99" t="s">
        <v>471</v>
      </c>
      <c r="F66" s="99" t="s">
        <v>472</v>
      </c>
      <c r="G66" s="100">
        <v>46179</v>
      </c>
      <c r="H66" s="106">
        <v>7</v>
      </c>
      <c r="I66" s="106">
        <v>36</v>
      </c>
      <c r="J66" s="106">
        <v>231</v>
      </c>
      <c r="K66" s="107" t="str">
        <f t="shared" si="5"/>
        <v>7-36-231</v>
      </c>
      <c r="L66" s="108" t="str">
        <f>IFERROR(VLOOKUP(K66,'LISTA ITEMS (2)'!$E$2:$G$910,2,FALSE)," ")</f>
        <v>CONTROLADOR SMART SOLAR MPPT 250/100-TR VICTROM ENERGY</v>
      </c>
      <c r="M66" s="109" t="str">
        <f>IFERROR(VLOOKUP(K66,'LISTA ITEMS (2)'!$E$2:$G$910,3,FALSE)," ")</f>
        <v>UND</v>
      </c>
      <c r="N66" s="121">
        <v>1</v>
      </c>
      <c r="O66" s="105" t="s">
        <v>474</v>
      </c>
      <c r="P66" s="125"/>
      <c r="Q66" s="156"/>
      <c r="S66" s="160" t="s">
        <v>217</v>
      </c>
      <c r="T66" s="161" t="str">
        <f>VLOOKUP(S66,$K$2:$M$195,2,FALSE)</f>
        <v>CONTROLADOR SMART SOLAR MPPT 250/100-TR VICTROM ENERGY</v>
      </c>
      <c r="U66" s="162" t="str">
        <f>VLOOKUP(S66,$K$2:$M$195,3,FALSE)</f>
        <v>UND</v>
      </c>
      <c r="V66" s="163">
        <f>SUMIF($K$3:$K$195,S66,$N$3:$N$195)</f>
        <v>1</v>
      </c>
      <c r="W66" s="163">
        <f>SUMIF($K$3:$K$195,S66,$Q$3:$Q$195)</f>
        <v>0</v>
      </c>
    </row>
    <row r="67" spans="1:23" ht="57.6" x14ac:dyDescent="0.3">
      <c r="A67" s="27">
        <v>65</v>
      </c>
      <c r="B67" s="110">
        <v>3</v>
      </c>
      <c r="C67" s="111">
        <v>5</v>
      </c>
      <c r="D67" s="112" t="s">
        <v>476</v>
      </c>
      <c r="E67" s="113" t="s">
        <v>477</v>
      </c>
      <c r="F67" s="112" t="s">
        <v>478</v>
      </c>
      <c r="G67" s="114">
        <v>46059</v>
      </c>
      <c r="H67" s="115">
        <v>16</v>
      </c>
      <c r="I67" s="115">
        <v>53</v>
      </c>
      <c r="J67" s="115">
        <v>290</v>
      </c>
      <c r="K67" s="116" t="str">
        <f t="shared" ref="K67:K98" si="6">CONCATENATE(H67,"-",I67,"-",J67)</f>
        <v>16-53-290</v>
      </c>
      <c r="L67" s="117" t="str">
        <f>IFERROR(VLOOKUP(K67,'LISTA ITEMS (2)'!$E$2:$G$910,2,FALSE)," ")</f>
        <v>PINCHO DE COMUNICACIÓN WIFI SHINEWILAN X2 (GROWATT)</v>
      </c>
      <c r="M67" s="118" t="str">
        <f>IFERROR(VLOOKUP(K67,'LISTA ITEMS (2)'!$E$2:$G$910,3,FALSE)," ")</f>
        <v>UND</v>
      </c>
      <c r="N67" s="113">
        <v>1</v>
      </c>
      <c r="O67" s="112" t="s">
        <v>479</v>
      </c>
      <c r="P67" s="125"/>
      <c r="Q67" s="156"/>
      <c r="S67" s="160" t="s">
        <v>385</v>
      </c>
      <c r="T67" s="161" t="str">
        <f>VLOOKUP(S67,$K$2:$M$195,2,FALSE)</f>
        <v>PINCHO DE COMUNICACIÓN WIFI SHINEWILAN X2 (GROWATT)</v>
      </c>
      <c r="U67" s="162" t="str">
        <f>VLOOKUP(S67,$K$2:$M$195,3,FALSE)</f>
        <v>UND</v>
      </c>
      <c r="V67" s="163">
        <f>SUMIF($K$3:$K$195,S67,$N$3:$N$195)</f>
        <v>3</v>
      </c>
      <c r="W67" s="163">
        <f>SUMIF($K$3:$K$195,S67,$Q$3:$Q$195)</f>
        <v>0</v>
      </c>
    </row>
    <row r="68" spans="1:23" ht="57.6" x14ac:dyDescent="0.3">
      <c r="A68" s="27">
        <v>66</v>
      </c>
      <c r="B68" s="110">
        <v>3</v>
      </c>
      <c r="C68" s="111">
        <v>5</v>
      </c>
      <c r="D68" s="112" t="s">
        <v>476</v>
      </c>
      <c r="E68" s="113" t="s">
        <v>477</v>
      </c>
      <c r="F68" s="112" t="s">
        <v>478</v>
      </c>
      <c r="G68" s="114">
        <v>46059</v>
      </c>
      <c r="H68" s="115">
        <v>16</v>
      </c>
      <c r="I68" s="115">
        <v>52</v>
      </c>
      <c r="J68" s="115">
        <v>293</v>
      </c>
      <c r="K68" s="116" t="str">
        <f t="shared" si="6"/>
        <v>16-52-293</v>
      </c>
      <c r="L68" s="117" t="str">
        <f>IFERROR(VLOOKUP(K68,'LISTA ITEMS (2)'!$E$2:$G$910,2,FALSE)," ")</f>
        <v>TERMICO EPBE63M1NC63M1NC32 1P+N C32 (MAXGE)</v>
      </c>
      <c r="M68" s="118" t="str">
        <f>IFERROR(VLOOKUP(K68,'LISTA ITEMS (2)'!$E$2:$G$910,3,FALSE)," ")</f>
        <v>UND</v>
      </c>
      <c r="N68" s="113">
        <v>2</v>
      </c>
      <c r="O68" s="112" t="s">
        <v>479</v>
      </c>
      <c r="P68" s="125"/>
      <c r="Q68" s="156"/>
      <c r="S68" s="160" t="s">
        <v>391</v>
      </c>
      <c r="T68" s="161" t="str">
        <f>VLOOKUP(S68,$K$2:$M$195,2,FALSE)</f>
        <v>TERMICO EPBE63M1NC63M1NC32 1P+N C32 (MAXGE)</v>
      </c>
      <c r="U68" s="162" t="str">
        <f>VLOOKUP(S68,$K$2:$M$195,3,FALSE)</f>
        <v>UND</v>
      </c>
      <c r="V68" s="163">
        <f>SUMIF($K$3:$K$195,S68,$N$3:$N$195)</f>
        <v>5</v>
      </c>
      <c r="W68" s="163">
        <f>SUMIF($K$3:$K$195,S68,$Q$3:$Q$195)</f>
        <v>0</v>
      </c>
    </row>
    <row r="69" spans="1:23" ht="57.6" x14ac:dyDescent="0.3">
      <c r="A69" s="27">
        <v>67</v>
      </c>
      <c r="B69" s="110">
        <v>3</v>
      </c>
      <c r="C69" s="111">
        <v>5</v>
      </c>
      <c r="D69" s="112" t="s">
        <v>476</v>
      </c>
      <c r="E69" s="113" t="s">
        <v>477</v>
      </c>
      <c r="F69" s="112" t="s">
        <v>478</v>
      </c>
      <c r="G69" s="114">
        <v>46059</v>
      </c>
      <c r="H69" s="115">
        <v>16</v>
      </c>
      <c r="I69" s="115">
        <v>47</v>
      </c>
      <c r="J69" s="115">
        <v>318</v>
      </c>
      <c r="K69" s="116" t="str">
        <f t="shared" si="6"/>
        <v>16-47-318</v>
      </c>
      <c r="L69" s="117" t="str">
        <f>IFERROR(VLOOKUP(K69,'LISTA ITEMS (2)'!$E$2:$G$910,2,FALSE)," ")</f>
        <v>DIFERENCIAL EPR2A040030 2P-40A-30mA (MAXGE)</v>
      </c>
      <c r="M69" s="118" t="str">
        <f>IFERROR(VLOOKUP(K69,'LISTA ITEMS (2)'!$E$2:$G$910,3,FALSE)," ")</f>
        <v>UND</v>
      </c>
      <c r="N69" s="113">
        <v>1</v>
      </c>
      <c r="O69" s="112" t="s">
        <v>479</v>
      </c>
      <c r="P69" s="125"/>
      <c r="Q69" s="156"/>
      <c r="S69" s="125"/>
      <c r="T69" s="17"/>
      <c r="U69" s="30"/>
      <c r="V69" s="16"/>
      <c r="W69" s="16"/>
    </row>
    <row r="70" spans="1:23" ht="57.6" x14ac:dyDescent="0.3">
      <c r="A70" s="27">
        <v>68</v>
      </c>
      <c r="B70" s="110">
        <v>3</v>
      </c>
      <c r="C70" s="111">
        <v>5</v>
      </c>
      <c r="D70" s="112" t="s">
        <v>476</v>
      </c>
      <c r="E70" s="113" t="s">
        <v>477</v>
      </c>
      <c r="F70" s="112" t="s">
        <v>478</v>
      </c>
      <c r="G70" s="114">
        <v>46059</v>
      </c>
      <c r="H70" s="115">
        <v>16</v>
      </c>
      <c r="I70" s="115">
        <v>49</v>
      </c>
      <c r="J70" s="115">
        <v>288</v>
      </c>
      <c r="K70" s="116" t="str">
        <f t="shared" si="6"/>
        <v>16-49-288</v>
      </c>
      <c r="L70" s="117" t="str">
        <f>IFERROR(VLOOKUP(K70,'LISTA ITEMS (2)'!$E$2:$G$910,2,FALSE)," ")</f>
        <v>CONTACTOR MODULAR EPC1-6322-P7 (MAXGE)</v>
      </c>
      <c r="M70" s="118" t="str">
        <f>IFERROR(VLOOKUP(K70,'LISTA ITEMS (2)'!$E$2:$G$910,3,FALSE)," ")</f>
        <v>UND</v>
      </c>
      <c r="N70" s="113">
        <v>1</v>
      </c>
      <c r="O70" s="112" t="s">
        <v>479</v>
      </c>
      <c r="P70" s="125"/>
      <c r="Q70" s="156"/>
      <c r="S70" s="160" t="s">
        <v>371</v>
      </c>
      <c r="T70" s="161" t="str">
        <f>VLOOKUP(S70,$K$2:$M$195,2,FALSE)</f>
        <v>CONTACTOR MODULAR EPC1-6322-P7 (MAXGE)</v>
      </c>
      <c r="U70" s="162" t="str">
        <f>VLOOKUP(S70,$K$2:$M$195,3,FALSE)</f>
        <v>UND</v>
      </c>
      <c r="V70" s="163">
        <f>SUMIF($K$3:$K$195,S70,$N$3:$N$195)</f>
        <v>2</v>
      </c>
      <c r="W70" s="163">
        <f>SUMIF($K$3:$K$195,S70,$Q$3:$Q$195)</f>
        <v>0</v>
      </c>
    </row>
    <row r="71" spans="1:23" ht="57.6" x14ac:dyDescent="0.3">
      <c r="A71" s="27">
        <v>69</v>
      </c>
      <c r="B71" s="110">
        <v>3</v>
      </c>
      <c r="C71" s="111">
        <v>5</v>
      </c>
      <c r="D71" s="112" t="s">
        <v>476</v>
      </c>
      <c r="E71" s="113" t="s">
        <v>477</v>
      </c>
      <c r="F71" s="112" t="s">
        <v>478</v>
      </c>
      <c r="G71" s="114">
        <v>46059</v>
      </c>
      <c r="H71" s="115">
        <v>16</v>
      </c>
      <c r="I71" s="115">
        <v>51</v>
      </c>
      <c r="J71" s="115">
        <v>309</v>
      </c>
      <c r="K71" s="116" t="str">
        <f t="shared" si="6"/>
        <v>16-51-309</v>
      </c>
      <c r="L71" s="117" t="str">
        <f>IFERROR(VLOOKUP(K71,'LISTA ITEMS (2)'!$E$2:$G$910,2,FALSE)," ")</f>
        <v>LIMITADOR MONOFASICO EPS1 C/2 - 275-40 (MAXGE)</v>
      </c>
      <c r="M71" s="118" t="str">
        <f>IFERROR(VLOOKUP(K71,'LISTA ITEMS (2)'!$E$2:$G$910,3,FALSE)," ")</f>
        <v>UND</v>
      </c>
      <c r="N71" s="113">
        <v>1</v>
      </c>
      <c r="O71" s="112" t="s">
        <v>479</v>
      </c>
      <c r="P71" s="125"/>
      <c r="Q71" s="156"/>
      <c r="S71" s="160" t="s">
        <v>423</v>
      </c>
      <c r="T71" s="161" t="str">
        <f>VLOOKUP(S71,$K$2:$M$195,2,FALSE)</f>
        <v>LIMITADOR MONOFASICO EPS1 C/2 - 275-40 (MAXGE)</v>
      </c>
      <c r="U71" s="162" t="str">
        <f>VLOOKUP(S71,$K$2:$M$195,3,FALSE)</f>
        <v>UND</v>
      </c>
      <c r="V71" s="163">
        <f>SUMIF($K$3:$K$195,S71,$N$3:$N$195)</f>
        <v>1</v>
      </c>
      <c r="W71" s="163">
        <f>SUMIF($K$3:$K$195,S71,$Q$3:$Q$195)</f>
        <v>0</v>
      </c>
    </row>
    <row r="72" spans="1:23" ht="57.6" x14ac:dyDescent="0.3">
      <c r="A72" s="27">
        <v>70</v>
      </c>
      <c r="B72" s="110">
        <v>3</v>
      </c>
      <c r="C72" s="111">
        <v>5</v>
      </c>
      <c r="D72" s="112" t="s">
        <v>476</v>
      </c>
      <c r="E72" s="113" t="s">
        <v>477</v>
      </c>
      <c r="F72" s="112" t="s">
        <v>478</v>
      </c>
      <c r="G72" s="114">
        <v>46059</v>
      </c>
      <c r="H72" s="115">
        <v>16</v>
      </c>
      <c r="I72" s="115">
        <v>53</v>
      </c>
      <c r="J72" s="115">
        <v>289</v>
      </c>
      <c r="K72" s="116" t="str">
        <f t="shared" si="6"/>
        <v>16-53-289</v>
      </c>
      <c r="L72" s="117" t="str">
        <f>IFERROR(VLOOKUP(K72,'LISTA ITEMS (2)'!$E$2:$G$910,2,FALSE)," ")</f>
        <v>PINCHO DE COMUNICACIÓN WIFI SHINEWILAN X (GROWATT)</v>
      </c>
      <c r="M72" s="118" t="str">
        <f>IFERROR(VLOOKUP(K72,'LISTA ITEMS (2)'!$E$2:$G$910,3,FALSE)," ")</f>
        <v>UND</v>
      </c>
      <c r="N72" s="113">
        <v>1</v>
      </c>
      <c r="O72" s="112" t="s">
        <v>479</v>
      </c>
      <c r="P72" s="125"/>
      <c r="Q72" s="156"/>
      <c r="S72" s="160" t="s">
        <v>372</v>
      </c>
      <c r="T72" s="161" t="str">
        <f>VLOOKUP(S72,$K$2:$M$195,2,FALSE)</f>
        <v>PINCHO DE COMUNICACIÓN WIFI SHINEWILAN X (GROWATT)</v>
      </c>
      <c r="U72" s="162" t="str">
        <f>VLOOKUP(S72,$K$2:$M$195,3,FALSE)</f>
        <v>UND</v>
      </c>
      <c r="V72" s="163">
        <f>SUMIF($K$3:$K$195,S72,$N$3:$N$195)</f>
        <v>1</v>
      </c>
      <c r="W72" s="163">
        <f>SUMIF($K$3:$K$195,S72,$Q$3:$Q$195)</f>
        <v>0</v>
      </c>
    </row>
    <row r="73" spans="1:23" ht="57.6" x14ac:dyDescent="0.3">
      <c r="A73" s="27">
        <v>71</v>
      </c>
      <c r="B73" s="110">
        <v>3</v>
      </c>
      <c r="C73" s="111">
        <v>5</v>
      </c>
      <c r="D73" s="112" t="s">
        <v>476</v>
      </c>
      <c r="E73" s="113" t="s">
        <v>477</v>
      </c>
      <c r="F73" s="112" t="s">
        <v>478</v>
      </c>
      <c r="G73" s="114">
        <v>46059</v>
      </c>
      <c r="H73" s="115">
        <v>16</v>
      </c>
      <c r="I73" s="115">
        <v>45</v>
      </c>
      <c r="J73" s="115">
        <v>275</v>
      </c>
      <c r="K73" s="116" t="str">
        <f t="shared" si="6"/>
        <v>16-45-275</v>
      </c>
      <c r="L73" s="117" t="str">
        <f>IFERROR(VLOOKUP(K73,'LISTA ITEMS (2)'!$E$2:$G$910,2,FALSE)," ")</f>
        <v>CAJA DISTRIBUCION INTERIOR 18 ELEM. (SOLERA)</v>
      </c>
      <c r="M73" s="118" t="str">
        <f>IFERROR(VLOOKUP(K73,'LISTA ITEMS (2)'!$E$2:$G$910,3,FALSE)," ")</f>
        <v>UND</v>
      </c>
      <c r="N73" s="113">
        <v>1</v>
      </c>
      <c r="O73" s="112" t="s">
        <v>479</v>
      </c>
      <c r="P73" s="125"/>
      <c r="Q73" s="156"/>
      <c r="U73" s="19"/>
    </row>
    <row r="74" spans="1:23" ht="57.6" x14ac:dyDescent="0.3">
      <c r="A74" s="27">
        <v>72</v>
      </c>
      <c r="B74" s="110">
        <v>3</v>
      </c>
      <c r="C74" s="111">
        <v>5</v>
      </c>
      <c r="D74" s="112" t="s">
        <v>476</v>
      </c>
      <c r="E74" s="113" t="s">
        <v>477</v>
      </c>
      <c r="F74" s="112" t="s">
        <v>478</v>
      </c>
      <c r="G74" s="114">
        <v>46059</v>
      </c>
      <c r="H74" s="115">
        <v>16</v>
      </c>
      <c r="I74" s="115">
        <v>45</v>
      </c>
      <c r="J74" s="115">
        <v>276</v>
      </c>
      <c r="K74" s="116" t="str">
        <f t="shared" si="6"/>
        <v>16-45-276</v>
      </c>
      <c r="L74" s="117" t="str">
        <f>IFERROR(VLOOKUP(K74,'LISTA ITEMS (2)'!$E$2:$G$910,2,FALSE)," ")</f>
        <v>CAJA ESTANCA (COCHERA) EXTERIOR 18PT (IDE)</v>
      </c>
      <c r="M74" s="118" t="str">
        <f>IFERROR(VLOOKUP(K74,'LISTA ITEMS (2)'!$E$2:$G$910,3,FALSE)," ")</f>
        <v>UND</v>
      </c>
      <c r="N74" s="113">
        <v>1</v>
      </c>
      <c r="O74" s="112" t="s">
        <v>479</v>
      </c>
      <c r="P74" s="125"/>
      <c r="Q74" s="156"/>
      <c r="U74" s="19"/>
    </row>
    <row r="75" spans="1:23" ht="57.6" x14ac:dyDescent="0.3">
      <c r="A75" s="27">
        <v>73</v>
      </c>
      <c r="B75" s="110">
        <v>3</v>
      </c>
      <c r="C75" s="111">
        <v>5</v>
      </c>
      <c r="D75" s="112" t="s">
        <v>476</v>
      </c>
      <c r="E75" s="113" t="s">
        <v>477</v>
      </c>
      <c r="F75" s="112" t="s">
        <v>478</v>
      </c>
      <c r="G75" s="114">
        <v>46059</v>
      </c>
      <c r="H75" s="115">
        <v>16</v>
      </c>
      <c r="I75" s="115">
        <v>45</v>
      </c>
      <c r="J75" s="115">
        <v>317</v>
      </c>
      <c r="K75" s="116" t="str">
        <f t="shared" si="6"/>
        <v>16-45-317</v>
      </c>
      <c r="L75" s="117" t="str">
        <f>IFERROR(VLOOKUP(K75,'LISTA ITEMS (2)'!$E$2:$G$910,2,FALSE)," ")</f>
        <v>CAJA DISTRIBUCION INTERIOR 8 ELEM. (SOLERA)</v>
      </c>
      <c r="M75" s="118" t="str">
        <f>IFERROR(VLOOKUP(K75,'LISTA ITEMS (2)'!$E$2:$G$910,3,FALSE)," ")</f>
        <v>UND</v>
      </c>
      <c r="N75" s="113">
        <v>1</v>
      </c>
      <c r="O75" s="112" t="s">
        <v>479</v>
      </c>
      <c r="P75" s="125"/>
      <c r="Q75" s="156"/>
      <c r="U75" s="19"/>
    </row>
    <row r="76" spans="1:23" ht="57.6" x14ac:dyDescent="0.3">
      <c r="A76" s="27">
        <v>74</v>
      </c>
      <c r="B76" s="110">
        <v>3</v>
      </c>
      <c r="C76" s="111">
        <v>5</v>
      </c>
      <c r="D76" s="112" t="s">
        <v>476</v>
      </c>
      <c r="E76" s="113" t="s">
        <v>477</v>
      </c>
      <c r="F76" s="112" t="s">
        <v>478</v>
      </c>
      <c r="G76" s="114">
        <v>46059</v>
      </c>
      <c r="H76" s="115">
        <v>3</v>
      </c>
      <c r="I76" s="115">
        <v>31</v>
      </c>
      <c r="J76" s="115">
        <v>211</v>
      </c>
      <c r="K76" s="116" t="str">
        <f t="shared" si="6"/>
        <v>3-31-211</v>
      </c>
      <c r="L76" s="117" t="str">
        <f>IFERROR(VLOOKUP(K76,'LISTA ITEMS (2)'!$E$2:$G$910,2,FALSE)," ")</f>
        <v>CABLE Nª 6 C/ALTERNA VERDE/AMARILLO</v>
      </c>
      <c r="M76" s="118" t="str">
        <f>IFERROR(VLOOKUP(K76,'LISTA ITEMS (2)'!$E$2:$G$910,3,FALSE)," ")</f>
        <v>MT</v>
      </c>
      <c r="N76" s="113">
        <v>100</v>
      </c>
      <c r="O76" s="112" t="s">
        <v>479</v>
      </c>
      <c r="P76" s="125"/>
      <c r="Q76" s="156"/>
      <c r="S76" s="164" t="s">
        <v>198</v>
      </c>
      <c r="T76" s="165" t="str">
        <f>VLOOKUP(S76,$K$2:$M$195,2,FALSE)</f>
        <v>CABLE Nª 6 C/ALTERNA VERDE/AMARILLO</v>
      </c>
      <c r="U76" s="166" t="str">
        <f>VLOOKUP(S76,$K$2:$M$195,3,FALSE)</f>
        <v>MT</v>
      </c>
      <c r="V76" s="167">
        <f>SUMIF($K$3:$K$195,S76,$N$3:$N$195)</f>
        <v>100</v>
      </c>
      <c r="W76" s="167">
        <f>SUMIF($K$3:$K$195,S76,$Q$3:$Q$195)</f>
        <v>0</v>
      </c>
    </row>
    <row r="77" spans="1:23" ht="57.6" x14ac:dyDescent="0.3">
      <c r="A77" s="27">
        <v>75</v>
      </c>
      <c r="B77" s="110">
        <v>3</v>
      </c>
      <c r="C77" s="111">
        <v>5</v>
      </c>
      <c r="D77" s="112" t="s">
        <v>476</v>
      </c>
      <c r="E77" s="113" t="s">
        <v>477</v>
      </c>
      <c r="F77" s="112" t="s">
        <v>478</v>
      </c>
      <c r="G77" s="114">
        <v>46059</v>
      </c>
      <c r="H77" s="115">
        <v>3</v>
      </c>
      <c r="I77" s="115">
        <v>31</v>
      </c>
      <c r="J77" s="115">
        <v>212</v>
      </c>
      <c r="K77" s="116" t="str">
        <f t="shared" si="6"/>
        <v>3-31-212</v>
      </c>
      <c r="L77" s="117" t="str">
        <f>IFERROR(VLOOKUP(K77,'LISTA ITEMS (2)'!$E$2:$G$910,2,FALSE)," ")</f>
        <v>CABLE Nª 6 C/ALTERNA AZUL</v>
      </c>
      <c r="M77" s="118" t="str">
        <f>IFERROR(VLOOKUP(K77,'LISTA ITEMS (2)'!$E$2:$G$910,3,FALSE)," ")</f>
        <v>MT</v>
      </c>
      <c r="N77" s="113">
        <v>100</v>
      </c>
      <c r="O77" s="112" t="s">
        <v>479</v>
      </c>
      <c r="P77" s="125"/>
      <c r="Q77" s="156"/>
      <c r="U77" s="19"/>
    </row>
    <row r="78" spans="1:23" ht="57.6" x14ac:dyDescent="0.3">
      <c r="A78" s="27">
        <v>76</v>
      </c>
      <c r="B78" s="110">
        <v>3</v>
      </c>
      <c r="C78" s="111">
        <v>5</v>
      </c>
      <c r="D78" s="112" t="s">
        <v>476</v>
      </c>
      <c r="E78" s="113" t="s">
        <v>477</v>
      </c>
      <c r="F78" s="112" t="s">
        <v>478</v>
      </c>
      <c r="G78" s="114">
        <v>46059</v>
      </c>
      <c r="H78" s="115">
        <v>7</v>
      </c>
      <c r="I78" s="115">
        <v>35</v>
      </c>
      <c r="J78" s="115">
        <v>286</v>
      </c>
      <c r="K78" s="116" t="str">
        <f t="shared" si="6"/>
        <v>7-35-286</v>
      </c>
      <c r="L78" s="117" t="str">
        <f>IFERROR(VLOOKUP(K78,'LISTA ITEMS (2)'!$E$2:$G$910,2,FALSE)," ")</f>
        <v>INVERSOR SPH 6000TL BL-UP 6KW (GROWATT)</v>
      </c>
      <c r="M78" s="118" t="str">
        <f>IFERROR(VLOOKUP(K78,'LISTA ITEMS (2)'!$E$2:$G$910,3,FALSE)," ")</f>
        <v>UND</v>
      </c>
      <c r="N78" s="113">
        <v>1</v>
      </c>
      <c r="O78" s="112" t="s">
        <v>479</v>
      </c>
      <c r="P78" s="125"/>
      <c r="Q78" s="156"/>
      <c r="S78" s="164" t="s">
        <v>379</v>
      </c>
      <c r="T78" s="165" t="str">
        <f>VLOOKUP(S78,$K$2:$M$195,2,FALSE)</f>
        <v>INVERSOR SPH 6000TL BL-UP 6KW (GROWATT)</v>
      </c>
      <c r="U78" s="166" t="str">
        <f>VLOOKUP(S78,$K$2:$M$195,3,FALSE)</f>
        <v>UND</v>
      </c>
      <c r="V78" s="167">
        <f>SUMIF($K$3:$K$195,S78,$N$3:$N$195)</f>
        <v>2</v>
      </c>
      <c r="W78" s="167">
        <f>SUMIF($K$3:$K$195,S78,$Q$3:$Q$195)</f>
        <v>0</v>
      </c>
    </row>
    <row r="79" spans="1:23" ht="57.6" x14ac:dyDescent="0.3">
      <c r="A79" s="27">
        <v>77</v>
      </c>
      <c r="B79" s="110">
        <v>3</v>
      </c>
      <c r="C79" s="111">
        <v>5</v>
      </c>
      <c r="D79" s="112" t="s">
        <v>476</v>
      </c>
      <c r="E79" s="113" t="s">
        <v>477</v>
      </c>
      <c r="F79" s="112" t="s">
        <v>478</v>
      </c>
      <c r="G79" s="114">
        <v>46059</v>
      </c>
      <c r="H79" s="115">
        <v>7</v>
      </c>
      <c r="I79" s="115">
        <v>54</v>
      </c>
      <c r="J79" s="115">
        <v>295</v>
      </c>
      <c r="K79" s="116" t="str">
        <f t="shared" si="6"/>
        <v>7-54-295</v>
      </c>
      <c r="L79" s="117" t="str">
        <f>IFERROR(VLOOKUP(K79,'LISTA ITEMS (2)'!$E$2:$G$910,2,FALSE)," ")</f>
        <v>BATERIA LFP LITHIUM DL5.OC (DYNESS)</v>
      </c>
      <c r="M79" s="118" t="str">
        <f>IFERROR(VLOOKUP(K79,'LISTA ITEMS (2)'!$E$2:$G$910,3,FALSE)," ")</f>
        <v>UND</v>
      </c>
      <c r="N79" s="113">
        <v>1</v>
      </c>
      <c r="O79" s="112" t="s">
        <v>479</v>
      </c>
      <c r="P79" s="125"/>
      <c r="Q79" s="156"/>
      <c r="S79" s="164" t="s">
        <v>395</v>
      </c>
      <c r="T79" s="165" t="str">
        <f>VLOOKUP(S79,$K$2:$M$195,2,FALSE)</f>
        <v>BATERIA LFP LITHIUM DL5.OC (DYNESS)</v>
      </c>
      <c r="U79" s="166" t="str">
        <f>VLOOKUP(S79,$K$2:$M$195,3,FALSE)</f>
        <v>UND</v>
      </c>
      <c r="V79" s="167">
        <f>SUMIF($K$3:$K$195,S79,$N$3:$N$195)</f>
        <v>3</v>
      </c>
      <c r="W79" s="167">
        <f>SUMIF($K$3:$K$195,S79,$Q$3:$Q$195)</f>
        <v>0</v>
      </c>
    </row>
    <row r="80" spans="1:23" ht="28.8" x14ac:dyDescent="0.3">
      <c r="A80" s="27">
        <v>78</v>
      </c>
      <c r="B80" s="65">
        <v>4</v>
      </c>
      <c r="C80" s="50"/>
      <c r="D80" s="123" t="s">
        <v>480</v>
      </c>
      <c r="E80" s="119"/>
      <c r="F80" s="123" t="s">
        <v>483</v>
      </c>
      <c r="G80" s="124">
        <v>46058</v>
      </c>
      <c r="H80" s="72" t="s">
        <v>484</v>
      </c>
      <c r="I80" s="72" t="s">
        <v>485</v>
      </c>
      <c r="J80" s="72" t="s">
        <v>486</v>
      </c>
      <c r="K80" s="89" t="str">
        <f t="shared" si="6"/>
        <v>3-31-209</v>
      </c>
      <c r="L80" s="90" t="str">
        <f>IFERROR(VLOOKUP(K80,'LISTA ITEMS (2)'!$E$2:$G$910,2,FALSE)," ")</f>
        <v>CABLE Nª 6 C/ALTERNA MARRON</v>
      </c>
      <c r="M80" s="91" t="str">
        <f>IFERROR(VLOOKUP(K80,'LISTA ITEMS (2)'!$E$2:$G$910,3,FALSE)," ")</f>
        <v>MT</v>
      </c>
      <c r="N80" s="119">
        <v>100</v>
      </c>
      <c r="O80" s="119"/>
      <c r="P80" s="125"/>
      <c r="Q80" s="156">
        <v>30</v>
      </c>
      <c r="U80" s="19"/>
    </row>
    <row r="81" spans="1:23" ht="28.8" x14ac:dyDescent="0.3">
      <c r="A81" s="27">
        <v>79</v>
      </c>
      <c r="B81" s="65">
        <v>4</v>
      </c>
      <c r="C81" s="50"/>
      <c r="D81" s="123" t="s">
        <v>480</v>
      </c>
      <c r="E81" s="119"/>
      <c r="F81" s="123" t="s">
        <v>483</v>
      </c>
      <c r="G81" s="124">
        <v>46058</v>
      </c>
      <c r="H81" s="72" t="s">
        <v>484</v>
      </c>
      <c r="I81" s="72" t="s">
        <v>485</v>
      </c>
      <c r="J81" s="72" t="s">
        <v>487</v>
      </c>
      <c r="K81" s="89" t="str">
        <f t="shared" si="6"/>
        <v>3-31-210</v>
      </c>
      <c r="L81" s="90" t="str">
        <f>IFERROR(VLOOKUP(K81,'LISTA ITEMS (2)'!$E$2:$G$910,2,FALSE)," ")</f>
        <v>CABLE Nª 6 C/ALTERNA GRIS</v>
      </c>
      <c r="M81" s="91" t="str">
        <f>IFERROR(VLOOKUP(K81,'LISTA ITEMS (2)'!$E$2:$G$910,3,FALSE)," ")</f>
        <v>MT</v>
      </c>
      <c r="N81" s="119">
        <v>100</v>
      </c>
      <c r="O81" s="119"/>
      <c r="P81" s="125"/>
      <c r="Q81" s="156">
        <v>30</v>
      </c>
      <c r="U81" s="19"/>
    </row>
    <row r="82" spans="1:23" ht="28.8" x14ac:dyDescent="0.3">
      <c r="A82" s="27">
        <v>80</v>
      </c>
      <c r="B82" s="65">
        <v>4</v>
      </c>
      <c r="C82" s="50"/>
      <c r="D82" s="123" t="s">
        <v>480</v>
      </c>
      <c r="E82" s="119"/>
      <c r="F82" s="123" t="s">
        <v>483</v>
      </c>
      <c r="G82" s="124">
        <v>46058</v>
      </c>
      <c r="H82" s="72" t="s">
        <v>484</v>
      </c>
      <c r="I82" s="72" t="s">
        <v>485</v>
      </c>
      <c r="J82" s="72" t="s">
        <v>488</v>
      </c>
      <c r="K82" s="89" t="str">
        <f t="shared" si="6"/>
        <v>3-31-212</v>
      </c>
      <c r="L82" s="90" t="str">
        <f>IFERROR(VLOOKUP(K82,'LISTA ITEMS (2)'!$E$2:$G$910,2,FALSE)," ")</f>
        <v>CABLE Nª 6 C/ALTERNA AZUL</v>
      </c>
      <c r="M82" s="91" t="str">
        <f>IFERROR(VLOOKUP(K82,'LISTA ITEMS (2)'!$E$2:$G$910,3,FALSE)," ")</f>
        <v>MT</v>
      </c>
      <c r="N82" s="119">
        <v>100</v>
      </c>
      <c r="O82" s="119"/>
      <c r="P82" s="125"/>
      <c r="Q82" s="156">
        <v>100</v>
      </c>
      <c r="U82" s="19"/>
    </row>
    <row r="83" spans="1:23" ht="28.8" x14ac:dyDescent="0.3">
      <c r="A83" s="27">
        <v>81</v>
      </c>
      <c r="B83" s="65">
        <v>4</v>
      </c>
      <c r="C83" s="50"/>
      <c r="D83" s="123" t="s">
        <v>480</v>
      </c>
      <c r="E83" s="119"/>
      <c r="F83" s="123" t="s">
        <v>483</v>
      </c>
      <c r="G83" s="124">
        <v>46058</v>
      </c>
      <c r="H83" s="72" t="s">
        <v>484</v>
      </c>
      <c r="I83" s="72" t="s">
        <v>485</v>
      </c>
      <c r="J83" s="72" t="s">
        <v>489</v>
      </c>
      <c r="K83" s="89" t="str">
        <f t="shared" si="6"/>
        <v>3-31-213</v>
      </c>
      <c r="L83" s="90" t="str">
        <f>IFERROR(VLOOKUP(K83,'LISTA ITEMS (2)'!$E$2:$G$910,2,FALSE)," ")</f>
        <v>CABLE Nª 6 C/ALTERNA NEGRO</v>
      </c>
      <c r="M83" s="91" t="str">
        <f>IFERROR(VLOOKUP(K83,'LISTA ITEMS (2)'!$E$2:$G$910,3,FALSE)," ")</f>
        <v>MT</v>
      </c>
      <c r="N83" s="119">
        <v>100</v>
      </c>
      <c r="O83" s="119"/>
      <c r="P83" s="125"/>
      <c r="Q83" s="156">
        <v>100</v>
      </c>
      <c r="U83" s="19"/>
    </row>
    <row r="84" spans="1:23" ht="28.8" x14ac:dyDescent="0.3">
      <c r="A84" s="27">
        <v>82</v>
      </c>
      <c r="B84" s="65">
        <v>4</v>
      </c>
      <c r="C84" s="50"/>
      <c r="D84" s="123" t="s">
        <v>480</v>
      </c>
      <c r="E84" s="119"/>
      <c r="F84" s="123" t="s">
        <v>483</v>
      </c>
      <c r="G84" s="124">
        <v>46058</v>
      </c>
      <c r="H84" s="72" t="s">
        <v>490</v>
      </c>
      <c r="I84" s="72" t="s">
        <v>491</v>
      </c>
      <c r="J84" s="72" t="s">
        <v>492</v>
      </c>
      <c r="K84" s="89" t="str">
        <f t="shared" si="6"/>
        <v>9-32-224</v>
      </c>
      <c r="L84" s="90" t="str">
        <f>IFERROR(VLOOKUP(K84,'LISTA ITEMS (2)'!$E$2:$G$910,2,FALSE)," ")</f>
        <v>CURVA PVC M-25 GRIS TIPO B</v>
      </c>
      <c r="M84" s="91" t="str">
        <f>IFERROR(VLOOKUP(K84,'LISTA ITEMS (2)'!$E$2:$G$910,3,FALSE)," ")</f>
        <v>UND</v>
      </c>
      <c r="N84" s="119">
        <v>20</v>
      </c>
      <c r="O84" s="119"/>
      <c r="P84" s="125"/>
      <c r="Q84" s="156"/>
      <c r="S84" s="164" t="s">
        <v>211</v>
      </c>
      <c r="T84" s="165" t="str">
        <f>VLOOKUP(S84,$K$2:$M$195,2,FALSE)</f>
        <v>CURVA PVC M-25 GRIS TIPO B</v>
      </c>
      <c r="U84" s="166" t="str">
        <f>VLOOKUP(S84,$K$2:$M$195,3,FALSE)</f>
        <v>UND</v>
      </c>
      <c r="V84" s="167">
        <f>SUMIF($K$3:$K$195,S84,$N$3:$N$195)</f>
        <v>20</v>
      </c>
      <c r="W84" s="167">
        <f>SUMIF($K$3:$K$195,S84,$Q$3:$Q$195)</f>
        <v>0</v>
      </c>
    </row>
    <row r="85" spans="1:23" ht="28.8" x14ac:dyDescent="0.3">
      <c r="A85" s="27">
        <v>83</v>
      </c>
      <c r="B85" s="65">
        <v>4</v>
      </c>
      <c r="C85" s="50"/>
      <c r="D85" s="123" t="s">
        <v>480</v>
      </c>
      <c r="E85" s="119"/>
      <c r="F85" s="123" t="s">
        <v>483</v>
      </c>
      <c r="G85" s="124">
        <v>46058</v>
      </c>
      <c r="H85" s="72" t="s">
        <v>484</v>
      </c>
      <c r="I85" s="72" t="s">
        <v>485</v>
      </c>
      <c r="J85" s="72" t="s">
        <v>493</v>
      </c>
      <c r="K85" s="89" t="str">
        <f t="shared" si="6"/>
        <v>3-31-221</v>
      </c>
      <c r="L85" s="90" t="str">
        <f>IFERROR(VLOOKUP(K85,'LISTA ITEMS (2)'!$E$2:$G$910,2,FALSE)," ")</f>
        <v>CABLE Nª 10 C/ALTERNA AZUL</v>
      </c>
      <c r="M85" s="91" t="str">
        <f>IFERROR(VLOOKUP(K85,'LISTA ITEMS (2)'!$E$2:$G$910,3,FALSE)," ")</f>
        <v>MT</v>
      </c>
      <c r="N85" s="119">
        <v>100</v>
      </c>
      <c r="O85" s="119"/>
      <c r="P85" s="125"/>
      <c r="Q85" s="156">
        <v>25</v>
      </c>
      <c r="U85" s="19"/>
    </row>
    <row r="86" spans="1:23" ht="28.8" x14ac:dyDescent="0.3">
      <c r="A86" s="27">
        <v>84</v>
      </c>
      <c r="B86" s="65">
        <v>4</v>
      </c>
      <c r="C86" s="50"/>
      <c r="D86" s="123" t="s">
        <v>480</v>
      </c>
      <c r="E86" s="119"/>
      <c r="F86" s="123" t="s">
        <v>483</v>
      </c>
      <c r="G86" s="124">
        <v>46058</v>
      </c>
      <c r="H86" s="72" t="s">
        <v>484</v>
      </c>
      <c r="I86" s="72" t="s">
        <v>485</v>
      </c>
      <c r="J86" s="72" t="s">
        <v>494</v>
      </c>
      <c r="K86" s="89" t="str">
        <f t="shared" si="6"/>
        <v>3-31-220</v>
      </c>
      <c r="L86" s="90" t="str">
        <f>IFERROR(VLOOKUP(K86,'LISTA ITEMS (2)'!$E$2:$G$910,2,FALSE)," ")</f>
        <v>CABLE Nª 10 C/ALTERNA GRIS</v>
      </c>
      <c r="M86" s="91" t="str">
        <f>IFERROR(VLOOKUP(K86,'LISTA ITEMS (2)'!$E$2:$G$910,3,FALSE)," ")</f>
        <v>MT</v>
      </c>
      <c r="N86" s="119">
        <v>100</v>
      </c>
      <c r="O86" s="119"/>
      <c r="P86" s="125"/>
      <c r="Q86" s="156">
        <v>80</v>
      </c>
      <c r="U86" s="19"/>
    </row>
    <row r="87" spans="1:23" ht="28.8" x14ac:dyDescent="0.3">
      <c r="A87" s="27">
        <v>85</v>
      </c>
      <c r="B87" s="65">
        <v>4</v>
      </c>
      <c r="C87" s="50"/>
      <c r="D87" s="123" t="s">
        <v>480</v>
      </c>
      <c r="E87" s="119"/>
      <c r="F87" s="123" t="s">
        <v>483</v>
      </c>
      <c r="G87" s="124">
        <v>46058</v>
      </c>
      <c r="H87" s="72" t="s">
        <v>484</v>
      </c>
      <c r="I87" s="72" t="s">
        <v>485</v>
      </c>
      <c r="J87" s="72" t="s">
        <v>495</v>
      </c>
      <c r="K87" s="89" t="str">
        <f t="shared" si="6"/>
        <v>3-31-219</v>
      </c>
      <c r="L87" s="90" t="str">
        <f>IFERROR(VLOOKUP(K87,'LISTA ITEMS (2)'!$E$2:$G$910,2,FALSE)," ")</f>
        <v>CABLE Nª 10 C/ALTERNA MARRON</v>
      </c>
      <c r="M87" s="91" t="str">
        <f>IFERROR(VLOOKUP(K87,'LISTA ITEMS (2)'!$E$2:$G$910,3,FALSE)," ")</f>
        <v>MT</v>
      </c>
      <c r="N87" s="119">
        <v>60</v>
      </c>
      <c r="O87" s="119"/>
      <c r="P87" s="125"/>
      <c r="Q87" s="156">
        <v>25</v>
      </c>
      <c r="U87" s="19"/>
    </row>
    <row r="88" spans="1:23" ht="28.8" x14ac:dyDescent="0.3">
      <c r="A88" s="27">
        <v>86</v>
      </c>
      <c r="B88" s="65">
        <v>4</v>
      </c>
      <c r="C88" s="50"/>
      <c r="D88" s="123" t="s">
        <v>480</v>
      </c>
      <c r="E88" s="119"/>
      <c r="F88" s="123" t="s">
        <v>483</v>
      </c>
      <c r="G88" s="124">
        <v>46058</v>
      </c>
      <c r="H88" s="72" t="s">
        <v>484</v>
      </c>
      <c r="I88" s="72" t="s">
        <v>485</v>
      </c>
      <c r="J88" s="72" t="s">
        <v>496</v>
      </c>
      <c r="K88" s="89" t="str">
        <f t="shared" si="6"/>
        <v>3-31-222</v>
      </c>
      <c r="L88" s="90" t="str">
        <f>IFERROR(VLOOKUP(K88,'LISTA ITEMS (2)'!$E$2:$G$910,2,FALSE)," ")</f>
        <v>CABLE Nª 10 C/ALTERNA NEGRO</v>
      </c>
      <c r="M88" s="91" t="str">
        <f>IFERROR(VLOOKUP(K88,'LISTA ITEMS (2)'!$E$2:$G$910,3,FALSE)," ")</f>
        <v>MT</v>
      </c>
      <c r="N88" s="119">
        <v>80</v>
      </c>
      <c r="O88" s="119"/>
      <c r="P88" s="125"/>
      <c r="Q88" s="156">
        <v>25</v>
      </c>
      <c r="U88" s="19"/>
    </row>
    <row r="89" spans="1:23" ht="28.8" x14ac:dyDescent="0.3">
      <c r="A89" s="27">
        <v>87</v>
      </c>
      <c r="B89" s="65">
        <v>4</v>
      </c>
      <c r="C89" s="50"/>
      <c r="D89" s="123" t="s">
        <v>480</v>
      </c>
      <c r="E89" s="119"/>
      <c r="F89" s="123" t="s">
        <v>483</v>
      </c>
      <c r="G89" s="124">
        <v>46058</v>
      </c>
      <c r="H89" s="72" t="s">
        <v>484</v>
      </c>
      <c r="I89" s="72" t="s">
        <v>485</v>
      </c>
      <c r="J89" s="72" t="s">
        <v>497</v>
      </c>
      <c r="K89" s="89" t="str">
        <f t="shared" si="6"/>
        <v>3-31-218</v>
      </c>
      <c r="L89" s="90" t="str">
        <f>IFERROR(VLOOKUP(K89,'LISTA ITEMS (2)'!$E$2:$G$910,2,FALSE)," ")</f>
        <v>CABLE Nª 10 C/ALTERNA VERDE/AMARILLO</v>
      </c>
      <c r="M89" s="91" t="str">
        <f>IFERROR(VLOOKUP(K89,'LISTA ITEMS (2)'!$E$2:$G$910,3,FALSE)," ")</f>
        <v>MT</v>
      </c>
      <c r="N89" s="119">
        <v>70</v>
      </c>
      <c r="O89" s="119"/>
      <c r="P89" s="125"/>
      <c r="Q89" s="156">
        <v>25</v>
      </c>
      <c r="U89" s="19"/>
    </row>
    <row r="90" spans="1:23" ht="28.8" x14ac:dyDescent="0.3">
      <c r="A90" s="27">
        <v>88</v>
      </c>
      <c r="B90" s="65">
        <v>4</v>
      </c>
      <c r="C90" s="50"/>
      <c r="D90" s="123" t="s">
        <v>480</v>
      </c>
      <c r="E90" s="119"/>
      <c r="F90" s="123" t="s">
        <v>483</v>
      </c>
      <c r="G90" s="124">
        <v>46058</v>
      </c>
      <c r="H90" s="72" t="s">
        <v>498</v>
      </c>
      <c r="I90" s="72" t="s">
        <v>499</v>
      </c>
      <c r="J90" s="72" t="s">
        <v>500</v>
      </c>
      <c r="K90" s="89" t="str">
        <f t="shared" si="6"/>
        <v>13-22-184</v>
      </c>
      <c r="L90" s="90" t="str">
        <f>IFERROR(VLOOKUP(K90,'LISTA ITEMS (2)'!$E$2:$G$910,2,FALSE)," ")</f>
        <v>BRIDA P/EXTERIOR NEGRA</v>
      </c>
      <c r="M90" s="91" t="str">
        <f>IFERROR(VLOOKUP(K90,'LISTA ITEMS (2)'!$E$2:$G$910,3,FALSE)," ")</f>
        <v>UND</v>
      </c>
      <c r="N90" s="119">
        <v>100</v>
      </c>
      <c r="O90" s="119"/>
      <c r="P90" s="125"/>
      <c r="Q90" s="156"/>
      <c r="U90" s="19"/>
    </row>
    <row r="91" spans="1:23" ht="28.8" x14ac:dyDescent="0.3">
      <c r="A91" s="27">
        <v>89</v>
      </c>
      <c r="B91" s="65">
        <v>4</v>
      </c>
      <c r="C91" s="50"/>
      <c r="D91" s="123" t="s">
        <v>480</v>
      </c>
      <c r="E91" s="119"/>
      <c r="F91" s="123" t="s">
        <v>483</v>
      </c>
      <c r="G91" s="124">
        <v>46058</v>
      </c>
      <c r="H91" s="72" t="s">
        <v>498</v>
      </c>
      <c r="I91" s="72" t="s">
        <v>501</v>
      </c>
      <c r="J91" s="72" t="s">
        <v>502</v>
      </c>
      <c r="K91" s="89" t="str">
        <f t="shared" si="6"/>
        <v>13-21-181</v>
      </c>
      <c r="L91" s="90" t="str">
        <f>IFERROR(VLOOKUP(K91,'LISTA ITEMS (2)'!$E$2:$G$910,2,FALSE)," ")</f>
        <v>TACO P/BRIDA NEGRO</v>
      </c>
      <c r="M91" s="91" t="str">
        <f>IFERROR(VLOOKUP(K91,'LISTA ITEMS (2)'!$E$2:$G$910,3,FALSE)," ")</f>
        <v>UND</v>
      </c>
      <c r="N91" s="119">
        <v>100</v>
      </c>
      <c r="O91" s="119"/>
      <c r="P91" s="125"/>
      <c r="Q91" s="156"/>
      <c r="U91" s="19"/>
    </row>
    <row r="92" spans="1:23" ht="28.8" x14ac:dyDescent="0.3">
      <c r="A92" s="27">
        <v>90</v>
      </c>
      <c r="B92" s="65">
        <v>4</v>
      </c>
      <c r="C92" s="50"/>
      <c r="D92" s="123" t="s">
        <v>480</v>
      </c>
      <c r="E92" s="119"/>
      <c r="F92" s="123" t="s">
        <v>483</v>
      </c>
      <c r="G92" s="124">
        <v>46058</v>
      </c>
      <c r="H92" s="72" t="s">
        <v>503</v>
      </c>
      <c r="I92" s="72" t="s">
        <v>504</v>
      </c>
      <c r="J92" s="72" t="s">
        <v>505</v>
      </c>
      <c r="K92" s="89" t="str">
        <f t="shared" si="6"/>
        <v>16-47-280</v>
      </c>
      <c r="L92" s="90" t="str">
        <f>IFERROR(VLOOKUP(K92,'LISTA ITEMS (2)'!$E$2:$G$910,2,FALSE)," ")</f>
        <v>DIFERENCIAL EPR2A063030 2P-63A-30mA (MAXGE)</v>
      </c>
      <c r="M92" s="91" t="str">
        <f>IFERROR(VLOOKUP(K92,'LISTA ITEMS (2)'!$E$2:$G$910,3,FALSE)," ")</f>
        <v>UND</v>
      </c>
      <c r="N92" s="119">
        <v>1</v>
      </c>
      <c r="O92" s="119"/>
      <c r="P92" s="125"/>
      <c r="Q92" s="156"/>
      <c r="U92" s="19"/>
    </row>
    <row r="93" spans="1:23" ht="28.8" x14ac:dyDescent="0.3">
      <c r="A93" s="27">
        <v>91</v>
      </c>
      <c r="B93" s="65">
        <v>4</v>
      </c>
      <c r="C93" s="50"/>
      <c r="D93" s="123" t="s">
        <v>480</v>
      </c>
      <c r="E93" s="119"/>
      <c r="F93" s="123" t="s">
        <v>483</v>
      </c>
      <c r="G93" s="124">
        <v>46058</v>
      </c>
      <c r="H93" s="72" t="s">
        <v>503</v>
      </c>
      <c r="I93" s="72" t="s">
        <v>506</v>
      </c>
      <c r="J93" s="72" t="s">
        <v>507</v>
      </c>
      <c r="K93" s="89" t="str">
        <f t="shared" si="6"/>
        <v>16-49-288</v>
      </c>
      <c r="L93" s="90" t="str">
        <f>IFERROR(VLOOKUP(K93,'LISTA ITEMS (2)'!$E$2:$G$910,2,FALSE)," ")</f>
        <v>CONTACTOR MODULAR EPC1-6322-P7 (MAXGE)</v>
      </c>
      <c r="M93" s="91" t="str">
        <f>IFERROR(VLOOKUP(K93,'LISTA ITEMS (2)'!$E$2:$G$910,3,FALSE)," ")</f>
        <v>UND</v>
      </c>
      <c r="N93" s="119">
        <v>1</v>
      </c>
      <c r="O93" s="119"/>
      <c r="P93" s="125"/>
      <c r="Q93" s="156"/>
      <c r="U93" s="19"/>
    </row>
    <row r="94" spans="1:23" ht="28.8" x14ac:dyDescent="0.3">
      <c r="A94" s="27">
        <v>92</v>
      </c>
      <c r="B94" s="65">
        <v>4</v>
      </c>
      <c r="C94" s="50"/>
      <c r="D94" s="123" t="s">
        <v>480</v>
      </c>
      <c r="E94" s="119"/>
      <c r="F94" s="123" t="s">
        <v>483</v>
      </c>
      <c r="G94" s="124">
        <v>46058</v>
      </c>
      <c r="H94" s="72" t="s">
        <v>503</v>
      </c>
      <c r="I94" s="72" t="s">
        <v>508</v>
      </c>
      <c r="J94" s="72" t="s">
        <v>509</v>
      </c>
      <c r="K94" s="89" t="str">
        <f t="shared" si="6"/>
        <v>16-53-290</v>
      </c>
      <c r="L94" s="90" t="str">
        <f>IFERROR(VLOOKUP(K94,'LISTA ITEMS (2)'!$E$2:$G$910,2,FALSE)," ")</f>
        <v>PINCHO DE COMUNICACIÓN WIFI SHINEWILAN X2 (GROWATT)</v>
      </c>
      <c r="M94" s="91" t="str">
        <f>IFERROR(VLOOKUP(K94,'LISTA ITEMS (2)'!$E$2:$G$910,3,FALSE)," ")</f>
        <v>UND</v>
      </c>
      <c r="N94" s="119">
        <v>1</v>
      </c>
      <c r="O94" s="119"/>
      <c r="P94" s="125"/>
      <c r="Q94" s="156"/>
      <c r="U94" s="19"/>
    </row>
    <row r="95" spans="1:23" ht="28.8" x14ac:dyDescent="0.3">
      <c r="A95" s="27">
        <v>93</v>
      </c>
      <c r="B95" s="65">
        <v>4</v>
      </c>
      <c r="C95" s="50"/>
      <c r="D95" s="123" t="s">
        <v>480</v>
      </c>
      <c r="E95" s="119"/>
      <c r="F95" s="123" t="s">
        <v>483</v>
      </c>
      <c r="G95" s="124">
        <v>46058</v>
      </c>
      <c r="H95" s="72" t="s">
        <v>490</v>
      </c>
      <c r="I95" s="72" t="s">
        <v>510</v>
      </c>
      <c r="J95" s="72" t="s">
        <v>511</v>
      </c>
      <c r="K95" s="89" t="str">
        <f t="shared" si="6"/>
        <v>9-2-291</v>
      </c>
      <c r="L95" s="90" t="str">
        <f>IFERROR(VLOOKUP(K95,'LISTA ITEMS (2)'!$E$2:$G$910,2,FALSE)," ")</f>
        <v>TUBO ELECTRICO PVC 25mm - 3mt(AISCAN)</v>
      </c>
      <c r="M95" s="91" t="str">
        <f>IFERROR(VLOOKUP(K95,'LISTA ITEMS (2)'!$E$2:$G$910,3,FALSE)," ")</f>
        <v>UND</v>
      </c>
      <c r="N95" s="119">
        <v>8</v>
      </c>
      <c r="O95" s="119"/>
      <c r="P95" s="125"/>
      <c r="Q95" s="156"/>
      <c r="U95" s="19"/>
    </row>
    <row r="96" spans="1:23" ht="28.8" x14ac:dyDescent="0.3">
      <c r="A96" s="27">
        <v>94</v>
      </c>
      <c r="B96" s="65">
        <v>4</v>
      </c>
      <c r="C96" s="50"/>
      <c r="D96" s="123" t="s">
        <v>480</v>
      </c>
      <c r="E96" s="119"/>
      <c r="F96" s="123" t="s">
        <v>483</v>
      </c>
      <c r="G96" s="124">
        <v>46058</v>
      </c>
      <c r="H96" s="72" t="s">
        <v>503</v>
      </c>
      <c r="I96" s="72" t="s">
        <v>512</v>
      </c>
      <c r="J96" s="72" t="s">
        <v>513</v>
      </c>
      <c r="K96" s="89" t="str">
        <f t="shared" si="6"/>
        <v>16-52-292</v>
      </c>
      <c r="L96" s="90" t="str">
        <f>IFERROR(VLOOKUP(K96,'LISTA ITEMS (2)'!$E$2:$G$910,2,FALSE)," ")</f>
        <v>TERMICO EPBE63M1NC63M1NC40 1P+N C40 (MAXGE)</v>
      </c>
      <c r="M96" s="91" t="str">
        <f>IFERROR(VLOOKUP(K96,'LISTA ITEMS (2)'!$E$2:$G$910,3,FALSE)," ")</f>
        <v>UND</v>
      </c>
      <c r="N96" s="119">
        <v>1</v>
      </c>
      <c r="O96" s="119"/>
      <c r="P96" s="125"/>
      <c r="Q96" s="156"/>
      <c r="S96" s="164" t="s">
        <v>389</v>
      </c>
      <c r="T96" s="165" t="str">
        <f>VLOOKUP(S96,$K$2:$M$195,2,FALSE)</f>
        <v>TERMICO EPBE63M1NC63M1NC40 1P+N C40 (MAXGE)</v>
      </c>
      <c r="U96" s="166" t="str">
        <f>VLOOKUP(S96,$K$2:$M$195,3,FALSE)</f>
        <v>UND</v>
      </c>
      <c r="V96" s="167">
        <f>SUMIF($K$3:$K$195,S96,$N$3:$N$195)</f>
        <v>2</v>
      </c>
      <c r="W96" s="167">
        <f>SUMIF($K$3:$K$195,S96,$Q$3:$Q$195)</f>
        <v>0</v>
      </c>
    </row>
    <row r="97" spans="1:23" ht="28.8" x14ac:dyDescent="0.3">
      <c r="A97" s="27">
        <v>95</v>
      </c>
      <c r="B97" s="65">
        <v>4</v>
      </c>
      <c r="C97" s="50"/>
      <c r="D97" s="123" t="s">
        <v>480</v>
      </c>
      <c r="E97" s="119"/>
      <c r="F97" s="123" t="s">
        <v>483</v>
      </c>
      <c r="G97" s="124">
        <v>46058</v>
      </c>
      <c r="H97" s="72" t="s">
        <v>503</v>
      </c>
      <c r="I97" s="72" t="s">
        <v>512</v>
      </c>
      <c r="J97" s="72" t="s">
        <v>514</v>
      </c>
      <c r="K97" s="89" t="str">
        <f t="shared" si="6"/>
        <v>16-52-293</v>
      </c>
      <c r="L97" s="90" t="str">
        <f>IFERROR(VLOOKUP(K97,'LISTA ITEMS (2)'!$E$2:$G$910,2,FALSE)," ")</f>
        <v>TERMICO EPBE63M1NC63M1NC32 1P+N C32 (MAXGE)</v>
      </c>
      <c r="M97" s="91" t="str">
        <f>IFERROR(VLOOKUP(K97,'LISTA ITEMS (2)'!$E$2:$G$910,3,FALSE)," ")</f>
        <v>UND</v>
      </c>
      <c r="N97" s="119">
        <v>1</v>
      </c>
      <c r="O97" s="119"/>
      <c r="P97" s="125"/>
      <c r="Q97" s="156"/>
      <c r="U97" s="19"/>
    </row>
    <row r="98" spans="1:23" ht="28.8" x14ac:dyDescent="0.3">
      <c r="A98" s="27">
        <v>96</v>
      </c>
      <c r="B98" s="65">
        <v>4</v>
      </c>
      <c r="C98" s="50"/>
      <c r="D98" s="123" t="s">
        <v>480</v>
      </c>
      <c r="E98" s="119"/>
      <c r="F98" s="123" t="s">
        <v>483</v>
      </c>
      <c r="G98" s="124">
        <v>46058</v>
      </c>
      <c r="H98" s="72" t="s">
        <v>503</v>
      </c>
      <c r="I98" s="72" t="s">
        <v>515</v>
      </c>
      <c r="J98" s="72" t="s">
        <v>516</v>
      </c>
      <c r="K98" s="89" t="str">
        <f t="shared" si="6"/>
        <v>16-45-294</v>
      </c>
      <c r="L98" s="90" t="str">
        <f>IFERROR(VLOOKUP(K98,'LISTA ITEMS (2)'!$E$2:$G$910,2,FALSE)," ")</f>
        <v>CAJA DE ESTANCA 133X180X80 EV161 (IDE)</v>
      </c>
      <c r="M98" s="91" t="str">
        <f>IFERROR(VLOOKUP(K98,'LISTA ITEMS (2)'!$E$2:$G$910,3,FALSE)," ")</f>
        <v>UND</v>
      </c>
      <c r="N98" s="119">
        <v>1</v>
      </c>
      <c r="O98" s="119"/>
      <c r="P98" s="125"/>
      <c r="Q98" s="156"/>
      <c r="U98" s="19"/>
    </row>
    <row r="99" spans="1:23" ht="28.8" x14ac:dyDescent="0.3">
      <c r="A99" s="27">
        <v>97</v>
      </c>
      <c r="B99" s="65">
        <v>4</v>
      </c>
      <c r="C99" s="50"/>
      <c r="D99" s="123" t="s">
        <v>480</v>
      </c>
      <c r="E99" s="119"/>
      <c r="F99" s="123" t="s">
        <v>483</v>
      </c>
      <c r="G99" s="124">
        <v>46058</v>
      </c>
      <c r="H99" s="72" t="s">
        <v>517</v>
      </c>
      <c r="I99" s="72" t="s">
        <v>518</v>
      </c>
      <c r="J99" s="72" t="s">
        <v>519</v>
      </c>
      <c r="K99" s="89" t="str">
        <f t="shared" ref="K99:K112" si="7">CONCATENATE(H99,"-",I99,"-",J99)</f>
        <v>7-54-295</v>
      </c>
      <c r="L99" s="90" t="str">
        <f>IFERROR(VLOOKUP(K99,'LISTA ITEMS (2)'!$E$2:$G$910,2,FALSE)," ")</f>
        <v>BATERIA LFP LITHIUM DL5.OC (DYNESS)</v>
      </c>
      <c r="M99" s="91" t="str">
        <f>IFERROR(VLOOKUP(K99,'LISTA ITEMS (2)'!$E$2:$G$910,3,FALSE)," ")</f>
        <v>UND</v>
      </c>
      <c r="N99" s="119">
        <v>2</v>
      </c>
      <c r="O99" s="119"/>
      <c r="P99" s="17" t="s">
        <v>481</v>
      </c>
      <c r="Q99" s="156"/>
      <c r="U99" s="19"/>
    </row>
    <row r="100" spans="1:23" ht="28.8" x14ac:dyDescent="0.3">
      <c r="A100" s="27">
        <v>98</v>
      </c>
      <c r="B100" s="65">
        <v>4</v>
      </c>
      <c r="C100" s="50"/>
      <c r="D100" s="123" t="s">
        <v>480</v>
      </c>
      <c r="E100" s="119"/>
      <c r="F100" s="123" t="s">
        <v>483</v>
      </c>
      <c r="G100" s="124">
        <v>46058</v>
      </c>
      <c r="H100" s="72" t="s">
        <v>517</v>
      </c>
      <c r="I100" s="72" t="s">
        <v>520</v>
      </c>
      <c r="J100" s="72" t="s">
        <v>521</v>
      </c>
      <c r="K100" s="89" t="str">
        <f t="shared" si="7"/>
        <v>7-35-286</v>
      </c>
      <c r="L100" s="90" t="str">
        <f>IFERROR(VLOOKUP(K100,'LISTA ITEMS (2)'!$E$2:$G$910,2,FALSE)," ")</f>
        <v>INVERSOR SPH 6000TL BL-UP 6KW (GROWATT)</v>
      </c>
      <c r="M100" s="91" t="str">
        <f>IFERROR(VLOOKUP(K100,'LISTA ITEMS (2)'!$E$2:$G$910,3,FALSE)," ")</f>
        <v>UND</v>
      </c>
      <c r="N100" s="119">
        <v>1</v>
      </c>
      <c r="O100" s="119"/>
      <c r="P100" s="125" t="s">
        <v>482</v>
      </c>
      <c r="Q100" s="156"/>
      <c r="U100" s="19"/>
    </row>
    <row r="101" spans="1:23" ht="28.8" x14ac:dyDescent="0.3">
      <c r="A101" s="27">
        <v>99</v>
      </c>
      <c r="B101" s="65">
        <v>4</v>
      </c>
      <c r="C101" s="50"/>
      <c r="D101" s="123" t="s">
        <v>480</v>
      </c>
      <c r="E101" s="119"/>
      <c r="F101" s="123" t="s">
        <v>483</v>
      </c>
      <c r="G101" s="124">
        <v>46058</v>
      </c>
      <c r="H101" s="72" t="s">
        <v>503</v>
      </c>
      <c r="I101" s="72" t="s">
        <v>515</v>
      </c>
      <c r="J101" s="72" t="s">
        <v>522</v>
      </c>
      <c r="K101" s="89" t="str">
        <f t="shared" si="7"/>
        <v>16-45-275</v>
      </c>
      <c r="L101" s="90" t="str">
        <f>IFERROR(VLOOKUP(K101,'LISTA ITEMS (2)'!$E$2:$G$910,2,FALSE)," ")</f>
        <v>CAJA DISTRIBUCION INTERIOR 18 ELEM. (SOLERA)</v>
      </c>
      <c r="M101" s="91" t="str">
        <f>IFERROR(VLOOKUP(K101,'LISTA ITEMS (2)'!$E$2:$G$910,3,FALSE)," ")</f>
        <v>UND</v>
      </c>
      <c r="N101" s="119">
        <v>1</v>
      </c>
      <c r="O101" s="119"/>
      <c r="P101" s="125"/>
      <c r="Q101" s="156"/>
      <c r="U101" s="19"/>
    </row>
    <row r="102" spans="1:23" ht="28.8" x14ac:dyDescent="0.3">
      <c r="A102" s="27">
        <v>100</v>
      </c>
      <c r="B102" s="110">
        <v>5</v>
      </c>
      <c r="C102" s="111">
        <v>7</v>
      </c>
      <c r="D102" s="113" t="s">
        <v>259</v>
      </c>
      <c r="E102" s="113" t="s">
        <v>126</v>
      </c>
      <c r="F102" s="112" t="s">
        <v>550</v>
      </c>
      <c r="G102" s="114">
        <v>46306</v>
      </c>
      <c r="H102" s="115">
        <v>16</v>
      </c>
      <c r="I102" s="115">
        <v>52</v>
      </c>
      <c r="J102" s="115">
        <v>293</v>
      </c>
      <c r="K102" s="116" t="str">
        <f t="shared" si="7"/>
        <v>16-52-293</v>
      </c>
      <c r="L102" s="117" t="str">
        <f>IFERROR(VLOOKUP(K102,'LISTA ITEMS (2)'!$E$2:$G$910,2,FALSE)," ")</f>
        <v>TERMICO EPBE63M1NC63M1NC32 1P+N C32 (MAXGE)</v>
      </c>
      <c r="M102" s="118" t="str">
        <f>IFERROR(VLOOKUP(K102,'LISTA ITEMS (2)'!$E$2:$G$910,3,FALSE)," ")</f>
        <v>UND</v>
      </c>
      <c r="N102" s="113">
        <v>1</v>
      </c>
      <c r="O102" s="113"/>
      <c r="P102" s="125"/>
      <c r="Q102" s="156"/>
      <c r="U102" s="19"/>
    </row>
    <row r="103" spans="1:23" ht="28.8" x14ac:dyDescent="0.3">
      <c r="A103" s="27">
        <v>101</v>
      </c>
      <c r="B103" s="110">
        <v>5</v>
      </c>
      <c r="C103" s="111">
        <v>7</v>
      </c>
      <c r="D103" s="113" t="s">
        <v>259</v>
      </c>
      <c r="E103" s="113" t="s">
        <v>126</v>
      </c>
      <c r="F103" s="112" t="s">
        <v>550</v>
      </c>
      <c r="G103" s="114">
        <v>46306</v>
      </c>
      <c r="H103" s="115">
        <v>16</v>
      </c>
      <c r="I103" s="115">
        <v>52</v>
      </c>
      <c r="J103" s="115">
        <v>292</v>
      </c>
      <c r="K103" s="116" t="str">
        <f t="shared" si="7"/>
        <v>16-52-292</v>
      </c>
      <c r="L103" s="117" t="str">
        <f>IFERROR(VLOOKUP(K103,'LISTA ITEMS (2)'!$E$2:$G$910,2,FALSE)," ")</f>
        <v>TERMICO EPBE63M1NC63M1NC40 1P+N C40 (MAXGE)</v>
      </c>
      <c r="M103" s="118" t="str">
        <f>IFERROR(VLOOKUP(K103,'LISTA ITEMS (2)'!$E$2:$G$910,3,FALSE)," ")</f>
        <v>UND</v>
      </c>
      <c r="N103" s="113">
        <v>1</v>
      </c>
      <c r="O103" s="113"/>
      <c r="P103" s="125"/>
      <c r="Q103" s="156"/>
      <c r="U103" s="19"/>
    </row>
    <row r="104" spans="1:23" ht="28.8" x14ac:dyDescent="0.3">
      <c r="A104" s="27">
        <v>102</v>
      </c>
      <c r="B104" s="110">
        <v>5</v>
      </c>
      <c r="C104" s="111">
        <v>7</v>
      </c>
      <c r="D104" s="113" t="s">
        <v>259</v>
      </c>
      <c r="E104" s="113" t="s">
        <v>126</v>
      </c>
      <c r="F104" s="112" t="s">
        <v>550</v>
      </c>
      <c r="G104" s="114">
        <v>46306</v>
      </c>
      <c r="H104" s="115">
        <v>16</v>
      </c>
      <c r="I104" s="115">
        <v>52</v>
      </c>
      <c r="J104" s="115">
        <v>285</v>
      </c>
      <c r="K104" s="116" t="str">
        <f t="shared" si="7"/>
        <v>16-52-285</v>
      </c>
      <c r="L104" s="117" t="str">
        <f>IFERROR(VLOOKUP(K104,'LISTA ITEMS (2)'!$E$2:$G$910,2,FALSE)," ")</f>
        <v>TERMICO EPBE63M1NC63 1P+N C63 (MAXGE)</v>
      </c>
      <c r="M104" s="118" t="str">
        <f>IFERROR(VLOOKUP(K104,'LISTA ITEMS (2)'!$E$2:$G$910,3,FALSE)," ")</f>
        <v>UND</v>
      </c>
      <c r="N104" s="113">
        <v>1</v>
      </c>
      <c r="O104" s="113"/>
      <c r="P104" s="125"/>
      <c r="Q104" s="156"/>
      <c r="U104" s="19"/>
    </row>
    <row r="105" spans="1:23" ht="28.8" x14ac:dyDescent="0.3">
      <c r="A105" s="27">
        <v>103</v>
      </c>
      <c r="B105" s="110">
        <v>5</v>
      </c>
      <c r="C105" s="111">
        <v>7</v>
      </c>
      <c r="D105" s="113" t="s">
        <v>259</v>
      </c>
      <c r="E105" s="113" t="s">
        <v>126</v>
      </c>
      <c r="F105" s="112" t="s">
        <v>550</v>
      </c>
      <c r="G105" s="114">
        <v>46306</v>
      </c>
      <c r="H105" s="115">
        <v>16</v>
      </c>
      <c r="I105" s="115">
        <v>47</v>
      </c>
      <c r="J105" s="115">
        <v>318</v>
      </c>
      <c r="K105" s="116" t="str">
        <f t="shared" si="7"/>
        <v>16-47-318</v>
      </c>
      <c r="L105" s="117" t="str">
        <f>IFERROR(VLOOKUP(K105,'LISTA ITEMS (2)'!$E$2:$G$910,2,FALSE)," ")</f>
        <v>DIFERENCIAL EPR2A040030 2P-40A-30mA (MAXGE)</v>
      </c>
      <c r="M105" s="118" t="str">
        <f>IFERROR(VLOOKUP(K105,'LISTA ITEMS (2)'!$E$2:$G$910,3,FALSE)," ")</f>
        <v>UND</v>
      </c>
      <c r="N105" s="113">
        <v>1</v>
      </c>
      <c r="O105" s="113"/>
      <c r="P105" s="125"/>
      <c r="Q105" s="156"/>
      <c r="U105" s="19"/>
    </row>
    <row r="106" spans="1:23" ht="28.8" x14ac:dyDescent="0.3">
      <c r="A106" s="27">
        <v>104</v>
      </c>
      <c r="B106" s="110">
        <v>5</v>
      </c>
      <c r="C106" s="111">
        <v>7</v>
      </c>
      <c r="D106" s="113" t="s">
        <v>259</v>
      </c>
      <c r="E106" s="113" t="s">
        <v>126</v>
      </c>
      <c r="F106" s="112" t="s">
        <v>550</v>
      </c>
      <c r="G106" s="114">
        <v>46306</v>
      </c>
      <c r="H106" s="115">
        <v>16</v>
      </c>
      <c r="I106" s="115">
        <v>56</v>
      </c>
      <c r="J106" s="115">
        <v>303</v>
      </c>
      <c r="K106" s="116" t="str">
        <f t="shared" si="7"/>
        <v>16-56-303</v>
      </c>
      <c r="L106" s="117" t="str">
        <f>IFERROR(VLOOKUP(K106,'LISTA ITEMS (2)'!$E$2:$G$910,2,FALSE)," ")</f>
        <v>METER MONOFASICO 230/161-276Vac (GROWATT)</v>
      </c>
      <c r="M106" s="118" t="str">
        <f>IFERROR(VLOOKUP(K106,'LISTA ITEMS (2)'!$E$2:$G$910,3,FALSE)," ")</f>
        <v>UND</v>
      </c>
      <c r="N106" s="113">
        <v>1</v>
      </c>
      <c r="O106" s="113"/>
      <c r="P106" s="125"/>
      <c r="Q106" s="156"/>
      <c r="S106" s="164" t="s">
        <v>411</v>
      </c>
      <c r="T106" s="165" t="str">
        <f>VLOOKUP(S106,$K$2:$M$195,2,FALSE)</f>
        <v>METER MONOFASICO 230/161-276Vac (GROWATT)</v>
      </c>
      <c r="U106" s="166" t="str">
        <f>VLOOKUP(S106,$K$2:$M$195,3,FALSE)</f>
        <v>UND</v>
      </c>
      <c r="V106" s="167">
        <f>SUMIF($K$3:$K$195,S106,$N$3:$N$195)</f>
        <v>1</v>
      </c>
      <c r="W106" s="167">
        <f>SUMIF($K$3:$K$195,S106,$Q$3:$Q$195)</f>
        <v>0</v>
      </c>
    </row>
    <row r="107" spans="1:23" ht="28.8" x14ac:dyDescent="0.3">
      <c r="A107" s="27">
        <v>105</v>
      </c>
      <c r="B107" s="110">
        <v>5</v>
      </c>
      <c r="C107" s="111">
        <v>7</v>
      </c>
      <c r="D107" s="113" t="s">
        <v>259</v>
      </c>
      <c r="E107" s="113" t="s">
        <v>126</v>
      </c>
      <c r="F107" s="112" t="s">
        <v>550</v>
      </c>
      <c r="G107" s="114">
        <v>46306</v>
      </c>
      <c r="H107" s="115">
        <v>16</v>
      </c>
      <c r="I107" s="115">
        <v>56</v>
      </c>
      <c r="J107" s="115">
        <v>302</v>
      </c>
      <c r="K107" s="116" t="str">
        <f t="shared" si="7"/>
        <v>16-56-302</v>
      </c>
      <c r="L107" s="117" t="str">
        <f>IFERROR(VLOOKUP(K107,'LISTA ITEMS (2)'!$E$2:$G$910,2,FALSE)," ")</f>
        <v>METER TRIFASICO 230/400Vac (GROWATT)</v>
      </c>
      <c r="M107" s="118" t="str">
        <f>IFERROR(VLOOKUP(K107,'LISTA ITEMS (2)'!$E$2:$G$910,3,FALSE)," ")</f>
        <v>UND</v>
      </c>
      <c r="N107" s="113">
        <v>1</v>
      </c>
      <c r="O107" s="113"/>
      <c r="P107" s="125"/>
      <c r="Q107" s="156"/>
      <c r="S107" s="164" t="s">
        <v>409</v>
      </c>
      <c r="T107" s="165" t="str">
        <f>VLOOKUP(S107,$K$2:$M$195,2,FALSE)</f>
        <v>METER TRIFASICO 230/400Vac (GROWATT)</v>
      </c>
      <c r="U107" s="166" t="str">
        <f>VLOOKUP(S107,$K$2:$M$195,3,FALSE)</f>
        <v>UND</v>
      </c>
      <c r="V107" s="167">
        <f>SUMIF($K$3:$K$195,S107,$N$3:$N$195)</f>
        <v>1</v>
      </c>
      <c r="W107" s="167">
        <f>SUMIF($K$3:$K$195,S107,$Q$3:$Q$195)</f>
        <v>0</v>
      </c>
    </row>
    <row r="108" spans="1:23" ht="28.8" x14ac:dyDescent="0.3">
      <c r="A108" s="27">
        <v>106</v>
      </c>
      <c r="B108" s="110">
        <v>5</v>
      </c>
      <c r="C108" s="111">
        <v>7</v>
      </c>
      <c r="D108" s="113" t="s">
        <v>259</v>
      </c>
      <c r="E108" s="113" t="s">
        <v>126</v>
      </c>
      <c r="F108" s="112" t="s">
        <v>550</v>
      </c>
      <c r="G108" s="114">
        <v>46306</v>
      </c>
      <c r="H108" s="115">
        <v>16</v>
      </c>
      <c r="I108" s="115">
        <v>53</v>
      </c>
      <c r="J108" s="115">
        <v>328</v>
      </c>
      <c r="K108" s="116" t="str">
        <f t="shared" si="7"/>
        <v>16-53-328</v>
      </c>
      <c r="L108" s="117" t="str">
        <f>IFERROR(VLOOKUP(K108,'LISTA ITEMS (2)'!$E$2:$G$910,2,FALSE)," ")</f>
        <v>PINCHO DE COMUNICACIÓN WIFI SHINErfsTICK- X  BLANCO (GROWATT)</v>
      </c>
      <c r="M108" s="118" t="str">
        <f>IFERROR(VLOOKUP(K108,'LISTA ITEMS (2)'!$E$2:$G$910,3,FALSE)," ")</f>
        <v>UND</v>
      </c>
      <c r="N108" s="113">
        <v>1</v>
      </c>
      <c r="O108" s="113"/>
      <c r="P108" s="125"/>
      <c r="Q108" s="156"/>
      <c r="S108" s="164" t="s">
        <v>524</v>
      </c>
      <c r="T108" s="165" t="str">
        <f>VLOOKUP(S108,$K$2:$M$195,2,FALSE)</f>
        <v>PINCHO DE COMUNICACIÓN WIFI SHINErfsTICK- X  BLANCO (GROWATT)</v>
      </c>
      <c r="U108" s="166" t="str">
        <f>VLOOKUP(S108,$K$2:$M$195,3,FALSE)</f>
        <v>UND</v>
      </c>
      <c r="V108" s="167">
        <f>SUMIF($K$3:$K$195,S108,$N$3:$N$195)</f>
        <v>1</v>
      </c>
      <c r="W108" s="167">
        <f>SUMIF($K$3:$K$195,S108,$Q$3:$Q$195)</f>
        <v>0</v>
      </c>
    </row>
    <row r="109" spans="1:23" ht="28.8" x14ac:dyDescent="0.3">
      <c r="A109" s="27">
        <v>107</v>
      </c>
      <c r="B109" s="110">
        <v>5</v>
      </c>
      <c r="C109" s="111">
        <v>7</v>
      </c>
      <c r="D109" s="113" t="s">
        <v>259</v>
      </c>
      <c r="E109" s="113" t="s">
        <v>126</v>
      </c>
      <c r="F109" s="112" t="s">
        <v>550</v>
      </c>
      <c r="G109" s="114">
        <v>46306</v>
      </c>
      <c r="H109" s="115">
        <v>17</v>
      </c>
      <c r="I109" s="115">
        <v>44</v>
      </c>
      <c r="J109" s="115">
        <v>271</v>
      </c>
      <c r="K109" s="116" t="str">
        <f t="shared" si="7"/>
        <v>17-44-271</v>
      </c>
      <c r="L109" s="117" t="str">
        <f>IFERROR(VLOOKUP(K109,'LISTA ITEMS (2)'!$E$2:$G$910,2,FALSE)," ")</f>
        <v>SELLANTE QUIMICO BLANCO</v>
      </c>
      <c r="M109" s="118" t="str">
        <f>IFERROR(VLOOKUP(K109,'LISTA ITEMS (2)'!$E$2:$G$910,3,FALSE)," ")</f>
        <v>UND</v>
      </c>
      <c r="N109" s="113">
        <v>1</v>
      </c>
      <c r="O109" s="113"/>
      <c r="P109" s="125"/>
      <c r="Q109" s="156"/>
      <c r="U109" s="19"/>
    </row>
    <row r="110" spans="1:23" ht="28.8" x14ac:dyDescent="0.3">
      <c r="A110" s="27">
        <v>108</v>
      </c>
      <c r="B110" s="110">
        <v>5</v>
      </c>
      <c r="C110" s="111">
        <v>7</v>
      </c>
      <c r="D110" s="113" t="s">
        <v>259</v>
      </c>
      <c r="E110" s="113" t="s">
        <v>126</v>
      </c>
      <c r="F110" s="112" t="s">
        <v>550</v>
      </c>
      <c r="G110" s="114">
        <v>46306</v>
      </c>
      <c r="H110" s="115">
        <v>17</v>
      </c>
      <c r="I110" s="115">
        <v>44</v>
      </c>
      <c r="J110" s="115">
        <v>272</v>
      </c>
      <c r="K110" s="116" t="str">
        <f t="shared" si="7"/>
        <v>17-44-272</v>
      </c>
      <c r="L110" s="117" t="str">
        <f>IFERROR(VLOOKUP(K110,'LISTA ITEMS (2)'!$E$2:$G$910,2,FALSE)," ")</f>
        <v>SELLANTE QUIMICO GRIS</v>
      </c>
      <c r="M110" s="118" t="str">
        <f>IFERROR(VLOOKUP(K110,'LISTA ITEMS (2)'!$E$2:$G$910,3,FALSE)," ")</f>
        <v>UND</v>
      </c>
      <c r="N110" s="113">
        <v>1</v>
      </c>
      <c r="O110" s="113"/>
      <c r="P110" s="125"/>
      <c r="Q110" s="156"/>
      <c r="U110" s="19"/>
    </row>
    <row r="111" spans="1:23" ht="28.8" x14ac:dyDescent="0.3">
      <c r="A111" s="27">
        <v>109</v>
      </c>
      <c r="B111" s="110">
        <v>5</v>
      </c>
      <c r="C111" s="111">
        <v>7</v>
      </c>
      <c r="D111" s="113" t="s">
        <v>259</v>
      </c>
      <c r="E111" s="113" t="s">
        <v>126</v>
      </c>
      <c r="F111" s="112" t="s">
        <v>550</v>
      </c>
      <c r="G111" s="114">
        <v>46306</v>
      </c>
      <c r="H111" s="115">
        <v>4</v>
      </c>
      <c r="I111" s="115">
        <v>15</v>
      </c>
      <c r="J111" s="115">
        <v>326</v>
      </c>
      <c r="K111" s="116" t="str">
        <f t="shared" si="7"/>
        <v>4-15-326</v>
      </c>
      <c r="L111" s="117" t="str">
        <f>IFERROR(VLOOKUP(K111,'LISTA ITEMS (2)'!$E$2:$G$910,2,FALSE)," ")</f>
        <v>BARRA PERFORADA PARA REFUERZO 27x18x2MT GALV.</v>
      </c>
      <c r="M111" s="118" t="str">
        <f>IFERROR(VLOOKUP(K111,'LISTA ITEMS (2)'!$E$2:$G$910,3,FALSE)," ")</f>
        <v>UND</v>
      </c>
      <c r="N111" s="113">
        <v>7</v>
      </c>
      <c r="O111" s="113"/>
      <c r="P111" s="125"/>
      <c r="Q111" s="156"/>
      <c r="U111" s="19"/>
    </row>
    <row r="112" spans="1:23" ht="28.8" x14ac:dyDescent="0.3">
      <c r="A112" s="27">
        <v>110</v>
      </c>
      <c r="B112" s="110">
        <v>5</v>
      </c>
      <c r="C112" s="111">
        <v>7</v>
      </c>
      <c r="D112" s="113" t="s">
        <v>259</v>
      </c>
      <c r="E112" s="113" t="s">
        <v>126</v>
      </c>
      <c r="F112" s="112" t="s">
        <v>550</v>
      </c>
      <c r="G112" s="114">
        <v>46306</v>
      </c>
      <c r="H112" s="115">
        <v>6</v>
      </c>
      <c r="I112" s="115">
        <v>23</v>
      </c>
      <c r="J112" s="115">
        <v>192</v>
      </c>
      <c r="K112" s="116" t="str">
        <f t="shared" si="7"/>
        <v>6-23-192</v>
      </c>
      <c r="L112" s="117" t="str">
        <f>IFERROR(VLOOKUP(K112,'LISTA ITEMS (2)'!$E$2:$G$910,2,FALSE)," ")</f>
        <v xml:space="preserve">CINTA ACERO PERFORADA PARA MONTAJE </v>
      </c>
      <c r="M112" s="118" t="str">
        <f>IFERROR(VLOOKUP(K112,'LISTA ITEMS (2)'!$E$2:$G$910,3,FALSE)," ")</f>
        <v>UND</v>
      </c>
      <c r="N112" s="113">
        <v>2</v>
      </c>
      <c r="O112" s="113"/>
      <c r="P112" s="125"/>
      <c r="Q112" s="156"/>
      <c r="U112" s="19"/>
    </row>
    <row r="113" spans="1:23" ht="18" x14ac:dyDescent="0.3">
      <c r="A113" s="27">
        <v>111</v>
      </c>
      <c r="B113" s="129">
        <v>6</v>
      </c>
      <c r="C113" s="130" t="s">
        <v>555</v>
      </c>
      <c r="D113" s="130" t="s">
        <v>555</v>
      </c>
      <c r="E113" s="130" t="s">
        <v>555</v>
      </c>
      <c r="F113" s="130" t="s">
        <v>555</v>
      </c>
      <c r="G113" s="130" t="s">
        <v>555</v>
      </c>
      <c r="H113" s="130" t="s">
        <v>555</v>
      </c>
      <c r="I113" s="130" t="s">
        <v>555</v>
      </c>
      <c r="J113" s="130" t="s">
        <v>555</v>
      </c>
      <c r="K113" s="130" t="s">
        <v>555</v>
      </c>
      <c r="L113" s="130" t="s">
        <v>555</v>
      </c>
      <c r="M113" s="130" t="s">
        <v>555</v>
      </c>
      <c r="N113" s="130" t="s">
        <v>555</v>
      </c>
      <c r="O113" s="130" t="s">
        <v>555</v>
      </c>
      <c r="P113" s="125"/>
      <c r="Q113" s="156"/>
      <c r="U113" s="19"/>
    </row>
    <row r="114" spans="1:23" ht="43.2" x14ac:dyDescent="0.3">
      <c r="A114" s="81">
        <v>112</v>
      </c>
      <c r="B114" s="131">
        <v>7</v>
      </c>
      <c r="C114" s="132">
        <v>9</v>
      </c>
      <c r="D114" s="133" t="s">
        <v>260</v>
      </c>
      <c r="E114" s="133" t="s">
        <v>542</v>
      </c>
      <c r="F114" s="133" t="s">
        <v>262</v>
      </c>
      <c r="G114" s="134">
        <v>46062</v>
      </c>
      <c r="H114" s="109">
        <v>10</v>
      </c>
      <c r="I114" s="109">
        <v>42</v>
      </c>
      <c r="J114" s="109">
        <v>329</v>
      </c>
      <c r="K114" s="135" t="str">
        <f t="shared" ref="K114:K148" si="8">CONCATENATE(H114,"-",I114,"-",J114)</f>
        <v>10-42-329</v>
      </c>
      <c r="L114" s="108" t="str">
        <f>IFERROR(VLOOKUP(K114,'LISTA ITEMS (2)'!$E$2:$G$910,2,FALSE)," ")</f>
        <v>PATA ALUMINIO PARA ESTRUCTURA PLACA SOLAR VELA ANGULO 15º</v>
      </c>
      <c r="M114" s="109" t="str">
        <f>IFERROR(VLOOKUP(K114,'LISTA ITEMS (2)'!$E$2:$G$910,3,FALSE)," ")</f>
        <v>UND</v>
      </c>
      <c r="N114" s="133">
        <v>7</v>
      </c>
      <c r="O114" s="133"/>
      <c r="P114" s="17"/>
      <c r="Q114" s="157"/>
      <c r="R114" s="1"/>
      <c r="S114" s="165" t="s">
        <v>527</v>
      </c>
      <c r="T114" s="165" t="str">
        <f>VLOOKUP(S114,$K$2:$M$195,2,FALSE)</f>
        <v>PATA ALUMINIO PARA ESTRUCTURA PLACA SOLAR VELA ANGULO 15º</v>
      </c>
      <c r="U114" s="166" t="str">
        <f>VLOOKUP(S114,$K$2:$M$195,3,FALSE)</f>
        <v>UND</v>
      </c>
      <c r="V114" s="167">
        <f>SUMIF($K$3:$K$195,S114,$N$3:$N$195)</f>
        <v>7</v>
      </c>
      <c r="W114" s="167">
        <f>SUMIF($K$3:$K$195,S114,$Q$3:$Q$195)</f>
        <v>0</v>
      </c>
    </row>
    <row r="115" spans="1:23" ht="43.2" x14ac:dyDescent="0.3">
      <c r="A115" s="27">
        <v>113</v>
      </c>
      <c r="B115" s="131">
        <v>7</v>
      </c>
      <c r="C115" s="132">
        <v>9</v>
      </c>
      <c r="D115" s="133" t="s">
        <v>260</v>
      </c>
      <c r="E115" s="133" t="s">
        <v>542</v>
      </c>
      <c r="F115" s="133" t="s">
        <v>262</v>
      </c>
      <c r="G115" s="134">
        <v>46062</v>
      </c>
      <c r="H115" s="106">
        <v>7</v>
      </c>
      <c r="I115" s="106">
        <v>38</v>
      </c>
      <c r="J115" s="106">
        <v>247</v>
      </c>
      <c r="K115" s="107" t="str">
        <f t="shared" si="8"/>
        <v>7-38-247</v>
      </c>
      <c r="L115" s="108" t="str">
        <f>IFERROR(VLOOKUP(K115,'LISTA ITEMS (2)'!$E$2:$G$910,2,FALSE)," ")</f>
        <v>PLACA SOLAR JAM60D42-535LB 535W / 44.13V</v>
      </c>
      <c r="M115" s="109" t="str">
        <f>IFERROR(VLOOKUP(K115,'LISTA ITEMS (2)'!$E$2:$G$910,3,FALSE)," ")</f>
        <v>UND</v>
      </c>
      <c r="N115" s="121">
        <v>12</v>
      </c>
      <c r="O115" s="121"/>
      <c r="P115" s="125"/>
      <c r="Q115" s="156"/>
      <c r="U115" s="19"/>
    </row>
    <row r="116" spans="1:23" ht="43.2" x14ac:dyDescent="0.3">
      <c r="A116" s="27">
        <v>114</v>
      </c>
      <c r="B116" s="131">
        <v>7</v>
      </c>
      <c r="C116" s="132">
        <v>9</v>
      </c>
      <c r="D116" s="133" t="s">
        <v>260</v>
      </c>
      <c r="E116" s="133" t="s">
        <v>542</v>
      </c>
      <c r="F116" s="133" t="s">
        <v>262</v>
      </c>
      <c r="G116" s="134">
        <v>46062</v>
      </c>
      <c r="H116" s="106">
        <v>10</v>
      </c>
      <c r="I116" s="106">
        <v>37</v>
      </c>
      <c r="J116" s="106">
        <v>330</v>
      </c>
      <c r="K116" s="107" t="str">
        <f t="shared" si="8"/>
        <v>10-37-330</v>
      </c>
      <c r="L116" s="108" t="str">
        <f>IFERROR(VLOOKUP(K116,'LISTA ITEMS (2)'!$E$2:$G$910,2,FALSE)," ")</f>
        <v>SOPORTE EN L ALUMINIO GRIS</v>
      </c>
      <c r="M116" s="109" t="str">
        <f>IFERROR(VLOOKUP(K116,'LISTA ITEMS (2)'!$E$2:$G$910,3,FALSE)," ")</f>
        <v>UND</v>
      </c>
      <c r="N116" s="121">
        <v>20</v>
      </c>
      <c r="O116" s="121"/>
      <c r="P116" s="125"/>
      <c r="Q116" s="156"/>
      <c r="S116" s="164" t="s">
        <v>529</v>
      </c>
      <c r="T116" s="165" t="str">
        <f>VLOOKUP(S116,$K$2:$M$195,2,FALSE)</f>
        <v>SOPORTE EN L ALUMINIO GRIS</v>
      </c>
      <c r="U116" s="166" t="str">
        <f>VLOOKUP(S116,$K$2:$M$195,3,FALSE)</f>
        <v>UND</v>
      </c>
      <c r="V116" s="167">
        <f>SUMIF($K$3:$K$195,S116,$N$3:$N$195)</f>
        <v>50</v>
      </c>
      <c r="W116" s="167">
        <f>SUMIF($K$3:$K$195,S116,$Q$3:$Q$195)</f>
        <v>0</v>
      </c>
    </row>
    <row r="117" spans="1:23" ht="43.2" x14ac:dyDescent="0.3">
      <c r="A117" s="27">
        <v>115</v>
      </c>
      <c r="B117" s="131">
        <v>7</v>
      </c>
      <c r="C117" s="132">
        <v>9</v>
      </c>
      <c r="D117" s="133" t="s">
        <v>260</v>
      </c>
      <c r="E117" s="133" t="s">
        <v>542</v>
      </c>
      <c r="F117" s="133" t="s">
        <v>262</v>
      </c>
      <c r="G117" s="134">
        <v>46062</v>
      </c>
      <c r="H117" s="106">
        <v>9</v>
      </c>
      <c r="I117" s="106">
        <v>32</v>
      </c>
      <c r="J117" s="106">
        <v>223</v>
      </c>
      <c r="K117" s="107" t="str">
        <f t="shared" si="8"/>
        <v>9-32-223</v>
      </c>
      <c r="L117" s="108" t="str">
        <f>IFERROR(VLOOKUP(K117,'LISTA ITEMS (2)'!$E$2:$G$910,2,FALSE)," ")</f>
        <v>CURVA PVC M-25 GRIS TIPO A</v>
      </c>
      <c r="M117" s="109" t="str">
        <f>IFERROR(VLOOKUP(K117,'LISTA ITEMS (2)'!$E$2:$G$910,3,FALSE)," ")</f>
        <v>UND</v>
      </c>
      <c r="N117" s="121">
        <v>20</v>
      </c>
      <c r="O117" s="121"/>
      <c r="P117" s="125"/>
      <c r="Q117" s="156"/>
      <c r="U117" s="19"/>
    </row>
    <row r="118" spans="1:23" ht="43.2" x14ac:dyDescent="0.3">
      <c r="A118" s="27">
        <v>116</v>
      </c>
      <c r="B118" s="131">
        <v>7</v>
      </c>
      <c r="C118" s="132">
        <v>9</v>
      </c>
      <c r="D118" s="133" t="s">
        <v>260</v>
      </c>
      <c r="E118" s="133" t="s">
        <v>542</v>
      </c>
      <c r="F118" s="133" t="s">
        <v>262</v>
      </c>
      <c r="G118" s="134">
        <v>46062</v>
      </c>
      <c r="H118" s="106">
        <v>3</v>
      </c>
      <c r="I118" s="106">
        <v>31</v>
      </c>
      <c r="J118" s="106">
        <v>277</v>
      </c>
      <c r="K118" s="107" t="str">
        <f t="shared" si="8"/>
        <v>3-31-277</v>
      </c>
      <c r="L118" s="108" t="str">
        <f>IFERROR(VLOOKUP(K118,'LISTA ITEMS (2)'!$E$2:$G$910,2,FALSE)," ")</f>
        <v>CABLE Nª 6 P/PLACA SOLAR NEGRO</v>
      </c>
      <c r="M118" s="109" t="str">
        <f>IFERROR(VLOOKUP(K118,'LISTA ITEMS (2)'!$E$2:$G$910,3,FALSE)," ")</f>
        <v>MT</v>
      </c>
      <c r="N118" s="121">
        <v>15</v>
      </c>
      <c r="O118" s="121"/>
      <c r="P118" s="125"/>
      <c r="Q118" s="156"/>
      <c r="U118" s="19"/>
    </row>
    <row r="119" spans="1:23" ht="43.2" x14ac:dyDescent="0.3">
      <c r="A119" s="27">
        <v>117</v>
      </c>
      <c r="B119" s="131">
        <v>7</v>
      </c>
      <c r="C119" s="132">
        <v>9</v>
      </c>
      <c r="D119" s="133" t="s">
        <v>260</v>
      </c>
      <c r="E119" s="133" t="s">
        <v>542</v>
      </c>
      <c r="F119" s="133" t="s">
        <v>262</v>
      </c>
      <c r="G119" s="134">
        <v>46062</v>
      </c>
      <c r="H119" s="106">
        <v>3</v>
      </c>
      <c r="I119" s="106">
        <v>31</v>
      </c>
      <c r="J119" s="106">
        <v>278</v>
      </c>
      <c r="K119" s="107" t="str">
        <f t="shared" si="8"/>
        <v>3-31-278</v>
      </c>
      <c r="L119" s="108" t="str">
        <f>IFERROR(VLOOKUP(K119,'LISTA ITEMS (2)'!$E$2:$G$910,2,FALSE)," ")</f>
        <v>CABLE Nª 6 P/PLACA SOLAR ROJO</v>
      </c>
      <c r="M119" s="109" t="str">
        <f>IFERROR(VLOOKUP(K119,'LISTA ITEMS (2)'!$E$2:$G$910,3,FALSE)," ")</f>
        <v>MT</v>
      </c>
      <c r="N119" s="121">
        <v>15</v>
      </c>
      <c r="O119" s="121"/>
      <c r="P119" s="125"/>
      <c r="Q119" s="156"/>
      <c r="U119" s="19"/>
    </row>
    <row r="120" spans="1:23" ht="43.2" x14ac:dyDescent="0.3">
      <c r="A120" s="27">
        <v>118</v>
      </c>
      <c r="B120" s="131">
        <v>7</v>
      </c>
      <c r="C120" s="132">
        <v>9</v>
      </c>
      <c r="D120" s="133" t="s">
        <v>260</v>
      </c>
      <c r="E120" s="133" t="s">
        <v>542</v>
      </c>
      <c r="F120" s="133" t="s">
        <v>262</v>
      </c>
      <c r="G120" s="134">
        <v>46062</v>
      </c>
      <c r="H120" s="106">
        <v>10</v>
      </c>
      <c r="I120" s="106">
        <v>43</v>
      </c>
      <c r="J120" s="106">
        <v>270</v>
      </c>
      <c r="K120" s="107" t="str">
        <f t="shared" si="8"/>
        <v>10-43-270</v>
      </c>
      <c r="L120" s="108" t="str">
        <f>IFERROR(VLOOKUP(K120,'LISTA ITEMS (2)'!$E$2:$G$910,2,FALSE)," ")</f>
        <v>EMPALME ALUMINIO P/BARRA</v>
      </c>
      <c r="M120" s="109" t="str">
        <f>IFERROR(VLOOKUP(K120,'LISTA ITEMS (2)'!$E$2:$G$910,3,FALSE)," ")</f>
        <v>UND</v>
      </c>
      <c r="N120" s="121">
        <v>8</v>
      </c>
      <c r="O120" s="121"/>
      <c r="P120" s="125"/>
      <c r="Q120" s="156"/>
      <c r="U120" s="19"/>
    </row>
    <row r="121" spans="1:23" ht="43.2" x14ac:dyDescent="0.3">
      <c r="A121" s="27">
        <v>119</v>
      </c>
      <c r="B121" s="131">
        <v>7</v>
      </c>
      <c r="C121" s="132">
        <v>9</v>
      </c>
      <c r="D121" s="133" t="s">
        <v>260</v>
      </c>
      <c r="E121" s="133" t="s">
        <v>542</v>
      </c>
      <c r="F121" s="133" t="s">
        <v>262</v>
      </c>
      <c r="G121" s="134">
        <v>46062</v>
      </c>
      <c r="H121" s="106">
        <v>16</v>
      </c>
      <c r="I121" s="106">
        <v>61</v>
      </c>
      <c r="J121" s="106">
        <v>331</v>
      </c>
      <c r="K121" s="107" t="str">
        <f t="shared" si="8"/>
        <v>16-61-331</v>
      </c>
      <c r="L121" s="108" t="str">
        <f>IFERROR(VLOOKUP(K121,'LISTA ITEMS (2)'!$E$2:$G$910,2,FALSE)," ")</f>
        <v>CONECTOR FOTOVOLTAICO HEMBRA M4 NEGRO</v>
      </c>
      <c r="M121" s="109" t="str">
        <f>IFERROR(VLOOKUP(K121,'LISTA ITEMS (2)'!$E$2:$G$910,3,FALSE)," ")</f>
        <v>UND</v>
      </c>
      <c r="N121" s="121">
        <v>10</v>
      </c>
      <c r="O121" s="121"/>
      <c r="P121" s="125"/>
      <c r="Q121" s="156"/>
      <c r="S121" s="164" t="s">
        <v>531</v>
      </c>
      <c r="T121" s="165" t="str">
        <f>VLOOKUP(S121,$K$2:$M$195,2,FALSE)</f>
        <v>CONECTOR FOTOVOLTAICO HEMBRA M4 NEGRO</v>
      </c>
      <c r="U121" s="166" t="str">
        <f>VLOOKUP(S121,$K$2:$M$195,3,FALSE)</f>
        <v>UND</v>
      </c>
      <c r="V121" s="167">
        <f>SUMIF($K$3:$K$195,S121,$N$3:$N$195)</f>
        <v>10</v>
      </c>
      <c r="W121" s="167">
        <f>SUMIF($K$3:$K$195,S121,$Q$3:$Q$195)</f>
        <v>0</v>
      </c>
    </row>
    <row r="122" spans="1:23" ht="43.2" x14ac:dyDescent="0.3">
      <c r="A122" s="27">
        <v>120</v>
      </c>
      <c r="B122" s="131">
        <v>7</v>
      </c>
      <c r="C122" s="132">
        <v>9</v>
      </c>
      <c r="D122" s="133" t="s">
        <v>260</v>
      </c>
      <c r="E122" s="133" t="s">
        <v>542</v>
      </c>
      <c r="F122" s="133" t="s">
        <v>262</v>
      </c>
      <c r="G122" s="134">
        <v>46062</v>
      </c>
      <c r="H122" s="106">
        <v>16</v>
      </c>
      <c r="I122" s="106">
        <v>61</v>
      </c>
      <c r="J122" s="106">
        <v>332</v>
      </c>
      <c r="K122" s="107" t="str">
        <f t="shared" si="8"/>
        <v>16-61-332</v>
      </c>
      <c r="L122" s="108" t="str">
        <f>IFERROR(VLOOKUP(K122,'LISTA ITEMS (2)'!$E$2:$G$910,2,FALSE)," ")</f>
        <v>CONECTOR FOTOVOLTAICO MACHO M4 NEGRO</v>
      </c>
      <c r="M122" s="109" t="str">
        <f>IFERROR(VLOOKUP(K122,'LISTA ITEMS (2)'!$E$2:$G$910,3,FALSE)," ")</f>
        <v>UND</v>
      </c>
      <c r="N122" s="121">
        <v>10</v>
      </c>
      <c r="O122" s="121"/>
      <c r="P122" s="125"/>
      <c r="Q122" s="156"/>
      <c r="S122" s="164" t="s">
        <v>533</v>
      </c>
      <c r="T122" s="165" t="str">
        <f>VLOOKUP(S122,$K$2:$M$195,2,FALSE)</f>
        <v>CONECTOR FOTOVOLTAICO MACHO M4 NEGRO</v>
      </c>
      <c r="U122" s="166" t="str">
        <f>VLOOKUP(S122,$K$2:$M$195,3,FALSE)</f>
        <v>UND</v>
      </c>
      <c r="V122" s="167">
        <f>SUMIF($K$3:$K$195,S122,$N$3:$N$195)</f>
        <v>10</v>
      </c>
      <c r="W122" s="167">
        <f>SUMIF($K$3:$K$195,S122,$Q$3:$Q$195)</f>
        <v>0</v>
      </c>
    </row>
    <row r="123" spans="1:23" ht="43.2" x14ac:dyDescent="0.3">
      <c r="A123" s="27">
        <v>121</v>
      </c>
      <c r="B123" s="131">
        <v>7</v>
      </c>
      <c r="C123" s="132">
        <v>9</v>
      </c>
      <c r="D123" s="133" t="s">
        <v>260</v>
      </c>
      <c r="E123" s="133" t="s">
        <v>542</v>
      </c>
      <c r="F123" s="133" t="s">
        <v>262</v>
      </c>
      <c r="G123" s="134">
        <v>46062</v>
      </c>
      <c r="H123" s="106">
        <v>6</v>
      </c>
      <c r="I123" s="106">
        <v>23</v>
      </c>
      <c r="J123" s="106">
        <v>192</v>
      </c>
      <c r="K123" s="107" t="str">
        <f t="shared" si="8"/>
        <v>6-23-192</v>
      </c>
      <c r="L123" s="108" t="str">
        <f>IFERROR(VLOOKUP(K123,'LISTA ITEMS (2)'!$E$2:$G$910,2,FALSE)," ")</f>
        <v xml:space="preserve">CINTA ACERO PERFORADA PARA MONTAJE </v>
      </c>
      <c r="M123" s="109" t="str">
        <f>IFERROR(VLOOKUP(K123,'LISTA ITEMS (2)'!$E$2:$G$910,3,FALSE)," ")</f>
        <v>UND</v>
      </c>
      <c r="N123" s="121">
        <v>1.5</v>
      </c>
      <c r="O123" s="121"/>
      <c r="P123" s="125"/>
      <c r="Q123" s="156"/>
      <c r="U123" s="19"/>
    </row>
    <row r="124" spans="1:23" ht="43.2" x14ac:dyDescent="0.3">
      <c r="A124" s="27">
        <v>122</v>
      </c>
      <c r="B124" s="131">
        <v>7</v>
      </c>
      <c r="C124" s="132">
        <v>9</v>
      </c>
      <c r="D124" s="133" t="s">
        <v>260</v>
      </c>
      <c r="E124" s="133" t="s">
        <v>542</v>
      </c>
      <c r="F124" s="133" t="s">
        <v>262</v>
      </c>
      <c r="G124" s="134">
        <v>46062</v>
      </c>
      <c r="H124" s="106">
        <v>17</v>
      </c>
      <c r="I124" s="106">
        <v>44</v>
      </c>
      <c r="J124" s="106">
        <v>271</v>
      </c>
      <c r="K124" s="107" t="str">
        <f t="shared" si="8"/>
        <v>17-44-271</v>
      </c>
      <c r="L124" s="108" t="str">
        <f>IFERROR(VLOOKUP(K124,'LISTA ITEMS (2)'!$E$2:$G$910,2,FALSE)," ")</f>
        <v>SELLANTE QUIMICO BLANCO</v>
      </c>
      <c r="M124" s="109" t="str">
        <f>IFERROR(VLOOKUP(K124,'LISTA ITEMS (2)'!$E$2:$G$910,3,FALSE)," ")</f>
        <v>UND</v>
      </c>
      <c r="N124" s="121">
        <v>1</v>
      </c>
      <c r="O124" s="121"/>
      <c r="P124" s="125"/>
      <c r="Q124" s="156"/>
      <c r="U124" s="19"/>
    </row>
    <row r="125" spans="1:23" ht="43.2" x14ac:dyDescent="0.3">
      <c r="A125" s="27">
        <v>123</v>
      </c>
      <c r="B125" s="131">
        <v>7</v>
      </c>
      <c r="C125" s="132">
        <v>9</v>
      </c>
      <c r="D125" s="133" t="s">
        <v>260</v>
      </c>
      <c r="E125" s="133" t="s">
        <v>542</v>
      </c>
      <c r="F125" s="133" t="s">
        <v>262</v>
      </c>
      <c r="G125" s="134">
        <v>46062</v>
      </c>
      <c r="H125" s="106">
        <v>17</v>
      </c>
      <c r="I125" s="106">
        <v>44</v>
      </c>
      <c r="J125" s="106">
        <v>272</v>
      </c>
      <c r="K125" s="107" t="str">
        <f t="shared" si="8"/>
        <v>17-44-272</v>
      </c>
      <c r="L125" s="108" t="str">
        <f>IFERROR(VLOOKUP(K125,'LISTA ITEMS (2)'!$E$2:$G$910,2,FALSE)," ")</f>
        <v>SELLANTE QUIMICO GRIS</v>
      </c>
      <c r="M125" s="109" t="str">
        <f>IFERROR(VLOOKUP(K125,'LISTA ITEMS (2)'!$E$2:$G$910,3,FALSE)," ")</f>
        <v>UND</v>
      </c>
      <c r="N125" s="121">
        <v>1</v>
      </c>
      <c r="O125" s="121"/>
      <c r="P125" s="125"/>
      <c r="Q125" s="156"/>
      <c r="U125" s="19"/>
    </row>
    <row r="126" spans="1:23" ht="43.2" x14ac:dyDescent="0.3">
      <c r="A126" s="27">
        <v>124</v>
      </c>
      <c r="B126" s="131">
        <v>7</v>
      </c>
      <c r="C126" s="132">
        <v>9</v>
      </c>
      <c r="D126" s="133" t="s">
        <v>260</v>
      </c>
      <c r="E126" s="133" t="s">
        <v>542</v>
      </c>
      <c r="F126" s="133" t="s">
        <v>262</v>
      </c>
      <c r="G126" s="134">
        <v>46062</v>
      </c>
      <c r="H126" s="106">
        <v>13</v>
      </c>
      <c r="I126" s="106">
        <v>22</v>
      </c>
      <c r="J126" s="106">
        <v>183</v>
      </c>
      <c r="K126" s="107" t="str">
        <f t="shared" si="8"/>
        <v>13-22-183</v>
      </c>
      <c r="L126" s="108" t="str">
        <f>IFERROR(VLOOKUP(K126,'LISTA ITEMS (2)'!$E$2:$G$910,2,FALSE)," ")</f>
        <v>BRIDA P/INTERIOR NEGRA</v>
      </c>
      <c r="M126" s="109" t="str">
        <f>IFERROR(VLOOKUP(K126,'LISTA ITEMS (2)'!$E$2:$G$910,3,FALSE)," ")</f>
        <v>UND</v>
      </c>
      <c r="N126" s="121">
        <v>100</v>
      </c>
      <c r="O126" s="121"/>
      <c r="P126" s="125"/>
      <c r="Q126" s="156"/>
      <c r="U126" s="19"/>
    </row>
    <row r="127" spans="1:23" ht="43.2" x14ac:dyDescent="0.3">
      <c r="A127" s="27">
        <v>125</v>
      </c>
      <c r="B127" s="131">
        <v>7</v>
      </c>
      <c r="C127" s="132">
        <v>9</v>
      </c>
      <c r="D127" s="133" t="s">
        <v>260</v>
      </c>
      <c r="E127" s="133" t="s">
        <v>542</v>
      </c>
      <c r="F127" s="133" t="s">
        <v>262</v>
      </c>
      <c r="G127" s="134">
        <v>46062</v>
      </c>
      <c r="H127" s="106">
        <v>13</v>
      </c>
      <c r="I127" s="106">
        <v>22</v>
      </c>
      <c r="J127" s="106">
        <v>184</v>
      </c>
      <c r="K127" s="107" t="str">
        <f t="shared" si="8"/>
        <v>13-22-184</v>
      </c>
      <c r="L127" s="108" t="str">
        <f>IFERROR(VLOOKUP(K127,'LISTA ITEMS (2)'!$E$2:$G$910,2,FALSE)," ")</f>
        <v>BRIDA P/EXTERIOR NEGRA</v>
      </c>
      <c r="M127" s="109" t="str">
        <f>IFERROR(VLOOKUP(K127,'LISTA ITEMS (2)'!$E$2:$G$910,3,FALSE)," ")</f>
        <v>UND</v>
      </c>
      <c r="N127" s="121">
        <v>50</v>
      </c>
      <c r="O127" s="121"/>
      <c r="P127" s="125"/>
      <c r="Q127" s="156"/>
      <c r="U127" s="19"/>
    </row>
    <row r="128" spans="1:23" ht="43.2" x14ac:dyDescent="0.3">
      <c r="A128" s="27">
        <v>126</v>
      </c>
      <c r="B128" s="131">
        <v>7</v>
      </c>
      <c r="C128" s="132">
        <v>9</v>
      </c>
      <c r="D128" s="133" t="s">
        <v>260</v>
      </c>
      <c r="E128" s="133" t="s">
        <v>542</v>
      </c>
      <c r="F128" s="133" t="s">
        <v>262</v>
      </c>
      <c r="G128" s="134">
        <v>46062</v>
      </c>
      <c r="H128" s="106">
        <v>13</v>
      </c>
      <c r="I128" s="106">
        <v>21</v>
      </c>
      <c r="J128" s="106">
        <v>181</v>
      </c>
      <c r="K128" s="107" t="str">
        <f t="shared" si="8"/>
        <v>13-21-181</v>
      </c>
      <c r="L128" s="108" t="str">
        <f>IFERROR(VLOOKUP(K128,'LISTA ITEMS (2)'!$E$2:$G$910,2,FALSE)," ")</f>
        <v>TACO P/BRIDA NEGRO</v>
      </c>
      <c r="M128" s="109" t="str">
        <f>IFERROR(VLOOKUP(K128,'LISTA ITEMS (2)'!$E$2:$G$910,3,FALSE)," ")</f>
        <v>UND</v>
      </c>
      <c r="N128" s="121">
        <v>100</v>
      </c>
      <c r="O128" s="121"/>
      <c r="P128" s="125"/>
      <c r="Q128" s="156"/>
      <c r="U128" s="19"/>
    </row>
    <row r="129" spans="1:21" ht="43.2" x14ac:dyDescent="0.3">
      <c r="A129" s="27">
        <v>127</v>
      </c>
      <c r="B129" s="131">
        <v>7</v>
      </c>
      <c r="C129" s="132">
        <v>9</v>
      </c>
      <c r="D129" s="133" t="s">
        <v>260</v>
      </c>
      <c r="E129" s="133" t="s">
        <v>542</v>
      </c>
      <c r="F129" s="133" t="s">
        <v>262</v>
      </c>
      <c r="G129" s="134">
        <v>46062</v>
      </c>
      <c r="H129" s="106">
        <v>14</v>
      </c>
      <c r="I129" s="106">
        <v>24</v>
      </c>
      <c r="J129" s="106">
        <v>193</v>
      </c>
      <c r="K129" s="107" t="str">
        <f t="shared" si="8"/>
        <v>14-24-193</v>
      </c>
      <c r="L129" s="108" t="str">
        <f>IFERROR(VLOOKUP(K129,'LISTA ITEMS (2)'!$E$2:$G$910,2,FALSE)," ")</f>
        <v>DISCO CORTE ACERO/INOX A1 2EN1</v>
      </c>
      <c r="M129" s="109" t="str">
        <f>IFERROR(VLOOKUP(K129,'LISTA ITEMS (2)'!$E$2:$G$910,3,FALSE)," ")</f>
        <v>UND</v>
      </c>
      <c r="N129" s="121">
        <v>3</v>
      </c>
      <c r="O129" s="121"/>
      <c r="P129" s="125"/>
      <c r="Q129" s="156"/>
      <c r="U129" s="19"/>
    </row>
    <row r="130" spans="1:21" ht="43.2" x14ac:dyDescent="0.3">
      <c r="A130" s="27">
        <v>128</v>
      </c>
      <c r="B130" s="131">
        <v>7</v>
      </c>
      <c r="C130" s="132">
        <v>9</v>
      </c>
      <c r="D130" s="133" t="s">
        <v>260</v>
      </c>
      <c r="E130" s="133" t="s">
        <v>542</v>
      </c>
      <c r="F130" s="133" t="s">
        <v>262</v>
      </c>
      <c r="G130" s="134">
        <v>46062</v>
      </c>
      <c r="H130" s="106">
        <v>10</v>
      </c>
      <c r="I130" s="106">
        <v>37</v>
      </c>
      <c r="J130" s="106">
        <v>232</v>
      </c>
      <c r="K130" s="107" t="str">
        <f t="shared" si="8"/>
        <v>10-37-232</v>
      </c>
      <c r="L130" s="108" t="str">
        <f>IFERROR(VLOOKUP(K130,'LISTA ITEMS (2)'!$E$2:$G$910,2,FALSE)," ")</f>
        <v>SOPORTE CENTRAL NEGRO</v>
      </c>
      <c r="M130" s="109" t="str">
        <f>IFERROR(VLOOKUP(K130,'LISTA ITEMS (2)'!$E$2:$G$910,3,FALSE)," ")</f>
        <v>UND</v>
      </c>
      <c r="N130" s="121">
        <v>25</v>
      </c>
      <c r="O130" s="121"/>
      <c r="P130" s="125"/>
      <c r="Q130" s="156"/>
      <c r="U130" s="19"/>
    </row>
    <row r="131" spans="1:21" ht="43.2" x14ac:dyDescent="0.3">
      <c r="A131" s="27">
        <v>129</v>
      </c>
      <c r="B131" s="131">
        <v>7</v>
      </c>
      <c r="C131" s="132">
        <v>9</v>
      </c>
      <c r="D131" s="133" t="s">
        <v>260</v>
      </c>
      <c r="E131" s="133" t="s">
        <v>542</v>
      </c>
      <c r="F131" s="133" t="s">
        <v>262</v>
      </c>
      <c r="G131" s="134">
        <v>46062</v>
      </c>
      <c r="H131" s="106">
        <v>10</v>
      </c>
      <c r="I131" s="106">
        <v>37</v>
      </c>
      <c r="J131" s="106">
        <v>315</v>
      </c>
      <c r="K131" s="107" t="str">
        <f t="shared" si="8"/>
        <v>10-37-315</v>
      </c>
      <c r="L131" s="108" t="str">
        <f>IFERROR(VLOOKUP(K131,'LISTA ITEMS (2)'!$E$2:$G$910,2,FALSE)," ")</f>
        <v>SOPORTE FINAL NEGRO</v>
      </c>
      <c r="M131" s="109" t="str">
        <f>IFERROR(VLOOKUP(K131,'LISTA ITEMS (2)'!$E$2:$G$910,3,FALSE)," ")</f>
        <v>UND</v>
      </c>
      <c r="N131" s="121">
        <v>25</v>
      </c>
      <c r="O131" s="121"/>
      <c r="P131" s="125"/>
      <c r="Q131" s="156"/>
      <c r="U131" s="19"/>
    </row>
    <row r="132" spans="1:21" ht="43.2" x14ac:dyDescent="0.3">
      <c r="A132" s="27">
        <v>130</v>
      </c>
      <c r="B132" s="131">
        <v>7</v>
      </c>
      <c r="C132" s="132">
        <v>9</v>
      </c>
      <c r="D132" s="133" t="s">
        <v>260</v>
      </c>
      <c r="E132" s="133" t="s">
        <v>542</v>
      </c>
      <c r="F132" s="133" t="s">
        <v>262</v>
      </c>
      <c r="G132" s="134">
        <v>46062</v>
      </c>
      <c r="H132" s="106">
        <v>9</v>
      </c>
      <c r="I132" s="106">
        <v>2</v>
      </c>
      <c r="J132" s="106">
        <v>291</v>
      </c>
      <c r="K132" s="107" t="str">
        <f t="shared" si="8"/>
        <v>9-2-291</v>
      </c>
      <c r="L132" s="108" t="str">
        <f>IFERROR(VLOOKUP(K132,'LISTA ITEMS (2)'!$E$2:$G$910,2,FALSE)," ")</f>
        <v>TUBO ELECTRICO PVC 25mm - 3mt(AISCAN)</v>
      </c>
      <c r="M132" s="109" t="str">
        <f>IFERROR(VLOOKUP(K132,'LISTA ITEMS (2)'!$E$2:$G$910,3,FALSE)," ")</f>
        <v>UND</v>
      </c>
      <c r="N132" s="121">
        <v>6</v>
      </c>
      <c r="O132" s="121"/>
      <c r="P132" s="125"/>
      <c r="Q132" s="156"/>
      <c r="U132" s="19"/>
    </row>
    <row r="133" spans="1:21" ht="43.2" x14ac:dyDescent="0.3">
      <c r="A133" s="27">
        <v>131</v>
      </c>
      <c r="B133" s="131">
        <v>7</v>
      </c>
      <c r="C133" s="132">
        <v>9</v>
      </c>
      <c r="D133" s="133" t="s">
        <v>260</v>
      </c>
      <c r="E133" s="133" t="s">
        <v>542</v>
      </c>
      <c r="F133" s="133" t="s">
        <v>262</v>
      </c>
      <c r="G133" s="134">
        <v>46062</v>
      </c>
      <c r="H133" s="106">
        <v>8</v>
      </c>
      <c r="I133" s="106">
        <v>27</v>
      </c>
      <c r="J133" s="106">
        <v>321</v>
      </c>
      <c r="K133" s="107" t="str">
        <f t="shared" si="8"/>
        <v>8-27-321</v>
      </c>
      <c r="L133" s="108" t="str">
        <f>IFERROR(VLOOKUP(K133,'LISTA ITEMS (2)'!$E$2:$G$910,2,FALSE)," ")</f>
        <v>TORNILLO AUTOTALADRANTE CON C/HEXAGONAL - R/PARCIAL - ARANDELA CAUCHO 6X120mm  A/GALV.</v>
      </c>
      <c r="M133" s="109" t="str">
        <f>IFERROR(VLOOKUP(K133,'LISTA ITEMS (2)'!$E$2:$G$910,3,FALSE)," ")</f>
        <v>UND</v>
      </c>
      <c r="N133" s="121">
        <v>20</v>
      </c>
      <c r="O133" s="121"/>
      <c r="P133" s="125"/>
      <c r="Q133" s="156"/>
      <c r="U133" s="19"/>
    </row>
    <row r="134" spans="1:21" ht="43.2" x14ac:dyDescent="0.3">
      <c r="A134" s="27">
        <v>132</v>
      </c>
      <c r="B134" s="131">
        <v>7</v>
      </c>
      <c r="C134" s="132">
        <v>9</v>
      </c>
      <c r="D134" s="133" t="s">
        <v>260</v>
      </c>
      <c r="E134" s="133" t="s">
        <v>542</v>
      </c>
      <c r="F134" s="133" t="s">
        <v>262</v>
      </c>
      <c r="G134" s="134">
        <v>46062</v>
      </c>
      <c r="H134" s="106">
        <v>4</v>
      </c>
      <c r="I134" s="106">
        <v>15</v>
      </c>
      <c r="J134" s="106">
        <v>326</v>
      </c>
      <c r="K134" s="107" t="str">
        <f t="shared" si="8"/>
        <v>4-15-326</v>
      </c>
      <c r="L134" s="108" t="str">
        <f>IFERROR(VLOOKUP(K134,'LISTA ITEMS (2)'!$E$2:$G$910,2,FALSE)," ")</f>
        <v>BARRA PERFORADA PARA REFUERZO 27x18x2MT GALV.</v>
      </c>
      <c r="M134" s="109" t="str">
        <f>IFERROR(VLOOKUP(K134,'LISTA ITEMS (2)'!$E$2:$G$910,3,FALSE)," ")</f>
        <v>UND</v>
      </c>
      <c r="N134" s="121">
        <v>6</v>
      </c>
      <c r="O134" s="121"/>
      <c r="P134" s="125"/>
      <c r="Q134" s="156"/>
      <c r="U134" s="19"/>
    </row>
    <row r="135" spans="1:21" ht="43.2" x14ac:dyDescent="0.3">
      <c r="A135" s="81">
        <v>133</v>
      </c>
      <c r="B135" s="136">
        <v>8</v>
      </c>
      <c r="C135" s="137" t="s">
        <v>546</v>
      </c>
      <c r="D135" s="138" t="s">
        <v>260</v>
      </c>
      <c r="E135" s="138" t="s">
        <v>542</v>
      </c>
      <c r="F135" s="138" t="s">
        <v>551</v>
      </c>
      <c r="G135" s="139">
        <v>46059</v>
      </c>
      <c r="H135" s="140">
        <v>16</v>
      </c>
      <c r="I135" s="140">
        <v>47</v>
      </c>
      <c r="J135" s="140">
        <v>318</v>
      </c>
      <c r="K135" s="141" t="str">
        <f t="shared" si="8"/>
        <v>16-47-318</v>
      </c>
      <c r="L135" s="142" t="str">
        <f>IFERROR(VLOOKUP(K135,'LISTA ITEMS (2)'!$E$2:$G$910,2,FALSE)," ")</f>
        <v>DIFERENCIAL EPR2A040030 2P-40A-30mA (MAXGE)</v>
      </c>
      <c r="M135" s="140" t="str">
        <f>IFERROR(VLOOKUP(K135,'LISTA ITEMS (2)'!$E$2:$G$910,3,FALSE)," ")</f>
        <v>UND</v>
      </c>
      <c r="N135" s="138">
        <v>1</v>
      </c>
      <c r="O135" s="138" t="s">
        <v>557</v>
      </c>
      <c r="P135" s="17"/>
      <c r="Q135" s="157"/>
      <c r="R135" s="1"/>
      <c r="S135" s="1"/>
      <c r="U135" s="19"/>
    </row>
    <row r="136" spans="1:21" ht="43.2" x14ac:dyDescent="0.3">
      <c r="A136" s="27">
        <v>134</v>
      </c>
      <c r="B136" s="136">
        <v>8</v>
      </c>
      <c r="C136" s="137" t="s">
        <v>546</v>
      </c>
      <c r="D136" s="138" t="s">
        <v>260</v>
      </c>
      <c r="E136" s="138" t="s">
        <v>542</v>
      </c>
      <c r="F136" s="138" t="s">
        <v>551</v>
      </c>
      <c r="G136" s="139">
        <v>46059</v>
      </c>
      <c r="H136" s="143">
        <v>16</v>
      </c>
      <c r="I136" s="143">
        <v>49</v>
      </c>
      <c r="J136" s="143">
        <v>282</v>
      </c>
      <c r="K136" s="144" t="str">
        <f t="shared" si="8"/>
        <v>16-49-282</v>
      </c>
      <c r="L136" s="142" t="str">
        <f>IFERROR(VLOOKUP(K136,'LISTA ITEMS (2)'!$E$2:$G$910,2,FALSE)," ")</f>
        <v>CONTACTOR MODULAR RV32 (REVALCO)</v>
      </c>
      <c r="M136" s="140" t="str">
        <f>IFERROR(VLOOKUP(K136,'LISTA ITEMS (2)'!$E$2:$G$910,3,FALSE)," ")</f>
        <v>UND</v>
      </c>
      <c r="N136" s="145">
        <v>1</v>
      </c>
      <c r="O136" s="138" t="s">
        <v>557</v>
      </c>
      <c r="P136" s="125"/>
      <c r="Q136" s="156"/>
      <c r="U136" s="19"/>
    </row>
    <row r="137" spans="1:21" ht="43.2" x14ac:dyDescent="0.3">
      <c r="A137" s="27">
        <v>135</v>
      </c>
      <c r="B137" s="136">
        <v>8</v>
      </c>
      <c r="C137" s="137" t="s">
        <v>546</v>
      </c>
      <c r="D137" s="138" t="s">
        <v>260</v>
      </c>
      <c r="E137" s="138" t="s">
        <v>542</v>
      </c>
      <c r="F137" s="138" t="s">
        <v>551</v>
      </c>
      <c r="G137" s="139">
        <v>46059</v>
      </c>
      <c r="H137" s="143">
        <v>16</v>
      </c>
      <c r="I137" s="143">
        <v>52</v>
      </c>
      <c r="J137" s="143">
        <v>293</v>
      </c>
      <c r="K137" s="144" t="str">
        <f t="shared" si="8"/>
        <v>16-52-293</v>
      </c>
      <c r="L137" s="142" t="str">
        <f>IFERROR(VLOOKUP(K137,'LISTA ITEMS (2)'!$E$2:$G$910,2,FALSE)," ")</f>
        <v>TERMICO EPBE63M1NC63M1NC32 1P+N C32 (MAXGE)</v>
      </c>
      <c r="M137" s="140" t="str">
        <f>IFERROR(VLOOKUP(K137,'LISTA ITEMS (2)'!$E$2:$G$910,3,FALSE)," ")</f>
        <v>UND</v>
      </c>
      <c r="N137" s="145">
        <v>1</v>
      </c>
      <c r="O137" s="138" t="s">
        <v>557</v>
      </c>
      <c r="P137" s="125"/>
      <c r="Q137" s="156"/>
      <c r="U137" s="19"/>
    </row>
    <row r="138" spans="1:21" ht="43.2" x14ac:dyDescent="0.3">
      <c r="A138" s="27">
        <v>136</v>
      </c>
      <c r="B138" s="136">
        <v>8</v>
      </c>
      <c r="C138" s="137" t="s">
        <v>546</v>
      </c>
      <c r="D138" s="138" t="s">
        <v>260</v>
      </c>
      <c r="E138" s="138" t="s">
        <v>542</v>
      </c>
      <c r="F138" s="138" t="s">
        <v>551</v>
      </c>
      <c r="G138" s="139">
        <v>46059</v>
      </c>
      <c r="H138" s="143">
        <v>7</v>
      </c>
      <c r="I138" s="143">
        <v>38</v>
      </c>
      <c r="J138" s="143">
        <v>247</v>
      </c>
      <c r="K138" s="144" t="str">
        <f t="shared" si="8"/>
        <v>7-38-247</v>
      </c>
      <c r="L138" s="142" t="str">
        <f>IFERROR(VLOOKUP(K138,'LISTA ITEMS (2)'!$E$2:$G$910,2,FALSE)," ")</f>
        <v>PLACA SOLAR JAM60D42-535LB 535W / 44.13V</v>
      </c>
      <c r="M138" s="140" t="str">
        <f>IFERROR(VLOOKUP(K138,'LISTA ITEMS (2)'!$E$2:$G$910,3,FALSE)," ")</f>
        <v>UND</v>
      </c>
      <c r="N138" s="145">
        <v>10</v>
      </c>
      <c r="O138" s="138" t="s">
        <v>557</v>
      </c>
      <c r="P138" s="125"/>
      <c r="Q138" s="156"/>
      <c r="U138" s="19"/>
    </row>
    <row r="139" spans="1:21" ht="57.6" x14ac:dyDescent="0.3">
      <c r="A139" s="81">
        <v>137</v>
      </c>
      <c r="B139" s="131">
        <v>9</v>
      </c>
      <c r="C139" s="132">
        <v>10</v>
      </c>
      <c r="D139" s="133" t="s">
        <v>537</v>
      </c>
      <c r="E139" s="133" t="s">
        <v>558</v>
      </c>
      <c r="F139" s="133" t="s">
        <v>552</v>
      </c>
      <c r="G139" s="134">
        <v>46063</v>
      </c>
      <c r="H139" s="109">
        <v>16</v>
      </c>
      <c r="I139" s="109">
        <v>53</v>
      </c>
      <c r="J139" s="109">
        <v>290</v>
      </c>
      <c r="K139" s="135" t="str">
        <f t="shared" si="8"/>
        <v>16-53-290</v>
      </c>
      <c r="L139" s="108" t="str">
        <f>IFERROR(VLOOKUP(K139,'LISTA ITEMS (2)'!$E$2:$G$910,2,FALSE)," ")</f>
        <v>PINCHO DE COMUNICACIÓN WIFI SHINEWILAN X2 (GROWATT)</v>
      </c>
      <c r="M139" s="109" t="str">
        <f>IFERROR(VLOOKUP(K139,'LISTA ITEMS (2)'!$E$2:$G$910,3,FALSE)," ")</f>
        <v>UND</v>
      </c>
      <c r="N139" s="133">
        <v>1</v>
      </c>
      <c r="O139" s="133"/>
      <c r="P139" s="17"/>
      <c r="Q139" s="157"/>
      <c r="R139" s="1"/>
      <c r="S139" s="1"/>
      <c r="U139" s="19"/>
    </row>
    <row r="140" spans="1:21" ht="43.2" x14ac:dyDescent="0.3">
      <c r="A140" s="81">
        <v>138</v>
      </c>
      <c r="B140" s="146">
        <v>10</v>
      </c>
      <c r="C140" s="147" t="s">
        <v>547</v>
      </c>
      <c r="D140" s="148" t="s">
        <v>260</v>
      </c>
      <c r="E140" s="148" t="s">
        <v>542</v>
      </c>
      <c r="F140" s="148" t="s">
        <v>559</v>
      </c>
      <c r="G140" s="149">
        <v>46064</v>
      </c>
      <c r="H140" s="6">
        <v>10</v>
      </c>
      <c r="I140" s="6">
        <v>43</v>
      </c>
      <c r="J140" s="6">
        <v>270</v>
      </c>
      <c r="K140" s="150" t="str">
        <f t="shared" si="8"/>
        <v>10-43-270</v>
      </c>
      <c r="L140" s="151" t="str">
        <f>IFERROR(VLOOKUP(K140,'LISTA ITEMS (2)'!$E$2:$G$910,2,FALSE)," ")</f>
        <v>EMPALME ALUMINIO P/BARRA</v>
      </c>
      <c r="M140" s="6" t="str">
        <f>IFERROR(VLOOKUP(K140,'LISTA ITEMS (2)'!$E$2:$G$910,3,FALSE)," ")</f>
        <v>UND</v>
      </c>
      <c r="N140" s="148">
        <v>8</v>
      </c>
      <c r="O140" s="148"/>
      <c r="P140" s="17"/>
      <c r="Q140" s="157"/>
      <c r="R140" s="1"/>
      <c r="S140" s="1"/>
      <c r="U140" s="19"/>
    </row>
    <row r="141" spans="1:21" ht="43.2" x14ac:dyDescent="0.3">
      <c r="A141" s="27">
        <v>139</v>
      </c>
      <c r="B141" s="146">
        <v>10</v>
      </c>
      <c r="C141" s="147" t="s">
        <v>547</v>
      </c>
      <c r="D141" s="148" t="s">
        <v>260</v>
      </c>
      <c r="E141" s="148" t="s">
        <v>542</v>
      </c>
      <c r="F141" s="148" t="s">
        <v>559</v>
      </c>
      <c r="G141" s="149">
        <v>46064</v>
      </c>
      <c r="H141" s="8">
        <v>9</v>
      </c>
      <c r="I141" s="8">
        <v>2</v>
      </c>
      <c r="J141" s="8">
        <v>291</v>
      </c>
      <c r="K141" s="152" t="str">
        <f t="shared" si="8"/>
        <v>9-2-291</v>
      </c>
      <c r="L141" s="151" t="str">
        <f>IFERROR(VLOOKUP(K141,'LISTA ITEMS (2)'!$E$2:$G$910,2,FALSE)," ")</f>
        <v>TUBO ELECTRICO PVC 25mm - 3mt(AISCAN)</v>
      </c>
      <c r="M141" s="6" t="str">
        <f>IFERROR(VLOOKUP(K141,'LISTA ITEMS (2)'!$E$2:$G$910,3,FALSE)," ")</f>
        <v>UND</v>
      </c>
      <c r="N141" s="153">
        <v>3</v>
      </c>
      <c r="O141" s="153"/>
      <c r="P141" s="125"/>
      <c r="Q141" s="156"/>
      <c r="U141" s="19"/>
    </row>
    <row r="142" spans="1:21" ht="43.2" x14ac:dyDescent="0.3">
      <c r="A142" s="27">
        <v>140</v>
      </c>
      <c r="B142" s="146">
        <v>10</v>
      </c>
      <c r="C142" s="147" t="s">
        <v>547</v>
      </c>
      <c r="D142" s="148" t="s">
        <v>260</v>
      </c>
      <c r="E142" s="148" t="s">
        <v>542</v>
      </c>
      <c r="F142" s="148" t="s">
        <v>559</v>
      </c>
      <c r="G142" s="149">
        <v>46064</v>
      </c>
      <c r="H142" s="8">
        <v>10</v>
      </c>
      <c r="I142" s="8">
        <v>37</v>
      </c>
      <c r="J142" s="8">
        <v>315</v>
      </c>
      <c r="K142" s="152" t="str">
        <f t="shared" si="8"/>
        <v>10-37-315</v>
      </c>
      <c r="L142" s="151" t="str">
        <f>IFERROR(VLOOKUP(K142,'LISTA ITEMS (2)'!$E$2:$G$910,2,FALSE)," ")</f>
        <v>SOPORTE FINAL NEGRO</v>
      </c>
      <c r="M142" s="6" t="str">
        <f>IFERROR(VLOOKUP(K142,'LISTA ITEMS (2)'!$E$2:$G$910,3,FALSE)," ")</f>
        <v>UND</v>
      </c>
      <c r="N142" s="153">
        <v>30</v>
      </c>
      <c r="O142" s="153"/>
      <c r="P142" s="125"/>
      <c r="Q142" s="156"/>
      <c r="U142" s="19"/>
    </row>
    <row r="143" spans="1:21" ht="43.2" x14ac:dyDescent="0.3">
      <c r="A143" s="27">
        <v>141</v>
      </c>
      <c r="B143" s="146">
        <v>10</v>
      </c>
      <c r="C143" s="147" t="s">
        <v>547</v>
      </c>
      <c r="D143" s="148" t="s">
        <v>260</v>
      </c>
      <c r="E143" s="148" t="s">
        <v>542</v>
      </c>
      <c r="F143" s="148" t="s">
        <v>559</v>
      </c>
      <c r="G143" s="149">
        <v>46064</v>
      </c>
      <c r="H143" s="8">
        <v>10</v>
      </c>
      <c r="I143" s="8">
        <v>37</v>
      </c>
      <c r="J143" s="8">
        <v>330</v>
      </c>
      <c r="K143" s="152" t="str">
        <f t="shared" si="8"/>
        <v>10-37-330</v>
      </c>
      <c r="L143" s="151" t="str">
        <f>IFERROR(VLOOKUP(K143,'LISTA ITEMS (2)'!$E$2:$G$910,2,FALSE)," ")</f>
        <v>SOPORTE EN L ALUMINIO GRIS</v>
      </c>
      <c r="M143" s="6" t="str">
        <f>IFERROR(VLOOKUP(K143,'LISTA ITEMS (2)'!$E$2:$G$910,3,FALSE)," ")</f>
        <v>UND</v>
      </c>
      <c r="N143" s="153">
        <v>30</v>
      </c>
      <c r="O143" s="153"/>
      <c r="P143" s="125"/>
      <c r="Q143" s="156"/>
      <c r="U143" s="19"/>
    </row>
    <row r="144" spans="1:21" ht="43.2" x14ac:dyDescent="0.3">
      <c r="A144" s="27">
        <v>142</v>
      </c>
      <c r="B144" s="146">
        <v>10</v>
      </c>
      <c r="C144" s="147" t="s">
        <v>547</v>
      </c>
      <c r="D144" s="148" t="s">
        <v>260</v>
      </c>
      <c r="E144" s="148" t="s">
        <v>542</v>
      </c>
      <c r="F144" s="148" t="s">
        <v>559</v>
      </c>
      <c r="G144" s="149">
        <v>46064</v>
      </c>
      <c r="H144" s="8">
        <v>10</v>
      </c>
      <c r="I144" s="8">
        <v>37</v>
      </c>
      <c r="J144" s="8">
        <v>232</v>
      </c>
      <c r="K144" s="152" t="str">
        <f t="shared" si="8"/>
        <v>10-37-232</v>
      </c>
      <c r="L144" s="151" t="str">
        <f>IFERROR(VLOOKUP(K144,'LISTA ITEMS (2)'!$E$2:$G$910,2,FALSE)," ")</f>
        <v>SOPORTE CENTRAL NEGRO</v>
      </c>
      <c r="M144" s="6" t="str">
        <f>IFERROR(VLOOKUP(K144,'LISTA ITEMS (2)'!$E$2:$G$910,3,FALSE)," ")</f>
        <v>UND</v>
      </c>
      <c r="N144" s="153">
        <v>30</v>
      </c>
      <c r="O144" s="153"/>
      <c r="P144" s="125"/>
      <c r="Q144" s="156"/>
      <c r="U144" s="19"/>
    </row>
    <row r="145" spans="1:23" ht="43.2" x14ac:dyDescent="0.3">
      <c r="A145" s="27">
        <v>143</v>
      </c>
      <c r="B145" s="146">
        <v>10</v>
      </c>
      <c r="C145" s="147" t="s">
        <v>547</v>
      </c>
      <c r="D145" s="148" t="s">
        <v>260</v>
      </c>
      <c r="E145" s="148" t="s">
        <v>542</v>
      </c>
      <c r="F145" s="148" t="s">
        <v>559</v>
      </c>
      <c r="G145" s="149">
        <v>46064</v>
      </c>
      <c r="H145" s="8">
        <v>8</v>
      </c>
      <c r="I145" s="8">
        <v>64</v>
      </c>
      <c r="J145" s="8">
        <v>358</v>
      </c>
      <c r="K145" s="152" t="str">
        <f t="shared" si="8"/>
        <v>8-64-358</v>
      </c>
      <c r="L145" s="151" t="str">
        <f>IFERROR(VLOOKUP(K145,'LISTA ITEMS (2)'!$E$2:$G$910,2,FALSE)," ")</f>
        <v>BARILLA ROSCADA M8 A/GALV X1000</v>
      </c>
      <c r="M145" s="6" t="str">
        <f>IFERROR(VLOOKUP(K145,'LISTA ITEMS (2)'!$E$2:$G$910,3,FALSE)," ")</f>
        <v>UND</v>
      </c>
      <c r="N145" s="153">
        <v>5</v>
      </c>
      <c r="O145" s="153"/>
      <c r="P145" s="125"/>
      <c r="Q145" s="156"/>
      <c r="S145" s="164" t="s">
        <v>543</v>
      </c>
      <c r="T145" s="165" t="str">
        <f>VLOOKUP(S145,$K$2:$M$195,2,FALSE)</f>
        <v>BARILLA ROSCADA M8 A/GALV X1000</v>
      </c>
      <c r="U145" s="166" t="str">
        <f>VLOOKUP(S145,$K$2:$M$195,3,FALSE)</f>
        <v>UND</v>
      </c>
      <c r="V145" s="167">
        <f>SUMIF($K$3:$K$195,S145,$N$3:$N$195)</f>
        <v>5</v>
      </c>
      <c r="W145" s="167">
        <f>SUMIF($K$3:$K$195,S145,$Q$3:$Q$195)</f>
        <v>0</v>
      </c>
    </row>
    <row r="146" spans="1:23" ht="43.2" x14ac:dyDescent="0.3">
      <c r="A146" s="27">
        <v>144</v>
      </c>
      <c r="B146" s="146">
        <v>10</v>
      </c>
      <c r="C146" s="147" t="s">
        <v>547</v>
      </c>
      <c r="D146" s="148" t="s">
        <v>260</v>
      </c>
      <c r="E146" s="148" t="s">
        <v>542</v>
      </c>
      <c r="F146" s="148" t="s">
        <v>559</v>
      </c>
      <c r="G146" s="149">
        <v>46064</v>
      </c>
      <c r="H146" s="8">
        <v>6</v>
      </c>
      <c r="I146" s="8">
        <v>23</v>
      </c>
      <c r="J146" s="8">
        <v>192</v>
      </c>
      <c r="K146" s="152" t="str">
        <f t="shared" si="8"/>
        <v>6-23-192</v>
      </c>
      <c r="L146" s="151" t="str">
        <f>IFERROR(VLOOKUP(K146,'LISTA ITEMS (2)'!$E$2:$G$910,2,FALSE)," ")</f>
        <v xml:space="preserve">CINTA ACERO PERFORADA PARA MONTAJE </v>
      </c>
      <c r="M146" s="6" t="str">
        <f>IFERROR(VLOOKUP(K146,'LISTA ITEMS (2)'!$E$2:$G$910,3,FALSE)," ")</f>
        <v>UND</v>
      </c>
      <c r="N146" s="153">
        <v>1</v>
      </c>
      <c r="O146" s="153"/>
      <c r="P146" s="125"/>
      <c r="Q146" s="156"/>
      <c r="U146" s="19"/>
    </row>
    <row r="147" spans="1:23" ht="43.2" x14ac:dyDescent="0.3">
      <c r="A147" s="27">
        <v>145</v>
      </c>
      <c r="B147" s="146">
        <v>10</v>
      </c>
      <c r="C147" s="147" t="s">
        <v>547</v>
      </c>
      <c r="D147" s="148" t="s">
        <v>260</v>
      </c>
      <c r="E147" s="148" t="s">
        <v>542</v>
      </c>
      <c r="F147" s="148" t="s">
        <v>559</v>
      </c>
      <c r="G147" s="149">
        <v>46064</v>
      </c>
      <c r="H147" s="8">
        <v>13</v>
      </c>
      <c r="I147" s="8">
        <v>22</v>
      </c>
      <c r="J147" s="8">
        <v>184</v>
      </c>
      <c r="K147" s="152" t="str">
        <f t="shared" si="8"/>
        <v>13-22-184</v>
      </c>
      <c r="L147" s="151" t="str">
        <f>IFERROR(VLOOKUP(K147,'LISTA ITEMS (2)'!$E$2:$G$910,2,FALSE)," ")</f>
        <v>BRIDA P/EXTERIOR NEGRA</v>
      </c>
      <c r="M147" s="6" t="str">
        <f>IFERROR(VLOOKUP(K147,'LISTA ITEMS (2)'!$E$2:$G$910,3,FALSE)," ")</f>
        <v>UND</v>
      </c>
      <c r="N147" s="153">
        <v>200</v>
      </c>
      <c r="O147" s="153"/>
      <c r="P147" s="125"/>
      <c r="Q147" s="156"/>
      <c r="U147" s="19"/>
    </row>
    <row r="148" spans="1:23" ht="43.2" x14ac:dyDescent="0.3">
      <c r="A148" s="27">
        <v>146</v>
      </c>
      <c r="B148" s="146">
        <v>10</v>
      </c>
      <c r="C148" s="147" t="s">
        <v>547</v>
      </c>
      <c r="D148" s="148" t="s">
        <v>260</v>
      </c>
      <c r="E148" s="148" t="s">
        <v>542</v>
      </c>
      <c r="F148" s="148" t="s">
        <v>559</v>
      </c>
      <c r="G148" s="149">
        <v>46064</v>
      </c>
      <c r="H148" s="8">
        <v>9</v>
      </c>
      <c r="I148" s="8">
        <v>32</v>
      </c>
      <c r="J148" s="8">
        <v>223</v>
      </c>
      <c r="K148" s="152" t="str">
        <f t="shared" si="8"/>
        <v>9-32-223</v>
      </c>
      <c r="L148" s="151" t="str">
        <f>IFERROR(VLOOKUP(K148,'LISTA ITEMS (2)'!$E$2:$G$910,2,FALSE)," ")</f>
        <v>CURVA PVC M-25 GRIS TIPO A</v>
      </c>
      <c r="M148" s="6" t="str">
        <f>IFERROR(VLOOKUP(K148,'LISTA ITEMS (2)'!$E$2:$G$910,3,FALSE)," ")</f>
        <v>UND</v>
      </c>
      <c r="N148" s="153">
        <v>20</v>
      </c>
      <c r="O148" s="153"/>
      <c r="P148" s="125"/>
      <c r="Q148" s="156"/>
      <c r="U148" s="19"/>
    </row>
    <row r="149" spans="1:23" ht="18" x14ac:dyDescent="0.3">
      <c r="A149" s="27"/>
      <c r="B149" s="146"/>
      <c r="C149" s="147"/>
      <c r="D149" s="148"/>
      <c r="E149" s="148"/>
      <c r="F149" s="148"/>
      <c r="G149" s="149"/>
      <c r="H149" s="8"/>
      <c r="I149" s="8"/>
      <c r="J149" s="8"/>
      <c r="K149" s="152"/>
      <c r="L149" s="151" t="str">
        <f>IFERROR(VLOOKUP(K149,'LISTA ITEMS (2)'!$E$2:$G$910,2,FALSE)," ")</f>
        <v xml:space="preserve"> </v>
      </c>
      <c r="M149" s="6" t="str">
        <f>IFERROR(VLOOKUP(K149,'LISTA ITEMS (2)'!$E$2:$G$910,3,FALSE)," ")</f>
        <v xml:space="preserve"> </v>
      </c>
      <c r="N149" s="153"/>
      <c r="O149" s="153"/>
      <c r="P149" s="125"/>
      <c r="Q149" s="156"/>
      <c r="U149" s="19"/>
    </row>
    <row r="150" spans="1:23" ht="18" x14ac:dyDescent="0.3">
      <c r="A150" s="27"/>
      <c r="B150" s="146"/>
      <c r="C150" s="147"/>
      <c r="D150" s="148"/>
      <c r="E150" s="148"/>
      <c r="F150" s="148"/>
      <c r="G150" s="149"/>
      <c r="H150" s="8"/>
      <c r="I150" s="8"/>
      <c r="J150" s="8"/>
      <c r="K150" s="152"/>
      <c r="L150" s="151" t="str">
        <f>IFERROR(VLOOKUP(K150,'LISTA ITEMS (2)'!$E$2:$G$910,2,FALSE)," ")</f>
        <v xml:space="preserve"> </v>
      </c>
      <c r="M150" s="6" t="str">
        <f>IFERROR(VLOOKUP(K150,'LISTA ITEMS (2)'!$E$2:$G$910,3,FALSE)," ")</f>
        <v xml:space="preserve"> </v>
      </c>
      <c r="N150" s="153"/>
      <c r="O150" s="153"/>
      <c r="P150" s="125"/>
      <c r="Q150" s="156"/>
      <c r="U150" s="19"/>
    </row>
    <row r="151" spans="1:23" ht="18" x14ac:dyDescent="0.3">
      <c r="A151" s="27"/>
      <c r="B151" s="146"/>
      <c r="C151" s="147"/>
      <c r="D151" s="148"/>
      <c r="E151" s="148"/>
      <c r="F151" s="148"/>
      <c r="G151" s="149"/>
      <c r="H151" s="8"/>
      <c r="I151" s="8"/>
      <c r="J151" s="8"/>
      <c r="K151" s="152"/>
      <c r="L151" s="151" t="str">
        <f>IFERROR(VLOOKUP(K151,'LISTA ITEMS (2)'!$E$2:$G$910,2,FALSE)," ")</f>
        <v xml:space="preserve"> </v>
      </c>
      <c r="M151" s="6" t="str">
        <f>IFERROR(VLOOKUP(K151,'LISTA ITEMS (2)'!$E$2:$G$910,3,FALSE)," ")</f>
        <v xml:space="preserve"> </v>
      </c>
      <c r="N151" s="153"/>
      <c r="O151" s="153"/>
      <c r="P151" s="125"/>
      <c r="Q151" s="156"/>
      <c r="U151" s="19"/>
    </row>
    <row r="152" spans="1:23" ht="18" x14ac:dyDescent="0.3">
      <c r="A152" s="27"/>
      <c r="B152" s="146"/>
      <c r="C152" s="147"/>
      <c r="D152" s="148"/>
      <c r="E152" s="148"/>
      <c r="F152" s="148"/>
      <c r="G152" s="149"/>
      <c r="H152" s="8"/>
      <c r="I152" s="8"/>
      <c r="J152" s="8"/>
      <c r="K152" s="152"/>
      <c r="L152" s="151" t="str">
        <f>IFERROR(VLOOKUP(K152,'LISTA ITEMS (2)'!$E$2:$G$910,2,FALSE)," ")</f>
        <v xml:space="preserve"> </v>
      </c>
      <c r="M152" s="6" t="str">
        <f>IFERROR(VLOOKUP(K152,'LISTA ITEMS (2)'!$E$2:$G$910,3,FALSE)," ")</f>
        <v xml:space="preserve"> </v>
      </c>
      <c r="N152" s="153"/>
      <c r="O152" s="153"/>
      <c r="P152" s="125"/>
      <c r="Q152" s="156"/>
      <c r="U152" s="19"/>
    </row>
    <row r="153" spans="1:23" ht="18" x14ac:dyDescent="0.3">
      <c r="A153" s="27"/>
      <c r="B153" s="146"/>
      <c r="C153" s="147"/>
      <c r="D153" s="148"/>
      <c r="E153" s="148"/>
      <c r="F153" s="148"/>
      <c r="G153" s="149"/>
      <c r="H153" s="8"/>
      <c r="I153" s="8"/>
      <c r="J153" s="8"/>
      <c r="K153" s="152"/>
      <c r="L153" s="151" t="str">
        <f>IFERROR(VLOOKUP(K153,'LISTA ITEMS (2)'!$E$2:$G$910,2,FALSE)," ")</f>
        <v xml:space="preserve"> </v>
      </c>
      <c r="M153" s="6" t="str">
        <f>IFERROR(VLOOKUP(K153,'LISTA ITEMS (2)'!$E$2:$G$910,3,FALSE)," ")</f>
        <v xml:space="preserve"> </v>
      </c>
      <c r="N153" s="153"/>
      <c r="O153" s="153"/>
      <c r="P153" s="125"/>
      <c r="Q153" s="156"/>
      <c r="U153" s="19"/>
    </row>
    <row r="154" spans="1:23" ht="18" x14ac:dyDescent="0.3">
      <c r="A154" s="27"/>
      <c r="B154" s="146"/>
      <c r="C154" s="147"/>
      <c r="D154" s="148"/>
      <c r="E154" s="148"/>
      <c r="F154" s="148"/>
      <c r="G154" s="149"/>
      <c r="H154" s="8"/>
      <c r="I154" s="8"/>
      <c r="J154" s="8"/>
      <c r="K154" s="152"/>
      <c r="L154" s="151" t="str">
        <f>IFERROR(VLOOKUP(K154,'LISTA ITEMS (2)'!$E$2:$G$910,2,FALSE)," ")</f>
        <v xml:space="preserve"> </v>
      </c>
      <c r="M154" s="6" t="str">
        <f>IFERROR(VLOOKUP(K154,'LISTA ITEMS (2)'!$E$2:$G$910,3,FALSE)," ")</f>
        <v xml:space="preserve"> </v>
      </c>
      <c r="N154" s="153"/>
      <c r="O154" s="153"/>
      <c r="P154" s="125"/>
      <c r="Q154" s="156"/>
      <c r="U154" s="19"/>
    </row>
    <row r="155" spans="1:23" ht="18" x14ac:dyDescent="0.3">
      <c r="A155" s="27"/>
      <c r="B155" s="146"/>
      <c r="C155" s="147"/>
      <c r="D155" s="148"/>
      <c r="E155" s="148"/>
      <c r="F155" s="148"/>
      <c r="G155" s="149"/>
      <c r="H155" s="8"/>
      <c r="I155" s="8"/>
      <c r="J155" s="8"/>
      <c r="K155" s="152"/>
      <c r="L155" s="151" t="str">
        <f>IFERROR(VLOOKUP(K155,'LISTA ITEMS (2)'!$E$2:$G$910,2,FALSE)," ")</f>
        <v xml:space="preserve"> </v>
      </c>
      <c r="M155" s="6" t="str">
        <f>IFERROR(VLOOKUP(K155,'LISTA ITEMS (2)'!$E$2:$G$910,3,FALSE)," ")</f>
        <v xml:space="preserve"> </v>
      </c>
      <c r="N155" s="153"/>
      <c r="O155" s="153"/>
      <c r="P155" s="125"/>
      <c r="Q155" s="156"/>
      <c r="U155" s="19"/>
    </row>
    <row r="156" spans="1:23" ht="18" x14ac:dyDescent="0.3">
      <c r="A156" s="27"/>
      <c r="B156" s="146"/>
      <c r="C156" s="147"/>
      <c r="D156" s="148"/>
      <c r="E156" s="148"/>
      <c r="F156" s="148"/>
      <c r="G156" s="149"/>
      <c r="H156" s="8"/>
      <c r="I156" s="8"/>
      <c r="J156" s="8"/>
      <c r="K156" s="152"/>
      <c r="L156" s="151" t="str">
        <f>IFERROR(VLOOKUP(K156,'LISTA ITEMS (2)'!$E$2:$G$910,2,FALSE)," ")</f>
        <v xml:space="preserve"> </v>
      </c>
      <c r="M156" s="6" t="str">
        <f>IFERROR(VLOOKUP(K156,'LISTA ITEMS (2)'!$E$2:$G$910,3,FALSE)," ")</f>
        <v xml:space="preserve"> </v>
      </c>
      <c r="N156" s="153"/>
      <c r="O156" s="153"/>
      <c r="P156" s="125"/>
      <c r="Q156" s="156"/>
      <c r="U156" s="19"/>
    </row>
    <row r="157" spans="1:23" ht="18" x14ac:dyDescent="0.3">
      <c r="A157" s="27"/>
      <c r="B157" s="146"/>
      <c r="C157" s="147"/>
      <c r="D157" s="148"/>
      <c r="E157" s="148"/>
      <c r="F157" s="148"/>
      <c r="G157" s="149"/>
      <c r="H157" s="8"/>
      <c r="I157" s="8"/>
      <c r="J157" s="8"/>
      <c r="K157" s="152"/>
      <c r="L157" s="151" t="str">
        <f>IFERROR(VLOOKUP(K157,'LISTA ITEMS (2)'!$E$2:$G$910,2,FALSE)," ")</f>
        <v xml:space="preserve"> </v>
      </c>
      <c r="M157" s="6" t="str">
        <f>IFERROR(VLOOKUP(K157,'LISTA ITEMS (2)'!$E$2:$G$910,3,FALSE)," ")</f>
        <v xml:space="preserve"> </v>
      </c>
      <c r="N157" s="153"/>
      <c r="O157" s="153"/>
      <c r="P157" s="125"/>
      <c r="Q157" s="156"/>
      <c r="U157" s="19"/>
    </row>
    <row r="158" spans="1:23" ht="18" x14ac:dyDescent="0.3">
      <c r="A158" s="27"/>
      <c r="B158" s="146"/>
      <c r="C158" s="147"/>
      <c r="D158" s="148"/>
      <c r="E158" s="148"/>
      <c r="F158" s="148"/>
      <c r="G158" s="149"/>
      <c r="H158" s="8"/>
      <c r="I158" s="8"/>
      <c r="J158" s="8"/>
      <c r="K158" s="152"/>
      <c r="L158" s="151" t="str">
        <f>IFERROR(VLOOKUP(K158,'LISTA ITEMS (2)'!$E$2:$G$910,2,FALSE)," ")</f>
        <v xml:space="preserve"> </v>
      </c>
      <c r="M158" s="6" t="str">
        <f>IFERROR(VLOOKUP(K158,'LISTA ITEMS (2)'!$E$2:$G$910,3,FALSE)," ")</f>
        <v xml:space="preserve"> </v>
      </c>
      <c r="N158" s="153"/>
      <c r="O158" s="153"/>
      <c r="P158" s="125"/>
      <c r="Q158" s="156"/>
      <c r="U158" s="19"/>
    </row>
    <row r="159" spans="1:23" ht="18" x14ac:dyDescent="0.3">
      <c r="A159" s="27"/>
      <c r="B159" s="146"/>
      <c r="C159" s="147"/>
      <c r="D159" s="148"/>
      <c r="E159" s="148"/>
      <c r="F159" s="148"/>
      <c r="G159" s="149"/>
      <c r="H159" s="8"/>
      <c r="I159" s="8"/>
      <c r="J159" s="8"/>
      <c r="K159" s="152"/>
      <c r="L159" s="151" t="str">
        <f>IFERROR(VLOOKUP(K159,'LISTA ITEMS (2)'!$E$2:$G$910,2,FALSE)," ")</f>
        <v xml:space="preserve"> </v>
      </c>
      <c r="M159" s="6" t="str">
        <f>IFERROR(VLOOKUP(K159,'LISTA ITEMS (2)'!$E$2:$G$910,3,FALSE)," ")</f>
        <v xml:space="preserve"> </v>
      </c>
      <c r="N159" s="153"/>
      <c r="O159" s="153"/>
      <c r="P159" s="125"/>
      <c r="Q159" s="156"/>
      <c r="U159" s="19"/>
    </row>
    <row r="160" spans="1:23" ht="18" x14ac:dyDescent="0.3">
      <c r="A160" s="27"/>
      <c r="B160" s="146"/>
      <c r="C160" s="147"/>
      <c r="D160" s="148"/>
      <c r="E160" s="148"/>
      <c r="F160" s="148"/>
      <c r="G160" s="149"/>
      <c r="H160" s="8"/>
      <c r="I160" s="8"/>
      <c r="J160" s="8"/>
      <c r="K160" s="152"/>
      <c r="L160" s="151" t="str">
        <f>IFERROR(VLOOKUP(K160,'LISTA ITEMS (2)'!$E$2:$G$910,2,FALSE)," ")</f>
        <v xml:space="preserve"> </v>
      </c>
      <c r="M160" s="6" t="str">
        <f>IFERROR(VLOOKUP(K160,'LISTA ITEMS (2)'!$E$2:$G$910,3,FALSE)," ")</f>
        <v xml:space="preserve"> </v>
      </c>
      <c r="N160" s="153"/>
      <c r="O160" s="153"/>
      <c r="P160" s="125"/>
      <c r="Q160" s="156"/>
      <c r="U160" s="19"/>
    </row>
    <row r="161" spans="1:21" ht="18" x14ac:dyDescent="0.3">
      <c r="A161" s="27"/>
      <c r="B161" s="146"/>
      <c r="C161" s="147"/>
      <c r="D161" s="148"/>
      <c r="E161" s="148"/>
      <c r="F161" s="148"/>
      <c r="G161" s="149"/>
      <c r="H161" s="8"/>
      <c r="I161" s="8"/>
      <c r="J161" s="8"/>
      <c r="K161" s="152"/>
      <c r="L161" s="151" t="str">
        <f>IFERROR(VLOOKUP(K161,'LISTA ITEMS (2)'!$E$2:$G$910,2,FALSE)," ")</f>
        <v xml:space="preserve"> </v>
      </c>
      <c r="M161" s="6" t="str">
        <f>IFERROR(VLOOKUP(K161,'LISTA ITEMS (2)'!$E$2:$G$910,3,FALSE)," ")</f>
        <v xml:space="preserve"> </v>
      </c>
      <c r="N161" s="153"/>
      <c r="O161" s="153"/>
      <c r="P161" s="125"/>
      <c r="Q161" s="156"/>
      <c r="U161" s="19"/>
    </row>
    <row r="162" spans="1:21" ht="18" x14ac:dyDescent="0.3">
      <c r="A162" s="27"/>
      <c r="B162" s="146"/>
      <c r="C162" s="147"/>
      <c r="D162" s="148"/>
      <c r="E162" s="148"/>
      <c r="F162" s="148"/>
      <c r="G162" s="149"/>
      <c r="H162" s="8"/>
      <c r="I162" s="8"/>
      <c r="J162" s="8"/>
      <c r="K162" s="152"/>
      <c r="L162" s="151" t="str">
        <f>IFERROR(VLOOKUP(K162,'LISTA ITEMS (2)'!$E$2:$G$910,2,FALSE)," ")</f>
        <v xml:space="preserve"> </v>
      </c>
      <c r="M162" s="6" t="str">
        <f>IFERROR(VLOOKUP(K162,'LISTA ITEMS (2)'!$E$2:$G$910,3,FALSE)," ")</f>
        <v xml:space="preserve"> </v>
      </c>
      <c r="N162" s="153"/>
      <c r="O162" s="153"/>
      <c r="P162" s="125"/>
      <c r="Q162" s="156"/>
      <c r="U162" s="19"/>
    </row>
    <row r="163" spans="1:21" ht="18" x14ac:dyDescent="0.3">
      <c r="A163" s="27"/>
      <c r="B163" s="146"/>
      <c r="C163" s="147"/>
      <c r="D163" s="148"/>
      <c r="E163" s="148"/>
      <c r="F163" s="148"/>
      <c r="G163" s="149"/>
      <c r="H163" s="8"/>
      <c r="I163" s="8"/>
      <c r="J163" s="8"/>
      <c r="K163" s="152"/>
      <c r="L163" s="151" t="str">
        <f>IFERROR(VLOOKUP(K163,'LISTA ITEMS (2)'!$E$2:$G$910,2,FALSE)," ")</f>
        <v xml:space="preserve"> </v>
      </c>
      <c r="M163" s="6" t="str">
        <f>IFERROR(VLOOKUP(K163,'LISTA ITEMS (2)'!$E$2:$G$910,3,FALSE)," ")</f>
        <v xml:space="preserve"> </v>
      </c>
      <c r="N163" s="153"/>
      <c r="O163" s="153"/>
      <c r="P163" s="125"/>
      <c r="Q163" s="156"/>
      <c r="U163" s="19"/>
    </row>
    <row r="164" spans="1:21" ht="18" x14ac:dyDescent="0.3">
      <c r="A164" s="27"/>
      <c r="B164" s="146"/>
      <c r="C164" s="147"/>
      <c r="D164" s="148"/>
      <c r="E164" s="148"/>
      <c r="F164" s="148"/>
      <c r="G164" s="149"/>
      <c r="H164" s="8"/>
      <c r="I164" s="8"/>
      <c r="J164" s="8"/>
      <c r="K164" s="152"/>
      <c r="L164" s="151" t="str">
        <f>IFERROR(VLOOKUP(K164,'LISTA ITEMS (2)'!$E$2:$G$910,2,FALSE)," ")</f>
        <v xml:space="preserve"> </v>
      </c>
      <c r="M164" s="6" t="str">
        <f>IFERROR(VLOOKUP(K164,'LISTA ITEMS (2)'!$E$2:$G$910,3,FALSE)," ")</f>
        <v xml:space="preserve"> </v>
      </c>
      <c r="N164" s="153"/>
      <c r="O164" s="153"/>
      <c r="P164" s="125"/>
      <c r="Q164" s="156"/>
      <c r="U164" s="19"/>
    </row>
    <row r="165" spans="1:21" ht="18" x14ac:dyDescent="0.3">
      <c r="A165" s="27"/>
      <c r="B165" s="146"/>
      <c r="C165" s="147"/>
      <c r="D165" s="148"/>
      <c r="E165" s="148"/>
      <c r="F165" s="148"/>
      <c r="G165" s="149"/>
      <c r="H165" s="8"/>
      <c r="I165" s="8"/>
      <c r="J165" s="8"/>
      <c r="K165" s="152"/>
      <c r="L165" s="151" t="str">
        <f>IFERROR(VLOOKUP(K165,'LISTA ITEMS (2)'!$E$2:$G$910,2,FALSE)," ")</f>
        <v xml:space="preserve"> </v>
      </c>
      <c r="M165" s="6" t="str">
        <f>IFERROR(VLOOKUP(K165,'LISTA ITEMS (2)'!$E$2:$G$910,3,FALSE)," ")</f>
        <v xml:space="preserve"> </v>
      </c>
      <c r="N165" s="153"/>
      <c r="O165" s="153"/>
      <c r="P165" s="125"/>
      <c r="Q165" s="156"/>
      <c r="U165" s="19"/>
    </row>
    <row r="166" spans="1:21" ht="18" x14ac:dyDescent="0.3">
      <c r="A166" s="27"/>
      <c r="B166" s="146"/>
      <c r="C166" s="147"/>
      <c r="D166" s="148"/>
      <c r="E166" s="148"/>
      <c r="F166" s="148"/>
      <c r="G166" s="149"/>
      <c r="H166" s="8"/>
      <c r="I166" s="8"/>
      <c r="J166" s="8"/>
      <c r="K166" s="152"/>
      <c r="L166" s="151" t="str">
        <f>IFERROR(VLOOKUP(K166,'LISTA ITEMS (2)'!$E$2:$G$910,2,FALSE)," ")</f>
        <v xml:space="preserve"> </v>
      </c>
      <c r="M166" s="6" t="str">
        <f>IFERROR(VLOOKUP(K166,'LISTA ITEMS (2)'!$E$2:$G$910,3,FALSE)," ")</f>
        <v xml:space="preserve"> </v>
      </c>
      <c r="N166" s="153"/>
      <c r="O166" s="153"/>
      <c r="P166" s="125"/>
      <c r="Q166" s="156"/>
      <c r="U166" s="19"/>
    </row>
    <row r="167" spans="1:21" ht="18" x14ac:dyDescent="0.3">
      <c r="A167" s="27"/>
      <c r="B167" s="146"/>
      <c r="C167" s="147"/>
      <c r="D167" s="148"/>
      <c r="E167" s="148"/>
      <c r="F167" s="148"/>
      <c r="G167" s="149"/>
      <c r="H167" s="8"/>
      <c r="I167" s="8"/>
      <c r="J167" s="8"/>
      <c r="K167" s="152"/>
      <c r="L167" s="151" t="str">
        <f>IFERROR(VLOOKUP(K167,'LISTA ITEMS (2)'!$E$2:$G$910,2,FALSE)," ")</f>
        <v xml:space="preserve"> </v>
      </c>
      <c r="M167" s="6" t="str">
        <f>IFERROR(VLOOKUP(K167,'LISTA ITEMS (2)'!$E$2:$G$910,3,FALSE)," ")</f>
        <v xml:space="preserve"> </v>
      </c>
      <c r="N167" s="153"/>
      <c r="O167" s="153"/>
      <c r="P167" s="125"/>
      <c r="Q167" s="156"/>
      <c r="U167" s="19"/>
    </row>
    <row r="168" spans="1:21" ht="18" x14ac:dyDescent="0.3">
      <c r="A168" s="27"/>
      <c r="B168" s="146"/>
      <c r="C168" s="147"/>
      <c r="D168" s="148"/>
      <c r="E168" s="148"/>
      <c r="F168" s="148"/>
      <c r="G168" s="149"/>
      <c r="H168" s="8"/>
      <c r="I168" s="8"/>
      <c r="J168" s="8"/>
      <c r="K168" s="152"/>
      <c r="L168" s="151" t="str">
        <f>IFERROR(VLOOKUP(K168,'LISTA ITEMS (2)'!$E$2:$G$910,2,FALSE)," ")</f>
        <v xml:space="preserve"> </v>
      </c>
      <c r="M168" s="6" t="str">
        <f>IFERROR(VLOOKUP(K168,'LISTA ITEMS (2)'!$E$2:$G$910,3,FALSE)," ")</f>
        <v xml:space="preserve"> </v>
      </c>
      <c r="N168" s="153"/>
      <c r="O168" s="153"/>
      <c r="P168" s="125"/>
      <c r="Q168" s="156"/>
      <c r="U168" s="19"/>
    </row>
    <row r="169" spans="1:21" ht="18" x14ac:dyDescent="0.3">
      <c r="A169" s="27"/>
      <c r="B169" s="146"/>
      <c r="C169" s="147"/>
      <c r="D169" s="148"/>
      <c r="E169" s="148"/>
      <c r="F169" s="148"/>
      <c r="G169" s="149"/>
      <c r="H169" s="8"/>
      <c r="I169" s="8"/>
      <c r="J169" s="8"/>
      <c r="K169" s="152"/>
      <c r="L169" s="151" t="str">
        <f>IFERROR(VLOOKUP(K169,'LISTA ITEMS (2)'!$E$2:$G$910,2,FALSE)," ")</f>
        <v xml:space="preserve"> </v>
      </c>
      <c r="M169" s="6" t="str">
        <f>IFERROR(VLOOKUP(K169,'LISTA ITEMS (2)'!$E$2:$G$910,3,FALSE)," ")</f>
        <v xml:space="preserve"> </v>
      </c>
      <c r="N169" s="153"/>
      <c r="O169" s="153"/>
      <c r="P169" s="125"/>
      <c r="Q169" s="156"/>
      <c r="U169" s="19"/>
    </row>
    <row r="170" spans="1:21" ht="18" x14ac:dyDescent="0.3">
      <c r="A170" s="27"/>
      <c r="B170" s="146"/>
      <c r="C170" s="147"/>
      <c r="D170" s="148"/>
      <c r="E170" s="148"/>
      <c r="F170" s="148"/>
      <c r="G170" s="149"/>
      <c r="H170" s="8"/>
      <c r="I170" s="8"/>
      <c r="J170" s="8"/>
      <c r="K170" s="152"/>
      <c r="L170" s="151" t="str">
        <f>IFERROR(VLOOKUP(K170,'LISTA ITEMS (2)'!$E$2:$G$910,2,FALSE)," ")</f>
        <v xml:space="preserve"> </v>
      </c>
      <c r="M170" s="6" t="str">
        <f>IFERROR(VLOOKUP(K170,'LISTA ITEMS (2)'!$E$2:$G$910,3,FALSE)," ")</f>
        <v xml:space="preserve"> </v>
      </c>
      <c r="N170" s="153"/>
      <c r="O170" s="153"/>
      <c r="P170" s="125"/>
      <c r="Q170" s="156"/>
      <c r="U170" s="19"/>
    </row>
    <row r="171" spans="1:21" ht="18" x14ac:dyDescent="0.3">
      <c r="A171" s="27"/>
      <c r="B171" s="146"/>
      <c r="C171" s="147"/>
      <c r="D171" s="148"/>
      <c r="E171" s="148"/>
      <c r="F171" s="148"/>
      <c r="G171" s="149"/>
      <c r="H171" s="8"/>
      <c r="I171" s="8"/>
      <c r="J171" s="8"/>
      <c r="K171" s="152"/>
      <c r="L171" s="151" t="str">
        <f>IFERROR(VLOOKUP(K171,'LISTA ITEMS (2)'!$E$2:$G$910,2,FALSE)," ")</f>
        <v xml:space="preserve"> </v>
      </c>
      <c r="M171" s="6" t="str">
        <f>IFERROR(VLOOKUP(K171,'LISTA ITEMS (2)'!$E$2:$G$910,3,FALSE)," ")</f>
        <v xml:space="preserve"> </v>
      </c>
      <c r="N171" s="153"/>
      <c r="O171" s="153"/>
      <c r="P171" s="125"/>
      <c r="Q171" s="156"/>
      <c r="U171" s="19"/>
    </row>
    <row r="172" spans="1:21" ht="18" x14ac:dyDescent="0.3">
      <c r="A172" s="27"/>
      <c r="B172" s="146"/>
      <c r="C172" s="147"/>
      <c r="D172" s="148"/>
      <c r="E172" s="148"/>
      <c r="F172" s="148"/>
      <c r="G172" s="149"/>
      <c r="H172" s="8"/>
      <c r="I172" s="8"/>
      <c r="J172" s="8"/>
      <c r="K172" s="152"/>
      <c r="L172" s="151" t="str">
        <f>IFERROR(VLOOKUP(K172,'LISTA ITEMS (2)'!$E$2:$G$910,2,FALSE)," ")</f>
        <v xml:space="preserve"> </v>
      </c>
      <c r="M172" s="6" t="str">
        <f>IFERROR(VLOOKUP(K172,'LISTA ITEMS (2)'!$E$2:$G$910,3,FALSE)," ")</f>
        <v xml:space="preserve"> </v>
      </c>
      <c r="N172" s="153"/>
      <c r="O172" s="153"/>
      <c r="P172" s="125"/>
      <c r="Q172" s="156"/>
      <c r="U172" s="19"/>
    </row>
    <row r="173" spans="1:21" ht="18" x14ac:dyDescent="0.3">
      <c r="A173" s="27"/>
      <c r="B173" s="146"/>
      <c r="C173" s="147"/>
      <c r="D173" s="148"/>
      <c r="E173" s="148"/>
      <c r="F173" s="148"/>
      <c r="G173" s="149"/>
      <c r="H173" s="8"/>
      <c r="I173" s="8"/>
      <c r="J173" s="8"/>
      <c r="K173" s="152"/>
      <c r="L173" s="151" t="str">
        <f>IFERROR(VLOOKUP(K173,'LISTA ITEMS (2)'!$E$2:$G$910,2,FALSE)," ")</f>
        <v xml:space="preserve"> </v>
      </c>
      <c r="M173" s="6" t="str">
        <f>IFERROR(VLOOKUP(K173,'LISTA ITEMS (2)'!$E$2:$G$910,3,FALSE)," ")</f>
        <v xml:space="preserve"> </v>
      </c>
      <c r="N173" s="153"/>
      <c r="O173" s="153"/>
      <c r="P173" s="125"/>
      <c r="Q173" s="156"/>
      <c r="U173" s="19"/>
    </row>
    <row r="174" spans="1:21" ht="18" x14ac:dyDescent="0.3">
      <c r="A174" s="27"/>
      <c r="B174" s="146"/>
      <c r="C174" s="147"/>
      <c r="D174" s="148"/>
      <c r="E174" s="148"/>
      <c r="F174" s="148"/>
      <c r="G174" s="149"/>
      <c r="H174" s="8"/>
      <c r="I174" s="8"/>
      <c r="J174" s="8"/>
      <c r="K174" s="152"/>
      <c r="L174" s="151" t="str">
        <f>IFERROR(VLOOKUP(K174,'LISTA ITEMS (2)'!$E$2:$G$910,2,FALSE)," ")</f>
        <v xml:space="preserve"> </v>
      </c>
      <c r="M174" s="6" t="str">
        <f>IFERROR(VLOOKUP(K174,'LISTA ITEMS (2)'!$E$2:$G$910,3,FALSE)," ")</f>
        <v xml:space="preserve"> </v>
      </c>
      <c r="N174" s="153"/>
      <c r="O174" s="153"/>
      <c r="P174" s="125"/>
      <c r="Q174" s="156"/>
      <c r="U174" s="19"/>
    </row>
    <row r="175" spans="1:21" ht="18" x14ac:dyDescent="0.3">
      <c r="A175" s="27"/>
      <c r="B175" s="146"/>
      <c r="C175" s="147"/>
      <c r="D175" s="148"/>
      <c r="E175" s="148"/>
      <c r="F175" s="148"/>
      <c r="G175" s="149"/>
      <c r="H175" s="8"/>
      <c r="I175" s="8"/>
      <c r="J175" s="8"/>
      <c r="K175" s="152"/>
      <c r="L175" s="151" t="str">
        <f>IFERROR(VLOOKUP(K175,'LISTA ITEMS (2)'!$E$2:$G$910,2,FALSE)," ")</f>
        <v xml:space="preserve"> </v>
      </c>
      <c r="M175" s="6" t="str">
        <f>IFERROR(VLOOKUP(K175,'LISTA ITEMS (2)'!$E$2:$G$910,3,FALSE)," ")</f>
        <v xml:space="preserve"> </v>
      </c>
      <c r="N175" s="153"/>
      <c r="O175" s="153"/>
      <c r="P175" s="125"/>
      <c r="Q175" s="156"/>
      <c r="U175" s="19"/>
    </row>
    <row r="176" spans="1:21" ht="18" x14ac:dyDescent="0.3">
      <c r="A176" s="27"/>
      <c r="B176" s="146"/>
      <c r="C176" s="147"/>
      <c r="D176" s="148"/>
      <c r="E176" s="148"/>
      <c r="F176" s="148"/>
      <c r="G176" s="149"/>
      <c r="H176" s="8"/>
      <c r="I176" s="8"/>
      <c r="J176" s="8"/>
      <c r="K176" s="152"/>
      <c r="L176" s="151" t="str">
        <f>IFERROR(VLOOKUP(K176,'LISTA ITEMS (2)'!$E$2:$G$910,2,FALSE)," ")</f>
        <v xml:space="preserve"> </v>
      </c>
      <c r="M176" s="6" t="str">
        <f>IFERROR(VLOOKUP(K176,'LISTA ITEMS (2)'!$E$2:$G$910,3,FALSE)," ")</f>
        <v xml:space="preserve"> </v>
      </c>
      <c r="N176" s="153"/>
      <c r="O176" s="153"/>
      <c r="P176" s="125"/>
      <c r="Q176" s="156"/>
      <c r="U176" s="19"/>
    </row>
    <row r="177" spans="1:21" ht="18" x14ac:dyDescent="0.3">
      <c r="A177" s="27"/>
      <c r="B177" s="146"/>
      <c r="C177" s="147"/>
      <c r="D177" s="148"/>
      <c r="E177" s="148"/>
      <c r="F177" s="148"/>
      <c r="G177" s="149"/>
      <c r="H177" s="8"/>
      <c r="I177" s="8"/>
      <c r="J177" s="8"/>
      <c r="K177" s="152"/>
      <c r="L177" s="151" t="str">
        <f>IFERROR(VLOOKUP(K177,'LISTA ITEMS (2)'!$E$2:$G$910,2,FALSE)," ")</f>
        <v xml:space="preserve"> </v>
      </c>
      <c r="M177" s="6" t="str">
        <f>IFERROR(VLOOKUP(K177,'LISTA ITEMS (2)'!$E$2:$G$910,3,FALSE)," ")</f>
        <v xml:space="preserve"> </v>
      </c>
      <c r="N177" s="153"/>
      <c r="O177" s="153"/>
      <c r="P177" s="125"/>
      <c r="Q177" s="156"/>
      <c r="U177" s="19"/>
    </row>
    <row r="178" spans="1:21" ht="18" x14ac:dyDescent="0.3">
      <c r="A178" s="27"/>
      <c r="B178" s="146"/>
      <c r="C178" s="147"/>
      <c r="D178" s="148"/>
      <c r="E178" s="148"/>
      <c r="F178" s="148"/>
      <c r="G178" s="149"/>
      <c r="H178" s="8"/>
      <c r="I178" s="8"/>
      <c r="J178" s="8"/>
      <c r="K178" s="152"/>
      <c r="L178" s="151" t="str">
        <f>IFERROR(VLOOKUP(K178,'LISTA ITEMS (2)'!$E$2:$G$910,2,FALSE)," ")</f>
        <v xml:space="preserve"> </v>
      </c>
      <c r="M178" s="6" t="str">
        <f>IFERROR(VLOOKUP(K178,'LISTA ITEMS (2)'!$E$2:$G$910,3,FALSE)," ")</f>
        <v xml:space="preserve"> </v>
      </c>
      <c r="N178" s="153"/>
      <c r="O178" s="153"/>
      <c r="P178" s="125"/>
      <c r="Q178" s="156"/>
      <c r="U178" s="19"/>
    </row>
    <row r="179" spans="1:21" ht="18" x14ac:dyDescent="0.3">
      <c r="A179" s="27"/>
      <c r="B179" s="146"/>
      <c r="C179" s="147"/>
      <c r="D179" s="148"/>
      <c r="E179" s="148"/>
      <c r="F179" s="148"/>
      <c r="G179" s="149"/>
      <c r="H179" s="8"/>
      <c r="I179" s="8"/>
      <c r="J179" s="8"/>
      <c r="K179" s="152"/>
      <c r="L179" s="151" t="str">
        <f>IFERROR(VLOOKUP(K179,'LISTA ITEMS (2)'!$E$2:$G$910,2,FALSE)," ")</f>
        <v xml:space="preserve"> </v>
      </c>
      <c r="M179" s="6" t="str">
        <f>IFERROR(VLOOKUP(K179,'LISTA ITEMS (2)'!$E$2:$G$910,3,FALSE)," ")</f>
        <v xml:space="preserve"> </v>
      </c>
      <c r="N179" s="153"/>
      <c r="O179" s="153"/>
      <c r="P179" s="125"/>
      <c r="Q179" s="156"/>
      <c r="U179" s="19"/>
    </row>
    <row r="180" spans="1:21" ht="18" x14ac:dyDescent="0.3">
      <c r="A180" s="27"/>
      <c r="B180" s="146"/>
      <c r="C180" s="147"/>
      <c r="D180" s="148"/>
      <c r="E180" s="148"/>
      <c r="F180" s="148"/>
      <c r="G180" s="149"/>
      <c r="H180" s="8"/>
      <c r="I180" s="8"/>
      <c r="J180" s="8"/>
      <c r="K180" s="152"/>
      <c r="L180" s="151" t="str">
        <f>IFERROR(VLOOKUP(K180,'LISTA ITEMS (2)'!$E$2:$G$910,2,FALSE)," ")</f>
        <v xml:space="preserve"> </v>
      </c>
      <c r="M180" s="6" t="str">
        <f>IFERROR(VLOOKUP(K180,'LISTA ITEMS (2)'!$E$2:$G$910,3,FALSE)," ")</f>
        <v xml:space="preserve"> </v>
      </c>
      <c r="N180" s="153"/>
      <c r="O180" s="153"/>
      <c r="P180" s="125"/>
      <c r="Q180" s="156"/>
      <c r="U180" s="19"/>
    </row>
    <row r="181" spans="1:21" ht="18" x14ac:dyDescent="0.3">
      <c r="A181" s="27"/>
      <c r="B181" s="146"/>
      <c r="C181" s="147"/>
      <c r="D181" s="148"/>
      <c r="E181" s="148"/>
      <c r="F181" s="148"/>
      <c r="G181" s="149"/>
      <c r="H181" s="8"/>
      <c r="I181" s="8"/>
      <c r="J181" s="8"/>
      <c r="K181" s="152"/>
      <c r="L181" s="151" t="str">
        <f>IFERROR(VLOOKUP(K181,'LISTA ITEMS (2)'!$E$2:$G$910,2,FALSE)," ")</f>
        <v xml:space="preserve"> </v>
      </c>
      <c r="M181" s="6" t="str">
        <f>IFERROR(VLOOKUP(K181,'LISTA ITEMS (2)'!$E$2:$G$910,3,FALSE)," ")</f>
        <v xml:space="preserve"> </v>
      </c>
      <c r="N181" s="153"/>
      <c r="O181" s="153"/>
      <c r="P181" s="125"/>
      <c r="Q181" s="156"/>
      <c r="U181" s="19"/>
    </row>
    <row r="182" spans="1:21" ht="18" x14ac:dyDescent="0.3">
      <c r="A182" s="27"/>
      <c r="B182" s="146"/>
      <c r="C182" s="147"/>
      <c r="D182" s="148"/>
      <c r="E182" s="148"/>
      <c r="F182" s="148"/>
      <c r="G182" s="149"/>
      <c r="H182" s="8"/>
      <c r="I182" s="8"/>
      <c r="J182" s="8"/>
      <c r="K182" s="152"/>
      <c r="L182" s="151" t="str">
        <f>IFERROR(VLOOKUP(K182,'LISTA ITEMS (2)'!$E$2:$G$910,2,FALSE)," ")</f>
        <v xml:space="preserve"> </v>
      </c>
      <c r="M182" s="6" t="str">
        <f>IFERROR(VLOOKUP(K182,'LISTA ITEMS (2)'!$E$2:$G$910,3,FALSE)," ")</f>
        <v xml:space="preserve"> </v>
      </c>
      <c r="N182" s="153"/>
      <c r="O182" s="153"/>
      <c r="P182" s="125"/>
      <c r="Q182" s="156"/>
      <c r="U182" s="19"/>
    </row>
    <row r="183" spans="1:21" ht="18" x14ac:dyDescent="0.3">
      <c r="A183" s="27"/>
      <c r="B183" s="146"/>
      <c r="C183" s="147"/>
      <c r="D183" s="148"/>
      <c r="E183" s="148"/>
      <c r="F183" s="148"/>
      <c r="G183" s="149"/>
      <c r="H183" s="8"/>
      <c r="I183" s="8"/>
      <c r="J183" s="8"/>
      <c r="K183" s="152"/>
      <c r="L183" s="151" t="str">
        <f>IFERROR(VLOOKUP(K183,'LISTA ITEMS (2)'!$E$2:$G$910,2,FALSE)," ")</f>
        <v xml:space="preserve"> </v>
      </c>
      <c r="M183" s="6" t="str">
        <f>IFERROR(VLOOKUP(K183,'LISTA ITEMS (2)'!$E$2:$G$910,3,FALSE)," ")</f>
        <v xml:space="preserve"> </v>
      </c>
      <c r="N183" s="153"/>
      <c r="O183" s="153"/>
      <c r="P183" s="125"/>
      <c r="Q183" s="156"/>
      <c r="U183" s="19"/>
    </row>
    <row r="184" spans="1:21" ht="18" x14ac:dyDescent="0.3">
      <c r="A184" s="27"/>
      <c r="B184" s="146"/>
      <c r="C184" s="147"/>
      <c r="D184" s="148"/>
      <c r="E184" s="148"/>
      <c r="F184" s="148"/>
      <c r="G184" s="149"/>
      <c r="H184" s="8"/>
      <c r="I184" s="8"/>
      <c r="J184" s="8"/>
      <c r="K184" s="152"/>
      <c r="L184" s="151" t="str">
        <f>IFERROR(VLOOKUP(K184,'LISTA ITEMS (2)'!$E$2:$G$910,2,FALSE)," ")</f>
        <v xml:space="preserve"> </v>
      </c>
      <c r="M184" s="6" t="str">
        <f>IFERROR(VLOOKUP(K184,'LISTA ITEMS (2)'!$E$2:$G$910,3,FALSE)," ")</f>
        <v xml:space="preserve"> </v>
      </c>
      <c r="N184" s="153"/>
      <c r="O184" s="153"/>
      <c r="P184" s="125"/>
      <c r="Q184" s="156"/>
      <c r="U184" s="19"/>
    </row>
    <row r="185" spans="1:21" ht="18" x14ac:dyDescent="0.3">
      <c r="A185" s="27"/>
      <c r="B185" s="146"/>
      <c r="C185" s="147"/>
      <c r="D185" s="148"/>
      <c r="E185" s="148"/>
      <c r="F185" s="148"/>
      <c r="G185" s="149"/>
      <c r="H185" s="8"/>
      <c r="I185" s="8"/>
      <c r="J185" s="8"/>
      <c r="K185" s="152"/>
      <c r="L185" s="151" t="str">
        <f>IFERROR(VLOOKUP(K185,'LISTA ITEMS (2)'!$E$2:$G$910,2,FALSE)," ")</f>
        <v xml:space="preserve"> </v>
      </c>
      <c r="M185" s="6" t="str">
        <f>IFERROR(VLOOKUP(K185,'LISTA ITEMS (2)'!$E$2:$G$910,3,FALSE)," ")</f>
        <v xml:space="preserve"> </v>
      </c>
      <c r="N185" s="153"/>
      <c r="O185" s="153"/>
      <c r="P185" s="125"/>
      <c r="Q185" s="156"/>
      <c r="U185" s="19"/>
    </row>
    <row r="186" spans="1:21" ht="18" x14ac:dyDescent="0.3">
      <c r="A186" s="27"/>
      <c r="B186" s="146"/>
      <c r="C186" s="147"/>
      <c r="D186" s="148"/>
      <c r="E186" s="148"/>
      <c r="F186" s="148"/>
      <c r="G186" s="149"/>
      <c r="H186" s="8"/>
      <c r="I186" s="8"/>
      <c r="J186" s="8"/>
      <c r="K186" s="152"/>
      <c r="L186" s="151" t="str">
        <f>IFERROR(VLOOKUP(K186,'LISTA ITEMS (2)'!$E$2:$G$910,2,FALSE)," ")</f>
        <v xml:space="preserve"> </v>
      </c>
      <c r="M186" s="6" t="str">
        <f>IFERROR(VLOOKUP(K186,'LISTA ITEMS (2)'!$E$2:$G$910,3,FALSE)," ")</f>
        <v xml:space="preserve"> </v>
      </c>
      <c r="N186" s="153"/>
      <c r="O186" s="153"/>
      <c r="P186" s="125"/>
      <c r="Q186" s="156"/>
      <c r="U186" s="19"/>
    </row>
    <row r="187" spans="1:21" ht="18" x14ac:dyDescent="0.3">
      <c r="A187" s="27"/>
      <c r="B187" s="146"/>
      <c r="C187" s="147"/>
      <c r="D187" s="148"/>
      <c r="E187" s="148"/>
      <c r="F187" s="148"/>
      <c r="G187" s="149"/>
      <c r="H187" s="8"/>
      <c r="I187" s="8"/>
      <c r="J187" s="8"/>
      <c r="K187" s="152"/>
      <c r="L187" s="151" t="str">
        <f>IFERROR(VLOOKUP(K187,'LISTA ITEMS (2)'!$E$2:$G$910,2,FALSE)," ")</f>
        <v xml:space="preserve"> </v>
      </c>
      <c r="M187" s="6" t="str">
        <f>IFERROR(VLOOKUP(K187,'LISTA ITEMS (2)'!$E$2:$G$910,3,FALSE)," ")</f>
        <v xml:space="preserve"> </v>
      </c>
      <c r="N187" s="153"/>
      <c r="O187" s="153"/>
      <c r="P187" s="125"/>
      <c r="Q187" s="156"/>
      <c r="U187" s="19"/>
    </row>
    <row r="188" spans="1:21" ht="18" x14ac:dyDescent="0.3">
      <c r="A188" s="27"/>
      <c r="B188" s="146"/>
      <c r="C188" s="147"/>
      <c r="D188" s="148"/>
      <c r="E188" s="148"/>
      <c r="F188" s="148"/>
      <c r="G188" s="149"/>
      <c r="H188" s="8"/>
      <c r="I188" s="8"/>
      <c r="J188" s="8"/>
      <c r="K188" s="152"/>
      <c r="L188" s="151" t="str">
        <f>IFERROR(VLOOKUP(K188,'LISTA ITEMS (2)'!$E$2:$G$910,2,FALSE)," ")</f>
        <v xml:space="preserve"> </v>
      </c>
      <c r="M188" s="6" t="str">
        <f>IFERROR(VLOOKUP(K188,'LISTA ITEMS (2)'!$E$2:$G$910,3,FALSE)," ")</f>
        <v xml:space="preserve"> </v>
      </c>
      <c r="N188" s="153"/>
      <c r="O188" s="153"/>
      <c r="P188" s="125"/>
      <c r="Q188" s="156"/>
      <c r="U188" s="19"/>
    </row>
    <row r="189" spans="1:21" ht="18" x14ac:dyDescent="0.3">
      <c r="A189" s="27"/>
      <c r="B189" s="146"/>
      <c r="C189" s="147"/>
      <c r="D189" s="148"/>
      <c r="E189" s="148"/>
      <c r="F189" s="148"/>
      <c r="G189" s="149"/>
      <c r="H189" s="8"/>
      <c r="I189" s="8"/>
      <c r="J189" s="8"/>
      <c r="K189" s="152"/>
      <c r="L189" s="151" t="str">
        <f>IFERROR(VLOOKUP(K189,'LISTA ITEMS (2)'!$E$2:$G$910,2,FALSE)," ")</f>
        <v xml:space="preserve"> </v>
      </c>
      <c r="M189" s="6" t="str">
        <f>IFERROR(VLOOKUP(K189,'LISTA ITEMS (2)'!$E$2:$G$910,3,FALSE)," ")</f>
        <v xml:space="preserve"> </v>
      </c>
      <c r="N189" s="153"/>
      <c r="O189" s="153"/>
      <c r="P189" s="125"/>
      <c r="Q189" s="156"/>
      <c r="U189" s="19"/>
    </row>
    <row r="190" spans="1:21" ht="18" x14ac:dyDescent="0.3">
      <c r="A190" s="27"/>
      <c r="B190" s="146"/>
      <c r="C190" s="147"/>
      <c r="D190" s="148"/>
      <c r="E190" s="148"/>
      <c r="F190" s="148"/>
      <c r="G190" s="149"/>
      <c r="H190" s="8"/>
      <c r="I190" s="8"/>
      <c r="J190" s="8"/>
      <c r="K190" s="152"/>
      <c r="L190" s="151" t="str">
        <f>IFERROR(VLOOKUP(K190,'LISTA ITEMS (2)'!$E$2:$G$910,2,FALSE)," ")</f>
        <v xml:space="preserve"> </v>
      </c>
      <c r="M190" s="6" t="str">
        <f>IFERROR(VLOOKUP(K190,'LISTA ITEMS (2)'!$E$2:$G$910,3,FALSE)," ")</f>
        <v xml:space="preserve"> </v>
      </c>
      <c r="N190" s="153"/>
      <c r="O190" s="153"/>
      <c r="P190" s="125"/>
      <c r="Q190" s="156"/>
      <c r="U190" s="19"/>
    </row>
    <row r="191" spans="1:21" ht="18" x14ac:dyDescent="0.3">
      <c r="A191" s="27"/>
      <c r="B191" s="146"/>
      <c r="C191" s="147"/>
      <c r="D191" s="148"/>
      <c r="E191" s="148"/>
      <c r="F191" s="148"/>
      <c r="G191" s="149"/>
      <c r="H191" s="8"/>
      <c r="I191" s="8"/>
      <c r="J191" s="8"/>
      <c r="K191" s="152"/>
      <c r="L191" s="151" t="str">
        <f>IFERROR(VLOOKUP(K191,'LISTA ITEMS (2)'!$E$2:$G$910,2,FALSE)," ")</f>
        <v xml:space="preserve"> </v>
      </c>
      <c r="M191" s="6" t="str">
        <f>IFERROR(VLOOKUP(K191,'LISTA ITEMS (2)'!$E$2:$G$910,3,FALSE)," ")</f>
        <v xml:space="preserve"> </v>
      </c>
      <c r="N191" s="153"/>
      <c r="O191" s="153"/>
      <c r="P191" s="125"/>
      <c r="Q191" s="156"/>
      <c r="U191" s="19"/>
    </row>
    <row r="192" spans="1:21" ht="18" x14ac:dyDescent="0.3">
      <c r="A192" s="27"/>
      <c r="B192" s="146"/>
      <c r="C192" s="147"/>
      <c r="D192" s="148"/>
      <c r="E192" s="148"/>
      <c r="F192" s="148"/>
      <c r="G192" s="149"/>
      <c r="H192" s="8"/>
      <c r="I192" s="8"/>
      <c r="J192" s="8"/>
      <c r="K192" s="152"/>
      <c r="L192" s="151" t="str">
        <f>IFERROR(VLOOKUP(K192,'LISTA ITEMS (2)'!$E$2:$G$910,2,FALSE)," ")</f>
        <v xml:space="preserve"> </v>
      </c>
      <c r="M192" s="6" t="str">
        <f>IFERROR(VLOOKUP(K192,'LISTA ITEMS (2)'!$E$2:$G$910,3,FALSE)," ")</f>
        <v xml:space="preserve"> </v>
      </c>
      <c r="N192" s="153"/>
      <c r="O192" s="153"/>
      <c r="P192" s="125"/>
      <c r="Q192" s="156"/>
      <c r="U192" s="19"/>
    </row>
    <row r="193" spans="1:21" ht="18" x14ac:dyDescent="0.3">
      <c r="A193" s="27"/>
      <c r="B193" s="146"/>
      <c r="C193" s="147"/>
      <c r="D193" s="148"/>
      <c r="E193" s="148"/>
      <c r="F193" s="148"/>
      <c r="G193" s="149"/>
      <c r="H193" s="8"/>
      <c r="I193" s="8"/>
      <c r="J193" s="8"/>
      <c r="K193" s="152"/>
      <c r="L193" s="151" t="str">
        <f>IFERROR(VLOOKUP(K193,'LISTA ITEMS (2)'!$E$2:$G$910,2,FALSE)," ")</f>
        <v xml:space="preserve"> </v>
      </c>
      <c r="M193" s="6" t="str">
        <f>IFERROR(VLOOKUP(K193,'LISTA ITEMS (2)'!$E$2:$G$910,3,FALSE)," ")</f>
        <v xml:space="preserve"> </v>
      </c>
      <c r="N193" s="153"/>
      <c r="O193" s="153"/>
      <c r="P193" s="125"/>
      <c r="Q193" s="156"/>
      <c r="U193" s="19"/>
    </row>
    <row r="194" spans="1:21" ht="18" x14ac:dyDescent="0.3">
      <c r="A194" s="27"/>
      <c r="B194" s="146"/>
      <c r="C194" s="147"/>
      <c r="D194" s="148"/>
      <c r="E194" s="148"/>
      <c r="F194" s="148"/>
      <c r="G194" s="149"/>
      <c r="H194" s="8"/>
      <c r="I194" s="8"/>
      <c r="J194" s="8"/>
      <c r="K194" s="152"/>
      <c r="L194" s="151" t="str">
        <f>IFERROR(VLOOKUP(K194,'LISTA ITEMS (2)'!$E$2:$G$910,2,FALSE)," ")</f>
        <v xml:space="preserve"> </v>
      </c>
      <c r="M194" s="6" t="str">
        <f>IFERROR(VLOOKUP(K194,'LISTA ITEMS (2)'!$E$2:$G$910,3,FALSE)," ")</f>
        <v xml:space="preserve"> </v>
      </c>
      <c r="N194" s="153"/>
      <c r="O194" s="153"/>
      <c r="P194" s="125"/>
      <c r="Q194" s="156"/>
      <c r="U194" s="19"/>
    </row>
    <row r="195" spans="1:21" ht="18" x14ac:dyDescent="0.3">
      <c r="A195" s="27">
        <v>507</v>
      </c>
      <c r="B195" s="65"/>
      <c r="C195" s="94" t="s">
        <v>7</v>
      </c>
      <c r="D195" s="20" t="s">
        <v>7</v>
      </c>
      <c r="E195" s="20" t="s">
        <v>7</v>
      </c>
      <c r="F195" s="20" t="s">
        <v>7</v>
      </c>
      <c r="G195" s="28" t="s">
        <v>7</v>
      </c>
      <c r="H195" s="16" t="s">
        <v>7</v>
      </c>
      <c r="I195" s="16" t="s">
        <v>7</v>
      </c>
      <c r="J195" s="16" t="s">
        <v>7</v>
      </c>
      <c r="K195" s="39" t="str">
        <f>CONCATENATE(H195,"-",I195,"-",J195)</f>
        <v>X-X-X</v>
      </c>
      <c r="L195" s="17" t="str">
        <f>IFERROR(VLOOKUP(K195,'LISTA ITEMS (2)'!$E$2:$G$910,2,FALSE)," ")</f>
        <v xml:space="preserve"> </v>
      </c>
      <c r="M195" s="30" t="str">
        <f>IFERROR(VLOOKUP(K195,'LISTA ITEMS (2)'!$E$2:$G$910,3,FALSE)," ")</f>
        <v xml:space="preserve"> </v>
      </c>
      <c r="N195" s="20" t="s">
        <v>7</v>
      </c>
      <c r="O195" s="20" t="s">
        <v>7</v>
      </c>
      <c r="P195" s="125"/>
      <c r="Q195" s="156" t="s">
        <v>7</v>
      </c>
      <c r="U195" s="19"/>
    </row>
  </sheetData>
  <autoFilter ref="A2:W195" xr:uid="{BACABD44-AE50-482C-8C0A-0E6AB6EC144D}">
    <sortState xmlns:xlrd2="http://schemas.microsoft.com/office/spreadsheetml/2017/richdata2" ref="A3:W195">
      <sortCondition ref="A2:A195"/>
    </sortState>
  </autoFilter>
  <mergeCells count="3">
    <mergeCell ref="A1:D1"/>
    <mergeCell ref="E1:O1"/>
    <mergeCell ref="V1:W1"/>
  </mergeCells>
  <conditionalFormatting sqref="S1 S2:T1048576">
    <cfRule type="duplicateValues" dxfId="1" priority="2"/>
  </conditionalFormatting>
  <conditionalFormatting sqref="V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6E2E-5E32-4277-99F0-3366564E3334}">
  <sheetPr>
    <tabColor rgb="FF92D050"/>
  </sheetPr>
  <dimension ref="A1:M39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6.5546875" style="55" customWidth="1"/>
    <col min="7" max="7" width="7.6640625" style="56" bestFit="1" customWidth="1"/>
    <col min="8" max="8" width="8.88671875" style="55" customWidth="1"/>
    <col min="9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3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466</v>
      </c>
      <c r="D2" s="283"/>
      <c r="E2" s="283"/>
      <c r="F2" s="291"/>
      <c r="G2" s="292" t="s">
        <v>355</v>
      </c>
      <c r="H2" s="290"/>
      <c r="I2" s="62">
        <v>5</v>
      </c>
      <c r="J2" s="69"/>
      <c r="K2" s="110" t="s">
        <v>554</v>
      </c>
      <c r="L2" s="110" t="s">
        <v>523</v>
      </c>
      <c r="M2" s="74"/>
    </row>
    <row r="3" spans="1:13" s="51" customFormat="1" ht="39.6" customHeight="1" x14ac:dyDescent="0.3">
      <c r="A3" s="278" t="s">
        <v>258</v>
      </c>
      <c r="B3" s="280"/>
      <c r="C3" s="293" t="s">
        <v>467</v>
      </c>
      <c r="D3" s="294"/>
      <c r="E3" s="68"/>
      <c r="F3" s="61" t="s">
        <v>353</v>
      </c>
      <c r="G3" s="295" t="s">
        <v>369</v>
      </c>
      <c r="H3" s="296"/>
      <c r="I3" s="77">
        <v>46059</v>
      </c>
      <c r="J3" s="70"/>
      <c r="K3" s="74"/>
      <c r="L3" s="74"/>
      <c r="M3" s="74"/>
    </row>
    <row r="4" spans="1:13" s="54" customFormat="1" ht="37.950000000000003" customHeight="1" x14ac:dyDescent="0.3">
      <c r="A4" s="63" t="s">
        <v>9</v>
      </c>
      <c r="B4" s="281" t="s">
        <v>348</v>
      </c>
      <c r="C4" s="281"/>
      <c r="D4" s="281"/>
      <c r="E4" s="52"/>
      <c r="F4" s="52" t="s">
        <v>4</v>
      </c>
      <c r="G4" s="53" t="s">
        <v>351</v>
      </c>
      <c r="H4" s="52" t="s">
        <v>265</v>
      </c>
      <c r="I4" s="58" t="s">
        <v>352</v>
      </c>
      <c r="J4" s="71" t="s">
        <v>365</v>
      </c>
      <c r="K4" s="65" t="s">
        <v>367</v>
      </c>
      <c r="L4" s="73" t="s">
        <v>366</v>
      </c>
      <c r="M4" s="52" t="s">
        <v>375</v>
      </c>
    </row>
    <row r="5" spans="1:13" s="15" customFormat="1" ht="31.95" customHeight="1" x14ac:dyDescent="0.3">
      <c r="A5" s="12">
        <v>1</v>
      </c>
      <c r="B5" s="12">
        <v>16</v>
      </c>
      <c r="C5" s="12">
        <v>53</v>
      </c>
      <c r="D5" s="12">
        <v>290</v>
      </c>
      <c r="E5" s="12" t="str">
        <f>CONCATENATE(B5,"-",C5,"-",D5)</f>
        <v>16-53-290</v>
      </c>
      <c r="F5" s="64" t="str">
        <f>IFERROR(VLOOKUP(E5,'LISTA ITEMS (2)'!$E$2:$G$910,2,FALSE)," ")</f>
        <v>PINCHO DE COMUNICACIÓN WIFI SHINEWILAN X2 (GROWATT)</v>
      </c>
      <c r="G5" s="79" t="str">
        <f>IFERROR(VLOOKUP(E5,'LISTA ITEMS (2)'!$E$2:$G$910,3,FALSE)," ")</f>
        <v>UND</v>
      </c>
      <c r="H5" s="59">
        <v>1</v>
      </c>
      <c r="I5" s="12" t="s">
        <v>356</v>
      </c>
      <c r="J5" s="76"/>
      <c r="K5" s="72"/>
      <c r="L5" s="75">
        <f>+H5-K5</f>
        <v>1</v>
      </c>
      <c r="M5" s="12" t="s">
        <v>461</v>
      </c>
    </row>
    <row r="6" spans="1:13" s="15" customFormat="1" ht="31.95" customHeight="1" x14ac:dyDescent="0.3">
      <c r="A6" s="12">
        <v>2</v>
      </c>
      <c r="B6" s="12">
        <v>16</v>
      </c>
      <c r="C6" s="12">
        <v>52</v>
      </c>
      <c r="D6" s="12">
        <v>293</v>
      </c>
      <c r="E6" s="12" t="str">
        <f t="shared" ref="E6:E37" si="0">CONCATENATE(B6,"-",C6,"-",D6)</f>
        <v>16-52-293</v>
      </c>
      <c r="F6" s="64" t="str">
        <f>IFERROR(VLOOKUP(E6,'LISTA ITEMS (2)'!$E$2:$G$910,2,FALSE)," ")</f>
        <v>TERMICO EPBE63M1NC63M1NC32 1P+N C32 (MAXGE)</v>
      </c>
      <c r="G6" s="79" t="str">
        <f>IFERROR(VLOOKUP(E6,'LISTA ITEMS (2)'!$E$2:$G$910,3,FALSE)," ")</f>
        <v>UND</v>
      </c>
      <c r="H6" s="59">
        <v>2</v>
      </c>
      <c r="I6" s="12" t="s">
        <v>356</v>
      </c>
      <c r="J6" s="76"/>
      <c r="K6" s="72"/>
      <c r="L6" s="75">
        <f t="shared" ref="L6:L36" si="1">+H6-K6</f>
        <v>2</v>
      </c>
      <c r="M6" s="12"/>
    </row>
    <row r="7" spans="1:13" s="15" customFormat="1" ht="31.95" customHeight="1" x14ac:dyDescent="0.3">
      <c r="A7" s="12">
        <v>3</v>
      </c>
      <c r="B7" s="12">
        <v>16</v>
      </c>
      <c r="C7" s="12">
        <v>47</v>
      </c>
      <c r="D7" s="12">
        <v>318</v>
      </c>
      <c r="E7" s="12" t="str">
        <f t="shared" si="0"/>
        <v>16-47-318</v>
      </c>
      <c r="F7" s="64" t="str">
        <f>IFERROR(VLOOKUP(E7,'LISTA ITEMS (2)'!$E$2:$G$910,2,FALSE)," ")</f>
        <v>DIFERENCIAL EPR2A040030 2P-40A-30mA (MAXGE)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si="1"/>
        <v>1</v>
      </c>
      <c r="M7" s="12"/>
    </row>
    <row r="8" spans="1:13" s="15" customFormat="1" ht="31.95" customHeight="1" x14ac:dyDescent="0.3">
      <c r="A8" s="12">
        <v>4</v>
      </c>
      <c r="B8" s="12">
        <v>16</v>
      </c>
      <c r="C8" s="12">
        <v>49</v>
      </c>
      <c r="D8" s="12">
        <v>288</v>
      </c>
      <c r="E8" s="12" t="str">
        <f t="shared" si="0"/>
        <v>16-49-288</v>
      </c>
      <c r="F8" s="64" t="str">
        <f>IFERROR(VLOOKUP(E8,'LISTA ITEMS (2)'!$E$2:$G$910,2,FALSE)," ")</f>
        <v>CONTACTOR MODULAR EPC1-6322-P7 (MAXGE)</v>
      </c>
      <c r="G8" s="79" t="str">
        <f>IFERROR(VLOOKUP(E8,'LISTA ITEMS (2)'!$E$2:$G$910,3,FALSE)," ")</f>
        <v>UND</v>
      </c>
      <c r="H8" s="59">
        <v>1</v>
      </c>
      <c r="I8" s="12" t="s">
        <v>356</v>
      </c>
      <c r="J8" s="76"/>
      <c r="K8" s="72"/>
      <c r="L8" s="75">
        <f t="shared" si="1"/>
        <v>1</v>
      </c>
      <c r="M8" s="12"/>
    </row>
    <row r="9" spans="1:13" s="15" customFormat="1" ht="31.95" customHeight="1" x14ac:dyDescent="0.3">
      <c r="A9" s="12">
        <v>5</v>
      </c>
      <c r="B9" s="12">
        <v>16</v>
      </c>
      <c r="C9" s="12">
        <v>51</v>
      </c>
      <c r="D9" s="12">
        <v>309</v>
      </c>
      <c r="E9" s="12" t="str">
        <f t="shared" si="0"/>
        <v>16-51-309</v>
      </c>
      <c r="F9" s="64" t="str">
        <f>IFERROR(VLOOKUP(E9,'LISTA ITEMS (2)'!$E$2:$G$910,2,FALSE)," ")</f>
        <v>LIMITADOR MONOFASICO EPS1 C/2 - 275-40 (MAXGE)</v>
      </c>
      <c r="G9" s="79" t="str">
        <f>IFERROR(VLOOKUP(E9,'LISTA ITEMS (2)'!$E$2:$G$910,3,FALSE)," ")</f>
        <v>UND</v>
      </c>
      <c r="H9" s="59">
        <v>1</v>
      </c>
      <c r="I9" s="12" t="s">
        <v>356</v>
      </c>
      <c r="J9" s="76"/>
      <c r="K9" s="72"/>
      <c r="L9" s="75">
        <f t="shared" si="1"/>
        <v>1</v>
      </c>
      <c r="M9" s="12"/>
    </row>
    <row r="10" spans="1:13" s="15" customFormat="1" ht="31.95" customHeight="1" x14ac:dyDescent="0.3">
      <c r="A10" s="12">
        <v>6</v>
      </c>
      <c r="B10" s="12">
        <v>16</v>
      </c>
      <c r="C10" s="12">
        <v>53</v>
      </c>
      <c r="D10" s="12">
        <v>289</v>
      </c>
      <c r="E10" s="12" t="str">
        <f t="shared" si="0"/>
        <v>16-53-289</v>
      </c>
      <c r="F10" s="64" t="str">
        <f>IFERROR(VLOOKUP(E10,'LISTA ITEMS (2)'!$E$2:$G$910,2,FALSE)," ")</f>
        <v>PINCHO DE COMUNICACIÓN WIFI SHINEWILAN X (GROWATT)</v>
      </c>
      <c r="G10" s="79" t="str">
        <f>IFERROR(VLOOKUP(E10,'LISTA ITEMS (2)'!$E$2:$G$910,3,FALSE)," ")</f>
        <v>UND</v>
      </c>
      <c r="H10" s="59">
        <v>1</v>
      </c>
      <c r="I10" s="12" t="s">
        <v>356</v>
      </c>
      <c r="J10" s="76"/>
      <c r="K10" s="72"/>
      <c r="L10" s="75">
        <f t="shared" si="1"/>
        <v>1</v>
      </c>
      <c r="M10" s="12" t="s">
        <v>462</v>
      </c>
    </row>
    <row r="11" spans="1:13" s="15" customFormat="1" ht="31.95" customHeight="1" x14ac:dyDescent="0.3">
      <c r="A11" s="12">
        <v>7</v>
      </c>
      <c r="B11" s="12">
        <v>16</v>
      </c>
      <c r="C11" s="12">
        <v>45</v>
      </c>
      <c r="D11" s="12">
        <v>275</v>
      </c>
      <c r="E11" s="12" t="str">
        <f t="shared" si="0"/>
        <v>16-45-275</v>
      </c>
      <c r="F11" s="64" t="str">
        <f>IFERROR(VLOOKUP(E11,'LISTA ITEMS (2)'!$E$2:$G$910,2,FALSE)," ")</f>
        <v>CAJA DISTRIBUCION INTERIOR 18 ELEM. (SOLERA)</v>
      </c>
      <c r="G11" s="79" t="str">
        <f>IFERROR(VLOOKUP(E11,'LISTA ITEMS (2)'!$E$2:$G$910,3,FALSE)," ")</f>
        <v>UND</v>
      </c>
      <c r="H11" s="59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8</v>
      </c>
      <c r="B12" s="12">
        <v>16</v>
      </c>
      <c r="C12" s="12">
        <v>45</v>
      </c>
      <c r="D12" s="12">
        <v>276</v>
      </c>
      <c r="E12" s="12" t="str">
        <f t="shared" si="0"/>
        <v>16-45-276</v>
      </c>
      <c r="F12" s="64" t="str">
        <f>IFERROR(VLOOKUP(E12,'LISTA ITEMS (2)'!$E$2:$G$910,2,FALSE)," ")</f>
        <v>CAJA ESTANCA (COCHERA) EXTERIOR 18PT (IDE)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9</v>
      </c>
      <c r="B13" s="12">
        <v>16</v>
      </c>
      <c r="C13" s="12">
        <v>45</v>
      </c>
      <c r="D13" s="12">
        <v>317</v>
      </c>
      <c r="E13" s="12" t="str">
        <f t="shared" si="0"/>
        <v>16-45-317</v>
      </c>
      <c r="F13" s="64" t="str">
        <f>IFERROR(VLOOKUP(E13,'LISTA ITEMS (2)'!$E$2:$G$910,2,FALSE)," ")</f>
        <v>CAJA DISTRIBUCION INTERIOR 8 ELEM. (SOLERA)</v>
      </c>
      <c r="G13" s="79" t="str">
        <f>IFERROR(VLOOKUP(E13,'LISTA ITEMS (2)'!$E$2:$G$910,3,FALSE)," ")</f>
        <v>UND</v>
      </c>
      <c r="H13" s="59">
        <v>1</v>
      </c>
      <c r="I13" s="12" t="s">
        <v>356</v>
      </c>
      <c r="J13" s="72"/>
      <c r="K13" s="72"/>
      <c r="L13" s="75">
        <f t="shared" si="1"/>
        <v>1</v>
      </c>
      <c r="M13" s="12"/>
    </row>
    <row r="14" spans="1:13" s="15" customFormat="1" ht="31.95" customHeight="1" x14ac:dyDescent="0.3">
      <c r="A14" s="12">
        <v>10</v>
      </c>
      <c r="B14" s="12">
        <v>3</v>
      </c>
      <c r="C14" s="12">
        <v>31</v>
      </c>
      <c r="D14" s="12">
        <v>211</v>
      </c>
      <c r="E14" s="12" t="str">
        <f t="shared" si="0"/>
        <v>3-31-211</v>
      </c>
      <c r="F14" s="64" t="str">
        <f>IFERROR(VLOOKUP(E14,'LISTA ITEMS (2)'!$E$2:$G$910,2,FALSE)," ")</f>
        <v>CABLE Nª 6 C/ALTERNA VERDE/AMARILLO</v>
      </c>
      <c r="G14" s="79" t="str">
        <f>IFERROR(VLOOKUP(E14,'LISTA ITEMS (2)'!$E$2:$G$910,3,FALSE)," ")</f>
        <v>MT</v>
      </c>
      <c r="H14" s="59">
        <v>100</v>
      </c>
      <c r="I14" s="12" t="s">
        <v>356</v>
      </c>
      <c r="J14" s="76"/>
      <c r="K14" s="72"/>
      <c r="L14" s="75">
        <f t="shared" si="1"/>
        <v>100</v>
      </c>
      <c r="M14" s="12"/>
    </row>
    <row r="15" spans="1:13" s="15" customFormat="1" ht="31.95" customHeight="1" x14ac:dyDescent="0.3">
      <c r="A15" s="12">
        <v>11</v>
      </c>
      <c r="B15" s="12">
        <v>3</v>
      </c>
      <c r="C15" s="12">
        <v>31</v>
      </c>
      <c r="D15" s="12">
        <v>212</v>
      </c>
      <c r="E15" s="12" t="str">
        <f t="shared" si="0"/>
        <v>3-31-212</v>
      </c>
      <c r="F15" s="64" t="str">
        <f>IFERROR(VLOOKUP(E15,'LISTA ITEMS (2)'!$E$2:$G$910,2,FALSE)," ")</f>
        <v>CABLE Nª 6 C/ALTERNA AZUL</v>
      </c>
      <c r="G15" s="79" t="str">
        <f>IFERROR(VLOOKUP(E15,'LISTA ITEMS (2)'!$E$2:$G$910,3,FALSE)," ")</f>
        <v>MT</v>
      </c>
      <c r="H15" s="59">
        <v>100</v>
      </c>
      <c r="I15" s="12" t="s">
        <v>356</v>
      </c>
      <c r="J15" s="72"/>
      <c r="K15" s="72"/>
      <c r="L15" s="75">
        <f t="shared" si="1"/>
        <v>100</v>
      </c>
      <c r="M15" s="12"/>
    </row>
    <row r="16" spans="1:13" s="15" customFormat="1" ht="31.95" customHeight="1" x14ac:dyDescent="0.3">
      <c r="A16" s="12">
        <v>12</v>
      </c>
      <c r="B16" s="12">
        <v>7</v>
      </c>
      <c r="C16" s="12">
        <v>35</v>
      </c>
      <c r="D16" s="12">
        <v>286</v>
      </c>
      <c r="E16" s="12" t="str">
        <f t="shared" si="0"/>
        <v>7-35-286</v>
      </c>
      <c r="F16" s="64" t="str">
        <f>IFERROR(VLOOKUP(E16,'LISTA ITEMS (2)'!$E$2:$G$910,2,FALSE)," ")</f>
        <v>INVERSOR SPH 6000TL BL-UP 6KW (GROWATT)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6"/>
      <c r="K16" s="72"/>
      <c r="L16" s="75">
        <f t="shared" si="1"/>
        <v>1</v>
      </c>
      <c r="M16" s="12" t="s">
        <v>463</v>
      </c>
    </row>
    <row r="17" spans="1:13" s="15" customFormat="1" ht="31.95" customHeight="1" x14ac:dyDescent="0.3">
      <c r="A17" s="12">
        <v>13</v>
      </c>
      <c r="B17" s="12">
        <v>7</v>
      </c>
      <c r="C17" s="12">
        <v>54</v>
      </c>
      <c r="D17" s="12">
        <v>295</v>
      </c>
      <c r="E17" s="12" t="str">
        <f t="shared" si="0"/>
        <v>7-54-295</v>
      </c>
      <c r="F17" s="64" t="str">
        <f>IFERROR(VLOOKUP(E17,'LISTA ITEMS (2)'!$E$2:$G$910,2,FALSE)," ")</f>
        <v>BATERIA LFP LITHIUM DL5.OC (DYNESS)</v>
      </c>
      <c r="G17" s="79" t="str">
        <f>IFERROR(VLOOKUP(E17,'LISTA ITEMS (2)'!$E$2:$G$910,3,FALSE)," ")</f>
        <v>UND</v>
      </c>
      <c r="H17" s="59">
        <v>1</v>
      </c>
      <c r="I17" s="12" t="s">
        <v>356</v>
      </c>
      <c r="J17" s="76"/>
      <c r="K17" s="72"/>
      <c r="L17" s="75">
        <f t="shared" si="1"/>
        <v>1</v>
      </c>
      <c r="M17" s="85" t="s">
        <v>464</v>
      </c>
    </row>
    <row r="18" spans="1:13" s="15" customFormat="1" ht="31.95" customHeight="1" x14ac:dyDescent="0.3">
      <c r="A18" s="12">
        <v>14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12"/>
    </row>
    <row r="19" spans="1:13" s="15" customFormat="1" ht="31.95" hidden="1" customHeight="1" x14ac:dyDescent="0.3">
      <c r="A19" s="12">
        <v>15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hidden="1" customHeight="1" x14ac:dyDescent="0.3">
      <c r="A20" s="12">
        <v>16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2"/>
      <c r="K20" s="72"/>
      <c r="L20" s="75">
        <v>1</v>
      </c>
      <c r="M20" s="12"/>
    </row>
    <row r="21" spans="1:13" s="15" customFormat="1" ht="31.95" hidden="1" customHeight="1" x14ac:dyDescent="0.3">
      <c r="A21" s="12">
        <v>17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f t="shared" si="1"/>
        <v>0</v>
      </c>
      <c r="M21" s="12"/>
    </row>
    <row r="22" spans="1:13" s="15" customFormat="1" ht="31.95" hidden="1" customHeight="1" x14ac:dyDescent="0.3">
      <c r="A22" s="12">
        <v>18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hidden="1" customHeight="1" x14ac:dyDescent="0.3">
      <c r="A23" s="12">
        <v>19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hidden="1" customHeight="1" x14ac:dyDescent="0.3">
      <c r="A24" s="12">
        <v>20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hidden="1" customHeight="1" x14ac:dyDescent="0.3">
      <c r="A25" s="12">
        <v>21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6"/>
      <c r="K25" s="72"/>
      <c r="L25" s="75">
        <f t="shared" si="1"/>
        <v>0</v>
      </c>
      <c r="M25" s="12"/>
    </row>
    <row r="26" spans="1:13" s="15" customFormat="1" ht="31.95" hidden="1" customHeight="1" x14ac:dyDescent="0.3">
      <c r="A26" s="12">
        <v>22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hidden="1" customHeight="1" x14ac:dyDescent="0.3">
      <c r="A27" s="12">
        <v>23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18" hidden="1" x14ac:dyDescent="0.3">
      <c r="A28" s="12">
        <v>24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84"/>
    </row>
    <row r="29" spans="1:13" s="15" customFormat="1" ht="31.95" hidden="1" customHeight="1" x14ac:dyDescent="0.3">
      <c r="A29" s="12">
        <v>25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12"/>
    </row>
    <row r="30" spans="1:13" s="15" customFormat="1" ht="31.95" hidden="1" customHeight="1" x14ac:dyDescent="0.3">
      <c r="A30" s="12">
        <v>26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27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28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2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29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30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31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32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33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/>
      <c r="J37" s="76"/>
      <c r="K37" s="72"/>
      <c r="L37" s="75"/>
      <c r="M37" s="12"/>
    </row>
    <row r="38" spans="1:13" ht="2.4" customHeight="1" x14ac:dyDescent="0.3"/>
    <row r="39" spans="1:13" ht="45" customHeight="1" x14ac:dyDescent="0.3">
      <c r="A39" s="305" t="s">
        <v>465</v>
      </c>
      <c r="B39" s="306"/>
      <c r="C39" s="306"/>
      <c r="D39" s="306"/>
      <c r="E39" s="306"/>
      <c r="F39" s="306"/>
      <c r="G39" s="306"/>
      <c r="H39" s="306"/>
      <c r="I39" s="307"/>
    </row>
  </sheetData>
  <mergeCells count="11">
    <mergeCell ref="A1:B1"/>
    <mergeCell ref="C1:F1"/>
    <mergeCell ref="G1:H1"/>
    <mergeCell ref="A2:B2"/>
    <mergeCell ref="C2:F2"/>
    <mergeCell ref="G2:H2"/>
    <mergeCell ref="A3:B3"/>
    <mergeCell ref="C3:D3"/>
    <mergeCell ref="G3:H3"/>
    <mergeCell ref="B4:D4"/>
    <mergeCell ref="A39:I39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D553-B5D8-48CD-A0B5-A5D62BDBA705}">
  <sheetPr>
    <tabColor rgb="FF92D050"/>
  </sheetPr>
  <dimension ref="A1:M40"/>
  <sheetViews>
    <sheetView zoomScale="70" zoomScaleNormal="70" workbookViewId="0">
      <selection activeCell="F14" sqref="F1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3.77734375" style="55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4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480</v>
      </c>
      <c r="D2" s="283"/>
      <c r="E2" s="283"/>
      <c r="F2" s="291"/>
      <c r="G2" s="292" t="s">
        <v>355</v>
      </c>
      <c r="H2" s="290"/>
      <c r="I2" s="62"/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00"/>
      <c r="D3" s="312"/>
      <c r="E3" s="68"/>
      <c r="F3" s="61" t="s">
        <v>353</v>
      </c>
      <c r="G3" s="295" t="s">
        <v>369</v>
      </c>
      <c r="H3" s="296"/>
      <c r="I3" s="127">
        <v>46058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483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 t="s">
        <v>484</v>
      </c>
      <c r="C6" s="12" t="s">
        <v>485</v>
      </c>
      <c r="D6" s="12" t="s">
        <v>486</v>
      </c>
      <c r="E6" s="12" t="str">
        <f>CONCATENATE(B6,"-",C6,"-",D6)</f>
        <v>3-31-209</v>
      </c>
      <c r="F6" s="64" t="str">
        <f>IFERROR(VLOOKUP(E6,'LISTA ITEMS (2)'!$E$2:$G$910,2,FALSE)," ")</f>
        <v>CABLE Nª 6 C/ALTERNA MARRON</v>
      </c>
      <c r="G6" s="79" t="str">
        <f>IFERROR(VLOOKUP(E6,'LISTA ITEMS (2)'!$E$2:$G$910,3,FALSE)," ")</f>
        <v>MT</v>
      </c>
      <c r="H6" s="59">
        <v>100</v>
      </c>
      <c r="I6" s="12" t="s">
        <v>356</v>
      </c>
      <c r="J6" s="76">
        <v>46062</v>
      </c>
      <c r="K6" s="72">
        <v>30</v>
      </c>
      <c r="L6" s="75">
        <f>+H6-K6</f>
        <v>70</v>
      </c>
      <c r="M6" s="12"/>
    </row>
    <row r="7" spans="1:13" s="15" customFormat="1" ht="31.95" customHeight="1" x14ac:dyDescent="0.3">
      <c r="A7" s="12">
        <v>2</v>
      </c>
      <c r="B7" s="12" t="s">
        <v>484</v>
      </c>
      <c r="C7" s="12" t="s">
        <v>485</v>
      </c>
      <c r="D7" s="12" t="s">
        <v>487</v>
      </c>
      <c r="E7" s="12" t="str">
        <f t="shared" ref="E7:E38" si="0">CONCATENATE(B7,"-",C7,"-",D7)</f>
        <v>3-31-210</v>
      </c>
      <c r="F7" s="64" t="str">
        <f>IFERROR(VLOOKUP(E7,'LISTA ITEMS (2)'!$E$2:$G$910,2,FALSE)," ")</f>
        <v>CABLE Nª 6 C/ALTERNA GRIS</v>
      </c>
      <c r="G7" s="79" t="str">
        <f>IFERROR(VLOOKUP(E7,'LISTA ITEMS (2)'!$E$2:$G$910,3,FALSE)," ")</f>
        <v>MT</v>
      </c>
      <c r="H7" s="59">
        <v>100</v>
      </c>
      <c r="I7" s="12" t="s">
        <v>356</v>
      </c>
      <c r="J7" s="76">
        <v>46062</v>
      </c>
      <c r="K7" s="72">
        <v>30</v>
      </c>
      <c r="L7" s="75">
        <f t="shared" ref="L7:L37" si="1">+H7-K7</f>
        <v>70</v>
      </c>
      <c r="M7" s="12"/>
    </row>
    <row r="8" spans="1:13" s="15" customFormat="1" ht="31.95" customHeight="1" x14ac:dyDescent="0.3">
      <c r="A8" s="12">
        <v>3</v>
      </c>
      <c r="B8" s="12" t="s">
        <v>484</v>
      </c>
      <c r="C8" s="12" t="s">
        <v>485</v>
      </c>
      <c r="D8" s="12" t="s">
        <v>488</v>
      </c>
      <c r="E8" s="12" t="str">
        <f t="shared" si="0"/>
        <v>3-31-212</v>
      </c>
      <c r="F8" s="64" t="str">
        <f>IFERROR(VLOOKUP(E8,'LISTA ITEMS (2)'!$E$2:$G$910,2,FALSE)," ")</f>
        <v>CABLE Nª 6 C/ALTERNA AZUL</v>
      </c>
      <c r="G8" s="79" t="str">
        <f>IFERROR(VLOOKUP(E8,'LISTA ITEMS (2)'!$E$2:$G$910,3,FALSE)," ")</f>
        <v>MT</v>
      </c>
      <c r="H8" s="59">
        <v>100</v>
      </c>
      <c r="I8" s="12" t="s">
        <v>356</v>
      </c>
      <c r="J8" s="76">
        <v>46062</v>
      </c>
      <c r="K8" s="72">
        <v>100</v>
      </c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 t="s">
        <v>484</v>
      </c>
      <c r="C9" s="12" t="s">
        <v>485</v>
      </c>
      <c r="D9" s="12" t="s">
        <v>489</v>
      </c>
      <c r="E9" s="12" t="str">
        <f t="shared" si="0"/>
        <v>3-31-213</v>
      </c>
      <c r="F9" s="64" t="str">
        <f>IFERROR(VLOOKUP(E9,'LISTA ITEMS (2)'!$E$2:$G$910,2,FALSE)," ")</f>
        <v>CABLE Nª 6 C/ALTERNA NEGRO</v>
      </c>
      <c r="G9" s="79" t="str">
        <f>IFERROR(VLOOKUP(E9,'LISTA ITEMS (2)'!$E$2:$G$910,3,FALSE)," ")</f>
        <v>MT</v>
      </c>
      <c r="H9" s="59">
        <v>100</v>
      </c>
      <c r="I9" s="12" t="s">
        <v>356</v>
      </c>
      <c r="J9" s="76">
        <v>46062</v>
      </c>
      <c r="K9" s="72">
        <v>100</v>
      </c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 t="s">
        <v>490</v>
      </c>
      <c r="C10" s="12" t="s">
        <v>491</v>
      </c>
      <c r="D10" s="12" t="s">
        <v>492</v>
      </c>
      <c r="E10" s="12" t="str">
        <f t="shared" si="0"/>
        <v>9-32-224</v>
      </c>
      <c r="F10" s="64" t="str">
        <f>IFERROR(VLOOKUP(E10,'LISTA ITEMS (2)'!$E$2:$G$910,2,FALSE)," ")</f>
        <v>CURVA PVC M-25 GRIS TIPO B</v>
      </c>
      <c r="G10" s="79" t="str">
        <f>IFERROR(VLOOKUP(E10,'LISTA ITEMS (2)'!$E$2:$G$910,3,FALSE)," ")</f>
        <v>UND</v>
      </c>
      <c r="H10" s="59">
        <v>20</v>
      </c>
      <c r="I10" s="12" t="s">
        <v>356</v>
      </c>
      <c r="J10" s="76"/>
      <c r="K10" s="72"/>
      <c r="L10" s="75">
        <f t="shared" si="1"/>
        <v>20</v>
      </c>
      <c r="M10" s="12"/>
    </row>
    <row r="11" spans="1:13" s="15" customFormat="1" ht="31.95" customHeight="1" x14ac:dyDescent="0.3">
      <c r="A11" s="12">
        <v>6</v>
      </c>
      <c r="B11" s="12" t="s">
        <v>484</v>
      </c>
      <c r="C11" s="12" t="s">
        <v>485</v>
      </c>
      <c r="D11" s="12" t="s">
        <v>493</v>
      </c>
      <c r="E11" s="12" t="str">
        <f t="shared" si="0"/>
        <v>3-31-221</v>
      </c>
      <c r="F11" s="64" t="str">
        <f>IFERROR(VLOOKUP(E11,'LISTA ITEMS (2)'!$E$2:$G$910,2,FALSE)," ")</f>
        <v>CABLE Nª 10 C/ALTERNA AZUL</v>
      </c>
      <c r="G11" s="79" t="str">
        <f>IFERROR(VLOOKUP(E11,'LISTA ITEMS (2)'!$E$2:$G$910,3,FALSE)," ")</f>
        <v>MT</v>
      </c>
      <c r="H11" s="59">
        <v>100</v>
      </c>
      <c r="I11" s="12" t="s">
        <v>356</v>
      </c>
      <c r="J11" s="76">
        <v>46062</v>
      </c>
      <c r="K11" s="72">
        <v>25</v>
      </c>
      <c r="L11" s="75">
        <f t="shared" si="1"/>
        <v>75</v>
      </c>
      <c r="M11" s="12"/>
    </row>
    <row r="12" spans="1:13" s="15" customFormat="1" ht="31.95" customHeight="1" x14ac:dyDescent="0.3">
      <c r="A12" s="12">
        <v>7</v>
      </c>
      <c r="B12" s="12" t="s">
        <v>484</v>
      </c>
      <c r="C12" s="12" t="s">
        <v>485</v>
      </c>
      <c r="D12" s="12" t="s">
        <v>494</v>
      </c>
      <c r="E12" s="12" t="str">
        <f t="shared" si="0"/>
        <v>3-31-220</v>
      </c>
      <c r="F12" s="64" t="str">
        <f>IFERROR(VLOOKUP(E12,'LISTA ITEMS (2)'!$E$2:$G$910,2,FALSE)," ")</f>
        <v>CABLE Nª 10 C/ALTERNA GRIS</v>
      </c>
      <c r="G12" s="79" t="str">
        <f>IFERROR(VLOOKUP(E12,'LISTA ITEMS (2)'!$E$2:$G$910,3,FALSE)," ")</f>
        <v>MT</v>
      </c>
      <c r="H12" s="59">
        <v>100</v>
      </c>
      <c r="I12" s="12" t="s">
        <v>356</v>
      </c>
      <c r="J12" s="76">
        <v>46062</v>
      </c>
      <c r="K12" s="72">
        <v>80</v>
      </c>
      <c r="L12" s="75">
        <f t="shared" si="1"/>
        <v>20</v>
      </c>
      <c r="M12" s="12"/>
    </row>
    <row r="13" spans="1:13" s="15" customFormat="1" ht="31.95" customHeight="1" x14ac:dyDescent="0.3">
      <c r="A13" s="12">
        <v>8</v>
      </c>
      <c r="B13" s="12" t="s">
        <v>484</v>
      </c>
      <c r="C13" s="12" t="s">
        <v>485</v>
      </c>
      <c r="D13" s="12" t="s">
        <v>495</v>
      </c>
      <c r="E13" s="12" t="str">
        <f t="shared" si="0"/>
        <v>3-31-219</v>
      </c>
      <c r="F13" s="64" t="str">
        <f>IFERROR(VLOOKUP(E13,'LISTA ITEMS (2)'!$E$2:$G$910,2,FALSE)," ")</f>
        <v>CABLE Nª 10 C/ALTERNA MARRON</v>
      </c>
      <c r="G13" s="79" t="str">
        <f>IFERROR(VLOOKUP(E13,'LISTA ITEMS (2)'!$E$2:$G$910,3,FALSE)," ")</f>
        <v>MT</v>
      </c>
      <c r="H13" s="59">
        <v>60</v>
      </c>
      <c r="I13" s="12" t="s">
        <v>356</v>
      </c>
      <c r="J13" s="76">
        <v>46062</v>
      </c>
      <c r="K13" s="72">
        <v>25</v>
      </c>
      <c r="L13" s="75">
        <f t="shared" si="1"/>
        <v>35</v>
      </c>
      <c r="M13" s="12"/>
    </row>
    <row r="14" spans="1:13" s="15" customFormat="1" ht="31.95" customHeight="1" x14ac:dyDescent="0.3">
      <c r="A14" s="12">
        <v>9</v>
      </c>
      <c r="B14" s="12" t="s">
        <v>484</v>
      </c>
      <c r="C14" s="12" t="s">
        <v>485</v>
      </c>
      <c r="D14" s="12" t="s">
        <v>496</v>
      </c>
      <c r="E14" s="12" t="str">
        <f t="shared" si="0"/>
        <v>3-31-222</v>
      </c>
      <c r="F14" s="64" t="str">
        <f>IFERROR(VLOOKUP(E14,'LISTA ITEMS (2)'!$E$2:$G$910,2,FALSE)," ")</f>
        <v>CABLE Nª 10 C/ALTERNA NEGRO</v>
      </c>
      <c r="G14" s="79" t="str">
        <f>IFERROR(VLOOKUP(E14,'LISTA ITEMS (2)'!$E$2:$G$910,3,FALSE)," ")</f>
        <v>MT</v>
      </c>
      <c r="H14" s="59">
        <v>80</v>
      </c>
      <c r="I14" s="12" t="s">
        <v>356</v>
      </c>
      <c r="J14" s="76">
        <v>46062</v>
      </c>
      <c r="K14" s="72">
        <v>25</v>
      </c>
      <c r="L14" s="75">
        <f t="shared" si="1"/>
        <v>55</v>
      </c>
      <c r="M14" s="12"/>
    </row>
    <row r="15" spans="1:13" s="15" customFormat="1" ht="31.95" customHeight="1" x14ac:dyDescent="0.3">
      <c r="A15" s="12">
        <v>10</v>
      </c>
      <c r="B15" s="12" t="s">
        <v>484</v>
      </c>
      <c r="C15" s="12" t="s">
        <v>485</v>
      </c>
      <c r="D15" s="12" t="s">
        <v>497</v>
      </c>
      <c r="E15" s="12" t="str">
        <f t="shared" si="0"/>
        <v>3-31-218</v>
      </c>
      <c r="F15" s="64" t="str">
        <f>IFERROR(VLOOKUP(E15,'LISTA ITEMS (2)'!$E$2:$G$910,2,FALSE)," ")</f>
        <v>CABLE Nª 10 C/ALTERNA VERDE/AMARILLO</v>
      </c>
      <c r="G15" s="79" t="str">
        <f>IFERROR(VLOOKUP(E15,'LISTA ITEMS (2)'!$E$2:$G$910,3,FALSE)," ")</f>
        <v>MT</v>
      </c>
      <c r="H15" s="59">
        <v>70</v>
      </c>
      <c r="I15" s="12" t="s">
        <v>356</v>
      </c>
      <c r="J15" s="76">
        <v>46062</v>
      </c>
      <c r="K15" s="72">
        <v>25</v>
      </c>
      <c r="L15" s="75">
        <f t="shared" si="1"/>
        <v>45</v>
      </c>
      <c r="M15" s="12"/>
    </row>
    <row r="16" spans="1:13" s="15" customFormat="1" ht="31.95" customHeight="1" x14ac:dyDescent="0.3">
      <c r="A16" s="12">
        <v>11</v>
      </c>
      <c r="B16" s="12" t="s">
        <v>498</v>
      </c>
      <c r="C16" s="12" t="s">
        <v>499</v>
      </c>
      <c r="D16" s="12" t="s">
        <v>500</v>
      </c>
      <c r="E16" s="12" t="str">
        <f t="shared" si="0"/>
        <v>13-22-184</v>
      </c>
      <c r="F16" s="64" t="str">
        <f>IFERROR(VLOOKUP(E16,'LISTA ITEMS (2)'!$E$2:$G$910,2,FALSE)," ")</f>
        <v>BRIDA P/EXTERIOR NEGRA</v>
      </c>
      <c r="G16" s="79" t="str">
        <f>IFERROR(VLOOKUP(E16,'LISTA ITEMS (2)'!$E$2:$G$910,3,FALSE)," ")</f>
        <v>UND</v>
      </c>
      <c r="H16" s="59">
        <v>100</v>
      </c>
      <c r="I16" s="12" t="s">
        <v>356</v>
      </c>
      <c r="J16" s="72"/>
      <c r="K16" s="72"/>
      <c r="L16" s="75">
        <f t="shared" si="1"/>
        <v>100</v>
      </c>
      <c r="M16" s="12"/>
    </row>
    <row r="17" spans="1:13" s="15" customFormat="1" ht="31.95" customHeight="1" x14ac:dyDescent="0.3">
      <c r="A17" s="12">
        <v>12</v>
      </c>
      <c r="B17" s="12" t="s">
        <v>498</v>
      </c>
      <c r="C17" s="12" t="s">
        <v>501</v>
      </c>
      <c r="D17" s="12" t="s">
        <v>502</v>
      </c>
      <c r="E17" s="12" t="str">
        <f t="shared" si="0"/>
        <v>13-21-181</v>
      </c>
      <c r="F17" s="64" t="str">
        <f>IFERROR(VLOOKUP(E17,'LISTA ITEMS (2)'!$E$2:$G$910,2,FALSE)," ")</f>
        <v>TACO P/BRIDA NEGRO</v>
      </c>
      <c r="G17" s="79" t="str">
        <f>IFERROR(VLOOKUP(E17,'LISTA ITEMS (2)'!$E$2:$G$910,3,FALSE)," ")</f>
        <v>UND</v>
      </c>
      <c r="H17" s="59">
        <v>100</v>
      </c>
      <c r="I17" s="12" t="s">
        <v>356</v>
      </c>
      <c r="J17" s="76"/>
      <c r="K17" s="72"/>
      <c r="L17" s="75">
        <f t="shared" si="1"/>
        <v>100</v>
      </c>
      <c r="M17" s="12"/>
    </row>
    <row r="18" spans="1:13" s="15" customFormat="1" ht="31.95" customHeight="1" x14ac:dyDescent="0.3">
      <c r="A18" s="12">
        <v>13</v>
      </c>
      <c r="B18" s="12" t="s">
        <v>503</v>
      </c>
      <c r="C18" s="12" t="s">
        <v>504</v>
      </c>
      <c r="D18" s="12" t="s">
        <v>505</v>
      </c>
      <c r="E18" s="12" t="str">
        <f t="shared" si="0"/>
        <v>16-47-280</v>
      </c>
      <c r="F18" s="64" t="str">
        <f>IFERROR(VLOOKUP(E18,'LISTA ITEMS (2)'!$E$2:$G$910,2,FALSE)," ")</f>
        <v>DIFERENCIAL EPR2A063030 2P-63A-30mA (MAXGE)</v>
      </c>
      <c r="G18" s="79" t="str">
        <f>IFERROR(VLOOKUP(E18,'LISTA ITEMS (2)'!$E$2:$G$910,3,FALSE)," ")</f>
        <v>UND</v>
      </c>
      <c r="H18" s="59">
        <v>1</v>
      </c>
      <c r="I18" s="12" t="s">
        <v>356</v>
      </c>
      <c r="J18" s="76"/>
      <c r="K18" s="72"/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 t="s">
        <v>503</v>
      </c>
      <c r="C19" s="12" t="s">
        <v>506</v>
      </c>
      <c r="D19" s="12" t="s">
        <v>507</v>
      </c>
      <c r="E19" s="12" t="str">
        <f t="shared" si="0"/>
        <v>16-49-288</v>
      </c>
      <c r="F19" s="64" t="str">
        <f>IFERROR(VLOOKUP(E19,'LISTA ITEMS (2)'!$E$2:$G$910,2,FALSE)," ")</f>
        <v>CONTACTOR MODULAR EPC1-6322-P7 (MAXGE)</v>
      </c>
      <c r="G19" s="79" t="str">
        <f>IFERROR(VLOOKUP(E19,'LISTA ITEMS (2)'!$E$2:$G$910,3,FALSE)," ")</f>
        <v>UND</v>
      </c>
      <c r="H19" s="59">
        <v>1</v>
      </c>
      <c r="I19" s="12" t="s">
        <v>356</v>
      </c>
      <c r="J19" s="76"/>
      <c r="K19" s="72"/>
      <c r="L19" s="75">
        <f t="shared" si="1"/>
        <v>1</v>
      </c>
      <c r="M19" s="12"/>
    </row>
    <row r="20" spans="1:13" s="15" customFormat="1" ht="31.95" customHeight="1" x14ac:dyDescent="0.3">
      <c r="A20" s="12">
        <v>15</v>
      </c>
      <c r="B20" s="12" t="s">
        <v>503</v>
      </c>
      <c r="C20" s="12" t="s">
        <v>508</v>
      </c>
      <c r="D20" s="12" t="s">
        <v>509</v>
      </c>
      <c r="E20" s="12" t="str">
        <f t="shared" si="0"/>
        <v>16-53-290</v>
      </c>
      <c r="F20" s="64" t="str">
        <f>IFERROR(VLOOKUP(E20,'LISTA ITEMS (2)'!$E$2:$G$910,2,FALSE)," ")</f>
        <v>PINCHO DE COMUNICACIÓN WIFI SHINEWILAN X2 (GROWATT)</v>
      </c>
      <c r="G20" s="79" t="str">
        <f>IFERROR(VLOOKUP(E20,'LISTA ITEMS (2)'!$E$2:$G$910,3,FALSE)," ")</f>
        <v>UND</v>
      </c>
      <c r="H20" s="59">
        <v>1</v>
      </c>
      <c r="I20" s="12" t="s">
        <v>356</v>
      </c>
      <c r="J20" s="76"/>
      <c r="K20" s="72"/>
      <c r="L20" s="75">
        <f t="shared" si="1"/>
        <v>1</v>
      </c>
      <c r="M20" s="12"/>
    </row>
    <row r="21" spans="1:13" s="15" customFormat="1" ht="31.95" customHeight="1" x14ac:dyDescent="0.3">
      <c r="A21" s="12">
        <v>16</v>
      </c>
      <c r="B21" s="12" t="s">
        <v>490</v>
      </c>
      <c r="C21" s="12" t="s">
        <v>510</v>
      </c>
      <c r="D21" s="12" t="s">
        <v>511</v>
      </c>
      <c r="E21" s="12" t="str">
        <f t="shared" si="0"/>
        <v>9-2-291</v>
      </c>
      <c r="F21" s="64" t="str">
        <f>IFERROR(VLOOKUP(E21,'LISTA ITEMS (2)'!$E$2:$G$910,2,FALSE)," ")</f>
        <v>TUBO ELECTRICO PVC 25mm - 3mt(AISCAN)</v>
      </c>
      <c r="G21" s="79" t="str">
        <f>IFERROR(VLOOKUP(E21,'LISTA ITEMS (2)'!$E$2:$G$910,3,FALSE)," ")</f>
        <v>UND</v>
      </c>
      <c r="H21" s="59">
        <v>8</v>
      </c>
      <c r="I21" s="12" t="s">
        <v>356</v>
      </c>
      <c r="J21" s="72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 t="s">
        <v>503</v>
      </c>
      <c r="C22" s="12" t="s">
        <v>512</v>
      </c>
      <c r="D22" s="12" t="s">
        <v>513</v>
      </c>
      <c r="E22" s="12" t="str">
        <f t="shared" si="0"/>
        <v>16-52-292</v>
      </c>
      <c r="F22" s="64" t="str">
        <f>IFERROR(VLOOKUP(E22,'LISTA ITEMS (2)'!$E$2:$G$910,2,FALSE)," ")</f>
        <v>TERMICO EPBE63M1NC63M1NC40 1P+N C40 (MAXGE)</v>
      </c>
      <c r="G22" s="79" t="str">
        <f>IFERROR(VLOOKUP(E22,'LISTA ITEMS (2)'!$E$2:$G$910,3,FALSE)," ")</f>
        <v>UND</v>
      </c>
      <c r="H22" s="59">
        <v>1</v>
      </c>
      <c r="I22" s="12" t="s">
        <v>356</v>
      </c>
      <c r="J22" s="72"/>
      <c r="K22" s="72"/>
      <c r="L22" s="75">
        <f t="shared" si="1"/>
        <v>1</v>
      </c>
      <c r="M22" s="12"/>
    </row>
    <row r="23" spans="1:13" s="15" customFormat="1" ht="31.95" customHeight="1" x14ac:dyDescent="0.3">
      <c r="A23" s="12">
        <v>18</v>
      </c>
      <c r="B23" s="12" t="s">
        <v>503</v>
      </c>
      <c r="C23" s="12" t="s">
        <v>512</v>
      </c>
      <c r="D23" s="12" t="s">
        <v>514</v>
      </c>
      <c r="E23" s="12" t="str">
        <f t="shared" si="0"/>
        <v>16-52-293</v>
      </c>
      <c r="F23" s="64" t="str">
        <f>IFERROR(VLOOKUP(E23,'LISTA ITEMS (2)'!$E$2:$G$910,2,FALSE)," ")</f>
        <v>TERMICO EPBE63M1NC63M1NC32 1P+N C32 (MAXGE)</v>
      </c>
      <c r="G23" s="79" t="str">
        <f>IFERROR(VLOOKUP(E23,'LISTA ITEMS (2)'!$E$2:$G$910,3,FALSE)," ")</f>
        <v>UND</v>
      </c>
      <c r="H23" s="59">
        <v>1</v>
      </c>
      <c r="I23" s="12" t="s">
        <v>356</v>
      </c>
      <c r="J23" s="72"/>
      <c r="K23" s="72"/>
      <c r="L23" s="75">
        <f t="shared" si="1"/>
        <v>1</v>
      </c>
      <c r="M23" s="12"/>
    </row>
    <row r="24" spans="1:13" s="15" customFormat="1" ht="31.95" customHeight="1" x14ac:dyDescent="0.3">
      <c r="A24" s="12">
        <v>19</v>
      </c>
      <c r="B24" s="12" t="s">
        <v>503</v>
      </c>
      <c r="C24" s="12" t="s">
        <v>515</v>
      </c>
      <c r="D24" s="12" t="s">
        <v>516</v>
      </c>
      <c r="E24" s="12" t="str">
        <f t="shared" si="0"/>
        <v>16-45-294</v>
      </c>
      <c r="F24" s="64" t="str">
        <f>IFERROR(VLOOKUP(E24,'LISTA ITEMS (2)'!$E$2:$G$910,2,FALSE)," ")</f>
        <v>CAJA DE ESTANCA 133X180X80 EV161 (IDE)</v>
      </c>
      <c r="G24" s="79" t="str">
        <f>IFERROR(VLOOKUP(E24,'LISTA ITEMS (2)'!$E$2:$G$910,3,FALSE)," ")</f>
        <v>UND</v>
      </c>
      <c r="H24" s="59">
        <v>1</v>
      </c>
      <c r="I24" s="12" t="s">
        <v>356</v>
      </c>
      <c r="J24" s="72"/>
      <c r="K24" s="72"/>
      <c r="L24" s="75">
        <f t="shared" si="1"/>
        <v>1</v>
      </c>
      <c r="M24" s="12"/>
    </row>
    <row r="25" spans="1:13" s="15" customFormat="1" ht="31.95" customHeight="1" x14ac:dyDescent="0.3">
      <c r="A25" s="12">
        <v>20</v>
      </c>
      <c r="B25" s="12" t="s">
        <v>517</v>
      </c>
      <c r="C25" s="12" t="s">
        <v>518</v>
      </c>
      <c r="D25" s="12" t="s">
        <v>519</v>
      </c>
      <c r="E25" s="12" t="str">
        <f t="shared" si="0"/>
        <v>7-54-295</v>
      </c>
      <c r="F25" s="64" t="str">
        <f>IFERROR(VLOOKUP(E25,'LISTA ITEMS (2)'!$E$2:$G$910,2,FALSE)," ")</f>
        <v>BATERIA LFP LITHIUM DL5.OC (DYNESS)</v>
      </c>
      <c r="G25" s="79" t="str">
        <f>IFERROR(VLOOKUP(E25,'LISTA ITEMS (2)'!$E$2:$G$910,3,FALSE)," ")</f>
        <v>UND</v>
      </c>
      <c r="H25" s="59">
        <v>2</v>
      </c>
      <c r="I25" s="12" t="s">
        <v>356</v>
      </c>
      <c r="J25" s="72"/>
      <c r="K25" s="72"/>
      <c r="L25" s="75">
        <f t="shared" si="1"/>
        <v>2</v>
      </c>
      <c r="M25" s="3" t="s">
        <v>481</v>
      </c>
    </row>
    <row r="26" spans="1:13" s="15" customFormat="1" ht="31.95" customHeight="1" x14ac:dyDescent="0.3">
      <c r="A26" s="12">
        <v>21</v>
      </c>
      <c r="B26" s="12" t="s">
        <v>517</v>
      </c>
      <c r="C26" s="12" t="s">
        <v>520</v>
      </c>
      <c r="D26" s="12" t="s">
        <v>521</v>
      </c>
      <c r="E26" s="12" t="str">
        <f t="shared" si="0"/>
        <v>7-35-286</v>
      </c>
      <c r="F26" s="64" t="str">
        <f>IFERROR(VLOOKUP(E26,'LISTA ITEMS (2)'!$E$2:$G$910,2,FALSE)," ")</f>
        <v>INVERSOR SPH 6000TL BL-UP 6KW (GROWATT)</v>
      </c>
      <c r="G26" s="79" t="str">
        <f>IFERROR(VLOOKUP(E26,'LISTA ITEMS (2)'!$E$2:$G$910,3,FALSE)," ")</f>
        <v>UND</v>
      </c>
      <c r="H26" s="59">
        <v>1</v>
      </c>
      <c r="I26" s="12" t="s">
        <v>356</v>
      </c>
      <c r="J26" s="76"/>
      <c r="K26" s="72"/>
      <c r="L26" s="75">
        <f t="shared" si="1"/>
        <v>1</v>
      </c>
      <c r="M26" s="12" t="s">
        <v>482</v>
      </c>
    </row>
    <row r="27" spans="1:13" s="15" customFormat="1" ht="31.95" customHeight="1" x14ac:dyDescent="0.3">
      <c r="A27" s="12">
        <v>22</v>
      </c>
      <c r="B27" s="12" t="s">
        <v>503</v>
      </c>
      <c r="C27" s="12" t="s">
        <v>515</v>
      </c>
      <c r="D27" s="12" t="s">
        <v>522</v>
      </c>
      <c r="E27" s="12" t="str">
        <f t="shared" si="0"/>
        <v>16-45-275</v>
      </c>
      <c r="F27" s="64" t="str">
        <f>IFERROR(VLOOKUP(E27,'LISTA ITEMS (2)'!$E$2:$G$910,2,FALSE)," ")</f>
        <v>CAJA DISTRIBUCION INTERIOR 18 ELEM. (SOLERA)</v>
      </c>
      <c r="G27" s="79" t="str">
        <f>IFERROR(VLOOKUP(E27,'LISTA ITEMS (2)'!$E$2:$G$910,3,FALSE)," ")</f>
        <v>UND</v>
      </c>
      <c r="H27" s="59">
        <v>1</v>
      </c>
      <c r="I27" s="12" t="s">
        <v>356</v>
      </c>
      <c r="J27" s="76"/>
      <c r="K27" s="72"/>
      <c r="L27" s="75">
        <f t="shared" si="1"/>
        <v>1</v>
      </c>
      <c r="M27" s="12"/>
    </row>
    <row r="28" spans="1:13" s="15" customFormat="1" ht="31.95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553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40:I4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513-4977-4335-8ACA-6BA9BFEDFD59}">
  <sheetPr>
    <tabColor rgb="FF92D050"/>
  </sheetPr>
  <dimension ref="A1:N40"/>
  <sheetViews>
    <sheetView zoomScale="70" zoomScaleNormal="70" workbookViewId="0">
      <pane ySplit="5" topLeftCell="A6" activePane="bottomLeft" state="frozen"/>
      <selection pane="bottomLeft" activeCell="K42" sqref="K42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4" width="39" style="57" customWidth="1"/>
    <col min="15" max="16384" width="11.5546875" style="57"/>
  </cols>
  <sheetData>
    <row r="1" spans="1:14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5</v>
      </c>
      <c r="J1" s="69"/>
      <c r="K1" s="87" t="s">
        <v>468</v>
      </c>
      <c r="L1" s="87" t="s">
        <v>469</v>
      </c>
      <c r="M1" s="74"/>
    </row>
    <row r="2" spans="1:14" s="51" customFormat="1" ht="39.6" customHeight="1" x14ac:dyDescent="0.3">
      <c r="A2" s="278" t="s">
        <v>349</v>
      </c>
      <c r="B2" s="280"/>
      <c r="C2" s="282"/>
      <c r="D2" s="283"/>
      <c r="E2" s="283"/>
      <c r="F2" s="291"/>
      <c r="G2" s="292" t="s">
        <v>355</v>
      </c>
      <c r="H2" s="290"/>
      <c r="I2" s="62">
        <v>7</v>
      </c>
      <c r="J2" s="69"/>
      <c r="K2" s="110" t="s">
        <v>554</v>
      </c>
      <c r="L2" s="110" t="s">
        <v>685</v>
      </c>
      <c r="M2" s="74"/>
    </row>
    <row r="3" spans="1:14" s="51" customFormat="1" ht="39.6" customHeight="1" x14ac:dyDescent="0.3">
      <c r="A3" s="278" t="s">
        <v>258</v>
      </c>
      <c r="B3" s="280"/>
      <c r="C3" s="293"/>
      <c r="D3" s="294"/>
      <c r="E3" s="68"/>
      <c r="F3" s="61" t="s">
        <v>353</v>
      </c>
      <c r="G3" s="295" t="s">
        <v>369</v>
      </c>
      <c r="H3" s="296"/>
      <c r="I3" s="127">
        <v>46062</v>
      </c>
      <c r="J3" s="70"/>
      <c r="K3" s="74"/>
      <c r="L3" s="74"/>
      <c r="M3" s="74"/>
    </row>
    <row r="4" spans="1:14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550</v>
      </c>
      <c r="G4" s="288"/>
      <c r="H4" s="288"/>
      <c r="I4" s="289"/>
      <c r="J4" s="70"/>
      <c r="K4" s="74"/>
      <c r="L4" s="74"/>
      <c r="M4" s="74"/>
    </row>
    <row r="5" spans="1:14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  <c r="N5" s="52" t="s">
        <v>259</v>
      </c>
    </row>
    <row r="6" spans="1:14" s="15" customFormat="1" ht="31.95" customHeight="1" x14ac:dyDescent="0.3">
      <c r="A6" s="12">
        <v>1</v>
      </c>
      <c r="B6" s="12">
        <v>16</v>
      </c>
      <c r="C6" s="12">
        <v>52</v>
      </c>
      <c r="D6" s="12">
        <v>293</v>
      </c>
      <c r="E6" s="12" t="str">
        <f>CONCATENATE(B6,"-",C6,"-",D6)</f>
        <v>16-52-293</v>
      </c>
      <c r="F6" s="64" t="str">
        <f>IFERROR(VLOOKUP(E6,'LISTA ITEMS (2)'!$E$2:$G$910,2,FALSE)," ")</f>
        <v>TERMICO EPBE63M1NC63M1NC32 1P+N C32 (MAXGE)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>
        <v>46062</v>
      </c>
      <c r="K6" s="72">
        <v>1</v>
      </c>
      <c r="L6" s="75">
        <f>+H6-K6</f>
        <v>0</v>
      </c>
      <c r="M6" s="12"/>
      <c r="N6" s="13"/>
    </row>
    <row r="7" spans="1:14" s="15" customFormat="1" ht="31.95" customHeight="1" x14ac:dyDescent="0.3">
      <c r="A7" s="12">
        <v>2</v>
      </c>
      <c r="B7" s="12">
        <v>16</v>
      </c>
      <c r="C7" s="12">
        <v>52</v>
      </c>
      <c r="D7" s="12">
        <v>292</v>
      </c>
      <c r="E7" s="12" t="str">
        <f t="shared" ref="E7:E38" si="0">CONCATENATE(B7,"-",C7,"-",D7)</f>
        <v>16-52-292</v>
      </c>
      <c r="F7" s="64" t="str">
        <f>IFERROR(VLOOKUP(E7,'LISTA ITEMS (2)'!$E$2:$G$910,2,FALSE)," ")</f>
        <v>TERMICO EPBE63M1NC63M1NC40 1P+N C40 (MAXGE)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>
        <v>46062</v>
      </c>
      <c r="K7" s="72">
        <v>1</v>
      </c>
      <c r="L7" s="75">
        <f t="shared" ref="L7:L37" si="1">+H7-K7</f>
        <v>0</v>
      </c>
      <c r="M7" s="12"/>
      <c r="N7" s="13"/>
    </row>
    <row r="8" spans="1:14" s="15" customFormat="1" ht="31.95" customHeight="1" x14ac:dyDescent="0.3">
      <c r="A8" s="12">
        <v>3</v>
      </c>
      <c r="B8" s="12">
        <v>16</v>
      </c>
      <c r="C8" s="12">
        <v>52</v>
      </c>
      <c r="D8" s="12">
        <v>285</v>
      </c>
      <c r="E8" s="12" t="str">
        <f t="shared" si="0"/>
        <v>16-52-285</v>
      </c>
      <c r="F8" s="64" t="str">
        <f>IFERROR(VLOOKUP(E8,'LISTA ITEMS (2)'!$E$2:$G$910,2,FALSE)," ")</f>
        <v>TERMICO EPBE63M1NC63 1P+N C63 (MAXGE)</v>
      </c>
      <c r="G8" s="79" t="str">
        <f>IFERROR(VLOOKUP(E8,'LISTA ITEMS (2)'!$E$2:$G$910,3,FALSE)," ")</f>
        <v>UND</v>
      </c>
      <c r="H8" s="59">
        <v>1</v>
      </c>
      <c r="I8" s="12" t="s">
        <v>356</v>
      </c>
      <c r="J8" s="76">
        <v>46062</v>
      </c>
      <c r="K8" s="72">
        <v>1</v>
      </c>
      <c r="L8" s="75">
        <f t="shared" si="1"/>
        <v>0</v>
      </c>
      <c r="M8" s="12"/>
      <c r="N8" s="13"/>
    </row>
    <row r="9" spans="1:14" s="15" customFormat="1" ht="31.95" customHeight="1" x14ac:dyDescent="0.3">
      <c r="A9" s="12">
        <v>4</v>
      </c>
      <c r="B9" s="12">
        <v>16</v>
      </c>
      <c r="C9" s="12">
        <v>47</v>
      </c>
      <c r="D9" s="12">
        <v>318</v>
      </c>
      <c r="E9" s="12" t="str">
        <f t="shared" si="0"/>
        <v>16-47-318</v>
      </c>
      <c r="F9" s="64" t="str">
        <f>IFERROR(VLOOKUP(E9,'LISTA ITEMS (2)'!$E$2:$G$910,2,FALSE)," ")</f>
        <v>DIFERENCIAL EPR2A040030 2P-40A-30mA (MAXGE)</v>
      </c>
      <c r="G9" s="79" t="str">
        <f>IFERROR(VLOOKUP(E9,'LISTA ITEMS (2)'!$E$2:$G$910,3,FALSE)," ")</f>
        <v>UND</v>
      </c>
      <c r="H9" s="59">
        <v>1</v>
      </c>
      <c r="I9" s="12" t="s">
        <v>356</v>
      </c>
      <c r="J9" s="76">
        <v>46062</v>
      </c>
      <c r="K9" s="72">
        <v>1</v>
      </c>
      <c r="L9" s="75">
        <f t="shared" si="1"/>
        <v>0</v>
      </c>
      <c r="M9" s="12"/>
      <c r="N9" s="13"/>
    </row>
    <row r="10" spans="1:14" s="15" customFormat="1" ht="31.95" customHeight="1" x14ac:dyDescent="0.3">
      <c r="A10" s="12">
        <v>5</v>
      </c>
      <c r="B10" s="12">
        <v>16</v>
      </c>
      <c r="C10" s="12">
        <v>56</v>
      </c>
      <c r="D10" s="12">
        <v>303</v>
      </c>
      <c r="E10" s="12" t="str">
        <f t="shared" si="0"/>
        <v>16-56-303</v>
      </c>
      <c r="F10" s="64" t="str">
        <f>IFERROR(VLOOKUP(E10,'LISTA ITEMS (2)'!$E$2:$G$910,2,FALSE)," ")</f>
        <v>METER MONOFASICO 230/161-276Vac (GROWATT)</v>
      </c>
      <c r="G10" s="79" t="str">
        <f>IFERROR(VLOOKUP(E10,'LISTA ITEMS (2)'!$E$2:$G$910,3,FALSE)," ")</f>
        <v>UND</v>
      </c>
      <c r="H10" s="59">
        <v>1</v>
      </c>
      <c r="I10" s="12" t="s">
        <v>356</v>
      </c>
      <c r="J10" s="76">
        <v>46062</v>
      </c>
      <c r="K10" s="72">
        <v>1</v>
      </c>
      <c r="L10" s="75">
        <f t="shared" si="1"/>
        <v>0</v>
      </c>
      <c r="M10" s="12"/>
      <c r="N10" s="18" t="s">
        <v>535</v>
      </c>
    </row>
    <row r="11" spans="1:14" s="15" customFormat="1" ht="31.95" customHeight="1" x14ac:dyDescent="0.3">
      <c r="A11" s="12">
        <v>6</v>
      </c>
      <c r="B11" s="12">
        <v>16</v>
      </c>
      <c r="C11" s="12">
        <v>56</v>
      </c>
      <c r="D11" s="12">
        <v>302</v>
      </c>
      <c r="E11" s="12" t="str">
        <f t="shared" si="0"/>
        <v>16-56-302</v>
      </c>
      <c r="F11" s="64" t="str">
        <f>IFERROR(VLOOKUP(E11,'LISTA ITEMS (2)'!$E$2:$G$910,2,FALSE)," ")</f>
        <v>METER TRIFASICO 230/400Vac (GROWATT)</v>
      </c>
      <c r="G11" s="79" t="str">
        <f>IFERROR(VLOOKUP(E11,'LISTA ITEMS (2)'!$E$2:$G$910,3,FALSE)," ")</f>
        <v>UND</v>
      </c>
      <c r="H11" s="59">
        <v>1</v>
      </c>
      <c r="I11" s="12" t="s">
        <v>356</v>
      </c>
      <c r="J11" s="76">
        <v>46062</v>
      </c>
      <c r="K11" s="72">
        <v>1</v>
      </c>
      <c r="L11" s="75">
        <f t="shared" si="1"/>
        <v>0</v>
      </c>
      <c r="M11" s="12"/>
      <c r="N11" s="18" t="s">
        <v>535</v>
      </c>
    </row>
    <row r="12" spans="1:14" s="15" customFormat="1" ht="31.95" customHeight="1" x14ac:dyDescent="0.3">
      <c r="A12" s="12">
        <v>7</v>
      </c>
      <c r="B12" s="12">
        <v>16</v>
      </c>
      <c r="C12" s="12">
        <v>53</v>
      </c>
      <c r="D12" s="12">
        <v>328</v>
      </c>
      <c r="E12" s="12" t="str">
        <f t="shared" si="0"/>
        <v>16-53-328</v>
      </c>
      <c r="F12" s="64" t="str">
        <f>IFERROR(VLOOKUP(E12,'LISTA ITEMS (2)'!$E$2:$G$910,2,FALSE)," ")</f>
        <v>PINCHO DE COMUNICACIÓN WIFI SHINErfsTICK- X  BLANCO (GROWATT)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>
        <v>46062</v>
      </c>
      <c r="K12" s="72">
        <v>1</v>
      </c>
      <c r="L12" s="75">
        <f t="shared" si="1"/>
        <v>0</v>
      </c>
      <c r="M12" s="12"/>
      <c r="N12" s="18" t="s">
        <v>535</v>
      </c>
    </row>
    <row r="13" spans="1:14" s="15" customFormat="1" ht="31.95" customHeight="1" x14ac:dyDescent="0.3">
      <c r="A13" s="12">
        <v>8</v>
      </c>
      <c r="B13" s="12">
        <v>17</v>
      </c>
      <c r="C13" s="12">
        <v>44</v>
      </c>
      <c r="D13" s="12">
        <v>271</v>
      </c>
      <c r="E13" s="12" t="str">
        <f t="shared" si="0"/>
        <v>17-44-271</v>
      </c>
      <c r="F13" s="64" t="str">
        <f>IFERROR(VLOOKUP(E13,'LISTA ITEMS (2)'!$E$2:$G$910,2,FALSE)," ")</f>
        <v>SELLANTE QUIMICO BLANCO</v>
      </c>
      <c r="G13" s="79" t="str">
        <f>IFERROR(VLOOKUP(E13,'LISTA ITEMS (2)'!$E$2:$G$910,3,FALSE)," ")</f>
        <v>UND</v>
      </c>
      <c r="H13" s="59">
        <v>1</v>
      </c>
      <c r="I13" s="12" t="s">
        <v>356</v>
      </c>
      <c r="J13" s="76">
        <v>46062</v>
      </c>
      <c r="K13" s="72">
        <v>1</v>
      </c>
      <c r="L13" s="75">
        <f t="shared" si="1"/>
        <v>0</v>
      </c>
      <c r="M13" s="12"/>
      <c r="N13" s="18" t="s">
        <v>535</v>
      </c>
    </row>
    <row r="14" spans="1:14" s="15" customFormat="1" ht="31.95" customHeight="1" x14ac:dyDescent="0.3">
      <c r="A14" s="12">
        <v>9</v>
      </c>
      <c r="B14" s="12">
        <v>17</v>
      </c>
      <c r="C14" s="12">
        <v>44</v>
      </c>
      <c r="D14" s="12">
        <v>272</v>
      </c>
      <c r="E14" s="12" t="str">
        <f t="shared" si="0"/>
        <v>17-44-272</v>
      </c>
      <c r="F14" s="64" t="str">
        <f>IFERROR(VLOOKUP(E14,'LISTA ITEMS (2)'!$E$2:$G$910,2,FALSE)," ")</f>
        <v>SELLANTE QUIMICO GRIS</v>
      </c>
      <c r="G14" s="79" t="str">
        <f>IFERROR(VLOOKUP(E14,'LISTA ITEMS (2)'!$E$2:$G$910,3,FALSE)," ")</f>
        <v>UND</v>
      </c>
      <c r="H14" s="59">
        <v>1</v>
      </c>
      <c r="I14" s="12" t="s">
        <v>356</v>
      </c>
      <c r="J14" s="76">
        <v>46062</v>
      </c>
      <c r="K14" s="72">
        <v>1</v>
      </c>
      <c r="L14" s="75">
        <f t="shared" si="1"/>
        <v>0</v>
      </c>
      <c r="M14" s="12"/>
      <c r="N14" s="18" t="s">
        <v>535</v>
      </c>
    </row>
    <row r="15" spans="1:14" s="15" customFormat="1" ht="31.95" customHeight="1" x14ac:dyDescent="0.3">
      <c r="A15" s="12">
        <v>10</v>
      </c>
      <c r="B15" s="12">
        <v>4</v>
      </c>
      <c r="C15" s="12">
        <v>15</v>
      </c>
      <c r="D15" s="12">
        <v>326</v>
      </c>
      <c r="E15" s="12" t="str">
        <f t="shared" si="0"/>
        <v>4-15-326</v>
      </c>
      <c r="F15" s="64" t="str">
        <f>IFERROR(VLOOKUP(E15,'LISTA ITEMS (2)'!$E$2:$G$910,2,FALSE)," ")</f>
        <v>BARRA PERFORADA PARA REFUERZO 27x18x2MT GALV.</v>
      </c>
      <c r="G15" s="79" t="str">
        <f>IFERROR(VLOOKUP(E15,'LISTA ITEMS (2)'!$E$2:$G$910,3,FALSE)," ")</f>
        <v>UND</v>
      </c>
      <c r="H15" s="59">
        <v>7</v>
      </c>
      <c r="I15" s="12" t="s">
        <v>356</v>
      </c>
      <c r="J15" s="76">
        <v>46062</v>
      </c>
      <c r="K15" s="72">
        <v>7</v>
      </c>
      <c r="L15" s="75">
        <f t="shared" si="1"/>
        <v>0</v>
      </c>
      <c r="M15" s="12"/>
      <c r="N15" s="13"/>
    </row>
    <row r="16" spans="1:14" s="15" customFormat="1" ht="31.95" customHeight="1" x14ac:dyDescent="0.3">
      <c r="A16" s="12">
        <v>11</v>
      </c>
      <c r="B16" s="12">
        <v>6</v>
      </c>
      <c r="C16" s="12">
        <v>23</v>
      </c>
      <c r="D16" s="12">
        <v>192</v>
      </c>
      <c r="E16" s="12" t="str">
        <f t="shared" si="0"/>
        <v>6-23-192</v>
      </c>
      <c r="F16" s="64" t="str">
        <f>IFERROR(VLOOKUP(E16,'LISTA ITEMS (2)'!$E$2:$G$910,2,FALSE)," ")</f>
        <v xml:space="preserve">CINTA ACERO PERFORADA PARA MONTAJE </v>
      </c>
      <c r="G16" s="79" t="str">
        <f>IFERROR(VLOOKUP(E16,'LISTA ITEMS (2)'!$E$2:$G$910,3,FALSE)," ")</f>
        <v>UND</v>
      </c>
      <c r="H16" s="59">
        <v>2</v>
      </c>
      <c r="I16" s="12" t="s">
        <v>356</v>
      </c>
      <c r="J16" s="128">
        <v>46062</v>
      </c>
      <c r="K16" s="72">
        <v>2</v>
      </c>
      <c r="L16" s="75">
        <f t="shared" si="1"/>
        <v>0</v>
      </c>
      <c r="M16" s="12"/>
      <c r="N16" s="13"/>
    </row>
    <row r="17" spans="1:14" s="15" customFormat="1" ht="31.95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  <c r="N17" s="13"/>
    </row>
    <row r="18" spans="1:14" s="15" customFormat="1" ht="31.95" hidden="1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  <c r="N18" s="13"/>
    </row>
    <row r="19" spans="1:14" s="15" customFormat="1" ht="31.95" hidden="1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  <c r="N19" s="13"/>
    </row>
    <row r="20" spans="1:14" s="15" customFormat="1" ht="31.95" hidden="1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4" s="15" customFormat="1" ht="31.95" hidden="1" customHeight="1" x14ac:dyDescent="0.3">
      <c r="A21" s="12">
        <v>16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v>1</v>
      </c>
      <c r="M21" s="12"/>
    </row>
    <row r="22" spans="1:14" s="15" customFormat="1" ht="31.95" hidden="1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4" s="15" customFormat="1" ht="31.95" hidden="1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4" s="15" customFormat="1" ht="31.95" hidden="1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4" s="15" customFormat="1" ht="31.95" hidden="1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12"/>
    </row>
    <row r="26" spans="1:14" s="15" customFormat="1" ht="31.95" hidden="1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4" s="15" customFormat="1" ht="31.95" hidden="1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4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4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4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4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4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526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3:B3"/>
    <mergeCell ref="C3:D3"/>
    <mergeCell ref="G3:H3"/>
    <mergeCell ref="B5:D5"/>
    <mergeCell ref="A40:I40"/>
    <mergeCell ref="A4:D4"/>
    <mergeCell ref="F4:I4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0472-A5E1-4345-89A9-E8E5631BBC57}">
  <sheetPr>
    <tabColor rgb="FF92D050"/>
  </sheetPr>
  <dimension ref="A1:M40"/>
  <sheetViews>
    <sheetView zoomScale="70" zoomScaleNormal="70" workbookViewId="0">
      <selection activeCell="K4" sqref="K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6.5546875" style="55" customWidth="1"/>
    <col min="7" max="7" width="7.6640625" style="56" bestFit="1" customWidth="1"/>
    <col min="8" max="8" width="8.88671875" style="55" customWidth="1"/>
    <col min="9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7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260</v>
      </c>
      <c r="D2" s="283"/>
      <c r="E2" s="283"/>
      <c r="F2" s="291"/>
      <c r="G2" s="292" t="s">
        <v>355</v>
      </c>
      <c r="H2" s="290"/>
      <c r="I2" s="62">
        <v>9</v>
      </c>
      <c r="J2" s="69"/>
      <c r="K2" s="110" t="s">
        <v>554</v>
      </c>
      <c r="L2" s="110" t="s">
        <v>685</v>
      </c>
      <c r="M2" s="74"/>
    </row>
    <row r="3" spans="1:13" s="51" customFormat="1" ht="39.6" customHeight="1" x14ac:dyDescent="0.3">
      <c r="A3" s="278" t="s">
        <v>258</v>
      </c>
      <c r="B3" s="280"/>
      <c r="C3" s="300" t="s">
        <v>542</v>
      </c>
      <c r="D3" s="312"/>
      <c r="E3" s="68"/>
      <c r="F3" s="61" t="s">
        <v>353</v>
      </c>
      <c r="G3" s="295" t="s">
        <v>369</v>
      </c>
      <c r="H3" s="296"/>
      <c r="I3" s="77">
        <v>46062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549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42</v>
      </c>
      <c r="D6" s="12">
        <v>329</v>
      </c>
      <c r="E6" s="12" t="str">
        <f>CONCATENATE(B6,"-",C6,"-",D6)</f>
        <v>10-42-329</v>
      </c>
      <c r="F6" s="64" t="str">
        <f>IFERROR(VLOOKUP(E6,'LISTA ITEMS (2)'!$E$2:$G$910,2,FALSE)," ")</f>
        <v>PATA ALUMINIO PARA ESTRUCTURA PLACA SOLAR VELA ANGULO 15º</v>
      </c>
      <c r="G6" s="79" t="str">
        <f>IFERROR(VLOOKUP(E6,'LISTA ITEMS (2)'!$E$2:$G$910,3,FALSE)," ")</f>
        <v>UND</v>
      </c>
      <c r="H6" s="59">
        <v>7</v>
      </c>
      <c r="I6" s="12" t="s">
        <v>356</v>
      </c>
      <c r="J6" s="76">
        <v>46066</v>
      </c>
      <c r="K6" s="72">
        <v>3</v>
      </c>
      <c r="L6" s="75">
        <f>+H6-K6</f>
        <v>4</v>
      </c>
      <c r="M6" s="12"/>
    </row>
    <row r="7" spans="1:13" s="15" customFormat="1" ht="31.95" customHeight="1" x14ac:dyDescent="0.3">
      <c r="A7" s="12">
        <v>2</v>
      </c>
      <c r="B7" s="12">
        <v>7</v>
      </c>
      <c r="C7" s="12">
        <v>38</v>
      </c>
      <c r="D7" s="12">
        <v>247</v>
      </c>
      <c r="E7" s="12" t="str">
        <f t="shared" ref="E7:E38" si="0">CONCATENATE(B7,"-",C7,"-",D7)</f>
        <v>7-38-247</v>
      </c>
      <c r="F7" s="64" t="str">
        <f>IFERROR(VLOOKUP(E7,'LISTA ITEMS (2)'!$E$2:$G$910,2,FALSE)," ")</f>
        <v>PLACA SOLAR JAM60D42-535LB 535W / 44.13V</v>
      </c>
      <c r="G7" s="79" t="str">
        <f>IFERROR(VLOOKUP(E7,'LISTA ITEMS (2)'!$E$2:$G$910,3,FALSE)," ")</f>
        <v>UND</v>
      </c>
      <c r="H7" s="59">
        <v>12</v>
      </c>
      <c r="I7" s="12" t="s">
        <v>356</v>
      </c>
      <c r="J7" s="76"/>
      <c r="K7" s="72"/>
      <c r="L7" s="75">
        <f t="shared" ref="L7:L37" si="1">+H7-K7</f>
        <v>12</v>
      </c>
      <c r="M7" s="12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330</v>
      </c>
      <c r="E8" s="12" t="str">
        <f t="shared" si="0"/>
        <v>10-37-330</v>
      </c>
      <c r="F8" s="64" t="str">
        <f>IFERROR(VLOOKUP(E8,'LISTA ITEMS (2)'!$E$2:$G$910,2,FALSE)," ")</f>
        <v>SOPORTE EN L ALUMINIO GRIS</v>
      </c>
      <c r="G8" s="79" t="str">
        <f>IFERROR(VLOOKUP(E8,'LISTA ITEMS (2)'!$E$2:$G$910,3,FALSE)," ")</f>
        <v>UND</v>
      </c>
      <c r="H8" s="59">
        <v>20</v>
      </c>
      <c r="I8" s="12" t="s">
        <v>356</v>
      </c>
      <c r="J8" s="76">
        <v>46066</v>
      </c>
      <c r="K8" s="72">
        <f>1+11</f>
        <v>12</v>
      </c>
      <c r="L8" s="75">
        <f t="shared" si="1"/>
        <v>8</v>
      </c>
      <c r="M8" s="12"/>
    </row>
    <row r="9" spans="1:13" s="15" customFormat="1" ht="31.95" customHeight="1" x14ac:dyDescent="0.3">
      <c r="A9" s="12">
        <v>4</v>
      </c>
      <c r="B9" s="12">
        <v>9</v>
      </c>
      <c r="C9" s="12">
        <v>32</v>
      </c>
      <c r="D9" s="12">
        <v>223</v>
      </c>
      <c r="E9" s="12" t="str">
        <f t="shared" si="0"/>
        <v>9-32-223</v>
      </c>
      <c r="F9" s="64" t="str">
        <f>IFERROR(VLOOKUP(E9,'LISTA ITEMS (2)'!$E$2:$G$910,2,FALSE)," ")</f>
        <v>CURVA PVC M-25 GRIS TIPO A</v>
      </c>
      <c r="G9" s="79" t="str">
        <f>IFERROR(VLOOKUP(E9,'LISTA ITEMS (2)'!$E$2:$G$910,3,FALSE)," ")</f>
        <v>UND</v>
      </c>
      <c r="H9" s="59">
        <v>20</v>
      </c>
      <c r="I9" s="12" t="s">
        <v>356</v>
      </c>
      <c r="J9" s="76">
        <v>46066</v>
      </c>
      <c r="K9" s="185">
        <v>20</v>
      </c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>
        <v>3</v>
      </c>
      <c r="C10" s="12">
        <v>31</v>
      </c>
      <c r="D10" s="12">
        <v>277</v>
      </c>
      <c r="E10" s="12" t="str">
        <f t="shared" si="0"/>
        <v>3-31-277</v>
      </c>
      <c r="F10" s="64" t="str">
        <f>IFERROR(VLOOKUP(E10,'LISTA ITEMS (2)'!$E$2:$G$910,2,FALSE)," ")</f>
        <v>CABLE Nª 6 P/PLACA SOLAR NEGRO</v>
      </c>
      <c r="G10" s="79" t="str">
        <f>IFERROR(VLOOKUP(E10,'LISTA ITEMS (2)'!$E$2:$G$910,3,FALSE)," ")</f>
        <v>MT</v>
      </c>
      <c r="H10" s="59">
        <v>15</v>
      </c>
      <c r="I10" s="12" t="s">
        <v>356</v>
      </c>
      <c r="J10" s="76">
        <v>46066</v>
      </c>
      <c r="K10" s="72">
        <v>10</v>
      </c>
      <c r="L10" s="75">
        <f t="shared" si="1"/>
        <v>5</v>
      </c>
      <c r="M10" s="12"/>
    </row>
    <row r="11" spans="1:13" s="15" customFormat="1" ht="31.95" customHeight="1" x14ac:dyDescent="0.3">
      <c r="A11" s="12">
        <v>6</v>
      </c>
      <c r="B11" s="12">
        <v>3</v>
      </c>
      <c r="C11" s="12">
        <v>31</v>
      </c>
      <c r="D11" s="12">
        <v>278</v>
      </c>
      <c r="E11" s="12" t="str">
        <f t="shared" si="0"/>
        <v>3-31-278</v>
      </c>
      <c r="F11" s="64" t="str">
        <f>IFERROR(VLOOKUP(E11,'LISTA ITEMS (2)'!$E$2:$G$910,2,FALSE)," ")</f>
        <v>CABLE Nª 6 P/PLACA SOLAR ROJO</v>
      </c>
      <c r="G11" s="79" t="str">
        <f>IFERROR(VLOOKUP(E11,'LISTA ITEMS (2)'!$E$2:$G$910,3,FALSE)," ")</f>
        <v>MT</v>
      </c>
      <c r="H11" s="59">
        <v>15</v>
      </c>
      <c r="I11" s="12" t="s">
        <v>356</v>
      </c>
      <c r="J11" s="76">
        <v>46066</v>
      </c>
      <c r="K11" s="72">
        <v>15</v>
      </c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>
        <v>10</v>
      </c>
      <c r="C12" s="12">
        <v>43</v>
      </c>
      <c r="D12" s="12">
        <v>270</v>
      </c>
      <c r="E12" s="12" t="str">
        <f t="shared" si="0"/>
        <v>10-43-270</v>
      </c>
      <c r="F12" s="64" t="str">
        <f>IFERROR(VLOOKUP(E12,'LISTA ITEMS (2)'!$E$2:$G$910,2,FALSE)," ")</f>
        <v>EMPALME ALUMINIO P/BARRA</v>
      </c>
      <c r="G12" s="79" t="str">
        <f>IFERROR(VLOOKUP(E12,'LISTA ITEMS (2)'!$E$2:$G$910,3,FALSE)," ")</f>
        <v>UND</v>
      </c>
      <c r="H12" s="59">
        <v>8</v>
      </c>
      <c r="I12" s="12" t="s">
        <v>356</v>
      </c>
      <c r="J12" s="76">
        <v>46066</v>
      </c>
      <c r="K12" s="72">
        <f>4+4</f>
        <v>8</v>
      </c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61</v>
      </c>
      <c r="D13" s="12">
        <v>331</v>
      </c>
      <c r="E13" s="12" t="str">
        <f t="shared" si="0"/>
        <v>16-61-331</v>
      </c>
      <c r="F13" s="64" t="str">
        <f>IFERROR(VLOOKUP(E13,'LISTA ITEMS (2)'!$E$2:$G$910,2,FALSE)," ")</f>
        <v>CONECTOR FOTOVOLTAICO HEMBRA M4 NEGRO</v>
      </c>
      <c r="G13" s="79" t="str">
        <f>IFERROR(VLOOKUP(E13,'LISTA ITEMS (2)'!$E$2:$G$910,3,FALSE)," ")</f>
        <v>UND</v>
      </c>
      <c r="H13" s="59">
        <v>10</v>
      </c>
      <c r="I13" s="12" t="s">
        <v>356</v>
      </c>
      <c r="J13" s="76">
        <v>46066</v>
      </c>
      <c r="K13" s="185">
        <v>3</v>
      </c>
      <c r="L13" s="75">
        <f t="shared" si="1"/>
        <v>7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61</v>
      </c>
      <c r="D14" s="12">
        <v>332</v>
      </c>
      <c r="E14" s="12" t="str">
        <f t="shared" si="0"/>
        <v>16-61-332</v>
      </c>
      <c r="F14" s="64" t="str">
        <f>IFERROR(VLOOKUP(E14,'LISTA ITEMS (2)'!$E$2:$G$910,2,FALSE)," ")</f>
        <v>CONECTOR FOTOVOLTAICO MACHO M4 NEGRO</v>
      </c>
      <c r="G14" s="79" t="str">
        <f>IFERROR(VLOOKUP(E14,'LISTA ITEMS (2)'!$E$2:$G$910,3,FALSE)," ")</f>
        <v>UND</v>
      </c>
      <c r="H14" s="59">
        <v>10</v>
      </c>
      <c r="I14" s="12" t="s">
        <v>356</v>
      </c>
      <c r="J14" s="76">
        <v>46066</v>
      </c>
      <c r="K14" s="185">
        <v>1</v>
      </c>
      <c r="L14" s="75">
        <f t="shared" si="1"/>
        <v>9</v>
      </c>
      <c r="M14" s="12"/>
    </row>
    <row r="15" spans="1:13" s="15" customFormat="1" ht="31.95" customHeight="1" x14ac:dyDescent="0.3">
      <c r="A15" s="12">
        <v>10</v>
      </c>
      <c r="B15" s="12">
        <v>6</v>
      </c>
      <c r="C15" s="12">
        <v>23</v>
      </c>
      <c r="D15" s="12">
        <v>192</v>
      </c>
      <c r="E15" s="12" t="str">
        <f t="shared" si="0"/>
        <v>6-23-192</v>
      </c>
      <c r="F15" s="64" t="str">
        <f>IFERROR(VLOOKUP(E15,'LISTA ITEMS (2)'!$E$2:$G$910,2,FALSE)," ")</f>
        <v xml:space="preserve">CINTA ACERO PERFORADA PARA MONTAJE </v>
      </c>
      <c r="G15" s="79" t="str">
        <f>IFERROR(VLOOKUP(E15,'LISTA ITEMS (2)'!$E$2:$G$910,3,FALSE)," ")</f>
        <v>UND</v>
      </c>
      <c r="H15" s="59">
        <v>2</v>
      </c>
      <c r="I15" s="12" t="s">
        <v>356</v>
      </c>
      <c r="J15" s="76">
        <v>46066</v>
      </c>
      <c r="K15" s="72">
        <v>2</v>
      </c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>
        <v>17</v>
      </c>
      <c r="C16" s="12">
        <v>44</v>
      </c>
      <c r="D16" s="12">
        <v>271</v>
      </c>
      <c r="E16" s="12" t="str">
        <f t="shared" si="0"/>
        <v>17-44-271</v>
      </c>
      <c r="F16" s="64" t="str">
        <f>IFERROR(VLOOKUP(E16,'LISTA ITEMS (2)'!$E$2:$G$910,2,FALSE)," ")</f>
        <v>SELLANTE QUIMICO BLANCO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6">
        <v>46066</v>
      </c>
      <c r="K16" s="72">
        <v>1</v>
      </c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>
        <v>17</v>
      </c>
      <c r="C17" s="12">
        <v>44</v>
      </c>
      <c r="D17" s="12">
        <v>272</v>
      </c>
      <c r="E17" s="12" t="str">
        <f t="shared" si="0"/>
        <v>17-44-272</v>
      </c>
      <c r="F17" s="64" t="str">
        <f>IFERROR(VLOOKUP(E17,'LISTA ITEMS (2)'!$E$2:$G$910,2,FALSE)," ")</f>
        <v>SELLANTE QUIMICO GRIS</v>
      </c>
      <c r="G17" s="79" t="str">
        <f>IFERROR(VLOOKUP(E17,'LISTA ITEMS (2)'!$E$2:$G$910,3,FALSE)," ")</f>
        <v>UND</v>
      </c>
      <c r="H17" s="59">
        <v>1</v>
      </c>
      <c r="I17" s="12" t="s">
        <v>356</v>
      </c>
      <c r="J17" s="76">
        <v>46066</v>
      </c>
      <c r="K17" s="72">
        <v>1</v>
      </c>
      <c r="L17" s="75">
        <f t="shared" si="1"/>
        <v>0</v>
      </c>
      <c r="M17" s="12"/>
    </row>
    <row r="18" spans="1:13" s="15" customFormat="1" ht="31.95" customHeight="1" x14ac:dyDescent="0.3">
      <c r="A18" s="12">
        <v>13</v>
      </c>
      <c r="B18" s="12">
        <v>13</v>
      </c>
      <c r="C18" s="12">
        <v>22</v>
      </c>
      <c r="D18" s="12">
        <v>183</v>
      </c>
      <c r="E18" s="12" t="str">
        <f t="shared" si="0"/>
        <v>13-22-183</v>
      </c>
      <c r="F18" s="64" t="str">
        <f>IFERROR(VLOOKUP(E18,'LISTA ITEMS (2)'!$E$2:$G$910,2,FALSE)," ")</f>
        <v>BRIDA P/INTERIOR NEGRA</v>
      </c>
      <c r="G18" s="79" t="str">
        <f>IFERROR(VLOOKUP(E18,'LISTA ITEMS (2)'!$E$2:$G$910,3,FALSE)," ")</f>
        <v>UND</v>
      </c>
      <c r="H18" s="59">
        <v>100</v>
      </c>
      <c r="I18" s="12" t="s">
        <v>356</v>
      </c>
      <c r="J18" s="76">
        <v>46069</v>
      </c>
      <c r="K18" s="72">
        <v>100</v>
      </c>
      <c r="L18" s="75">
        <f t="shared" si="1"/>
        <v>0</v>
      </c>
      <c r="M18" s="85"/>
    </row>
    <row r="19" spans="1:13" s="15" customFormat="1" ht="31.95" customHeight="1" x14ac:dyDescent="0.3">
      <c r="A19" s="12">
        <v>14</v>
      </c>
      <c r="B19" s="12">
        <v>13</v>
      </c>
      <c r="C19" s="12">
        <v>22</v>
      </c>
      <c r="D19" s="12">
        <v>184</v>
      </c>
      <c r="E19" s="12" t="str">
        <f t="shared" si="0"/>
        <v>13-22-184</v>
      </c>
      <c r="F19" s="64" t="str">
        <f>IFERROR(VLOOKUP(E19,'LISTA ITEMS (2)'!$E$2:$G$910,2,FALSE)," ")</f>
        <v>BRIDA P/EXTERIOR NEGRA</v>
      </c>
      <c r="G19" s="79" t="str">
        <f>IFERROR(VLOOKUP(E19,'LISTA ITEMS (2)'!$E$2:$G$910,3,FALSE)," ")</f>
        <v>UND</v>
      </c>
      <c r="H19" s="59">
        <v>50</v>
      </c>
      <c r="I19" s="12" t="s">
        <v>356</v>
      </c>
      <c r="J19" s="76">
        <v>46066</v>
      </c>
      <c r="K19" s="72">
        <v>50</v>
      </c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>
        <v>13</v>
      </c>
      <c r="C20" s="12">
        <v>21</v>
      </c>
      <c r="D20" s="12">
        <v>181</v>
      </c>
      <c r="E20" s="12" t="str">
        <f t="shared" si="0"/>
        <v>13-21-181</v>
      </c>
      <c r="F20" s="64" t="str">
        <f>IFERROR(VLOOKUP(E20,'LISTA ITEMS (2)'!$E$2:$G$910,2,FALSE)," ")</f>
        <v>TACO P/BRIDA NEGRO</v>
      </c>
      <c r="G20" s="79" t="str">
        <f>IFERROR(VLOOKUP(E20,'LISTA ITEMS (2)'!$E$2:$G$910,3,FALSE)," ")</f>
        <v>UND</v>
      </c>
      <c r="H20" s="59">
        <v>100</v>
      </c>
      <c r="I20" s="12" t="s">
        <v>356</v>
      </c>
      <c r="J20" s="76">
        <v>46069</v>
      </c>
      <c r="K20" s="72">
        <v>100</v>
      </c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12">
        <v>14</v>
      </c>
      <c r="C21" s="12">
        <v>24</v>
      </c>
      <c r="D21" s="12">
        <v>193</v>
      </c>
      <c r="E21" s="12" t="str">
        <f t="shared" si="0"/>
        <v>14-24-193</v>
      </c>
      <c r="F21" s="64" t="str">
        <f>IFERROR(VLOOKUP(E21,'LISTA ITEMS (2)'!$E$2:$G$910,2,FALSE)," ")</f>
        <v>DISCO CORTE ACERO/INOX A1 2EN1</v>
      </c>
      <c r="G21" s="79" t="str">
        <f>IFERROR(VLOOKUP(E21,'LISTA ITEMS (2)'!$E$2:$G$910,3,FALSE)," ")</f>
        <v>UND</v>
      </c>
      <c r="H21" s="59">
        <v>3</v>
      </c>
      <c r="I21" s="12" t="s">
        <v>356</v>
      </c>
      <c r="J21" s="128">
        <v>46069</v>
      </c>
      <c r="K21" s="72">
        <v>3</v>
      </c>
      <c r="L21" s="75">
        <f t="shared" si="1"/>
        <v>0</v>
      </c>
      <c r="M21" s="12"/>
    </row>
    <row r="22" spans="1:13" s="15" customFormat="1" ht="31.95" customHeight="1" x14ac:dyDescent="0.3">
      <c r="A22" s="12">
        <v>17</v>
      </c>
      <c r="B22" s="12">
        <v>10</v>
      </c>
      <c r="C22" s="12">
        <v>37</v>
      </c>
      <c r="D22" s="12">
        <v>232</v>
      </c>
      <c r="E22" s="12" t="str">
        <f t="shared" si="0"/>
        <v>10-37-232</v>
      </c>
      <c r="F22" s="64" t="str">
        <f>IFERROR(VLOOKUP(E22,'LISTA ITEMS (2)'!$E$2:$G$910,2,FALSE)," ")</f>
        <v>SOPORTE CENTRAL NEGRO</v>
      </c>
      <c r="G22" s="79" t="str">
        <f>IFERROR(VLOOKUP(E22,'LISTA ITEMS (2)'!$E$2:$G$910,3,FALSE)," ")</f>
        <v>UND</v>
      </c>
      <c r="H22" s="59">
        <v>25</v>
      </c>
      <c r="I22" s="12" t="s">
        <v>356</v>
      </c>
      <c r="J22" s="76">
        <v>46066</v>
      </c>
      <c r="K22" s="72">
        <v>20</v>
      </c>
      <c r="L22" s="75">
        <f t="shared" si="1"/>
        <v>5</v>
      </c>
      <c r="M22" s="12"/>
    </row>
    <row r="23" spans="1:13" s="15" customFormat="1" ht="31.95" customHeight="1" x14ac:dyDescent="0.3">
      <c r="A23" s="12">
        <v>18</v>
      </c>
      <c r="B23" s="12">
        <v>10</v>
      </c>
      <c r="C23" s="12">
        <v>37</v>
      </c>
      <c r="D23" s="12">
        <v>315</v>
      </c>
      <c r="E23" s="12" t="str">
        <f t="shared" si="0"/>
        <v>10-37-315</v>
      </c>
      <c r="F23" s="64" t="str">
        <f>IFERROR(VLOOKUP(E23,'LISTA ITEMS (2)'!$E$2:$G$910,2,FALSE)," ")</f>
        <v>SOPORTE FINAL NEGRO</v>
      </c>
      <c r="G23" s="79" t="str">
        <f>IFERROR(VLOOKUP(E23,'LISTA ITEMS (2)'!$E$2:$G$910,3,FALSE)," ")</f>
        <v>UND</v>
      </c>
      <c r="H23" s="59">
        <v>25</v>
      </c>
      <c r="I23" s="12" t="s">
        <v>356</v>
      </c>
      <c r="J23" s="76">
        <v>46066</v>
      </c>
      <c r="K23" s="72">
        <v>20</v>
      </c>
      <c r="L23" s="75">
        <f t="shared" si="1"/>
        <v>5</v>
      </c>
      <c r="M23" s="12"/>
    </row>
    <row r="24" spans="1:13" s="15" customFormat="1" ht="31.95" customHeight="1" x14ac:dyDescent="0.3">
      <c r="A24" s="12">
        <v>19</v>
      </c>
      <c r="B24" s="12">
        <v>9</v>
      </c>
      <c r="C24" s="12">
        <v>2</v>
      </c>
      <c r="D24" s="12">
        <v>291</v>
      </c>
      <c r="E24" s="12" t="str">
        <f t="shared" si="0"/>
        <v>9-2-291</v>
      </c>
      <c r="F24" s="64" t="str">
        <f>IFERROR(VLOOKUP(E24,'LISTA ITEMS (2)'!$E$2:$G$910,2,FALSE)," ")</f>
        <v>TUBO ELECTRICO PVC 25mm - 3mt(AISCAN)</v>
      </c>
      <c r="G24" s="79" t="str">
        <f>IFERROR(VLOOKUP(E24,'LISTA ITEMS (2)'!$E$2:$G$910,3,FALSE)," ")</f>
        <v>UND</v>
      </c>
      <c r="H24" s="59">
        <v>6</v>
      </c>
      <c r="I24" s="12" t="s">
        <v>356</v>
      </c>
      <c r="J24" s="76">
        <v>46066</v>
      </c>
      <c r="K24" s="72">
        <v>6</v>
      </c>
      <c r="L24" s="75">
        <f t="shared" si="1"/>
        <v>0</v>
      </c>
      <c r="M24" s="12"/>
    </row>
    <row r="25" spans="1:13" s="15" customFormat="1" ht="31.95" customHeight="1" x14ac:dyDescent="0.3">
      <c r="A25" s="12">
        <v>20</v>
      </c>
      <c r="B25" s="12">
        <v>8</v>
      </c>
      <c r="C25" s="12">
        <v>27</v>
      </c>
      <c r="D25" s="12">
        <v>321</v>
      </c>
      <c r="E25" s="12" t="str">
        <f t="shared" si="0"/>
        <v>8-27-321</v>
      </c>
      <c r="F25" s="64" t="str">
        <f>IFERROR(VLOOKUP(E25,'LISTA ITEMS (2)'!$E$2:$G$910,2,FALSE)," ")</f>
        <v>TORNILLO AUTOTALADRANTE CON C/HEXAGONAL - R/PARCIAL - ARANDELA CAUCHO 6X120mm  A/GALV.</v>
      </c>
      <c r="G25" s="79" t="str">
        <f>IFERROR(VLOOKUP(E25,'LISTA ITEMS (2)'!$E$2:$G$910,3,FALSE)," ")</f>
        <v>UND</v>
      </c>
      <c r="H25" s="59">
        <v>20</v>
      </c>
      <c r="I25" s="12" t="s">
        <v>356</v>
      </c>
      <c r="J25" s="128">
        <v>46069</v>
      </c>
      <c r="K25" s="72">
        <v>20</v>
      </c>
      <c r="L25" s="75">
        <f t="shared" si="1"/>
        <v>0</v>
      </c>
      <c r="M25" s="12"/>
    </row>
    <row r="26" spans="1:13" s="15" customFormat="1" ht="31.95" customHeight="1" x14ac:dyDescent="0.3">
      <c r="A26" s="12">
        <v>21</v>
      </c>
      <c r="B26" s="12">
        <v>4</v>
      </c>
      <c r="C26" s="12">
        <v>15</v>
      </c>
      <c r="D26" s="12">
        <v>326</v>
      </c>
      <c r="E26" s="12" t="str">
        <f t="shared" si="0"/>
        <v>4-15-326</v>
      </c>
      <c r="F26" s="64" t="str">
        <f>IFERROR(VLOOKUP(E26,'LISTA ITEMS (2)'!$E$2:$G$910,2,FALSE)," ")</f>
        <v>BARRA PERFORADA PARA REFUERZO 27x18x2MT GALV.</v>
      </c>
      <c r="G26" s="79" t="str">
        <f>IFERROR(VLOOKUP(E26,'LISTA ITEMS (2)'!$E$2:$G$910,3,FALSE)," ")</f>
        <v>UND</v>
      </c>
      <c r="H26" s="59">
        <v>6</v>
      </c>
      <c r="I26" s="12" t="s">
        <v>356</v>
      </c>
      <c r="J26" s="76">
        <v>46066</v>
      </c>
      <c r="K26" s="72">
        <v>6</v>
      </c>
      <c r="L26" s="75">
        <f t="shared" si="1"/>
        <v>0</v>
      </c>
      <c r="M26" s="12"/>
    </row>
    <row r="27" spans="1:13" s="15" customFormat="1" ht="31.95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45" customHeight="1" x14ac:dyDescent="0.3">
      <c r="A40" s="305" t="s">
        <v>692</v>
      </c>
      <c r="B40" s="306"/>
      <c r="C40" s="306"/>
      <c r="D40" s="306"/>
      <c r="E40" s="306"/>
      <c r="F40" s="306"/>
      <c r="G40" s="306"/>
      <c r="H40" s="306"/>
      <c r="I40" s="307"/>
    </row>
  </sheetData>
  <autoFilter ref="A5:M38" xr:uid="{04CC0472-A5E1-4345-89A9-E8E5631BBC57}">
    <filterColumn colId="1" showButton="0"/>
    <filterColumn colId="2" showButton="0"/>
  </autoFilter>
  <mergeCells count="13">
    <mergeCell ref="A1:B1"/>
    <mergeCell ref="C1:F1"/>
    <mergeCell ref="G1:H1"/>
    <mergeCell ref="A2:B2"/>
    <mergeCell ref="C2:F2"/>
    <mergeCell ref="G2:H2"/>
    <mergeCell ref="A3:B3"/>
    <mergeCell ref="C3:D3"/>
    <mergeCell ref="G3:H3"/>
    <mergeCell ref="B5:D5"/>
    <mergeCell ref="A40:I40"/>
    <mergeCell ref="A4:D4"/>
    <mergeCell ref="F4:I4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8D2E-CDC3-4F98-8303-25804B3D92DC}">
  <sheetPr>
    <tabColor rgb="FF92D050"/>
  </sheetPr>
  <dimension ref="A1:M40"/>
  <sheetViews>
    <sheetView zoomScale="70" zoomScaleNormal="70" workbookViewId="0">
      <selection activeCell="L50" sqref="L50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8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260</v>
      </c>
      <c r="D2" s="283"/>
      <c r="E2" s="283"/>
      <c r="F2" s="291"/>
      <c r="G2" s="292" t="s">
        <v>355</v>
      </c>
      <c r="H2" s="290"/>
      <c r="I2" s="62" t="s">
        <v>546</v>
      </c>
      <c r="J2" s="69"/>
      <c r="K2" s="110" t="s">
        <v>554</v>
      </c>
      <c r="L2" s="110" t="s">
        <v>523</v>
      </c>
      <c r="M2" s="74"/>
    </row>
    <row r="3" spans="1:13" s="51" customFormat="1" ht="39.6" customHeight="1" x14ac:dyDescent="0.3">
      <c r="A3" s="278" t="s">
        <v>258</v>
      </c>
      <c r="B3" s="280"/>
      <c r="C3" s="300" t="s">
        <v>542</v>
      </c>
      <c r="D3" s="312"/>
      <c r="E3" s="68"/>
      <c r="F3" s="61" t="s">
        <v>353</v>
      </c>
      <c r="G3" s="295" t="s">
        <v>369</v>
      </c>
      <c r="H3" s="296"/>
      <c r="I3" s="127">
        <v>46062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551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47</v>
      </c>
      <c r="D6" s="12">
        <v>318</v>
      </c>
      <c r="E6" s="12" t="str">
        <f>CONCATENATE(B6,"-",C6,"-",D6)</f>
        <v>16-47-318</v>
      </c>
      <c r="F6" s="64" t="str">
        <f>IFERROR(VLOOKUP(E6,'LISTA ITEMS (2)'!$E$2:$G$910,2,FALSE)," ")</f>
        <v>DIFERENCIAL EPR2A040030 2P-40A-30mA (MAXGE)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2"/>
    </row>
    <row r="7" spans="1:13" s="15" customFormat="1" ht="31.95" customHeight="1" x14ac:dyDescent="0.3">
      <c r="A7" s="12">
        <v>2</v>
      </c>
      <c r="B7" s="12">
        <v>16</v>
      </c>
      <c r="C7" s="12">
        <v>49</v>
      </c>
      <c r="D7" s="12">
        <v>282</v>
      </c>
      <c r="E7" s="12" t="str">
        <f t="shared" ref="E7:E38" si="0">CONCATENATE(B7,"-",C7,"-",D7)</f>
        <v>16-49-282</v>
      </c>
      <c r="F7" s="64" t="str">
        <f>IFERROR(VLOOKUP(E7,'LISTA ITEMS (2)'!$E$2:$G$910,2,FALSE)," ")</f>
        <v>CONTACTOR MODULAR RV32 (REVALCO)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ref="L7:L37" si="1">+H7-K7</f>
        <v>1</v>
      </c>
      <c r="M7" s="12"/>
    </row>
    <row r="8" spans="1:13" s="15" customFormat="1" ht="31.95" customHeight="1" x14ac:dyDescent="0.3">
      <c r="A8" s="12">
        <v>3</v>
      </c>
      <c r="B8" s="12">
        <v>16</v>
      </c>
      <c r="C8" s="12">
        <v>52</v>
      </c>
      <c r="D8" s="12">
        <v>293</v>
      </c>
      <c r="E8" s="12" t="str">
        <f t="shared" si="0"/>
        <v>16-52-293</v>
      </c>
      <c r="F8" s="64" t="str">
        <f>IFERROR(VLOOKUP(E8,'LISTA ITEMS (2)'!$E$2:$G$910,2,FALSE)," ")</f>
        <v>TERMICO EPBE63M1NC63M1NC32 1P+N C32 (MAXGE)</v>
      </c>
      <c r="G8" s="79" t="str">
        <f>IFERROR(VLOOKUP(E8,'LISTA ITEMS (2)'!$E$2:$G$910,3,FALSE)," ")</f>
        <v>UND</v>
      </c>
      <c r="H8" s="59">
        <v>1</v>
      </c>
      <c r="I8" s="12" t="s">
        <v>356</v>
      </c>
      <c r="J8" s="76"/>
      <c r="K8" s="72"/>
      <c r="L8" s="75">
        <f t="shared" si="1"/>
        <v>1</v>
      </c>
      <c r="M8" s="12"/>
    </row>
    <row r="9" spans="1:13" s="15" customFormat="1" ht="31.95" customHeight="1" x14ac:dyDescent="0.3">
      <c r="A9" s="12">
        <v>4</v>
      </c>
      <c r="B9" s="12">
        <v>7</v>
      </c>
      <c r="C9" s="12">
        <v>38</v>
      </c>
      <c r="D9" s="12">
        <v>247</v>
      </c>
      <c r="E9" s="12" t="str">
        <f t="shared" si="0"/>
        <v>7-38-247</v>
      </c>
      <c r="F9" s="64" t="str">
        <f>IFERROR(VLOOKUP(E9,'LISTA ITEMS (2)'!$E$2:$G$910,2,FALSE)," ")</f>
        <v>PLACA SOLAR JAM60D42-535LB 535W / 44.13V</v>
      </c>
      <c r="G9" s="79" t="str">
        <f>IFERROR(VLOOKUP(E9,'LISTA ITEMS (2)'!$E$2:$G$910,3,FALSE)," ")</f>
        <v>UND</v>
      </c>
      <c r="H9" s="59">
        <v>10</v>
      </c>
      <c r="I9" s="12" t="s">
        <v>356</v>
      </c>
      <c r="J9" s="76"/>
      <c r="K9" s="72"/>
      <c r="L9" s="75">
        <f t="shared" si="1"/>
        <v>10</v>
      </c>
      <c r="M9" s="12"/>
    </row>
    <row r="10" spans="1:13" s="15" customFormat="1" ht="31.95" customHeight="1" x14ac:dyDescent="0.3">
      <c r="A10" s="12">
        <v>5</v>
      </c>
      <c r="B10" s="12"/>
      <c r="C10" s="12"/>
      <c r="D10" s="12"/>
      <c r="E10" s="12" t="str">
        <f t="shared" si="0"/>
        <v>--</v>
      </c>
      <c r="F10" s="64">
        <f>IFERROR(VLOOKUP(E10,'LISTA ITEMS (2)'!$E$2:$G$910,2,FALSE)," ")</f>
        <v>0</v>
      </c>
      <c r="G10" s="79">
        <f>IFERROR(VLOOKUP(E10,'LISTA ITEMS (2)'!$E$2:$G$910,3,FALSE)," ")</f>
        <v>0</v>
      </c>
      <c r="H10" s="59"/>
      <c r="I10" s="12" t="s">
        <v>356</v>
      </c>
      <c r="J10" s="76"/>
      <c r="K10" s="72"/>
      <c r="L10" s="75">
        <f t="shared" si="1"/>
        <v>0</v>
      </c>
      <c r="M10" s="12"/>
    </row>
    <row r="11" spans="1:13" s="15" customFormat="1" ht="31.95" hidden="1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59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hidden="1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59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hidden="1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59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hidden="1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59"/>
      <c r="I14" s="12" t="s">
        <v>356</v>
      </c>
      <c r="J14" s="72"/>
      <c r="K14" s="72"/>
      <c r="L14" s="75">
        <f t="shared" si="1"/>
        <v>0</v>
      </c>
      <c r="M14" s="12"/>
    </row>
    <row r="15" spans="1:13" s="15" customFormat="1" ht="31.95" hidden="1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hidden="1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hidden="1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hidden="1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hidden="1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hidden="1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hidden="1" customHeight="1" x14ac:dyDescent="0.3">
      <c r="A21" s="12">
        <v>16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v>1</v>
      </c>
      <c r="M21" s="12"/>
    </row>
    <row r="22" spans="1:13" s="15" customFormat="1" ht="31.95" hidden="1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hidden="1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hidden="1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hidden="1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12"/>
    </row>
    <row r="26" spans="1:13" s="15" customFormat="1" ht="31.95" hidden="1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hidden="1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536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3:B3"/>
    <mergeCell ref="C3:D3"/>
    <mergeCell ref="G3:H3"/>
    <mergeCell ref="B5:D5"/>
    <mergeCell ref="A40:I40"/>
    <mergeCell ref="A4:D4"/>
    <mergeCell ref="F4:I4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7A7F-557F-4457-BB0C-03550DA3A218}">
  <sheetPr>
    <tabColor rgb="FF92D050"/>
  </sheetPr>
  <dimension ref="A1:M40"/>
  <sheetViews>
    <sheetView zoomScale="70" zoomScaleNormal="70" workbookViewId="0">
      <selection activeCell="Q5" sqref="Q5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664062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9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537</v>
      </c>
      <c r="D2" s="283"/>
      <c r="E2" s="283"/>
      <c r="F2" s="291"/>
      <c r="G2" s="292" t="s">
        <v>355</v>
      </c>
      <c r="H2" s="290"/>
      <c r="I2" s="62">
        <v>10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538</v>
      </c>
      <c r="D3" s="314"/>
      <c r="E3" s="68"/>
      <c r="F3" s="61" t="s">
        <v>353</v>
      </c>
      <c r="G3" s="295" t="s">
        <v>369</v>
      </c>
      <c r="H3" s="296"/>
      <c r="I3" s="127">
        <v>46063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552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53</v>
      </c>
      <c r="D6" s="12">
        <v>290</v>
      </c>
      <c r="E6" s="12" t="str">
        <f>CONCATENATE(B6,"-",C6,"-",D6)</f>
        <v>16-53-290</v>
      </c>
      <c r="F6" s="64" t="str">
        <f>IFERROR(VLOOKUP(E6,'LISTA ITEMS (2)'!$E$2:$G$910,2,FALSE)," ")</f>
        <v>PINCHO DE COMUNICACIÓN WIFI SHINEWILAN X2 (GROWATT)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>
        <v>46065</v>
      </c>
      <c r="K6" s="72">
        <v>1</v>
      </c>
      <c r="L6" s="75">
        <f>+H6-K6</f>
        <v>0</v>
      </c>
      <c r="M6" s="12"/>
    </row>
    <row r="7" spans="1:13" s="15" customFormat="1" ht="31.95" customHeight="1" x14ac:dyDescent="0.3">
      <c r="A7" s="12">
        <v>2</v>
      </c>
      <c r="B7" s="12"/>
      <c r="C7" s="12"/>
      <c r="D7" s="12"/>
      <c r="E7" s="12" t="str">
        <f t="shared" ref="E7:E38" si="0">CONCATENATE(B7,"-",C7,"-",D7)</f>
        <v>--</v>
      </c>
      <c r="F7" s="64">
        <f>IFERROR(VLOOKUP(E7,'LISTA ITEMS (2)'!$E$2:$G$910,2,FALSE)," ")</f>
        <v>0</v>
      </c>
      <c r="G7" s="79">
        <f>IFERROR(VLOOKUP(E7,'LISTA ITEMS (2)'!$E$2:$G$910,3,FALSE)," ")</f>
        <v>0</v>
      </c>
      <c r="H7" s="59"/>
      <c r="I7" s="12" t="s">
        <v>356</v>
      </c>
      <c r="J7" s="76"/>
      <c r="K7" s="72"/>
      <c r="L7" s="75">
        <f t="shared" ref="L7:L37" si="1">+H7-K7</f>
        <v>0</v>
      </c>
      <c r="M7" s="12"/>
    </row>
    <row r="8" spans="1:13" s="15" customFormat="1" ht="31.95" customHeight="1" x14ac:dyDescent="0.3">
      <c r="A8" s="12">
        <v>3</v>
      </c>
      <c r="B8" s="12"/>
      <c r="C8" s="12"/>
      <c r="D8" s="12"/>
      <c r="E8" s="12" t="str">
        <f t="shared" si="0"/>
        <v>--</v>
      </c>
      <c r="F8" s="64">
        <f>IFERROR(VLOOKUP(E8,'LISTA ITEMS (2)'!$E$2:$G$910,2,FALSE)," ")</f>
        <v>0</v>
      </c>
      <c r="G8" s="79">
        <f>IFERROR(VLOOKUP(E8,'LISTA ITEMS (2)'!$E$2:$G$910,3,FALSE)," ")</f>
        <v>0</v>
      </c>
      <c r="H8" s="59"/>
      <c r="I8" s="12" t="s">
        <v>356</v>
      </c>
      <c r="J8" s="76"/>
      <c r="K8" s="72"/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/>
      <c r="C9" s="12"/>
      <c r="D9" s="12"/>
      <c r="E9" s="12" t="str">
        <f t="shared" si="0"/>
        <v>--</v>
      </c>
      <c r="F9" s="64">
        <f>IFERROR(VLOOKUP(E9,'LISTA ITEMS (2)'!$E$2:$G$910,2,FALSE)," ")</f>
        <v>0</v>
      </c>
      <c r="G9" s="79">
        <f>IFERROR(VLOOKUP(E9,'LISTA ITEMS (2)'!$E$2:$G$910,3,FALSE)," ")</f>
        <v>0</v>
      </c>
      <c r="H9" s="59"/>
      <c r="I9" s="12" t="s">
        <v>356</v>
      </c>
      <c r="J9" s="76"/>
      <c r="K9" s="72"/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/>
      <c r="C10" s="12"/>
      <c r="D10" s="12"/>
      <c r="E10" s="12" t="str">
        <f t="shared" si="0"/>
        <v>--</v>
      </c>
      <c r="F10" s="64">
        <f>IFERROR(VLOOKUP(E10,'LISTA ITEMS (2)'!$E$2:$G$910,2,FALSE)," ")</f>
        <v>0</v>
      </c>
      <c r="G10" s="79">
        <f>IFERROR(VLOOKUP(E10,'LISTA ITEMS (2)'!$E$2:$G$910,3,FALSE)," ")</f>
        <v>0</v>
      </c>
      <c r="H10" s="59"/>
      <c r="I10" s="12" t="s">
        <v>356</v>
      </c>
      <c r="J10" s="76"/>
      <c r="K10" s="72"/>
      <c r="L10" s="75">
        <f t="shared" si="1"/>
        <v>0</v>
      </c>
      <c r="M10" s="12"/>
    </row>
    <row r="11" spans="1:13" s="15" customFormat="1" ht="31.95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59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59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59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hidden="1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59"/>
      <c r="I14" s="12" t="s">
        <v>356</v>
      </c>
      <c r="J14" s="72"/>
      <c r="K14" s="72"/>
      <c r="L14" s="75">
        <f t="shared" si="1"/>
        <v>0</v>
      </c>
      <c r="M14" s="12"/>
    </row>
    <row r="15" spans="1:13" s="15" customFormat="1" ht="31.95" hidden="1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hidden="1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hidden="1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hidden="1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hidden="1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hidden="1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hidden="1" customHeight="1" x14ac:dyDescent="0.3">
      <c r="A21" s="12">
        <v>16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v>1</v>
      </c>
      <c r="M21" s="12"/>
    </row>
    <row r="22" spans="1:13" s="15" customFormat="1" ht="31.95" hidden="1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hidden="1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hidden="1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hidden="1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12"/>
    </row>
    <row r="26" spans="1:13" s="15" customFormat="1" ht="31.95" hidden="1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hidden="1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539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3:B3"/>
    <mergeCell ref="C3:D3"/>
    <mergeCell ref="G3:H3"/>
    <mergeCell ref="B5:D5"/>
    <mergeCell ref="A40:I40"/>
    <mergeCell ref="A4:D4"/>
    <mergeCell ref="F4:I4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2507-2F06-4C68-AE7E-AB0EAA9E163E}">
  <sheetPr>
    <tabColor rgb="FF92D050"/>
  </sheetPr>
  <dimension ref="A1:M40"/>
  <sheetViews>
    <sheetView zoomScale="70" zoomScaleNormal="70" workbookViewId="0">
      <selection activeCell="N6" sqref="N6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664062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10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260</v>
      </c>
      <c r="D2" s="283"/>
      <c r="E2" s="283"/>
      <c r="F2" s="291"/>
      <c r="G2" s="292" t="s">
        <v>355</v>
      </c>
      <c r="H2" s="290"/>
      <c r="I2" s="62" t="s">
        <v>547</v>
      </c>
      <c r="J2" s="69"/>
      <c r="K2" s="110" t="s">
        <v>554</v>
      </c>
      <c r="L2" s="110" t="s">
        <v>685</v>
      </c>
      <c r="M2" s="74"/>
    </row>
    <row r="3" spans="1:13" s="51" customFormat="1" ht="39.6" customHeight="1" x14ac:dyDescent="0.3">
      <c r="A3" s="278" t="s">
        <v>258</v>
      </c>
      <c r="B3" s="280"/>
      <c r="C3" s="300" t="s">
        <v>542</v>
      </c>
      <c r="D3" s="312"/>
      <c r="E3" s="68"/>
      <c r="F3" s="61" t="s">
        <v>353</v>
      </c>
      <c r="G3" s="295" t="s">
        <v>369</v>
      </c>
      <c r="H3" s="296"/>
      <c r="I3" s="127">
        <v>46064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541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43</v>
      </c>
      <c r="D6" s="12">
        <v>270</v>
      </c>
      <c r="E6" s="12" t="str">
        <f>CONCATENATE(B6,"-",C6,"-",D6)</f>
        <v>10-43-270</v>
      </c>
      <c r="F6" s="64" t="str">
        <f>IFERROR(VLOOKUP(E6,'LISTA ITEMS (2)'!$E$2:$G$910,2,FALSE)," ")</f>
        <v>EMPALME ALUMINIO P/BARRA</v>
      </c>
      <c r="G6" s="79" t="str">
        <f>IFERROR(VLOOKUP(E6,'LISTA ITEMS (2)'!$E$2:$G$910,3,FALSE)," ")</f>
        <v>UND</v>
      </c>
      <c r="H6" s="59">
        <v>8</v>
      </c>
      <c r="I6" s="12" t="s">
        <v>356</v>
      </c>
      <c r="J6" s="76">
        <v>46069</v>
      </c>
      <c r="K6" s="72">
        <v>4</v>
      </c>
      <c r="L6" s="75">
        <f>+H6-K6</f>
        <v>4</v>
      </c>
      <c r="M6" s="12"/>
    </row>
    <row r="7" spans="1:13" s="15" customFormat="1" ht="31.95" customHeight="1" x14ac:dyDescent="0.3">
      <c r="A7" s="12">
        <v>2</v>
      </c>
      <c r="B7" s="12">
        <v>9</v>
      </c>
      <c r="C7" s="12">
        <v>2</v>
      </c>
      <c r="D7" s="12">
        <v>291</v>
      </c>
      <c r="E7" s="12" t="str">
        <f t="shared" ref="E7:E38" si="0">CONCATENATE(B7,"-",C7,"-",D7)</f>
        <v>9-2-291</v>
      </c>
      <c r="F7" s="64" t="str">
        <f>IFERROR(VLOOKUP(E7,'LISTA ITEMS (2)'!$E$2:$G$910,2,FALSE)," ")</f>
        <v>TUBO ELECTRICO PVC 25mm - 3mt(AISCAN)</v>
      </c>
      <c r="G7" s="79" t="str">
        <f>IFERROR(VLOOKUP(E7,'LISTA ITEMS (2)'!$E$2:$G$910,3,FALSE)," ")</f>
        <v>UND</v>
      </c>
      <c r="H7" s="59">
        <v>3</v>
      </c>
      <c r="I7" s="12" t="s">
        <v>356</v>
      </c>
      <c r="J7" s="76"/>
      <c r="K7" s="72"/>
      <c r="L7" s="75">
        <f t="shared" ref="L7:L37" si="1">+H7-K7</f>
        <v>3</v>
      </c>
      <c r="M7" s="12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315</v>
      </c>
      <c r="E8" s="12" t="str">
        <f t="shared" si="0"/>
        <v>10-37-315</v>
      </c>
      <c r="F8" s="64" t="str">
        <f>IFERROR(VLOOKUP(E8,'LISTA ITEMS (2)'!$E$2:$G$910,2,FALSE)," ")</f>
        <v>SOPORTE FINAL NEGRO</v>
      </c>
      <c r="G8" s="79" t="str">
        <f>IFERROR(VLOOKUP(E8,'LISTA ITEMS (2)'!$E$2:$G$910,3,FALSE)," ")</f>
        <v>UND</v>
      </c>
      <c r="H8" s="59">
        <v>30</v>
      </c>
      <c r="I8" s="12" t="s">
        <v>356</v>
      </c>
      <c r="J8" s="76">
        <v>46069</v>
      </c>
      <c r="K8" s="72">
        <v>15</v>
      </c>
      <c r="L8" s="75">
        <f t="shared" si="1"/>
        <v>15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330</v>
      </c>
      <c r="E9" s="12" t="str">
        <f t="shared" si="0"/>
        <v>10-37-330</v>
      </c>
      <c r="F9" s="64" t="str">
        <f>IFERROR(VLOOKUP(E9,'LISTA ITEMS (2)'!$E$2:$G$910,2,FALSE)," ")</f>
        <v>SOPORTE EN L ALUMINIO GRIS</v>
      </c>
      <c r="G9" s="79" t="str">
        <f>IFERROR(VLOOKUP(E9,'LISTA ITEMS (2)'!$E$2:$G$910,3,FALSE)," ")</f>
        <v>UND</v>
      </c>
      <c r="H9" s="59">
        <v>30</v>
      </c>
      <c r="I9" s="12" t="s">
        <v>356</v>
      </c>
      <c r="J9" s="76">
        <v>46069</v>
      </c>
      <c r="K9" s="72">
        <v>1</v>
      </c>
      <c r="L9" s="75">
        <f t="shared" si="1"/>
        <v>29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37</v>
      </c>
      <c r="D10" s="12">
        <v>232</v>
      </c>
      <c r="E10" s="12" t="str">
        <f t="shared" si="0"/>
        <v>10-37-232</v>
      </c>
      <c r="F10" s="64" t="str">
        <f>IFERROR(VLOOKUP(E10,'LISTA ITEMS (2)'!$E$2:$G$910,2,FALSE)," ")</f>
        <v>SOPORTE CENTRAL NEGRO</v>
      </c>
      <c r="G10" s="79" t="str">
        <f>IFERROR(VLOOKUP(E10,'LISTA ITEMS (2)'!$E$2:$G$910,3,FALSE)," ")</f>
        <v>UND</v>
      </c>
      <c r="H10" s="59">
        <v>30</v>
      </c>
      <c r="I10" s="12" t="s">
        <v>356</v>
      </c>
      <c r="J10" s="76">
        <v>46069</v>
      </c>
      <c r="K10" s="72">
        <v>20</v>
      </c>
      <c r="L10" s="75">
        <f t="shared" si="1"/>
        <v>10</v>
      </c>
      <c r="M10" s="12"/>
    </row>
    <row r="11" spans="1:13" s="15" customFormat="1" ht="31.95" customHeight="1" x14ac:dyDescent="0.3">
      <c r="A11" s="12">
        <v>6</v>
      </c>
      <c r="B11" s="12">
        <v>8</v>
      </c>
      <c r="C11" s="12">
        <v>64</v>
      </c>
      <c r="D11" s="12">
        <v>358</v>
      </c>
      <c r="E11" s="12" t="str">
        <f t="shared" si="0"/>
        <v>8-64-358</v>
      </c>
      <c r="F11" s="64" t="str">
        <f>IFERROR(VLOOKUP(E11,'LISTA ITEMS (2)'!$E$2:$G$910,2,FALSE)," ")</f>
        <v>BARILLA ROSCADA M8 A/GALV X1000</v>
      </c>
      <c r="G11" s="79" t="str">
        <f>IFERROR(VLOOKUP(E11,'LISTA ITEMS (2)'!$E$2:$G$910,3,FALSE)," ")</f>
        <v>UND</v>
      </c>
      <c r="H11" s="59">
        <v>5</v>
      </c>
      <c r="I11" s="12" t="s">
        <v>356</v>
      </c>
      <c r="J11" s="76">
        <v>46069</v>
      </c>
      <c r="K11" s="72">
        <v>2</v>
      </c>
      <c r="L11" s="75">
        <f t="shared" si="1"/>
        <v>3</v>
      </c>
      <c r="M11" s="12"/>
    </row>
    <row r="12" spans="1:13" s="15" customFormat="1" ht="31.95" customHeight="1" x14ac:dyDescent="0.3">
      <c r="A12" s="12">
        <v>7</v>
      </c>
      <c r="B12" s="12">
        <v>6</v>
      </c>
      <c r="C12" s="12">
        <v>23</v>
      </c>
      <c r="D12" s="12">
        <v>192</v>
      </c>
      <c r="E12" s="12" t="str">
        <f t="shared" si="0"/>
        <v>6-23-192</v>
      </c>
      <c r="F12" s="64" t="s">
        <v>69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>
        <v>46069</v>
      </c>
      <c r="K12" s="72">
        <v>1</v>
      </c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>
        <v>13</v>
      </c>
      <c r="C13" s="12">
        <v>22</v>
      </c>
      <c r="D13" s="12">
        <v>184</v>
      </c>
      <c r="E13" s="12" t="str">
        <f t="shared" si="0"/>
        <v>13-22-184</v>
      </c>
      <c r="F13" s="64" t="str">
        <f>IFERROR(VLOOKUP(E13,'LISTA ITEMS (2)'!$E$2:$G$910,2,FALSE)," ")</f>
        <v>BRIDA P/EXTERIOR NEGRA</v>
      </c>
      <c r="G13" s="79" t="str">
        <f>IFERROR(VLOOKUP(E13,'LISTA ITEMS (2)'!$E$2:$G$910,3,FALSE)," ")</f>
        <v>UND</v>
      </c>
      <c r="H13" s="59">
        <v>200</v>
      </c>
      <c r="I13" s="12" t="s">
        <v>356</v>
      </c>
      <c r="J13" s="76">
        <v>46069</v>
      </c>
      <c r="K13" s="72">
        <v>200</v>
      </c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>
        <v>9</v>
      </c>
      <c r="C14" s="12">
        <v>32</v>
      </c>
      <c r="D14" s="12">
        <v>223</v>
      </c>
      <c r="E14" s="12" t="str">
        <f t="shared" si="0"/>
        <v>9-32-223</v>
      </c>
      <c r="F14" s="64" t="str">
        <f>IFERROR(VLOOKUP(E14,'LISTA ITEMS (2)'!$E$2:$G$910,2,FALSE)," ")</f>
        <v>CURVA PVC M-25 GRIS TIPO A</v>
      </c>
      <c r="G14" s="79" t="str">
        <f>IFERROR(VLOOKUP(E14,'LISTA ITEMS (2)'!$E$2:$G$910,3,FALSE)," ")</f>
        <v>UND</v>
      </c>
      <c r="H14" s="59">
        <v>20</v>
      </c>
      <c r="I14" s="12" t="s">
        <v>356</v>
      </c>
      <c r="J14" s="128">
        <v>46069</v>
      </c>
      <c r="K14" s="72">
        <v>10</v>
      </c>
      <c r="L14" s="75">
        <f t="shared" si="1"/>
        <v>10</v>
      </c>
      <c r="M14" s="12"/>
    </row>
    <row r="15" spans="1:13" s="15" customFormat="1" ht="31.95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hidden="1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hidden="1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hidden="1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hidden="1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hidden="1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hidden="1" customHeight="1" x14ac:dyDescent="0.3">
      <c r="A21" s="12">
        <v>16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v>1</v>
      </c>
      <c r="M21" s="12"/>
    </row>
    <row r="22" spans="1:13" s="15" customFormat="1" ht="31.95" hidden="1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hidden="1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hidden="1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hidden="1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12"/>
    </row>
    <row r="26" spans="1:13" s="15" customFormat="1" ht="31.95" hidden="1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hidden="1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545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40:I4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8B81-B2E5-4605-B09F-C1F18302048D}">
  <sheetPr>
    <tabColor rgb="FF92D050"/>
  </sheetPr>
  <dimension ref="A1:M40"/>
  <sheetViews>
    <sheetView zoomScale="85" zoomScaleNormal="85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F9" sqref="F9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11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571</v>
      </c>
      <c r="D2" s="283"/>
      <c r="E2" s="283"/>
      <c r="F2" s="291"/>
      <c r="G2" s="292" t="s">
        <v>355</v>
      </c>
      <c r="H2" s="290"/>
      <c r="I2" s="62">
        <v>11</v>
      </c>
      <c r="J2" s="69"/>
      <c r="K2" s="110" t="s">
        <v>554</v>
      </c>
      <c r="L2" s="110" t="s">
        <v>523</v>
      </c>
      <c r="M2" s="74"/>
    </row>
    <row r="3" spans="1:13" s="51" customFormat="1" ht="39.6" customHeight="1" x14ac:dyDescent="0.3">
      <c r="A3" s="278" t="s">
        <v>258</v>
      </c>
      <c r="B3" s="280"/>
      <c r="C3" s="315" t="s">
        <v>572</v>
      </c>
      <c r="D3" s="316"/>
      <c r="E3" s="68"/>
      <c r="F3" s="61" t="s">
        <v>353</v>
      </c>
      <c r="G3" s="295" t="s">
        <v>369</v>
      </c>
      <c r="H3" s="296"/>
      <c r="I3" s="127">
        <v>46065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570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47</v>
      </c>
      <c r="D6" s="12">
        <v>318</v>
      </c>
      <c r="E6" s="12" t="str">
        <f>CONCATENATE(B6,"-",C6,"-",D6)</f>
        <v>16-47-318</v>
      </c>
      <c r="F6" s="64" t="str">
        <f>IFERROR(VLOOKUP(E6,'LISTA ITEMS (2)'!$E$2:$G$910,2,FALSE)," ")</f>
        <v>DIFERENCIAL EPR2A040030 2P-40A-30mA (MAXGE)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2"/>
    </row>
    <row r="7" spans="1:13" s="15" customFormat="1" ht="31.95" customHeight="1" x14ac:dyDescent="0.3">
      <c r="A7" s="12">
        <v>2</v>
      </c>
      <c r="B7" s="12">
        <v>16</v>
      </c>
      <c r="C7" s="12">
        <v>51</v>
      </c>
      <c r="D7" s="12">
        <v>284</v>
      </c>
      <c r="E7" s="12" t="str">
        <f t="shared" ref="E7:E38" si="0">CONCATENATE(B7,"-",C7,"-",D7)</f>
        <v>16-51-284</v>
      </c>
      <c r="F7" s="64" t="str">
        <f>IFERROR(VLOOKUP(E7,'LISTA ITEMS (2)'!$E$2:$G$910,2,FALSE)," ")</f>
        <v>LIMITADOR MONOFASICO 3SU1 15/30kA-275V (SASSIN)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ref="L7:L37" si="1">+H7-K7</f>
        <v>1</v>
      </c>
      <c r="M7" s="12"/>
    </row>
    <row r="8" spans="1:13" s="15" customFormat="1" ht="31.95" customHeight="1" x14ac:dyDescent="0.3">
      <c r="A8" s="12">
        <v>3</v>
      </c>
      <c r="B8" s="12">
        <v>16</v>
      </c>
      <c r="C8" s="12">
        <v>49</v>
      </c>
      <c r="D8" s="12">
        <v>282</v>
      </c>
      <c r="E8" s="12" t="str">
        <f t="shared" si="0"/>
        <v>16-49-282</v>
      </c>
      <c r="F8" s="64" t="str">
        <f>IFERROR(VLOOKUP(E8,'LISTA ITEMS (2)'!$E$2:$G$910,2,FALSE)," ")</f>
        <v>CONTACTOR MODULAR RV32 (REVALCO)</v>
      </c>
      <c r="G8" s="79" t="str">
        <f>IFERROR(VLOOKUP(E8,'LISTA ITEMS (2)'!$E$2:$G$910,3,FALSE)," ")</f>
        <v>UND</v>
      </c>
      <c r="H8" s="59">
        <v>1</v>
      </c>
      <c r="I8" s="12" t="s">
        <v>356</v>
      </c>
      <c r="J8" s="76"/>
      <c r="K8" s="72"/>
      <c r="L8" s="75">
        <f t="shared" si="1"/>
        <v>1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52</v>
      </c>
      <c r="D9" s="12">
        <v>293</v>
      </c>
      <c r="E9" s="12" t="str">
        <f t="shared" si="0"/>
        <v>16-52-293</v>
      </c>
      <c r="F9" s="64" t="str">
        <f>IFERROR(VLOOKUP(E9,'LISTA ITEMS (2)'!$E$2:$G$910,2,FALSE)," ")</f>
        <v>TERMICO EPBE63M1NC63M1NC32 1P+N C32 (MAXGE)</v>
      </c>
      <c r="G9" s="79" t="str">
        <f>IFERROR(VLOOKUP(E9,'LISTA ITEMS (2)'!$E$2:$G$910,3,FALSE)," ")</f>
        <v>UND</v>
      </c>
      <c r="H9" s="59">
        <v>1</v>
      </c>
      <c r="I9" s="12" t="s">
        <v>356</v>
      </c>
      <c r="J9" s="76"/>
      <c r="K9" s="72"/>
      <c r="L9" s="75">
        <f t="shared" si="1"/>
        <v>1</v>
      </c>
      <c r="M9" s="12"/>
    </row>
    <row r="10" spans="1:13" s="15" customFormat="1" ht="31.95" customHeight="1" x14ac:dyDescent="0.3">
      <c r="A10" s="12">
        <v>5</v>
      </c>
      <c r="B10" s="12">
        <v>16</v>
      </c>
      <c r="C10" s="12">
        <v>48</v>
      </c>
      <c r="D10" s="12">
        <v>281</v>
      </c>
      <c r="E10" s="12" t="str">
        <f t="shared" si="0"/>
        <v>16-48-281</v>
      </c>
      <c r="F10" s="64" t="str">
        <f>IFERROR(VLOOKUP(E10,'LISTA ITEMS (2)'!$E$2:$G$910,2,FALSE)," ")</f>
        <v>PORTA FUSIBLE SGF-32-DC (MAXGE)</v>
      </c>
      <c r="G10" s="79" t="str">
        <f>IFERROR(VLOOKUP(E10,'LISTA ITEMS (2)'!$E$2:$G$910,3,FALSE)," ")</f>
        <v>UND</v>
      </c>
      <c r="H10" s="59">
        <v>2</v>
      </c>
      <c r="I10" s="12" t="s">
        <v>356</v>
      </c>
      <c r="J10" s="76"/>
      <c r="K10" s="72"/>
      <c r="L10" s="75">
        <f t="shared" si="1"/>
        <v>2</v>
      </c>
      <c r="M10" s="12"/>
    </row>
    <row r="11" spans="1:13" s="15" customFormat="1" ht="31.95" customHeight="1" x14ac:dyDescent="0.3">
      <c r="A11" s="12">
        <v>6</v>
      </c>
      <c r="B11" s="12">
        <v>16</v>
      </c>
      <c r="C11" s="12">
        <v>52</v>
      </c>
      <c r="D11" s="12">
        <v>292</v>
      </c>
      <c r="E11" s="12" t="str">
        <f t="shared" si="0"/>
        <v>16-52-292</v>
      </c>
      <c r="F11" s="64" t="str">
        <f>IFERROR(VLOOKUP(E11,'LISTA ITEMS (2)'!$E$2:$G$910,2,FALSE)," ")</f>
        <v>TERMICO EPBE63M1NC63M1NC40 1P+N C40 (MAXGE)</v>
      </c>
      <c r="G11" s="79" t="str">
        <f>IFERROR(VLOOKUP(E11,'LISTA ITEMS (2)'!$E$2:$G$910,3,FALSE)," ")</f>
        <v>UND</v>
      </c>
      <c r="H11" s="59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50</v>
      </c>
      <c r="D12" s="12">
        <v>380</v>
      </c>
      <c r="E12" s="12" t="str">
        <f t="shared" si="0"/>
        <v>16-50-380</v>
      </c>
      <c r="F12" s="64" t="str">
        <f>IFERROR(VLOOKUP(E12,'LISTA ITEMS (2)'!$E$2:$G$910,2,FALSE)," ")</f>
        <v>FUSIBLE 25A</v>
      </c>
      <c r="G12" s="79" t="str">
        <f>IFERROR(VLOOKUP(E12,'LISTA ITEMS (2)'!$E$2:$G$910,3,FALSE)," ")</f>
        <v>UND</v>
      </c>
      <c r="H12" s="59">
        <v>2</v>
      </c>
      <c r="I12" s="12" t="s">
        <v>356</v>
      </c>
      <c r="J12" s="76"/>
      <c r="K12" s="72"/>
      <c r="L12" s="75">
        <f t="shared" si="1"/>
        <v>2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53</v>
      </c>
      <c r="D13" s="12">
        <v>290</v>
      </c>
      <c r="E13" s="12" t="str">
        <f t="shared" si="0"/>
        <v>16-53-290</v>
      </c>
      <c r="F13" s="64" t="str">
        <f>IFERROR(VLOOKUP(E13,'LISTA ITEMS (2)'!$E$2:$G$910,2,FALSE)," ")</f>
        <v>PINCHO DE COMUNICACIÓN WIFI SHINEWILAN X2 (GROWATT)</v>
      </c>
      <c r="G13" s="79" t="str">
        <f>IFERROR(VLOOKUP(E13,'LISTA ITEMS (2)'!$E$2:$G$910,3,FALSE)," ")</f>
        <v>UND</v>
      </c>
      <c r="H13" s="59">
        <v>1</v>
      </c>
      <c r="I13" s="12" t="s">
        <v>356</v>
      </c>
      <c r="J13" s="76"/>
      <c r="K13" s="72"/>
      <c r="L13" s="75">
        <f t="shared" si="1"/>
        <v>1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53</v>
      </c>
      <c r="D14" s="12">
        <v>328</v>
      </c>
      <c r="E14" s="12" t="str">
        <f t="shared" si="0"/>
        <v>16-53-328</v>
      </c>
      <c r="F14" s="64" t="str">
        <f>IFERROR(VLOOKUP(E14,'LISTA ITEMS (2)'!$E$2:$G$910,2,FALSE)," ")</f>
        <v>PINCHO DE COMUNICACIÓN WIFI SHINErfsTICK- X  BLANCO (GROWATT)</v>
      </c>
      <c r="G14" s="79" t="str">
        <f>IFERROR(VLOOKUP(E14,'LISTA ITEMS (2)'!$E$2:$G$910,3,FALSE)," ")</f>
        <v>UND</v>
      </c>
      <c r="H14" s="59">
        <v>1</v>
      </c>
      <c r="I14" s="12" t="s">
        <v>356</v>
      </c>
      <c r="J14" s="76"/>
      <c r="K14" s="72"/>
      <c r="L14" s="75">
        <f t="shared" si="1"/>
        <v>1</v>
      </c>
      <c r="M14" s="12"/>
    </row>
    <row r="15" spans="1:13" s="15" customFormat="1" ht="31.95" customHeight="1" x14ac:dyDescent="0.3">
      <c r="A15" s="12">
        <v>10</v>
      </c>
      <c r="B15" s="12">
        <v>16</v>
      </c>
      <c r="C15" s="12">
        <v>45</v>
      </c>
      <c r="D15" s="12">
        <v>317</v>
      </c>
      <c r="E15" s="12" t="str">
        <f t="shared" si="0"/>
        <v>16-45-317</v>
      </c>
      <c r="F15" s="64" t="str">
        <f>IFERROR(VLOOKUP(E15,'LISTA ITEMS (2)'!$E$2:$G$910,2,FALSE)," ")</f>
        <v>CAJA DISTRIBUCION INTERIOR 8 ELEM. (SOLERA)</v>
      </c>
      <c r="G15" s="79" t="str">
        <f>IFERROR(VLOOKUP(E15,'LISTA ITEMS (2)'!$E$2:$G$910,3,FALSE)," ")</f>
        <v>UND</v>
      </c>
      <c r="H15" s="59">
        <v>1</v>
      </c>
      <c r="I15" s="12" t="s">
        <v>356</v>
      </c>
      <c r="J15" s="76"/>
      <c r="K15" s="72"/>
      <c r="L15" s="75">
        <f t="shared" si="1"/>
        <v>1</v>
      </c>
      <c r="M15" s="12"/>
    </row>
    <row r="16" spans="1:13" s="15" customFormat="1" ht="31.95" customHeight="1" x14ac:dyDescent="0.3">
      <c r="A16" s="12">
        <v>11</v>
      </c>
      <c r="B16" s="12">
        <v>9</v>
      </c>
      <c r="C16" s="12">
        <v>2</v>
      </c>
      <c r="D16" s="12">
        <v>291</v>
      </c>
      <c r="E16" s="12" t="str">
        <f t="shared" si="0"/>
        <v>9-2-291</v>
      </c>
      <c r="F16" s="64" t="str">
        <f>IFERROR(VLOOKUP(E16,'LISTA ITEMS (2)'!$E$2:$G$910,2,FALSE)," ")</f>
        <v>TUBO ELECTRICO PVC 25mm - 3mt(AISCAN)</v>
      </c>
      <c r="G16" s="79" t="str">
        <f>IFERROR(VLOOKUP(E16,'LISTA ITEMS (2)'!$E$2:$G$910,3,FALSE)," ")</f>
        <v>UND</v>
      </c>
      <c r="H16" s="59">
        <v>8</v>
      </c>
      <c r="I16" s="12" t="s">
        <v>356</v>
      </c>
      <c r="J16" s="72"/>
      <c r="K16" s="72"/>
      <c r="L16" s="75">
        <f t="shared" si="1"/>
        <v>8</v>
      </c>
      <c r="M16" s="12"/>
    </row>
    <row r="17" spans="1:13" s="15" customFormat="1" ht="31.95" customHeight="1" x14ac:dyDescent="0.3">
      <c r="A17" s="12">
        <v>12</v>
      </c>
      <c r="B17" s="12">
        <v>3</v>
      </c>
      <c r="C17" s="12">
        <v>31</v>
      </c>
      <c r="D17" s="12">
        <v>211</v>
      </c>
      <c r="E17" s="12" t="str">
        <f t="shared" si="0"/>
        <v>3-31-211</v>
      </c>
      <c r="F17" s="64" t="str">
        <f>IFERROR(VLOOKUP(E17,'LISTA ITEMS (2)'!$E$2:$G$910,2,FALSE)," ")</f>
        <v>CABLE Nª 6 C/ALTERNA VERDE/AMARILLO</v>
      </c>
      <c r="G17" s="79" t="str">
        <f>IFERROR(VLOOKUP(E17,'LISTA ITEMS (2)'!$E$2:$G$910,3,FALSE)," ")</f>
        <v>MT</v>
      </c>
      <c r="H17" s="59">
        <v>100</v>
      </c>
      <c r="I17" s="12" t="s">
        <v>356</v>
      </c>
      <c r="J17" s="76"/>
      <c r="K17" s="72"/>
      <c r="L17" s="75">
        <f t="shared" si="1"/>
        <v>100</v>
      </c>
      <c r="M17" s="12"/>
    </row>
    <row r="18" spans="1:13" s="15" customFormat="1" ht="31.95" customHeight="1" x14ac:dyDescent="0.3">
      <c r="A18" s="12">
        <v>13</v>
      </c>
      <c r="B18" s="12">
        <v>3</v>
      </c>
      <c r="C18" s="12">
        <v>31</v>
      </c>
      <c r="D18" s="12">
        <v>213</v>
      </c>
      <c r="E18" s="12" t="str">
        <f t="shared" si="0"/>
        <v>3-31-213</v>
      </c>
      <c r="F18" s="64" t="str">
        <f>IFERROR(VLOOKUP(E18,'LISTA ITEMS (2)'!$E$2:$G$910,2,FALSE)," ")</f>
        <v>CABLE Nª 6 C/ALTERNA NEGRO</v>
      </c>
      <c r="G18" s="79" t="str">
        <f>IFERROR(VLOOKUP(E18,'LISTA ITEMS (2)'!$E$2:$G$910,3,FALSE)," ")</f>
        <v>MT</v>
      </c>
      <c r="H18" s="59">
        <v>100</v>
      </c>
      <c r="I18" s="12" t="s">
        <v>356</v>
      </c>
      <c r="J18" s="76"/>
      <c r="K18" s="72"/>
      <c r="L18" s="75">
        <f t="shared" si="1"/>
        <v>100</v>
      </c>
      <c r="M18" s="85"/>
    </row>
    <row r="19" spans="1:13" s="15" customFormat="1" ht="31.95" customHeight="1" x14ac:dyDescent="0.3">
      <c r="A19" s="12">
        <v>14</v>
      </c>
      <c r="B19" s="12">
        <v>3</v>
      </c>
      <c r="C19" s="12">
        <v>31</v>
      </c>
      <c r="D19" s="12">
        <v>220</v>
      </c>
      <c r="E19" s="12" t="str">
        <f t="shared" si="0"/>
        <v>3-31-220</v>
      </c>
      <c r="F19" s="64" t="str">
        <f>IFERROR(VLOOKUP(E19,'LISTA ITEMS (2)'!$E$2:$G$910,2,FALSE)," ")</f>
        <v>CABLE Nª 10 C/ALTERNA GRIS</v>
      </c>
      <c r="G19" s="79" t="str">
        <f>IFERROR(VLOOKUP(E19,'LISTA ITEMS (2)'!$E$2:$G$910,3,FALSE)," ")</f>
        <v>MT</v>
      </c>
      <c r="H19" s="59">
        <v>100</v>
      </c>
      <c r="I19" s="12" t="s">
        <v>356</v>
      </c>
      <c r="J19" s="76"/>
      <c r="K19" s="72"/>
      <c r="L19" s="75">
        <f t="shared" si="1"/>
        <v>100</v>
      </c>
      <c r="M19" s="12"/>
    </row>
    <row r="20" spans="1:13" s="15" customFormat="1" ht="31.95" customHeight="1" x14ac:dyDescent="0.3">
      <c r="A20" s="12">
        <v>15</v>
      </c>
      <c r="B20" s="12">
        <v>3</v>
      </c>
      <c r="C20" s="12">
        <v>31</v>
      </c>
      <c r="D20" s="12">
        <v>221</v>
      </c>
      <c r="E20" s="12" t="str">
        <f t="shared" si="0"/>
        <v>3-31-221</v>
      </c>
      <c r="F20" s="64" t="str">
        <f>IFERROR(VLOOKUP(E20,'LISTA ITEMS (2)'!$E$2:$G$910,2,FALSE)," ")</f>
        <v>CABLE Nª 10 C/ALTERNA AZUL</v>
      </c>
      <c r="G20" s="79" t="str">
        <f>IFERROR(VLOOKUP(E20,'LISTA ITEMS (2)'!$E$2:$G$910,3,FALSE)," ")</f>
        <v>MT</v>
      </c>
      <c r="H20" s="59">
        <v>100</v>
      </c>
      <c r="I20" s="12" t="s">
        <v>356</v>
      </c>
      <c r="J20" s="76"/>
      <c r="K20" s="72"/>
      <c r="L20" s="75">
        <f t="shared" si="1"/>
        <v>100</v>
      </c>
      <c r="M20" s="12"/>
    </row>
    <row r="21" spans="1:13" s="15" customFormat="1" ht="31.95" customHeight="1" x14ac:dyDescent="0.3">
      <c r="A21" s="12">
        <v>16</v>
      </c>
      <c r="B21" s="30">
        <v>9</v>
      </c>
      <c r="C21" s="30">
        <v>32</v>
      </c>
      <c r="D21" s="30">
        <v>223</v>
      </c>
      <c r="E21" s="12" t="str">
        <f t="shared" si="0"/>
        <v>9-32-223</v>
      </c>
      <c r="F21" s="64" t="str">
        <f>IFERROR(VLOOKUP(E21,'LISTA ITEMS (2)'!$E$2:$G$910,2,FALSE)," ")</f>
        <v>CURVA PVC M-25 GRIS TIPO A</v>
      </c>
      <c r="G21" s="79" t="str">
        <f>IFERROR(VLOOKUP(E21,'LISTA ITEMS (2)'!$E$2:$G$910,3,FALSE)," ")</f>
        <v>UND</v>
      </c>
      <c r="H21" s="59">
        <v>30</v>
      </c>
      <c r="I21" s="12" t="s">
        <v>356</v>
      </c>
      <c r="J21" s="72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10</v>
      </c>
      <c r="C22" s="12">
        <v>43</v>
      </c>
      <c r="D22" s="12">
        <v>270</v>
      </c>
      <c r="E22" s="12" t="str">
        <f t="shared" si="0"/>
        <v>10-43-270</v>
      </c>
      <c r="F22" s="64" t="str">
        <f>IFERROR(VLOOKUP(E22,'LISTA ITEMS (2)'!$E$2:$G$910,2,FALSE)," ")</f>
        <v>EMPALME ALUMINIO P/BARRA</v>
      </c>
      <c r="G22" s="79" t="str">
        <f>IFERROR(VLOOKUP(E22,'LISTA ITEMS (2)'!$E$2:$G$910,3,FALSE)," ")</f>
        <v>UND</v>
      </c>
      <c r="H22" s="59">
        <v>10</v>
      </c>
      <c r="I22" s="12" t="s">
        <v>356</v>
      </c>
      <c r="J22" s="72"/>
      <c r="K22" s="72"/>
      <c r="L22" s="75">
        <f t="shared" si="1"/>
        <v>10</v>
      </c>
      <c r="M22" s="12"/>
    </row>
    <row r="23" spans="1:13" s="15" customFormat="1" ht="31.95" customHeight="1" x14ac:dyDescent="0.3">
      <c r="A23" s="12">
        <v>18</v>
      </c>
      <c r="B23" s="12">
        <v>13</v>
      </c>
      <c r="C23" s="12">
        <v>67</v>
      </c>
      <c r="D23" s="12">
        <v>381</v>
      </c>
      <c r="E23" s="12" t="str">
        <f t="shared" si="0"/>
        <v>13-67-381</v>
      </c>
      <c r="F23" s="64" t="str">
        <f>IFERROR(VLOOKUP(E23,'LISTA ITEMS (2)'!$E$2:$G$910,2,FALSE)," ")</f>
        <v>CANALETA PLASTICA 40X40</v>
      </c>
      <c r="G23" s="79" t="str">
        <f>IFERROR(VLOOKUP(E23,'LISTA ITEMS (2)'!$E$2:$G$910,3,FALSE)," ")</f>
        <v>UND</v>
      </c>
      <c r="H23" s="59">
        <v>2</v>
      </c>
      <c r="I23" s="12" t="s">
        <v>356</v>
      </c>
      <c r="J23" s="72"/>
      <c r="K23" s="72"/>
      <c r="L23" s="75">
        <f t="shared" si="1"/>
        <v>2</v>
      </c>
      <c r="M23" s="12"/>
    </row>
    <row r="24" spans="1:13" s="15" customFormat="1" ht="31.95" customHeight="1" x14ac:dyDescent="0.3">
      <c r="A24" s="12">
        <v>19</v>
      </c>
      <c r="B24" s="12">
        <v>13</v>
      </c>
      <c r="C24" s="12">
        <v>67</v>
      </c>
      <c r="D24" s="12">
        <v>382</v>
      </c>
      <c r="E24" s="12" t="str">
        <f t="shared" si="0"/>
        <v>13-67-382</v>
      </c>
      <c r="F24" s="64" t="str">
        <f>IFERROR(VLOOKUP(E24,'LISTA ITEMS (2)'!$E$2:$G$910,2,FALSE)," ")</f>
        <v>CANALETA PLASTICA 60X40</v>
      </c>
      <c r="G24" s="79" t="str">
        <f>IFERROR(VLOOKUP(E24,'LISTA ITEMS (2)'!$E$2:$G$910,3,FALSE)," ")</f>
        <v>UND</v>
      </c>
      <c r="H24" s="59">
        <v>2</v>
      </c>
      <c r="I24" s="12" t="s">
        <v>356</v>
      </c>
      <c r="J24" s="72"/>
      <c r="K24" s="72"/>
      <c r="L24" s="75">
        <f t="shared" si="1"/>
        <v>2</v>
      </c>
      <c r="M24" s="12"/>
    </row>
    <row r="25" spans="1:13" s="15" customFormat="1" ht="31.95" customHeight="1" x14ac:dyDescent="0.3">
      <c r="A25" s="12">
        <v>20</v>
      </c>
      <c r="B25" s="12">
        <v>10</v>
      </c>
      <c r="C25" s="12">
        <v>37</v>
      </c>
      <c r="D25" s="12">
        <v>330</v>
      </c>
      <c r="E25" s="12" t="str">
        <f t="shared" si="0"/>
        <v>10-37-330</v>
      </c>
      <c r="F25" s="64" t="str">
        <f>IFERROR(VLOOKUP(E25,'LISTA ITEMS (2)'!$E$2:$G$910,2,FALSE)," ")</f>
        <v>SOPORTE EN L ALUMINIO GRIS</v>
      </c>
      <c r="G25" s="79" t="str">
        <f>IFERROR(VLOOKUP(E25,'LISTA ITEMS (2)'!$E$2:$G$910,3,FALSE)," ")</f>
        <v>UND</v>
      </c>
      <c r="H25" s="59">
        <v>50</v>
      </c>
      <c r="I25" s="12" t="s">
        <v>356</v>
      </c>
      <c r="J25" s="72"/>
      <c r="K25" s="72"/>
      <c r="L25" s="75">
        <f t="shared" si="1"/>
        <v>50</v>
      </c>
      <c r="M25" s="3"/>
    </row>
    <row r="26" spans="1:13" s="15" customFormat="1" ht="31.95" customHeight="1" x14ac:dyDescent="0.3">
      <c r="A26" s="12">
        <v>21</v>
      </c>
      <c r="B26" s="12">
        <v>10</v>
      </c>
      <c r="C26" s="12">
        <v>37</v>
      </c>
      <c r="D26" s="12">
        <v>315</v>
      </c>
      <c r="E26" s="12" t="str">
        <f t="shared" si="0"/>
        <v>10-37-315</v>
      </c>
      <c r="F26" s="64" t="str">
        <f>IFERROR(VLOOKUP(E26,'LISTA ITEMS (2)'!$E$2:$G$910,2,FALSE)," ")</f>
        <v>SOPORTE FINAL NEGRO</v>
      </c>
      <c r="G26" s="79" t="str">
        <f>IFERROR(VLOOKUP(E26,'LISTA ITEMS (2)'!$E$2:$G$910,3,FALSE)," ")</f>
        <v>UND</v>
      </c>
      <c r="H26" s="59">
        <v>30</v>
      </c>
      <c r="I26" s="12" t="s">
        <v>356</v>
      </c>
      <c r="J26" s="76"/>
      <c r="K26" s="72"/>
      <c r="L26" s="75">
        <f t="shared" si="1"/>
        <v>30</v>
      </c>
      <c r="M26" s="12"/>
    </row>
    <row r="27" spans="1:13" s="15" customFormat="1" ht="31.95" customHeight="1" x14ac:dyDescent="0.3">
      <c r="A27" s="12">
        <v>22</v>
      </c>
      <c r="B27" s="12">
        <v>10</v>
      </c>
      <c r="C27" s="12">
        <v>37</v>
      </c>
      <c r="D27" s="12">
        <v>232</v>
      </c>
      <c r="E27" s="12" t="str">
        <f t="shared" si="0"/>
        <v>10-37-232</v>
      </c>
      <c r="F27" s="64" t="str">
        <f>IFERROR(VLOOKUP(E27,'LISTA ITEMS (2)'!$E$2:$G$910,2,FALSE)," ")</f>
        <v>SOPORTE CENTRAL NEGRO</v>
      </c>
      <c r="G27" s="79" t="str">
        <f>IFERROR(VLOOKUP(E27,'LISTA ITEMS (2)'!$E$2:$G$910,3,FALSE)," ")</f>
        <v>UND</v>
      </c>
      <c r="H27" s="59">
        <v>50</v>
      </c>
      <c r="I27" s="12" t="s">
        <v>356</v>
      </c>
      <c r="J27" s="76"/>
      <c r="K27" s="72"/>
      <c r="L27" s="75">
        <f t="shared" si="1"/>
        <v>50</v>
      </c>
      <c r="M27" s="12"/>
    </row>
    <row r="28" spans="1:13" s="15" customFormat="1" ht="31.95" customHeight="1" x14ac:dyDescent="0.3">
      <c r="A28" s="12">
        <v>23</v>
      </c>
      <c r="B28" s="12">
        <v>3</v>
      </c>
      <c r="C28" s="12">
        <v>31</v>
      </c>
      <c r="D28" s="12">
        <v>277</v>
      </c>
      <c r="E28" s="12" t="str">
        <f t="shared" si="0"/>
        <v>3-31-277</v>
      </c>
      <c r="F28" s="64" t="str">
        <f>IFERROR(VLOOKUP(E28,'LISTA ITEMS (2)'!$E$2:$G$910,2,FALSE)," ")</f>
        <v>CABLE Nª 6 P/PLACA SOLAR NEGRO</v>
      </c>
      <c r="G28" s="79" t="str">
        <f>IFERROR(VLOOKUP(E28,'LISTA ITEMS (2)'!$E$2:$G$910,3,FALSE)," ")</f>
        <v>MT</v>
      </c>
      <c r="H28" s="59">
        <v>40</v>
      </c>
      <c r="I28" s="12" t="s">
        <v>356</v>
      </c>
      <c r="J28" s="76"/>
      <c r="K28" s="72"/>
      <c r="L28" s="75">
        <f t="shared" si="1"/>
        <v>40</v>
      </c>
      <c r="M28" s="12"/>
    </row>
    <row r="29" spans="1:13" s="15" customFormat="1" ht="18" x14ac:dyDescent="0.3">
      <c r="A29" s="12">
        <v>24</v>
      </c>
      <c r="B29" s="12">
        <v>3</v>
      </c>
      <c r="C29" s="12">
        <v>31</v>
      </c>
      <c r="D29" s="12">
        <v>278</v>
      </c>
      <c r="E29" s="12" t="str">
        <f t="shared" si="0"/>
        <v>3-31-278</v>
      </c>
      <c r="F29" s="64" t="str">
        <f>IFERROR(VLOOKUP(E29,'LISTA ITEMS (2)'!$E$2:$G$910,2,FALSE)," ")</f>
        <v>CABLE Nª 6 P/PLACA SOLAR ROJO</v>
      </c>
      <c r="G29" s="79" t="str">
        <f>IFERROR(VLOOKUP(E29,'LISTA ITEMS (2)'!$E$2:$G$910,3,FALSE)," ")</f>
        <v>MT</v>
      </c>
      <c r="H29" s="59">
        <v>40</v>
      </c>
      <c r="I29" s="12" t="s">
        <v>356</v>
      </c>
      <c r="J29" s="76"/>
      <c r="K29" s="72"/>
      <c r="L29" s="75">
        <f t="shared" si="1"/>
        <v>40</v>
      </c>
      <c r="M29" s="84"/>
    </row>
    <row r="30" spans="1:13" s="15" customFormat="1" ht="31.95" customHeight="1" x14ac:dyDescent="0.3">
      <c r="A30" s="12">
        <v>25</v>
      </c>
      <c r="B30" s="12">
        <v>10</v>
      </c>
      <c r="C30" s="12">
        <v>15</v>
      </c>
      <c r="D30" s="12">
        <v>269</v>
      </c>
      <c r="E30" s="12" t="str">
        <f t="shared" si="0"/>
        <v>10-15-269</v>
      </c>
      <c r="F30" s="64" t="str">
        <f>IFERROR(VLOOKUP(E30,'LISTA ITEMS (2)'!$E$2:$G$910,2,FALSE)," ")</f>
        <v>BARRA ALUMINIO PARA ESTRUCTURA  3.60mt</v>
      </c>
      <c r="G30" s="79" t="str">
        <f>IFERROR(VLOOKUP(E30,'LISTA ITEMS (2)'!$E$2:$G$910,3,FALSE)," ")</f>
        <v>UND</v>
      </c>
      <c r="H30" s="59">
        <v>4</v>
      </c>
      <c r="I30" s="12" t="s">
        <v>356</v>
      </c>
      <c r="J30" s="76"/>
      <c r="K30" s="72"/>
      <c r="L30" s="75">
        <f t="shared" si="1"/>
        <v>4</v>
      </c>
      <c r="M30" s="12"/>
    </row>
    <row r="31" spans="1:13" s="15" customFormat="1" ht="31.95" customHeight="1" x14ac:dyDescent="0.3">
      <c r="A31" s="12">
        <v>26</v>
      </c>
      <c r="B31" s="12">
        <v>7</v>
      </c>
      <c r="C31" s="12">
        <v>35</v>
      </c>
      <c r="D31" s="12">
        <v>286</v>
      </c>
      <c r="E31" s="12" t="str">
        <f t="shared" si="0"/>
        <v>7-35-286</v>
      </c>
      <c r="F31" s="64" t="str">
        <f>IFERROR(VLOOKUP(E31,'LISTA ITEMS (2)'!$E$2:$G$910,2,FALSE)," ")</f>
        <v>INVERSOR SPH 6000TL BL-UP 6KW (GROWATT)</v>
      </c>
      <c r="G31" s="79" t="str">
        <f>IFERROR(VLOOKUP(E31,'LISTA ITEMS (2)'!$E$2:$G$910,3,FALSE)," ")</f>
        <v>UND</v>
      </c>
      <c r="H31" s="59">
        <v>1</v>
      </c>
      <c r="I31" s="12" t="s">
        <v>356</v>
      </c>
      <c r="J31" s="76"/>
      <c r="K31" s="72"/>
      <c r="L31" s="75">
        <f t="shared" si="1"/>
        <v>1</v>
      </c>
      <c r="M31" s="12" t="s">
        <v>675</v>
      </c>
    </row>
    <row r="32" spans="1:13" s="15" customFormat="1" ht="31.95" customHeight="1" x14ac:dyDescent="0.3">
      <c r="A32" s="12">
        <v>27</v>
      </c>
      <c r="B32" s="12">
        <v>7</v>
      </c>
      <c r="C32" s="12">
        <v>54</v>
      </c>
      <c r="D32" s="12">
        <v>295</v>
      </c>
      <c r="E32" s="12" t="str">
        <f t="shared" si="0"/>
        <v>7-54-295</v>
      </c>
      <c r="F32" s="64" t="str">
        <f>IFERROR(VLOOKUP(E32,'LISTA ITEMS (2)'!$E$2:$G$910,2,FALSE)," ")</f>
        <v>BATERIA LFP LITHIUM DL5.OC (DYNESS)</v>
      </c>
      <c r="G32" s="79" t="str">
        <f>IFERROR(VLOOKUP(E32,'LISTA ITEMS (2)'!$E$2:$G$910,3,FALSE)," ")</f>
        <v>UND</v>
      </c>
      <c r="H32" s="59">
        <v>2</v>
      </c>
      <c r="I32" s="12" t="s">
        <v>356</v>
      </c>
      <c r="J32" s="76"/>
      <c r="K32" s="72"/>
      <c r="L32" s="75">
        <f t="shared" si="1"/>
        <v>2</v>
      </c>
      <c r="M32" s="3" t="s">
        <v>676</v>
      </c>
    </row>
    <row r="33" spans="1:13" s="15" customFormat="1" ht="31.95" customHeight="1" x14ac:dyDescent="0.3">
      <c r="A33" s="12">
        <v>28</v>
      </c>
      <c r="B33" s="12">
        <v>16</v>
      </c>
      <c r="C33" s="12">
        <v>45</v>
      </c>
      <c r="D33" s="12">
        <v>294</v>
      </c>
      <c r="E33" s="12" t="str">
        <f t="shared" si="0"/>
        <v>16-45-294</v>
      </c>
      <c r="F33" s="64" t="str">
        <f>IFERROR(VLOOKUP(E33,'LISTA ITEMS (2)'!$E$2:$G$910,2,FALSE)," ")</f>
        <v>CAJA DE ESTANCA 133X180X80 EV161 (IDE)</v>
      </c>
      <c r="G33" s="79" t="str">
        <f>IFERROR(VLOOKUP(E33,'LISTA ITEMS (2)'!$E$2:$G$910,3,FALSE)," ")</f>
        <v>UND</v>
      </c>
      <c r="H33" s="59">
        <v>1</v>
      </c>
      <c r="I33" s="12" t="s">
        <v>356</v>
      </c>
      <c r="J33" s="72"/>
      <c r="K33" s="72"/>
      <c r="L33" s="75">
        <f t="shared" si="1"/>
        <v>1</v>
      </c>
      <c r="M33" s="12"/>
    </row>
    <row r="34" spans="1:13" s="15" customFormat="1" ht="31.95" customHeight="1" x14ac:dyDescent="0.3">
      <c r="A34" s="12">
        <v>29</v>
      </c>
      <c r="B34" s="12">
        <v>7</v>
      </c>
      <c r="C34" s="12">
        <v>38</v>
      </c>
      <c r="D34" s="12">
        <v>247</v>
      </c>
      <c r="E34" s="12" t="str">
        <f t="shared" si="0"/>
        <v>7-38-247</v>
      </c>
      <c r="F34" s="64" t="str">
        <f>IFERROR(VLOOKUP(E34,'LISTA ITEMS (2)'!$E$2:$G$910,2,FALSE)," ")</f>
        <v>PLACA SOLAR JAM60D42-535LB 535W / 44.13V</v>
      </c>
      <c r="G34" s="79" t="str">
        <f>IFERROR(VLOOKUP(E34,'LISTA ITEMS (2)'!$E$2:$G$910,3,FALSE)," ")</f>
        <v>UND</v>
      </c>
      <c r="H34" s="59">
        <v>16</v>
      </c>
      <c r="I34" s="12" t="s">
        <v>356</v>
      </c>
      <c r="J34" s="72"/>
      <c r="K34" s="72"/>
      <c r="L34" s="75">
        <f t="shared" si="1"/>
        <v>16</v>
      </c>
      <c r="M34" s="12"/>
    </row>
    <row r="35" spans="1:13" s="15" customFormat="1" ht="31.95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553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6AAA-C495-4936-8540-FE1A5E1211A8}">
  <sheetPr>
    <tabColor rgb="FF92D050"/>
  </sheetPr>
  <dimension ref="A1:M40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1" sqref="K11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12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260</v>
      </c>
      <c r="D2" s="283"/>
      <c r="E2" s="283"/>
      <c r="F2" s="291"/>
      <c r="G2" s="292" t="s">
        <v>355</v>
      </c>
      <c r="H2" s="290"/>
      <c r="I2" s="62">
        <v>12</v>
      </c>
      <c r="J2" s="69"/>
      <c r="K2" s="110" t="s">
        <v>554</v>
      </c>
      <c r="L2" s="110" t="s">
        <v>685</v>
      </c>
      <c r="M2" s="74"/>
    </row>
    <row r="3" spans="1:13" s="51" customFormat="1" ht="39.6" customHeight="1" x14ac:dyDescent="0.3">
      <c r="A3" s="278" t="s">
        <v>258</v>
      </c>
      <c r="B3" s="280"/>
      <c r="C3" s="315" t="s">
        <v>542</v>
      </c>
      <c r="D3" s="316"/>
      <c r="E3" s="68"/>
      <c r="F3" s="61" t="s">
        <v>353</v>
      </c>
      <c r="G3" s="295" t="s">
        <v>369</v>
      </c>
      <c r="H3" s="296"/>
      <c r="I3" s="127">
        <v>46065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678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3</v>
      </c>
      <c r="C6" s="12">
        <v>31</v>
      </c>
      <c r="D6" s="12">
        <v>277</v>
      </c>
      <c r="E6" s="12" t="str">
        <f>CONCATENATE(B6,"-",C6,"-",D6)</f>
        <v>3-31-277</v>
      </c>
      <c r="F6" s="64" t="str">
        <f>IFERROR(VLOOKUP(E6,'LISTA ITEMS (2)'!$E$2:$G$910,2,FALSE)," ")</f>
        <v>CABLE Nª 6 P/PLACA SOLAR NEGRO</v>
      </c>
      <c r="G6" s="79" t="str">
        <f>IFERROR(VLOOKUP(E6,'LISTA ITEMS (2)'!$E$2:$G$910,3,FALSE)," ")</f>
        <v>MT</v>
      </c>
      <c r="H6" s="59">
        <v>30</v>
      </c>
      <c r="I6" s="12" t="s">
        <v>356</v>
      </c>
      <c r="J6" s="76">
        <v>46069</v>
      </c>
      <c r="K6" s="72">
        <v>20</v>
      </c>
      <c r="L6" s="75">
        <f>+H6-K6</f>
        <v>10</v>
      </c>
      <c r="M6" s="12"/>
    </row>
    <row r="7" spans="1:13" s="15" customFormat="1" ht="31.95" customHeight="1" x14ac:dyDescent="0.3">
      <c r="A7" s="12">
        <v>2</v>
      </c>
      <c r="B7" s="12">
        <v>3</v>
      </c>
      <c r="C7" s="12">
        <v>31</v>
      </c>
      <c r="D7" s="12">
        <v>278</v>
      </c>
      <c r="E7" s="12" t="str">
        <f t="shared" ref="E7:E38" si="0">CONCATENATE(B7,"-",C7,"-",D7)</f>
        <v>3-31-278</v>
      </c>
      <c r="F7" s="64" t="str">
        <f>IFERROR(VLOOKUP(E7,'LISTA ITEMS (2)'!$E$2:$G$910,2,FALSE)," ")</f>
        <v>CABLE Nª 6 P/PLACA SOLAR ROJO</v>
      </c>
      <c r="G7" s="79" t="str">
        <f>IFERROR(VLOOKUP(E7,'LISTA ITEMS (2)'!$E$2:$G$910,3,FALSE)," ")</f>
        <v>MT</v>
      </c>
      <c r="H7" s="59">
        <v>30</v>
      </c>
      <c r="I7" s="12" t="s">
        <v>356</v>
      </c>
      <c r="J7" s="76">
        <v>46069</v>
      </c>
      <c r="K7" s="72">
        <v>20</v>
      </c>
      <c r="L7" s="75">
        <f t="shared" ref="L7:L37" si="1">+H7-K7</f>
        <v>10</v>
      </c>
      <c r="M7" s="12"/>
    </row>
    <row r="8" spans="1:13" s="15" customFormat="1" ht="31.95" customHeight="1" x14ac:dyDescent="0.3">
      <c r="A8" s="12">
        <v>3</v>
      </c>
      <c r="B8" s="12">
        <v>16</v>
      </c>
      <c r="C8" s="12">
        <v>61</v>
      </c>
      <c r="D8" s="12">
        <v>331</v>
      </c>
      <c r="E8" s="12" t="str">
        <f t="shared" si="0"/>
        <v>16-61-331</v>
      </c>
      <c r="F8" s="64" t="str">
        <f>IFERROR(VLOOKUP(E8,'LISTA ITEMS (2)'!$E$2:$G$910,2,FALSE)," ")</f>
        <v>CONECTOR FOTOVOLTAICO HEMBRA M4 NEGRO</v>
      </c>
      <c r="G8" s="79" t="str">
        <f>IFERROR(VLOOKUP(E8,'LISTA ITEMS (2)'!$E$2:$G$910,3,FALSE)," ")</f>
        <v>UND</v>
      </c>
      <c r="H8" s="59">
        <v>20</v>
      </c>
      <c r="I8" s="12" t="s">
        <v>356</v>
      </c>
      <c r="J8" s="76">
        <v>46069</v>
      </c>
      <c r="K8" s="72">
        <v>10</v>
      </c>
      <c r="L8" s="75">
        <f t="shared" si="1"/>
        <v>10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61</v>
      </c>
      <c r="D9" s="12">
        <v>332</v>
      </c>
      <c r="E9" s="12" t="str">
        <f t="shared" si="0"/>
        <v>16-61-332</v>
      </c>
      <c r="F9" s="64" t="str">
        <f>IFERROR(VLOOKUP(E9,'LISTA ITEMS (2)'!$E$2:$G$910,2,FALSE)," ")</f>
        <v>CONECTOR FOTOVOLTAICO MACHO M4 NEGRO</v>
      </c>
      <c r="G9" s="79" t="str">
        <f>IFERROR(VLOOKUP(E9,'LISTA ITEMS (2)'!$E$2:$G$910,3,FALSE)," ")</f>
        <v>UND</v>
      </c>
      <c r="H9" s="59">
        <v>20</v>
      </c>
      <c r="I9" s="12" t="s">
        <v>356</v>
      </c>
      <c r="J9" s="76">
        <v>46069</v>
      </c>
      <c r="K9" s="72">
        <v>10</v>
      </c>
      <c r="L9" s="75">
        <f t="shared" si="1"/>
        <v>10</v>
      </c>
      <c r="M9" s="12"/>
    </row>
    <row r="10" spans="1:13" s="15" customFormat="1" ht="31.95" customHeight="1" x14ac:dyDescent="0.3">
      <c r="A10" s="12">
        <v>5</v>
      </c>
      <c r="B10" s="12">
        <v>17</v>
      </c>
      <c r="C10" s="12">
        <v>44</v>
      </c>
      <c r="D10" s="12">
        <v>271</v>
      </c>
      <c r="E10" s="12" t="str">
        <f t="shared" si="0"/>
        <v>17-44-271</v>
      </c>
      <c r="F10" s="64" t="str">
        <f>IFERROR(VLOOKUP(E10,'LISTA ITEMS (2)'!$E$2:$G$910,2,FALSE)," ")</f>
        <v>SELLANTE QUIMICO BLANCO</v>
      </c>
      <c r="G10" s="79" t="str">
        <f>IFERROR(VLOOKUP(E10,'LISTA ITEMS (2)'!$E$2:$G$910,3,FALSE)," ")</f>
        <v>UND</v>
      </c>
      <c r="H10" s="59">
        <v>2</v>
      </c>
      <c r="I10" s="12" t="s">
        <v>356</v>
      </c>
      <c r="J10" s="76">
        <v>46069</v>
      </c>
      <c r="K10" s="72">
        <v>1</v>
      </c>
      <c r="L10" s="75">
        <f t="shared" si="1"/>
        <v>1</v>
      </c>
      <c r="M10" s="12"/>
    </row>
    <row r="11" spans="1:13" s="15" customFormat="1" ht="31.95" customHeight="1" x14ac:dyDescent="0.3">
      <c r="A11" s="12">
        <v>6</v>
      </c>
      <c r="B11" s="12">
        <v>13</v>
      </c>
      <c r="C11" s="12">
        <v>23</v>
      </c>
      <c r="D11" s="12">
        <v>191</v>
      </c>
      <c r="E11" s="12" t="str">
        <f t="shared" si="0"/>
        <v>13-23-191</v>
      </c>
      <c r="F11" s="64" t="str">
        <f>IFERROR(VLOOKUP(E11,'LISTA ITEMS (2)'!$E$2:$G$910,2,FALSE)," ")</f>
        <v>CINTA NEGRA AISLANTE PVC 19MM</v>
      </c>
      <c r="G11" s="79" t="str">
        <f>IFERROR(VLOOKUP(E11,'LISTA ITEMS (2)'!$E$2:$G$910,3,FALSE)," ")</f>
        <v>UND</v>
      </c>
      <c r="H11" s="59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13</v>
      </c>
      <c r="C12" s="12">
        <v>23</v>
      </c>
      <c r="D12" s="12">
        <v>187</v>
      </c>
      <c r="E12" s="12" t="str">
        <f t="shared" si="0"/>
        <v>13-23-187</v>
      </c>
      <c r="F12" s="64" t="str">
        <f>IFERROR(VLOOKUP(E12,'LISTA ITEMS (2)'!$E$2:$G$910,2,FALSE)," ")</f>
        <v>CINTA VERDE AMARILLA AISLANTE PVC 19MM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59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hidden="1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59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hidden="1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hidden="1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hidden="1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hidden="1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hidden="1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hidden="1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hidden="1" customHeight="1" x14ac:dyDescent="0.3">
      <c r="A21" s="12">
        <v>16</v>
      </c>
      <c r="B21" s="30"/>
      <c r="C21" s="30"/>
      <c r="D21" s="30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v>1</v>
      </c>
      <c r="M21" s="12"/>
    </row>
    <row r="22" spans="1:13" s="15" customFormat="1" ht="31.95" hidden="1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hidden="1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hidden="1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hidden="1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3"/>
    </row>
    <row r="26" spans="1:13" s="15" customFormat="1" ht="31.95" hidden="1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hidden="1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553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40:I4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EC8A-8F4E-49CD-9A5A-303039D0BA60}">
  <sheetPr>
    <tabColor rgb="FF92D050"/>
  </sheetPr>
  <dimension ref="A1:M40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6" sqref="K6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13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682</v>
      </c>
      <c r="D2" s="283"/>
      <c r="E2" s="283"/>
      <c r="F2" s="291"/>
      <c r="G2" s="292" t="s">
        <v>355</v>
      </c>
      <c r="H2" s="290"/>
      <c r="I2" s="62">
        <v>13</v>
      </c>
      <c r="J2" s="69"/>
      <c r="K2" s="110" t="s">
        <v>554</v>
      </c>
      <c r="L2" s="110" t="s">
        <v>685</v>
      </c>
      <c r="M2" s="74"/>
    </row>
    <row r="3" spans="1:13" s="51" customFormat="1" ht="39.6" customHeight="1" x14ac:dyDescent="0.3">
      <c r="A3" s="278" t="s">
        <v>258</v>
      </c>
      <c r="B3" s="280"/>
      <c r="C3" s="315" t="s">
        <v>680</v>
      </c>
      <c r="D3" s="316"/>
      <c r="E3" s="68"/>
      <c r="F3" s="61" t="s">
        <v>353</v>
      </c>
      <c r="G3" s="295" t="s">
        <v>369</v>
      </c>
      <c r="H3" s="296"/>
      <c r="I3" s="127">
        <v>46066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681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15</v>
      </c>
      <c r="D6" s="12">
        <v>269</v>
      </c>
      <c r="E6" s="12" t="str">
        <f>CONCATENATE(B6,"-",C6,"-",D6)</f>
        <v>10-15-269</v>
      </c>
      <c r="F6" s="64" t="str">
        <f>IFERROR(VLOOKUP(E6,'LISTA ITEMS (2)'!$E$2:$G$910,2,FALSE)," ")</f>
        <v>BARRA ALUMINIO PARA ESTRUCTURA  3.60mt</v>
      </c>
      <c r="G6" s="79" t="str">
        <f>IFERROR(VLOOKUP(E6,'LISTA ITEMS (2)'!$E$2:$G$910,3,FALSE)," ")</f>
        <v>UND</v>
      </c>
      <c r="H6" s="59">
        <v>4</v>
      </c>
      <c r="I6" s="12" t="s">
        <v>356</v>
      </c>
      <c r="J6" s="76">
        <v>46069</v>
      </c>
      <c r="K6" s="72">
        <v>2</v>
      </c>
      <c r="L6" s="75">
        <f>+H6-K6</f>
        <v>2</v>
      </c>
      <c r="M6" s="12"/>
    </row>
    <row r="7" spans="1:13" s="15" customFormat="1" ht="31.95" customHeight="1" x14ac:dyDescent="0.3">
      <c r="A7" s="12">
        <v>2</v>
      </c>
      <c r="B7" s="12">
        <v>10</v>
      </c>
      <c r="C7" s="12">
        <v>42</v>
      </c>
      <c r="D7" s="12">
        <v>268</v>
      </c>
      <c r="E7" s="12" t="str">
        <f t="shared" ref="E7:E38" si="0">CONCATENATE(B7,"-",C7,"-",D7)</f>
        <v>10-42-268</v>
      </c>
      <c r="F7" s="64" t="str">
        <f>IFERROR(VLOOKUP(E7,'LISTA ITEMS (2)'!$E$2:$G$910,2,FALSE)," ")</f>
        <v>PATA ALUMINIO PARA ESTRUCTURA PLACA SOLAR ANGULO 30º</v>
      </c>
      <c r="G7" s="79" t="str">
        <f>IFERROR(VLOOKUP(E7,'LISTA ITEMS (2)'!$E$2:$G$910,3,FALSE)," ")</f>
        <v>UND</v>
      </c>
      <c r="H7" s="59">
        <v>5</v>
      </c>
      <c r="I7" s="12" t="s">
        <v>356</v>
      </c>
      <c r="J7" s="76">
        <v>46069</v>
      </c>
      <c r="K7" s="72">
        <v>3</v>
      </c>
      <c r="L7" s="75">
        <f t="shared" ref="L7:L37" si="1">+H7-K7</f>
        <v>2</v>
      </c>
      <c r="M7" s="12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287</v>
      </c>
      <c r="E8" s="12" t="str">
        <f t="shared" si="0"/>
        <v>10-37-287</v>
      </c>
      <c r="F8" s="64" t="str">
        <f>IFERROR(VLOOKUP(E8,'LISTA ITEMS (2)'!$E$2:$G$910,2,FALSE)," ")</f>
        <v>SOPORTE CENTRAL GRIS</v>
      </c>
      <c r="G8" s="79" t="str">
        <f>IFERROR(VLOOKUP(E8,'LISTA ITEMS (2)'!$E$2:$G$910,3,FALSE)," ")</f>
        <v>UND</v>
      </c>
      <c r="H8" s="59">
        <v>15</v>
      </c>
      <c r="I8" s="12" t="s">
        <v>356</v>
      </c>
      <c r="J8" s="76">
        <v>46069</v>
      </c>
      <c r="K8" s="72">
        <v>13</v>
      </c>
      <c r="L8" s="75">
        <f t="shared" si="1"/>
        <v>2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316</v>
      </c>
      <c r="E9" s="12" t="str">
        <f t="shared" si="0"/>
        <v>10-37-316</v>
      </c>
      <c r="F9" s="64" t="str">
        <f>IFERROR(VLOOKUP(E9,'LISTA ITEMS (2)'!$E$2:$G$910,2,FALSE)," ")</f>
        <v>SOPORTE FINAL GRIS</v>
      </c>
      <c r="G9" s="79" t="str">
        <f>IFERROR(VLOOKUP(E9,'LISTA ITEMS (2)'!$E$2:$G$910,3,FALSE)," ")</f>
        <v>UND</v>
      </c>
      <c r="H9" s="59">
        <v>15</v>
      </c>
      <c r="I9" s="12" t="s">
        <v>356</v>
      </c>
      <c r="J9" s="76">
        <v>46069</v>
      </c>
      <c r="K9" s="72">
        <v>14</v>
      </c>
      <c r="L9" s="75">
        <f t="shared" si="1"/>
        <v>1</v>
      </c>
      <c r="M9" s="12"/>
    </row>
    <row r="10" spans="1:13" s="15" customFormat="1" ht="31.95" customHeight="1" x14ac:dyDescent="0.3">
      <c r="A10" s="12">
        <v>5</v>
      </c>
      <c r="B10" s="12">
        <v>7</v>
      </c>
      <c r="C10" s="12">
        <v>38</v>
      </c>
      <c r="D10" s="12">
        <v>248</v>
      </c>
      <c r="E10" s="12" t="str">
        <f t="shared" si="0"/>
        <v>7-38-248</v>
      </c>
      <c r="F10" s="64" t="str">
        <f>IFERROR(VLOOKUP(E10,'LISTA ITEMS (2)'!$E$2:$G$910,2,FALSE)," ")</f>
        <v>PLACA SOLAR TSM-505NEG 18R.28 505W / 33.5V</v>
      </c>
      <c r="G10" s="79" t="str">
        <f>IFERROR(VLOOKUP(E10,'LISTA ITEMS (2)'!$E$2:$G$910,3,FALSE)," ")</f>
        <v>UND</v>
      </c>
      <c r="H10" s="59">
        <v>2</v>
      </c>
      <c r="I10" s="12" t="s">
        <v>356</v>
      </c>
      <c r="J10" s="76"/>
      <c r="K10" s="72"/>
      <c r="L10" s="75">
        <f t="shared" si="1"/>
        <v>2</v>
      </c>
      <c r="M10" s="3" t="s">
        <v>679</v>
      </c>
    </row>
    <row r="11" spans="1:13" s="15" customFormat="1" ht="31.95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59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hidden="1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59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hidden="1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59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hidden="1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59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hidden="1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hidden="1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hidden="1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hidden="1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hidden="1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hidden="1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hidden="1" customHeight="1" x14ac:dyDescent="0.3">
      <c r="A21" s="12">
        <v>16</v>
      </c>
      <c r="B21" s="30"/>
      <c r="C21" s="30"/>
      <c r="D21" s="30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72"/>
      <c r="K21" s="72"/>
      <c r="L21" s="75">
        <v>1</v>
      </c>
      <c r="M21" s="12"/>
    </row>
    <row r="22" spans="1:13" s="15" customFormat="1" ht="31.95" hidden="1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hidden="1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hidden="1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hidden="1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3"/>
    </row>
    <row r="26" spans="1:13" s="15" customFormat="1" ht="31.95" hidden="1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hidden="1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683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40:I4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B4CF-5DC4-410D-B197-8155312BC8F8}">
  <sheetPr>
    <tabColor rgb="FF92D050"/>
  </sheetPr>
  <dimension ref="A1:M40"/>
  <sheetViews>
    <sheetView zoomScale="85" zoomScaleNormal="85" workbookViewId="0">
      <pane ySplit="5" topLeftCell="A15" activePane="bottomLeft" state="frozen"/>
      <selection pane="bottomLeft" activeCell="H21" sqref="H21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14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691</v>
      </c>
      <c r="D2" s="283"/>
      <c r="E2" s="283"/>
      <c r="F2" s="291"/>
      <c r="G2" s="292" t="s">
        <v>355</v>
      </c>
      <c r="H2" s="290"/>
      <c r="I2" s="62">
        <v>14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5" t="s">
        <v>687</v>
      </c>
      <c r="D3" s="316"/>
      <c r="E3" s="68"/>
      <c r="F3" s="61" t="s">
        <v>353</v>
      </c>
      <c r="G3" s="295" t="s">
        <v>369</v>
      </c>
      <c r="H3" s="296"/>
      <c r="I3" s="127">
        <v>46069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689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43</v>
      </c>
      <c r="D6" s="12">
        <v>270</v>
      </c>
      <c r="E6" s="12" t="str">
        <f>CONCATENATE(B6,"-",C6,"-",D6)</f>
        <v>10-43-270</v>
      </c>
      <c r="F6" s="64" t="str">
        <f>IFERROR(VLOOKUP(E6,'LISTA ITEMS (2)'!$E$2:$G$910,2,FALSE)," ")</f>
        <v>EMPALME ALUMINIO P/BARRA</v>
      </c>
      <c r="G6" s="79" t="str">
        <f>IFERROR(VLOOKUP(E6,'LISTA ITEMS (2)'!$E$2:$G$910,3,FALSE)," ")</f>
        <v>UND</v>
      </c>
      <c r="H6" s="59">
        <v>16</v>
      </c>
      <c r="I6" s="12" t="s">
        <v>356</v>
      </c>
      <c r="J6" s="76">
        <v>46070</v>
      </c>
      <c r="K6" s="72">
        <v>9</v>
      </c>
      <c r="L6" s="75">
        <f>+H6-K6</f>
        <v>7</v>
      </c>
      <c r="M6" s="12"/>
    </row>
    <row r="7" spans="1:13" s="15" customFormat="1" ht="31.95" customHeight="1" x14ac:dyDescent="0.3">
      <c r="A7" s="12">
        <v>2</v>
      </c>
      <c r="B7" s="12">
        <v>10</v>
      </c>
      <c r="C7" s="12">
        <v>37</v>
      </c>
      <c r="D7" s="12">
        <v>330</v>
      </c>
      <c r="E7" s="12" t="str">
        <f t="shared" ref="E7:E38" si="0">CONCATENATE(B7,"-",C7,"-",D7)</f>
        <v>10-37-330</v>
      </c>
      <c r="F7" s="64" t="str">
        <f>IFERROR(VLOOKUP(E7,'LISTA ITEMS (2)'!$E$2:$G$910,2,FALSE)," ")</f>
        <v>SOPORTE EN L ALUMINIO GRIS</v>
      </c>
      <c r="G7" s="79" t="str">
        <f>IFERROR(VLOOKUP(E7,'LISTA ITEMS (2)'!$E$2:$G$910,3,FALSE)," ")</f>
        <v>UND</v>
      </c>
      <c r="H7" s="59">
        <v>60</v>
      </c>
      <c r="I7" s="12" t="s">
        <v>356</v>
      </c>
      <c r="J7" s="76">
        <v>46070</v>
      </c>
      <c r="K7" s="72">
        <v>38</v>
      </c>
      <c r="L7" s="75">
        <f t="shared" ref="L7:L37" si="1">+H7-K7</f>
        <v>22</v>
      </c>
      <c r="M7" s="12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315</v>
      </c>
      <c r="E8" s="12" t="str">
        <f t="shared" si="0"/>
        <v>10-37-315</v>
      </c>
      <c r="F8" s="64" t="str">
        <f>IFERROR(VLOOKUP(E8,'LISTA ITEMS (2)'!$E$2:$G$910,2,FALSE)," ")</f>
        <v>SOPORTE FINAL NEGRO</v>
      </c>
      <c r="G8" s="79" t="str">
        <f>IFERROR(VLOOKUP(E8,'LISTA ITEMS (2)'!$E$2:$G$910,3,FALSE)," ")</f>
        <v>UND</v>
      </c>
      <c r="H8" s="59">
        <v>50</v>
      </c>
      <c r="I8" s="12" t="s">
        <v>356</v>
      </c>
      <c r="J8" s="76"/>
      <c r="K8" s="72"/>
      <c r="L8" s="75">
        <f t="shared" si="1"/>
        <v>50</v>
      </c>
      <c r="M8" s="12"/>
    </row>
    <row r="9" spans="1:13" s="15" customFormat="1" ht="31.95" customHeight="1" x14ac:dyDescent="0.3">
      <c r="A9" s="12">
        <v>4</v>
      </c>
      <c r="B9" s="12">
        <v>8</v>
      </c>
      <c r="C9" s="12">
        <v>64</v>
      </c>
      <c r="D9" s="12">
        <v>358</v>
      </c>
      <c r="E9" s="12" t="str">
        <f t="shared" si="0"/>
        <v>8-64-358</v>
      </c>
      <c r="F9" s="64" t="str">
        <f>IFERROR(VLOOKUP(E9,'LISTA ITEMS (2)'!$E$2:$G$910,2,FALSE)," ")</f>
        <v>BARILLA ROSCADA M8 A/GALV X1000</v>
      </c>
      <c r="G9" s="79" t="str">
        <f>IFERROR(VLOOKUP(E9,'LISTA ITEMS (2)'!$E$2:$G$910,3,FALSE)," ")</f>
        <v>UND</v>
      </c>
      <c r="H9" s="59">
        <v>15</v>
      </c>
      <c r="I9" s="12" t="s">
        <v>356</v>
      </c>
      <c r="J9" s="76"/>
      <c r="K9" s="72"/>
      <c r="L9" s="75">
        <f t="shared" si="1"/>
        <v>15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37</v>
      </c>
      <c r="D10" s="12">
        <v>232</v>
      </c>
      <c r="E10" s="12" t="str">
        <f t="shared" si="0"/>
        <v>10-37-232</v>
      </c>
      <c r="F10" s="64" t="str">
        <f>IFERROR(VLOOKUP(E10,'LISTA ITEMS (2)'!$E$2:$G$910,2,FALSE)," ")</f>
        <v>SOPORTE CENTRAL NEGRO</v>
      </c>
      <c r="G10" s="79" t="str">
        <f>IFERROR(VLOOKUP(E10,'LISTA ITEMS (2)'!$E$2:$G$910,3,FALSE)," ")</f>
        <v>UND</v>
      </c>
      <c r="H10" s="59">
        <v>70</v>
      </c>
      <c r="I10" s="12" t="s">
        <v>356</v>
      </c>
      <c r="J10" s="76">
        <v>46070</v>
      </c>
      <c r="K10" s="72">
        <v>61</v>
      </c>
      <c r="L10" s="75">
        <f t="shared" si="1"/>
        <v>9</v>
      </c>
      <c r="M10" s="3"/>
    </row>
    <row r="11" spans="1:13" s="15" customFormat="1" ht="31.95" customHeight="1" x14ac:dyDescent="0.3">
      <c r="A11" s="12">
        <v>6</v>
      </c>
      <c r="B11" s="12">
        <v>17</v>
      </c>
      <c r="C11" s="12">
        <v>44</v>
      </c>
      <c r="D11" s="12">
        <v>271</v>
      </c>
      <c r="E11" s="12" t="str">
        <f t="shared" si="0"/>
        <v>17-44-271</v>
      </c>
      <c r="F11" s="64" t="str">
        <f>IFERROR(VLOOKUP(E11,'LISTA ITEMS (2)'!$E$2:$G$910,2,FALSE)," ")</f>
        <v>SELLANTE QUIMICO BLANCO</v>
      </c>
      <c r="G11" s="79" t="str">
        <f>IFERROR(VLOOKUP(E11,'LISTA ITEMS (2)'!$E$2:$G$910,3,FALSE)," ")</f>
        <v>UND</v>
      </c>
      <c r="H11" s="59">
        <v>2</v>
      </c>
      <c r="I11" s="12" t="s">
        <v>356</v>
      </c>
      <c r="J11" s="76">
        <v>46070</v>
      </c>
      <c r="K11" s="72">
        <v>2</v>
      </c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>
        <v>17</v>
      </c>
      <c r="C12" s="12">
        <v>44</v>
      </c>
      <c r="D12" s="12">
        <v>272</v>
      </c>
      <c r="E12" s="12" t="str">
        <f t="shared" si="0"/>
        <v>17-44-272</v>
      </c>
      <c r="F12" s="64" t="str">
        <f>IFERROR(VLOOKUP(E12,'LISTA ITEMS (2)'!$E$2:$G$910,2,FALSE)," ")</f>
        <v>SELLANTE QUIMICO GRIS</v>
      </c>
      <c r="G12" s="79" t="str">
        <f>IFERROR(VLOOKUP(E12,'LISTA ITEMS (2)'!$E$2:$G$910,3,FALSE)," ")</f>
        <v>UND</v>
      </c>
      <c r="H12" s="59">
        <v>2</v>
      </c>
      <c r="I12" s="12" t="s">
        <v>356</v>
      </c>
      <c r="J12" s="76">
        <v>46070</v>
      </c>
      <c r="K12" s="72">
        <v>1</v>
      </c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13</v>
      </c>
      <c r="C13" s="12">
        <v>21</v>
      </c>
      <c r="D13" s="12">
        <v>181</v>
      </c>
      <c r="E13" s="12" t="str">
        <f t="shared" si="0"/>
        <v>13-21-181</v>
      </c>
      <c r="F13" s="64" t="str">
        <f>IFERROR(VLOOKUP(E13,'LISTA ITEMS (2)'!$E$2:$G$910,2,FALSE)," ")</f>
        <v>TACO P/BRIDA NEGRO</v>
      </c>
      <c r="G13" s="79" t="str">
        <f>IFERROR(VLOOKUP(E13,'LISTA ITEMS (2)'!$E$2:$G$910,3,FALSE)," ")</f>
        <v>UND</v>
      </c>
      <c r="H13" s="59">
        <v>100</v>
      </c>
      <c r="I13" s="12" t="s">
        <v>356</v>
      </c>
      <c r="J13" s="76">
        <v>46070</v>
      </c>
      <c r="K13" s="72">
        <v>100</v>
      </c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>
        <v>13</v>
      </c>
      <c r="C14" s="12">
        <v>22</v>
      </c>
      <c r="D14" s="12">
        <v>184</v>
      </c>
      <c r="E14" s="12" t="str">
        <f t="shared" si="0"/>
        <v>13-22-184</v>
      </c>
      <c r="F14" s="64" t="str">
        <f>IFERROR(VLOOKUP(E14,'LISTA ITEMS (2)'!$E$2:$G$910,2,FALSE)," ")</f>
        <v>BRIDA P/EXTERIOR NEGRA</v>
      </c>
      <c r="G14" s="79" t="str">
        <f>IFERROR(VLOOKUP(E14,'LISTA ITEMS (2)'!$E$2:$G$910,3,FALSE)," ")</f>
        <v>UND</v>
      </c>
      <c r="H14" s="59">
        <v>200</v>
      </c>
      <c r="I14" s="12" t="s">
        <v>356</v>
      </c>
      <c r="J14" s="76">
        <v>46070</v>
      </c>
      <c r="K14" s="72">
        <v>200</v>
      </c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>
        <v>10</v>
      </c>
      <c r="C15" s="12">
        <v>15</v>
      </c>
      <c r="D15" s="12">
        <v>269</v>
      </c>
      <c r="E15" s="12" t="str">
        <f t="shared" si="0"/>
        <v>10-15-269</v>
      </c>
      <c r="F15" s="64" t="str">
        <f>IFERROR(VLOOKUP(E15,'LISTA ITEMS (2)'!$E$2:$G$910,2,FALSE)," ")</f>
        <v>BARRA ALUMINIO PARA ESTRUCTURA  3.60mt</v>
      </c>
      <c r="G15" s="79" t="str">
        <f>IFERROR(VLOOKUP(E15,'LISTA ITEMS (2)'!$E$2:$G$910,3,FALSE)," ")</f>
        <v>UND</v>
      </c>
      <c r="H15" s="59">
        <v>13</v>
      </c>
      <c r="I15" s="12" t="s">
        <v>356</v>
      </c>
      <c r="J15" s="76">
        <v>46070</v>
      </c>
      <c r="K15" s="72">
        <v>2</v>
      </c>
      <c r="L15" s="75">
        <f t="shared" si="1"/>
        <v>11</v>
      </c>
      <c r="M15" s="12"/>
    </row>
    <row r="16" spans="1:13" s="15" customFormat="1" ht="31.95" customHeight="1" x14ac:dyDescent="0.3">
      <c r="A16" s="12">
        <v>11</v>
      </c>
      <c r="B16" s="12">
        <v>14</v>
      </c>
      <c r="C16" s="12">
        <v>24</v>
      </c>
      <c r="D16" s="12">
        <v>193</v>
      </c>
      <c r="E16" s="12" t="str">
        <f t="shared" si="0"/>
        <v>14-24-193</v>
      </c>
      <c r="F16" s="64" t="str">
        <f>IFERROR(VLOOKUP(E16,'LISTA ITEMS (2)'!$E$2:$G$910,2,FALSE)," ")</f>
        <v>DISCO CORTE ACERO/INOX A1 2EN1</v>
      </c>
      <c r="G16" s="79" t="str">
        <f>IFERROR(VLOOKUP(E16,'LISTA ITEMS (2)'!$E$2:$G$910,3,FALSE)," ")</f>
        <v>UND</v>
      </c>
      <c r="H16" s="59">
        <v>4</v>
      </c>
      <c r="I16" s="12" t="s">
        <v>356</v>
      </c>
      <c r="J16" s="72"/>
      <c r="K16" s="72"/>
      <c r="L16" s="75">
        <f t="shared" si="1"/>
        <v>4</v>
      </c>
      <c r="M16" s="12"/>
    </row>
    <row r="17" spans="1:13" s="15" customFormat="1" ht="31.95" customHeight="1" x14ac:dyDescent="0.3">
      <c r="A17" s="12">
        <v>12</v>
      </c>
      <c r="B17" s="12">
        <v>16</v>
      </c>
      <c r="C17" s="12">
        <v>45</v>
      </c>
      <c r="D17" s="12">
        <v>276</v>
      </c>
      <c r="E17" s="12" t="str">
        <f t="shared" si="0"/>
        <v>16-45-276</v>
      </c>
      <c r="F17" s="64" t="str">
        <f>IFERROR(VLOOKUP(E17,'LISTA ITEMS (2)'!$E$2:$G$910,2,FALSE)," ")</f>
        <v>CAJA ESTANCA (COCHERA) EXTERIOR 18PT (IDE)</v>
      </c>
      <c r="G17" s="79" t="str">
        <f>IFERROR(VLOOKUP(E17,'LISTA ITEMS (2)'!$E$2:$G$910,3,FALSE)," ")</f>
        <v>UND</v>
      </c>
      <c r="H17" s="59">
        <v>1</v>
      </c>
      <c r="I17" s="12" t="s">
        <v>356</v>
      </c>
      <c r="J17" s="76"/>
      <c r="K17" s="72"/>
      <c r="L17" s="75">
        <f t="shared" si="1"/>
        <v>1</v>
      </c>
      <c r="M17" s="12"/>
    </row>
    <row r="18" spans="1:13" s="15" customFormat="1" ht="31.95" customHeight="1" x14ac:dyDescent="0.3">
      <c r="A18" s="12">
        <v>13</v>
      </c>
      <c r="B18" s="12">
        <v>16</v>
      </c>
      <c r="C18" s="12">
        <v>49</v>
      </c>
      <c r="D18" s="12">
        <v>282</v>
      </c>
      <c r="E18" s="12" t="str">
        <f t="shared" si="0"/>
        <v>16-49-282</v>
      </c>
      <c r="F18" s="64" t="str">
        <f>IFERROR(VLOOKUP(E18,'LISTA ITEMS (2)'!$E$2:$G$910,2,FALSE)," ")</f>
        <v>CONTACTOR MODULAR RV32 (REVALCO)</v>
      </c>
      <c r="G18" s="79" t="str">
        <f>IFERROR(VLOOKUP(E18,'LISTA ITEMS (2)'!$E$2:$G$910,3,FALSE)," ")</f>
        <v>UND</v>
      </c>
      <c r="H18" s="59">
        <v>1</v>
      </c>
      <c r="I18" s="12" t="s">
        <v>356</v>
      </c>
      <c r="J18" s="76"/>
      <c r="K18" s="72"/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>
        <v>16</v>
      </c>
      <c r="C19" s="12">
        <v>63</v>
      </c>
      <c r="D19" s="12">
        <v>357</v>
      </c>
      <c r="E19" s="12" t="str">
        <f t="shared" si="0"/>
        <v>16-63-357</v>
      </c>
      <c r="F19" s="64" t="str">
        <f>IFERROR(VLOOKUP(E19,'LISTA ITEMS (2)'!$E$2:$G$910,2,FALSE)," ")</f>
        <v>TORO IDAL CURRENT TRANSFORMER 100A:50mA For MULTIPLUS-II (VICTRON ENERGY)</v>
      </c>
      <c r="G19" s="79" t="str">
        <f>IFERROR(VLOOKUP(E19,'LISTA ITEMS (2)'!$E$2:$G$910,3,FALSE)," ")</f>
        <v>UND</v>
      </c>
      <c r="H19" s="59">
        <v>1</v>
      </c>
      <c r="I19" s="12" t="s">
        <v>356</v>
      </c>
      <c r="J19" s="76">
        <v>46070</v>
      </c>
      <c r="K19" s="72">
        <v>1</v>
      </c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>
        <v>16</v>
      </c>
      <c r="C20" s="12">
        <v>52</v>
      </c>
      <c r="D20" s="12">
        <v>285</v>
      </c>
      <c r="E20" s="12" t="str">
        <f t="shared" si="0"/>
        <v>16-52-285</v>
      </c>
      <c r="F20" s="64" t="str">
        <f>IFERROR(VLOOKUP(E20,'LISTA ITEMS (2)'!$E$2:$G$910,2,FALSE)," ")</f>
        <v>TERMICO EPBE63M1NC63 1P+N C63 (MAXGE)</v>
      </c>
      <c r="G20" s="79" t="str">
        <f>IFERROR(VLOOKUP(E20,'LISTA ITEMS (2)'!$E$2:$G$910,3,FALSE)," ")</f>
        <v>UND</v>
      </c>
      <c r="H20" s="59">
        <v>2</v>
      </c>
      <c r="I20" s="12" t="s">
        <v>356</v>
      </c>
      <c r="J20" s="76"/>
      <c r="K20" s="72"/>
      <c r="L20" s="75">
        <f t="shared" si="1"/>
        <v>2</v>
      </c>
      <c r="M20" s="12"/>
    </row>
    <row r="21" spans="1:13" s="15" customFormat="1" ht="31.95" customHeight="1" x14ac:dyDescent="0.3">
      <c r="A21" s="12">
        <v>16</v>
      </c>
      <c r="B21" s="30">
        <v>16</v>
      </c>
      <c r="C21" s="30">
        <v>47</v>
      </c>
      <c r="D21" s="30">
        <v>280</v>
      </c>
      <c r="E21" s="12" t="str">
        <f t="shared" si="0"/>
        <v>16-47-280</v>
      </c>
      <c r="F21" s="64" t="str">
        <f>IFERROR(VLOOKUP(E21,'LISTA ITEMS (2)'!$E$2:$G$910,2,FALSE)," ")</f>
        <v>DIFERENCIAL EPR2A063030 2P-63A-30mA (MAXGE)</v>
      </c>
      <c r="G21" s="79" t="str">
        <f>IFERROR(VLOOKUP(E21,'LISTA ITEMS (2)'!$E$2:$G$910,3,FALSE)," ")</f>
        <v>UND</v>
      </c>
      <c r="H21" s="59">
        <v>2</v>
      </c>
      <c r="I21" s="12" t="s">
        <v>356</v>
      </c>
      <c r="J21" s="128">
        <v>46070</v>
      </c>
      <c r="K21" s="72">
        <v>1</v>
      </c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16</v>
      </c>
      <c r="C22" s="12">
        <v>51</v>
      </c>
      <c r="D22" s="12">
        <v>309</v>
      </c>
      <c r="E22" s="12" t="str">
        <f t="shared" si="0"/>
        <v>16-51-309</v>
      </c>
      <c r="F22" s="64" t="str">
        <f>IFERROR(VLOOKUP(E22,'LISTA ITEMS (2)'!$E$2:$G$910,2,FALSE)," ")</f>
        <v>LIMITADOR MONOFASICO EPS1 C/2 - 275-40 (MAXGE)</v>
      </c>
      <c r="G22" s="79" t="str">
        <f>IFERROR(VLOOKUP(E22,'LISTA ITEMS (2)'!$E$2:$G$910,3,FALSE)," ")</f>
        <v>UND</v>
      </c>
      <c r="H22" s="59">
        <v>1</v>
      </c>
      <c r="I22" s="12" t="s">
        <v>356</v>
      </c>
      <c r="J22" s="72"/>
      <c r="K22" s="72"/>
      <c r="L22" s="75">
        <f t="shared" si="1"/>
        <v>1</v>
      </c>
      <c r="M22" s="12"/>
    </row>
    <row r="23" spans="1:13" s="15" customFormat="1" ht="31.95" customHeight="1" x14ac:dyDescent="0.3">
      <c r="A23" s="12">
        <v>18</v>
      </c>
      <c r="B23" s="12">
        <v>16</v>
      </c>
      <c r="C23" s="12">
        <v>48</v>
      </c>
      <c r="D23" s="12">
        <v>281</v>
      </c>
      <c r="E23" s="12" t="str">
        <f t="shared" si="0"/>
        <v>16-48-281</v>
      </c>
      <c r="F23" s="64" t="str">
        <f>IFERROR(VLOOKUP(E23,'LISTA ITEMS (2)'!$E$2:$G$910,2,FALSE)," ")</f>
        <v>PORTA FUSIBLE SGF-32-DC (MAXGE)</v>
      </c>
      <c r="G23" s="79" t="str">
        <f>IFERROR(VLOOKUP(E23,'LISTA ITEMS (2)'!$E$2:$G$910,3,FALSE)," ")</f>
        <v>UND</v>
      </c>
      <c r="H23" s="59">
        <v>4</v>
      </c>
      <c r="I23" s="12" t="s">
        <v>356</v>
      </c>
      <c r="J23" s="72"/>
      <c r="K23" s="72"/>
      <c r="L23" s="75">
        <f t="shared" si="1"/>
        <v>4</v>
      </c>
      <c r="M23" s="12"/>
    </row>
    <row r="24" spans="1:13" s="15" customFormat="1" ht="31.95" customHeight="1" x14ac:dyDescent="0.3">
      <c r="A24" s="12">
        <v>19</v>
      </c>
      <c r="B24" s="12">
        <v>16</v>
      </c>
      <c r="C24" s="12">
        <v>50</v>
      </c>
      <c r="D24" s="12">
        <v>314</v>
      </c>
      <c r="E24" s="12" t="str">
        <f t="shared" si="0"/>
        <v>16-50-314</v>
      </c>
      <c r="F24" s="64" t="str">
        <f>IFERROR(VLOOKUP(E24,'LISTA ITEMS (2)'!$E$2:$G$910,2,FALSE)," ")</f>
        <v>FUSIBLE MG10PV32A (MAXGE)</v>
      </c>
      <c r="G24" s="79" t="str">
        <f>IFERROR(VLOOKUP(E24,'LISTA ITEMS (2)'!$E$2:$G$910,3,FALSE)," ")</f>
        <v>UND</v>
      </c>
      <c r="H24" s="59">
        <v>4</v>
      </c>
      <c r="I24" s="12" t="s">
        <v>356</v>
      </c>
      <c r="J24" s="72"/>
      <c r="K24" s="72"/>
      <c r="L24" s="75">
        <f t="shared" si="1"/>
        <v>4</v>
      </c>
      <c r="M24" s="12"/>
    </row>
    <row r="25" spans="1:13" s="15" customFormat="1" ht="31.95" customHeight="1" x14ac:dyDescent="0.3">
      <c r="A25" s="12">
        <v>20</v>
      </c>
      <c r="B25" s="12">
        <v>7</v>
      </c>
      <c r="C25" s="12">
        <v>35</v>
      </c>
      <c r="D25" s="12">
        <v>274</v>
      </c>
      <c r="E25" s="12" t="str">
        <f t="shared" si="0"/>
        <v>7-35-274</v>
      </c>
      <c r="F25" s="64" t="str">
        <f>IFERROR(VLOOKUP(E25,'LISTA ITEMS (2)'!$E$2:$G$910,2,FALSE)," ")</f>
        <v>INVERSOR HIBRIDO MONOFASICO SPE 10000ES 10KW BATER. BAJO VOLTAJE Y BACKUP INCORP. (GROWATT)</v>
      </c>
      <c r="G25" s="79" t="str">
        <f>IFERROR(VLOOKUP(E25,'LISTA ITEMS (2)'!$E$2:$G$910,3,FALSE)," ")</f>
        <v>UND</v>
      </c>
      <c r="H25" s="59">
        <v>1</v>
      </c>
      <c r="I25" s="12" t="s">
        <v>356</v>
      </c>
      <c r="J25" s="72"/>
      <c r="K25" s="72"/>
      <c r="L25" s="75">
        <f t="shared" si="1"/>
        <v>1</v>
      </c>
      <c r="M25" s="3" t="s">
        <v>690</v>
      </c>
    </row>
    <row r="26" spans="1:13" s="15" customFormat="1" ht="31.95" customHeight="1" x14ac:dyDescent="0.3">
      <c r="A26" s="12">
        <v>21</v>
      </c>
      <c r="B26" s="12">
        <v>7</v>
      </c>
      <c r="C26" s="12">
        <v>38</v>
      </c>
      <c r="D26" s="12">
        <v>247</v>
      </c>
      <c r="E26" s="12" t="str">
        <f t="shared" si="0"/>
        <v>7-38-247</v>
      </c>
      <c r="F26" s="64" t="str">
        <f>IFERROR(VLOOKUP(E26,'LISTA ITEMS (2)'!$E$2:$G$910,2,FALSE)," ")</f>
        <v>PLACA SOLAR JAM60D42-535LB 535W / 44.13V</v>
      </c>
      <c r="G26" s="79" t="str">
        <f>IFERROR(VLOOKUP(E26,'LISTA ITEMS (2)'!$E$2:$G$910,3,FALSE)," ")</f>
        <v>UND</v>
      </c>
      <c r="H26" s="59">
        <v>22</v>
      </c>
      <c r="I26" s="12" t="s">
        <v>356</v>
      </c>
      <c r="J26" s="76"/>
      <c r="K26" s="72"/>
      <c r="L26" s="75">
        <f t="shared" si="1"/>
        <v>22</v>
      </c>
      <c r="M26" s="12"/>
    </row>
    <row r="27" spans="1:13" s="15" customFormat="1" ht="31.95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hidden="1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hidden="1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hidden="1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hidden="1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hidden="1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hidden="1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hidden="1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hidden="1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40:I4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0411-17D6-44E7-BAA2-C7830E98A2D7}">
  <sheetPr>
    <tabColor rgb="FFFFC000"/>
  </sheetPr>
  <dimension ref="A1:E9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baseColWidth="10" defaultRowHeight="14.4" x14ac:dyDescent="0.3"/>
  <cols>
    <col min="1" max="1" width="11.88671875" style="23" bestFit="1" customWidth="1"/>
    <col min="2" max="2" width="49.88671875" style="178" customWidth="1"/>
    <col min="3" max="3" width="16.77734375" style="23" bestFit="1" customWidth="1"/>
    <col min="4" max="5" width="14" style="23" bestFit="1" customWidth="1"/>
    <col min="6" max="16384" width="11.5546875" style="23"/>
  </cols>
  <sheetData>
    <row r="1" spans="1:5" ht="23.4" x14ac:dyDescent="0.3">
      <c r="A1" s="317" t="s">
        <v>569</v>
      </c>
      <c r="B1" s="317"/>
      <c r="C1" s="317"/>
      <c r="D1" s="317"/>
      <c r="E1" s="317"/>
    </row>
    <row r="2" spans="1:5" ht="28.8" x14ac:dyDescent="0.3">
      <c r="A2" s="179" t="s">
        <v>348</v>
      </c>
      <c r="B2" s="183" t="s">
        <v>4</v>
      </c>
      <c r="C2" s="180" t="s">
        <v>5</v>
      </c>
      <c r="D2" s="30" t="s">
        <v>568</v>
      </c>
      <c r="E2" s="30" t="s">
        <v>567</v>
      </c>
    </row>
    <row r="3" spans="1:5" x14ac:dyDescent="0.3">
      <c r="A3" s="16" t="s">
        <v>295</v>
      </c>
      <c r="B3" s="23" t="s">
        <v>688</v>
      </c>
      <c r="C3" s="23" t="s">
        <v>8</v>
      </c>
      <c r="D3" s="30">
        <v>144</v>
      </c>
      <c r="E3" s="30">
        <v>24</v>
      </c>
    </row>
    <row r="4" spans="1:5" x14ac:dyDescent="0.3">
      <c r="A4" s="23" t="s">
        <v>214</v>
      </c>
      <c r="B4" s="23" t="s">
        <v>128</v>
      </c>
      <c r="C4" s="23" t="s">
        <v>8</v>
      </c>
      <c r="D4" s="30">
        <v>20</v>
      </c>
      <c r="E4" s="30">
        <v>6</v>
      </c>
    </row>
    <row r="5" spans="1:5" x14ac:dyDescent="0.3">
      <c r="A5" s="16" t="s">
        <v>219</v>
      </c>
      <c r="B5" s="16" t="s">
        <v>137</v>
      </c>
      <c r="C5" s="16" t="s">
        <v>8</v>
      </c>
      <c r="D5" s="30">
        <v>624</v>
      </c>
      <c r="E5" s="30">
        <v>318</v>
      </c>
    </row>
    <row r="6" spans="1:5" x14ac:dyDescent="0.3">
      <c r="A6" s="23" t="s">
        <v>381</v>
      </c>
      <c r="B6" s="23" t="s">
        <v>382</v>
      </c>
      <c r="C6" s="23" t="s">
        <v>8</v>
      </c>
      <c r="D6" s="30">
        <v>15</v>
      </c>
      <c r="E6" s="30">
        <v>13</v>
      </c>
    </row>
    <row r="7" spans="1:5" x14ac:dyDescent="0.3">
      <c r="A7" s="16" t="s">
        <v>435</v>
      </c>
      <c r="B7" s="16" t="s">
        <v>436</v>
      </c>
      <c r="C7" s="16" t="s">
        <v>8</v>
      </c>
      <c r="D7" s="30">
        <v>479</v>
      </c>
      <c r="E7" s="30">
        <v>181</v>
      </c>
    </row>
    <row r="8" spans="1:5" x14ac:dyDescent="0.3">
      <c r="A8" s="23" t="s">
        <v>437</v>
      </c>
      <c r="B8" s="23" t="s">
        <v>438</v>
      </c>
      <c r="C8" s="23" t="s">
        <v>8</v>
      </c>
      <c r="D8" s="30">
        <v>15</v>
      </c>
      <c r="E8" s="30">
        <v>14</v>
      </c>
    </row>
    <row r="9" spans="1:5" x14ac:dyDescent="0.3">
      <c r="A9" s="16" t="s">
        <v>529</v>
      </c>
      <c r="B9" s="16" t="s">
        <v>530</v>
      </c>
      <c r="C9" s="16" t="s">
        <v>8</v>
      </c>
      <c r="D9" s="30">
        <v>543</v>
      </c>
      <c r="E9" s="30">
        <v>198</v>
      </c>
    </row>
    <row r="10" spans="1:5" x14ac:dyDescent="0.3">
      <c r="A10" s="16" t="s">
        <v>294</v>
      </c>
      <c r="B10" s="16" t="s">
        <v>377</v>
      </c>
      <c r="C10" s="16" t="s">
        <v>8</v>
      </c>
      <c r="D10" s="30">
        <v>89</v>
      </c>
      <c r="E10" s="30">
        <v>32</v>
      </c>
    </row>
    <row r="11" spans="1:5" x14ac:dyDescent="0.3">
      <c r="A11" s="16" t="s">
        <v>527</v>
      </c>
      <c r="B11" s="16" t="s">
        <v>528</v>
      </c>
      <c r="C11" s="16" t="s">
        <v>8</v>
      </c>
      <c r="D11" s="30">
        <v>11</v>
      </c>
      <c r="E11" s="30">
        <v>3</v>
      </c>
    </row>
    <row r="12" spans="1:5" x14ac:dyDescent="0.3">
      <c r="A12" s="16" t="s">
        <v>297</v>
      </c>
      <c r="B12" s="16" t="s">
        <v>298</v>
      </c>
      <c r="C12" s="16" t="s">
        <v>8</v>
      </c>
      <c r="D12" s="30">
        <v>145</v>
      </c>
      <c r="E12" s="30">
        <v>68</v>
      </c>
    </row>
    <row r="13" spans="1:5" x14ac:dyDescent="0.3">
      <c r="A13" s="16" t="s">
        <v>167</v>
      </c>
      <c r="B13" s="16" t="s">
        <v>56</v>
      </c>
      <c r="C13" s="16" t="s">
        <v>8</v>
      </c>
      <c r="D13" s="30">
        <v>1400</v>
      </c>
      <c r="E13" s="30">
        <v>500</v>
      </c>
    </row>
    <row r="14" spans="1:5" x14ac:dyDescent="0.3">
      <c r="A14" s="16" t="s">
        <v>169</v>
      </c>
      <c r="B14" s="16" t="s">
        <v>59</v>
      </c>
      <c r="C14" s="16" t="s">
        <v>8</v>
      </c>
      <c r="D14" s="30">
        <v>200</v>
      </c>
      <c r="E14" s="30">
        <v>200</v>
      </c>
    </row>
    <row r="15" spans="1:5" x14ac:dyDescent="0.3">
      <c r="A15" s="16" t="s">
        <v>170</v>
      </c>
      <c r="B15" s="16" t="s">
        <v>60</v>
      </c>
      <c r="C15" s="16" t="s">
        <v>8</v>
      </c>
      <c r="D15" s="30">
        <v>2400</v>
      </c>
      <c r="E15" s="30">
        <v>1200</v>
      </c>
    </row>
    <row r="16" spans="1:5" x14ac:dyDescent="0.3">
      <c r="A16" s="23" t="s">
        <v>173</v>
      </c>
      <c r="B16" s="23" t="s">
        <v>66</v>
      </c>
      <c r="C16" s="23" t="s">
        <v>8</v>
      </c>
      <c r="D16" s="30">
        <v>1</v>
      </c>
      <c r="E16" s="30">
        <v>0</v>
      </c>
    </row>
    <row r="17" spans="1:5" x14ac:dyDescent="0.3">
      <c r="A17" s="23" t="s">
        <v>176</v>
      </c>
      <c r="B17" s="23" t="s">
        <v>62</v>
      </c>
      <c r="C17" s="23" t="s">
        <v>8</v>
      </c>
      <c r="D17" s="30">
        <v>2</v>
      </c>
      <c r="E17" s="30"/>
    </row>
    <row r="18" spans="1:5" x14ac:dyDescent="0.3">
      <c r="A18" s="23" t="s">
        <v>177</v>
      </c>
      <c r="B18" s="23" t="s">
        <v>63</v>
      </c>
      <c r="C18" s="23" t="s">
        <v>8</v>
      </c>
      <c r="D18" s="30">
        <v>1</v>
      </c>
      <c r="E18" s="30">
        <v>0</v>
      </c>
    </row>
    <row r="19" spans="1:5" x14ac:dyDescent="0.3">
      <c r="A19" s="16" t="s">
        <v>281</v>
      </c>
      <c r="B19" s="16" t="s">
        <v>243</v>
      </c>
      <c r="C19" s="16" t="s">
        <v>8</v>
      </c>
      <c r="D19" s="30">
        <v>50</v>
      </c>
      <c r="E19" s="30">
        <v>50</v>
      </c>
    </row>
    <row r="20" spans="1:5" x14ac:dyDescent="0.3">
      <c r="A20" s="23" t="s">
        <v>671</v>
      </c>
      <c r="B20" s="23" t="s">
        <v>672</v>
      </c>
      <c r="C20" s="23" t="s">
        <v>8</v>
      </c>
      <c r="D20" s="30">
        <v>2</v>
      </c>
      <c r="E20" s="30"/>
    </row>
    <row r="21" spans="1:5" x14ac:dyDescent="0.3">
      <c r="A21" s="23" t="s">
        <v>673</v>
      </c>
      <c r="B21" s="23" t="s">
        <v>674</v>
      </c>
      <c r="C21" s="23" t="s">
        <v>8</v>
      </c>
      <c r="D21" s="30">
        <v>2</v>
      </c>
      <c r="E21" s="30"/>
    </row>
    <row r="22" spans="1:5" x14ac:dyDescent="0.3">
      <c r="A22" s="16" t="s">
        <v>179</v>
      </c>
      <c r="B22" s="16" t="s">
        <v>72</v>
      </c>
      <c r="C22" s="16" t="s">
        <v>8</v>
      </c>
      <c r="D22" s="30">
        <v>43</v>
      </c>
      <c r="E22" s="30">
        <v>15</v>
      </c>
    </row>
    <row r="23" spans="1:5" x14ac:dyDescent="0.3">
      <c r="A23" s="23" t="s">
        <v>649</v>
      </c>
      <c r="B23" s="23" t="s">
        <v>650</v>
      </c>
      <c r="C23" s="23" t="s">
        <v>8</v>
      </c>
      <c r="D23" s="30">
        <v>2</v>
      </c>
      <c r="E23" s="30"/>
    </row>
    <row r="24" spans="1:5" x14ac:dyDescent="0.3">
      <c r="A24" s="16" t="s">
        <v>445</v>
      </c>
      <c r="B24" s="16" t="s">
        <v>446</v>
      </c>
      <c r="C24" s="16" t="s">
        <v>8</v>
      </c>
      <c r="D24" s="30">
        <v>1</v>
      </c>
      <c r="E24" s="30"/>
    </row>
    <row r="25" spans="1:5" x14ac:dyDescent="0.3">
      <c r="A25" s="23" t="s">
        <v>774</v>
      </c>
      <c r="B25" s="23" t="s">
        <v>775</v>
      </c>
      <c r="C25" s="23" t="s">
        <v>8</v>
      </c>
      <c r="D25" s="30">
        <v>4</v>
      </c>
      <c r="E25" s="30"/>
    </row>
    <row r="26" spans="1:5" x14ac:dyDescent="0.3">
      <c r="A26" s="23" t="s">
        <v>643</v>
      </c>
      <c r="B26" s="23" t="s">
        <v>644</v>
      </c>
      <c r="C26" s="23" t="s">
        <v>8</v>
      </c>
      <c r="D26" s="30">
        <v>4</v>
      </c>
      <c r="E26" s="30"/>
    </row>
    <row r="27" spans="1:5" x14ac:dyDescent="0.3">
      <c r="A27" s="16" t="s">
        <v>308</v>
      </c>
      <c r="B27" s="16" t="s">
        <v>309</v>
      </c>
      <c r="C27" s="16" t="s">
        <v>8</v>
      </c>
      <c r="D27" s="30">
        <v>8</v>
      </c>
      <c r="E27" s="30">
        <v>2</v>
      </c>
    </row>
    <row r="28" spans="1:5" x14ac:dyDescent="0.3">
      <c r="A28" s="16" t="s">
        <v>310</v>
      </c>
      <c r="B28" s="16" t="s">
        <v>311</v>
      </c>
      <c r="C28" s="16" t="s">
        <v>8</v>
      </c>
      <c r="D28" s="30">
        <v>8</v>
      </c>
      <c r="E28" s="30">
        <v>1</v>
      </c>
    </row>
    <row r="29" spans="1:5" x14ac:dyDescent="0.3">
      <c r="A29" s="16" t="s">
        <v>393</v>
      </c>
      <c r="B29" s="16" t="s">
        <v>394</v>
      </c>
      <c r="C29" s="16" t="s">
        <v>8</v>
      </c>
      <c r="D29" s="30">
        <v>15</v>
      </c>
      <c r="E29" s="30">
        <v>1</v>
      </c>
    </row>
    <row r="30" spans="1:5" x14ac:dyDescent="0.3">
      <c r="A30" s="16" t="s">
        <v>403</v>
      </c>
      <c r="B30" s="16" t="s">
        <v>404</v>
      </c>
      <c r="C30" s="16" t="s">
        <v>8</v>
      </c>
      <c r="D30" s="30">
        <v>2</v>
      </c>
      <c r="E30" s="30"/>
    </row>
    <row r="31" spans="1:5" x14ac:dyDescent="0.3">
      <c r="A31" s="16" t="s">
        <v>439</v>
      </c>
      <c r="B31" s="16" t="s">
        <v>440</v>
      </c>
      <c r="C31" s="16" t="s">
        <v>8</v>
      </c>
      <c r="D31" s="30">
        <v>5</v>
      </c>
      <c r="E31" s="30">
        <v>1</v>
      </c>
    </row>
    <row r="32" spans="1:5" x14ac:dyDescent="0.3">
      <c r="A32" s="23" t="s">
        <v>698</v>
      </c>
      <c r="B32" s="23" t="s">
        <v>699</v>
      </c>
      <c r="C32" s="23" t="s">
        <v>8</v>
      </c>
      <c r="D32" s="30">
        <v>1</v>
      </c>
      <c r="E32" s="30"/>
    </row>
    <row r="33" spans="1:5" x14ac:dyDescent="0.3">
      <c r="A33" s="16" t="s">
        <v>331</v>
      </c>
      <c r="B33" s="16" t="s">
        <v>378</v>
      </c>
      <c r="C33" s="16" t="s">
        <v>108</v>
      </c>
      <c r="D33" s="30">
        <v>1</v>
      </c>
      <c r="E33" s="30">
        <v>1</v>
      </c>
    </row>
    <row r="34" spans="1:5" x14ac:dyDescent="0.3">
      <c r="A34" s="16" t="s">
        <v>333</v>
      </c>
      <c r="B34" s="16" t="s">
        <v>334</v>
      </c>
      <c r="C34" s="16" t="s">
        <v>8</v>
      </c>
      <c r="D34" s="30">
        <v>5</v>
      </c>
      <c r="E34" s="30">
        <v>2</v>
      </c>
    </row>
    <row r="35" spans="1:5" x14ac:dyDescent="0.3">
      <c r="A35" s="16" t="s">
        <v>441</v>
      </c>
      <c r="B35" s="16" t="s">
        <v>442</v>
      </c>
      <c r="C35" s="16" t="s">
        <v>8</v>
      </c>
      <c r="D35" s="30">
        <v>13</v>
      </c>
      <c r="E35" s="30">
        <v>2</v>
      </c>
    </row>
    <row r="36" spans="1:5" x14ac:dyDescent="0.3">
      <c r="A36" s="16" t="s">
        <v>335</v>
      </c>
      <c r="B36" s="16" t="s">
        <v>336</v>
      </c>
      <c r="C36" s="16" t="s">
        <v>8</v>
      </c>
      <c r="D36" s="30">
        <v>30</v>
      </c>
      <c r="E36" s="30">
        <v>5</v>
      </c>
    </row>
    <row r="37" spans="1:5" x14ac:dyDescent="0.3">
      <c r="A37" s="16" t="s">
        <v>337</v>
      </c>
      <c r="B37" s="16" t="s">
        <v>338</v>
      </c>
      <c r="C37" s="16" t="s">
        <v>8</v>
      </c>
      <c r="D37" s="30">
        <v>4</v>
      </c>
      <c r="E37" s="30">
        <v>0</v>
      </c>
    </row>
    <row r="38" spans="1:5" x14ac:dyDescent="0.3">
      <c r="A38" s="16" t="s">
        <v>371</v>
      </c>
      <c r="B38" s="16" t="s">
        <v>383</v>
      </c>
      <c r="C38" s="16" t="s">
        <v>8</v>
      </c>
      <c r="D38" s="30">
        <v>7</v>
      </c>
      <c r="E38" s="30"/>
    </row>
    <row r="39" spans="1:5" x14ac:dyDescent="0.3">
      <c r="A39" s="16" t="s">
        <v>340</v>
      </c>
      <c r="B39" s="16" t="s">
        <v>341</v>
      </c>
      <c r="C39" s="16" t="s">
        <v>8</v>
      </c>
      <c r="D39" s="30">
        <v>10</v>
      </c>
      <c r="E39" s="30">
        <v>6</v>
      </c>
    </row>
    <row r="40" spans="1:5" x14ac:dyDescent="0.3">
      <c r="A40" s="23" t="s">
        <v>433</v>
      </c>
      <c r="B40" s="23" t="s">
        <v>434</v>
      </c>
      <c r="C40" s="23" t="s">
        <v>8</v>
      </c>
      <c r="D40" s="30">
        <v>22</v>
      </c>
      <c r="E40" s="30">
        <v>5</v>
      </c>
    </row>
    <row r="41" spans="1:5" x14ac:dyDescent="0.3">
      <c r="A41" s="23" t="s">
        <v>667</v>
      </c>
      <c r="B41" s="23" t="s">
        <v>668</v>
      </c>
      <c r="C41" s="23" t="s">
        <v>8</v>
      </c>
      <c r="D41" s="30">
        <v>2</v>
      </c>
      <c r="E41" s="30"/>
    </row>
    <row r="42" spans="1:5" x14ac:dyDescent="0.3">
      <c r="A42" s="16" t="s">
        <v>342</v>
      </c>
      <c r="B42" s="23" t="s">
        <v>665</v>
      </c>
      <c r="C42" s="23" t="s">
        <v>8</v>
      </c>
      <c r="D42" s="30">
        <v>2</v>
      </c>
      <c r="E42" s="30"/>
    </row>
    <row r="43" spans="1:5" x14ac:dyDescent="0.3">
      <c r="A43" s="16" t="s">
        <v>423</v>
      </c>
      <c r="B43" s="16" t="s">
        <v>424</v>
      </c>
      <c r="C43" s="16" t="s">
        <v>8</v>
      </c>
      <c r="D43" s="30">
        <v>6</v>
      </c>
      <c r="E43" s="30">
        <v>0</v>
      </c>
    </row>
    <row r="44" spans="1:5" x14ac:dyDescent="0.3">
      <c r="A44" s="16" t="s">
        <v>344</v>
      </c>
      <c r="B44" s="16" t="s">
        <v>345</v>
      </c>
      <c r="C44" s="16" t="s">
        <v>8</v>
      </c>
      <c r="D44" s="30">
        <v>5</v>
      </c>
      <c r="E44" s="30">
        <v>2</v>
      </c>
    </row>
    <row r="45" spans="1:5" x14ac:dyDescent="0.3">
      <c r="A45" s="16" t="s">
        <v>389</v>
      </c>
      <c r="B45" s="16" t="s">
        <v>390</v>
      </c>
      <c r="C45" s="16" t="s">
        <v>8</v>
      </c>
      <c r="D45" s="30">
        <v>8</v>
      </c>
      <c r="E45" s="30">
        <v>2</v>
      </c>
    </row>
    <row r="46" spans="1:5" x14ac:dyDescent="0.3">
      <c r="A46" s="16" t="s">
        <v>391</v>
      </c>
      <c r="B46" s="16" t="s">
        <v>392</v>
      </c>
      <c r="C46" s="16" t="s">
        <v>8</v>
      </c>
      <c r="D46" s="30">
        <v>11</v>
      </c>
      <c r="E46" s="30">
        <v>1</v>
      </c>
    </row>
    <row r="47" spans="1:5" x14ac:dyDescent="0.3">
      <c r="A47" s="16" t="s">
        <v>443</v>
      </c>
      <c r="B47" s="16" t="s">
        <v>444</v>
      </c>
      <c r="C47" s="16" t="s">
        <v>8</v>
      </c>
      <c r="D47" s="30">
        <v>2</v>
      </c>
      <c r="E47" s="30"/>
    </row>
    <row r="48" spans="1:5" x14ac:dyDescent="0.3">
      <c r="A48" s="16" t="s">
        <v>372</v>
      </c>
      <c r="B48" s="16" t="s">
        <v>384</v>
      </c>
      <c r="C48" s="16" t="s">
        <v>8</v>
      </c>
      <c r="D48" s="30">
        <v>1</v>
      </c>
      <c r="E48" s="30"/>
    </row>
    <row r="49" spans="1:5" x14ac:dyDescent="0.3">
      <c r="A49" s="16" t="s">
        <v>385</v>
      </c>
      <c r="B49" s="16" t="s">
        <v>386</v>
      </c>
      <c r="C49" s="16" t="s">
        <v>8</v>
      </c>
      <c r="D49" s="30">
        <v>10</v>
      </c>
      <c r="E49" s="30">
        <v>1</v>
      </c>
    </row>
    <row r="50" spans="1:5" x14ac:dyDescent="0.3">
      <c r="A50" s="16" t="s">
        <v>524</v>
      </c>
      <c r="B50" s="16" t="s">
        <v>525</v>
      </c>
      <c r="C50" s="16" t="s">
        <v>8</v>
      </c>
      <c r="D50" s="30">
        <v>2</v>
      </c>
      <c r="E50" s="30">
        <v>1</v>
      </c>
    </row>
    <row r="51" spans="1:5" x14ac:dyDescent="0.3">
      <c r="A51" s="16" t="s">
        <v>409</v>
      </c>
      <c r="B51" s="16" t="s">
        <v>410</v>
      </c>
      <c r="C51" s="16" t="s">
        <v>8</v>
      </c>
      <c r="D51" s="30">
        <v>1</v>
      </c>
      <c r="E51" s="30">
        <v>1</v>
      </c>
    </row>
    <row r="52" spans="1:5" x14ac:dyDescent="0.3">
      <c r="A52" s="16" t="s">
        <v>411</v>
      </c>
      <c r="B52" s="16" t="s">
        <v>412</v>
      </c>
      <c r="C52" s="16" t="s">
        <v>8</v>
      </c>
      <c r="D52" s="30">
        <v>1</v>
      </c>
      <c r="E52" s="30">
        <v>1</v>
      </c>
    </row>
    <row r="53" spans="1:5" x14ac:dyDescent="0.3">
      <c r="A53" s="16" t="s">
        <v>373</v>
      </c>
      <c r="B53" s="16" t="s">
        <v>374</v>
      </c>
      <c r="C53" s="16" t="s">
        <v>8</v>
      </c>
      <c r="D53" s="30">
        <v>1</v>
      </c>
      <c r="E53" s="30"/>
    </row>
    <row r="54" spans="1:5" x14ac:dyDescent="0.3">
      <c r="A54" s="16" t="s">
        <v>451</v>
      </c>
      <c r="B54" s="23" t="s">
        <v>779</v>
      </c>
      <c r="C54" s="23" t="s">
        <v>8</v>
      </c>
      <c r="D54" s="30">
        <v>2</v>
      </c>
      <c r="E54" s="30"/>
    </row>
    <row r="55" spans="1:5" x14ac:dyDescent="0.3">
      <c r="A55" s="16" t="s">
        <v>452</v>
      </c>
      <c r="B55" s="16" t="s">
        <v>453</v>
      </c>
      <c r="C55" s="16" t="s">
        <v>8</v>
      </c>
      <c r="D55" s="30">
        <v>1</v>
      </c>
      <c r="E55" s="30"/>
    </row>
    <row r="56" spans="1:5" x14ac:dyDescent="0.3">
      <c r="A56" s="16" t="s">
        <v>531</v>
      </c>
      <c r="B56" s="16" t="s">
        <v>532</v>
      </c>
      <c r="C56" s="16" t="s">
        <v>8</v>
      </c>
      <c r="D56" s="30">
        <v>118</v>
      </c>
      <c r="E56" s="30">
        <v>42</v>
      </c>
    </row>
    <row r="57" spans="1:5" x14ac:dyDescent="0.3">
      <c r="A57" s="16" t="s">
        <v>533</v>
      </c>
      <c r="B57" s="16" t="s">
        <v>534</v>
      </c>
      <c r="C57" s="16" t="s">
        <v>8</v>
      </c>
      <c r="D57" s="30">
        <v>118</v>
      </c>
      <c r="E57" s="30">
        <v>35</v>
      </c>
    </row>
    <row r="58" spans="1:5" x14ac:dyDescent="0.3">
      <c r="A58" s="23" t="s">
        <v>621</v>
      </c>
      <c r="B58" s="23" t="s">
        <v>622</v>
      </c>
      <c r="C58" s="23" t="s">
        <v>8</v>
      </c>
      <c r="D58" s="30">
        <v>1</v>
      </c>
      <c r="E58" s="30">
        <v>1</v>
      </c>
    </row>
    <row r="59" spans="1:5" x14ac:dyDescent="0.3">
      <c r="A59" s="23" t="s">
        <v>732</v>
      </c>
      <c r="B59" s="23" t="s">
        <v>733</v>
      </c>
      <c r="C59" s="23" t="s">
        <v>8</v>
      </c>
      <c r="D59" s="30">
        <v>1</v>
      </c>
      <c r="E59" s="30"/>
    </row>
    <row r="60" spans="1:5" x14ac:dyDescent="0.3">
      <c r="A60" s="16" t="s">
        <v>299</v>
      </c>
      <c r="B60" s="16" t="s">
        <v>300</v>
      </c>
      <c r="C60" s="16" t="s">
        <v>8</v>
      </c>
      <c r="D60" s="30">
        <v>24</v>
      </c>
      <c r="E60" s="30">
        <v>11</v>
      </c>
    </row>
    <row r="61" spans="1:5" x14ac:dyDescent="0.3">
      <c r="A61" s="16" t="s">
        <v>301</v>
      </c>
      <c r="B61" s="16" t="s">
        <v>302</v>
      </c>
      <c r="C61" s="16" t="s">
        <v>8</v>
      </c>
      <c r="D61" s="30">
        <v>24</v>
      </c>
      <c r="E61" s="30">
        <v>11.5</v>
      </c>
    </row>
    <row r="62" spans="1:5" x14ac:dyDescent="0.3">
      <c r="A62" s="23" t="s">
        <v>303</v>
      </c>
      <c r="B62" s="23" t="s">
        <v>304</v>
      </c>
      <c r="C62" s="23" t="s">
        <v>8</v>
      </c>
      <c r="D62" s="30">
        <v>17</v>
      </c>
      <c r="E62" s="30">
        <v>12</v>
      </c>
    </row>
    <row r="63" spans="1:5" x14ac:dyDescent="0.3">
      <c r="A63" s="23" t="s">
        <v>761</v>
      </c>
      <c r="B63" s="23" t="s">
        <v>762</v>
      </c>
      <c r="C63" s="23" t="s">
        <v>8</v>
      </c>
      <c r="D63" s="30">
        <v>80</v>
      </c>
      <c r="E63" s="30">
        <v>34</v>
      </c>
    </row>
    <row r="64" spans="1:5" x14ac:dyDescent="0.3">
      <c r="A64" s="16" t="s">
        <v>196</v>
      </c>
      <c r="B64" s="16" t="s">
        <v>312</v>
      </c>
      <c r="C64" s="16" t="s">
        <v>108</v>
      </c>
      <c r="D64" s="30">
        <v>300</v>
      </c>
      <c r="E64" s="30">
        <v>130</v>
      </c>
    </row>
    <row r="65" spans="1:5" x14ac:dyDescent="0.3">
      <c r="A65" s="16" t="s">
        <v>197</v>
      </c>
      <c r="B65" s="16" t="s">
        <v>313</v>
      </c>
      <c r="C65" s="16" t="s">
        <v>108</v>
      </c>
      <c r="D65" s="30">
        <v>300</v>
      </c>
      <c r="E65" s="30">
        <v>130</v>
      </c>
    </row>
    <row r="66" spans="1:5" x14ac:dyDescent="0.3">
      <c r="A66" s="16" t="s">
        <v>198</v>
      </c>
      <c r="B66" s="16" t="s">
        <v>314</v>
      </c>
      <c r="C66" s="16" t="s">
        <v>108</v>
      </c>
      <c r="D66" s="30">
        <v>300</v>
      </c>
      <c r="E66" s="30"/>
    </row>
    <row r="67" spans="1:5" x14ac:dyDescent="0.3">
      <c r="A67" s="16" t="s">
        <v>199</v>
      </c>
      <c r="B67" s="16" t="s">
        <v>315</v>
      </c>
      <c r="C67" s="16" t="s">
        <v>108</v>
      </c>
      <c r="D67" s="30">
        <v>400</v>
      </c>
      <c r="E67" s="30">
        <v>200</v>
      </c>
    </row>
    <row r="68" spans="1:5" x14ac:dyDescent="0.3">
      <c r="A68" s="16" t="s">
        <v>200</v>
      </c>
      <c r="B68" s="16" t="s">
        <v>316</v>
      </c>
      <c r="C68" s="16" t="s">
        <v>108</v>
      </c>
      <c r="D68" s="30">
        <v>400</v>
      </c>
      <c r="E68" s="30">
        <v>200</v>
      </c>
    </row>
    <row r="69" spans="1:5" x14ac:dyDescent="0.3">
      <c r="A69" s="16" t="s">
        <v>205</v>
      </c>
      <c r="B69" s="16" t="s">
        <v>317</v>
      </c>
      <c r="C69" s="16" t="s">
        <v>108</v>
      </c>
      <c r="D69" s="30">
        <v>130</v>
      </c>
      <c r="E69" s="30">
        <v>113</v>
      </c>
    </row>
    <row r="70" spans="1:5" x14ac:dyDescent="0.3">
      <c r="A70" s="16" t="s">
        <v>206</v>
      </c>
      <c r="B70" s="16" t="s">
        <v>318</v>
      </c>
      <c r="C70" s="16" t="s">
        <v>108</v>
      </c>
      <c r="D70" s="30">
        <v>160</v>
      </c>
      <c r="E70" s="30">
        <v>113</v>
      </c>
    </row>
    <row r="71" spans="1:5" x14ac:dyDescent="0.3">
      <c r="A71" s="16" t="s">
        <v>207</v>
      </c>
      <c r="B71" s="16" t="s">
        <v>319</v>
      </c>
      <c r="C71" s="16" t="s">
        <v>108</v>
      </c>
      <c r="D71" s="30">
        <v>300</v>
      </c>
      <c r="E71" s="30">
        <v>168</v>
      </c>
    </row>
    <row r="72" spans="1:5" x14ac:dyDescent="0.3">
      <c r="A72" s="16" t="s">
        <v>208</v>
      </c>
      <c r="B72" s="16" t="s">
        <v>320</v>
      </c>
      <c r="C72" s="16" t="s">
        <v>108</v>
      </c>
      <c r="D72" s="30">
        <v>300</v>
      </c>
      <c r="E72" s="30">
        <v>113</v>
      </c>
    </row>
    <row r="73" spans="1:5" x14ac:dyDescent="0.3">
      <c r="A73" s="16" t="s">
        <v>209</v>
      </c>
      <c r="B73" s="16" t="s">
        <v>321</v>
      </c>
      <c r="C73" s="16" t="s">
        <v>108</v>
      </c>
      <c r="D73" s="30">
        <v>180</v>
      </c>
      <c r="E73" s="30">
        <v>113</v>
      </c>
    </row>
    <row r="74" spans="1:5" x14ac:dyDescent="0.3">
      <c r="A74" s="16" t="s">
        <v>327</v>
      </c>
      <c r="B74" s="23" t="s">
        <v>669</v>
      </c>
      <c r="C74" s="23" t="s">
        <v>108</v>
      </c>
      <c r="D74" s="30">
        <v>320</v>
      </c>
      <c r="E74" s="30">
        <v>45</v>
      </c>
    </row>
    <row r="75" spans="1:5" x14ac:dyDescent="0.3">
      <c r="A75" s="16" t="s">
        <v>329</v>
      </c>
      <c r="B75" s="23" t="s">
        <v>670</v>
      </c>
      <c r="C75" s="23" t="s">
        <v>108</v>
      </c>
      <c r="D75" s="30">
        <v>300</v>
      </c>
      <c r="E75" s="30">
        <v>50</v>
      </c>
    </row>
    <row r="76" spans="1:5" x14ac:dyDescent="0.3">
      <c r="A76" s="16" t="s">
        <v>293</v>
      </c>
      <c r="B76" s="16" t="s">
        <v>267</v>
      </c>
      <c r="C76" s="16" t="s">
        <v>8</v>
      </c>
      <c r="D76" s="30">
        <v>63</v>
      </c>
      <c r="E76" s="30">
        <v>12</v>
      </c>
    </row>
    <row r="77" spans="1:5" x14ac:dyDescent="0.3">
      <c r="A77" s="16" t="s">
        <v>454</v>
      </c>
      <c r="B77" s="16" t="s">
        <v>455</v>
      </c>
      <c r="C77" s="16" t="s">
        <v>8</v>
      </c>
      <c r="D77" s="30">
        <v>66</v>
      </c>
      <c r="E77" s="30">
        <v>38</v>
      </c>
    </row>
    <row r="78" spans="1:5" x14ac:dyDescent="0.3">
      <c r="A78" s="16" t="s">
        <v>178</v>
      </c>
      <c r="B78" s="16" t="s">
        <v>69</v>
      </c>
      <c r="C78" s="16" t="s">
        <v>8</v>
      </c>
      <c r="D78" s="30">
        <v>18.5</v>
      </c>
      <c r="E78" s="30">
        <v>9.5</v>
      </c>
    </row>
    <row r="79" spans="1:5" x14ac:dyDescent="0.3">
      <c r="A79" s="16" t="s">
        <v>305</v>
      </c>
      <c r="B79" s="16" t="s">
        <v>306</v>
      </c>
      <c r="C79" s="16" t="s">
        <v>8</v>
      </c>
      <c r="D79" s="30">
        <v>2</v>
      </c>
      <c r="E79" s="30">
        <v>0</v>
      </c>
    </row>
    <row r="80" spans="1:5" x14ac:dyDescent="0.3">
      <c r="A80" s="16" t="s">
        <v>379</v>
      </c>
      <c r="B80" s="16" t="s">
        <v>380</v>
      </c>
      <c r="C80" s="16" t="s">
        <v>8</v>
      </c>
      <c r="D80" s="30">
        <v>9</v>
      </c>
      <c r="E80" s="30"/>
    </row>
    <row r="81" spans="1:5" x14ac:dyDescent="0.3">
      <c r="A81" s="16" t="s">
        <v>456</v>
      </c>
      <c r="B81" s="16" t="s">
        <v>457</v>
      </c>
      <c r="C81" s="16" t="s">
        <v>8</v>
      </c>
      <c r="D81" s="30">
        <v>3</v>
      </c>
      <c r="E81" s="30">
        <v>1</v>
      </c>
    </row>
    <row r="82" spans="1:5" x14ac:dyDescent="0.3">
      <c r="A82" s="16" t="s">
        <v>217</v>
      </c>
      <c r="B82" s="16" t="s">
        <v>136</v>
      </c>
      <c r="C82" s="16" t="s">
        <v>8</v>
      </c>
      <c r="D82" s="30">
        <v>3</v>
      </c>
      <c r="E82" s="30">
        <v>2</v>
      </c>
    </row>
    <row r="83" spans="1:5" x14ac:dyDescent="0.3">
      <c r="A83" s="16" t="s">
        <v>234</v>
      </c>
      <c r="B83" s="16" t="s">
        <v>154</v>
      </c>
      <c r="C83" s="16" t="s">
        <v>8</v>
      </c>
      <c r="D83" s="30">
        <v>148</v>
      </c>
      <c r="E83" s="30">
        <v>8</v>
      </c>
    </row>
    <row r="84" spans="1:5" x14ac:dyDescent="0.3">
      <c r="A84" s="23" t="s">
        <v>235</v>
      </c>
      <c r="B84" s="23" t="s">
        <v>155</v>
      </c>
      <c r="C84" s="23" t="s">
        <v>8</v>
      </c>
      <c r="D84" s="30">
        <v>2</v>
      </c>
      <c r="E84" s="30">
        <v>0</v>
      </c>
    </row>
    <row r="85" spans="1:5" x14ac:dyDescent="0.3">
      <c r="A85" s="16" t="s">
        <v>395</v>
      </c>
      <c r="B85" s="16" t="s">
        <v>396</v>
      </c>
      <c r="C85" s="16" t="s">
        <v>8</v>
      </c>
      <c r="D85" s="30">
        <v>12</v>
      </c>
      <c r="E85" s="30"/>
    </row>
    <row r="86" spans="1:5" x14ac:dyDescent="0.3">
      <c r="A86" s="16" t="s">
        <v>449</v>
      </c>
      <c r="B86" s="16" t="s">
        <v>450</v>
      </c>
      <c r="C86" s="16" t="s">
        <v>8</v>
      </c>
      <c r="D86" s="30">
        <v>4</v>
      </c>
      <c r="E86" s="30"/>
    </row>
    <row r="87" spans="1:5" x14ac:dyDescent="0.3">
      <c r="A87" s="23" t="s">
        <v>791</v>
      </c>
      <c r="B87" s="23" t="s">
        <v>792</v>
      </c>
      <c r="C87" s="23" t="s">
        <v>8</v>
      </c>
      <c r="D87" s="30">
        <v>1</v>
      </c>
      <c r="E87" s="30">
        <v>0</v>
      </c>
    </row>
    <row r="88" spans="1:5" x14ac:dyDescent="0.3">
      <c r="A88" s="23" t="s">
        <v>190</v>
      </c>
      <c r="B88" s="23" t="s">
        <v>92</v>
      </c>
      <c r="C88" s="23" t="s">
        <v>8</v>
      </c>
      <c r="D88" s="30">
        <v>100</v>
      </c>
      <c r="E88" s="30">
        <v>100</v>
      </c>
    </row>
    <row r="89" spans="1:5" x14ac:dyDescent="0.3">
      <c r="A89" s="16" t="s">
        <v>447</v>
      </c>
      <c r="B89" s="16" t="s">
        <v>448</v>
      </c>
      <c r="C89" s="16" t="s">
        <v>8</v>
      </c>
      <c r="D89" s="30">
        <v>40</v>
      </c>
      <c r="E89" s="30">
        <v>40</v>
      </c>
    </row>
    <row r="90" spans="1:5" x14ac:dyDescent="0.3">
      <c r="A90" s="16" t="s">
        <v>543</v>
      </c>
      <c r="B90" s="16" t="s">
        <v>544</v>
      </c>
      <c r="C90" s="16" t="s">
        <v>8</v>
      </c>
      <c r="D90" s="30">
        <v>34</v>
      </c>
      <c r="E90" s="30">
        <v>7</v>
      </c>
    </row>
    <row r="91" spans="1:5" x14ac:dyDescent="0.3">
      <c r="A91" s="16" t="s">
        <v>387</v>
      </c>
      <c r="B91" s="16" t="s">
        <v>388</v>
      </c>
      <c r="C91" s="16" t="s">
        <v>8</v>
      </c>
      <c r="D91" s="30">
        <v>91</v>
      </c>
      <c r="E91" s="30">
        <v>32</v>
      </c>
    </row>
    <row r="92" spans="1:5" x14ac:dyDescent="0.3">
      <c r="A92" s="16" t="s">
        <v>210</v>
      </c>
      <c r="B92" s="16" t="s">
        <v>119</v>
      </c>
      <c r="C92" s="16" t="s">
        <v>8</v>
      </c>
      <c r="D92" s="30">
        <v>184</v>
      </c>
      <c r="E92" s="30">
        <v>60</v>
      </c>
    </row>
    <row r="93" spans="1:5" x14ac:dyDescent="0.3">
      <c r="A93" s="16" t="s">
        <v>211</v>
      </c>
      <c r="B93" s="16" t="s">
        <v>120</v>
      </c>
      <c r="C93" s="16" t="s">
        <v>8</v>
      </c>
      <c r="D93" s="30">
        <v>142</v>
      </c>
      <c r="E93" s="30">
        <v>22</v>
      </c>
    </row>
    <row r="94" spans="1:5" x14ac:dyDescent="0.3">
      <c r="A94" s="16" t="s">
        <v>555</v>
      </c>
      <c r="B94" s="16" t="s">
        <v>555</v>
      </c>
      <c r="C94" s="16" t="s">
        <v>555</v>
      </c>
      <c r="D94" s="30">
        <v>0</v>
      </c>
      <c r="E94" s="30"/>
    </row>
    <row r="95" spans="1:5" x14ac:dyDescent="0.3">
      <c r="A95" s="23" t="s">
        <v>566</v>
      </c>
      <c r="B95" s="23"/>
      <c r="D95" s="19">
        <v>11078.5</v>
      </c>
      <c r="E95" s="19">
        <v>4710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C9D0-1F63-4392-83A9-87672352E7E3}">
  <sheetPr>
    <tabColor rgb="FF92D050"/>
  </sheetPr>
  <dimension ref="A1:M40"/>
  <sheetViews>
    <sheetView zoomScale="85" zoomScaleNormal="85" workbookViewId="0">
      <pane ySplit="5" topLeftCell="A6" activePane="bottomLeft" state="frozen"/>
      <selection activeCell="M6" sqref="M6"/>
      <selection pane="bottomLeft" activeCell="M6" sqref="M6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15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693</v>
      </c>
      <c r="D2" s="283"/>
      <c r="E2" s="283"/>
      <c r="F2" s="291"/>
      <c r="G2" s="292" t="s">
        <v>355</v>
      </c>
      <c r="H2" s="290"/>
      <c r="I2" s="62">
        <v>15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477</v>
      </c>
      <c r="D3" s="314"/>
      <c r="E3" s="68"/>
      <c r="F3" s="61" t="s">
        <v>353</v>
      </c>
      <c r="G3" s="295" t="s">
        <v>369</v>
      </c>
      <c r="H3" s="296"/>
      <c r="I3" s="127">
        <v>46069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695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45</v>
      </c>
      <c r="D6" s="12">
        <v>276</v>
      </c>
      <c r="E6" s="12" t="str">
        <f>CONCATENATE(B6,"-",C6,"-",D6)</f>
        <v>16-45-276</v>
      </c>
      <c r="F6" s="64" t="str">
        <f>IFERROR(VLOOKUP(E6,'LISTA ITEMS (2)'!$E$2:$G$910,2,FALSE)," ")</f>
        <v>CAJA ESTANCA (COCHERA) EXTERIOR 18PT (IDE)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2"/>
    </row>
    <row r="7" spans="1:13" s="15" customFormat="1" ht="31.95" customHeight="1" x14ac:dyDescent="0.3">
      <c r="A7" s="12">
        <v>2</v>
      </c>
      <c r="B7" s="12">
        <v>16</v>
      </c>
      <c r="C7" s="12">
        <v>49</v>
      </c>
      <c r="D7" s="12">
        <v>288</v>
      </c>
      <c r="E7" s="12" t="str">
        <f t="shared" ref="E7:E38" si="0">CONCATENATE(B7,"-",C7,"-",D7)</f>
        <v>16-49-288</v>
      </c>
      <c r="F7" s="64" t="str">
        <f>IFERROR(VLOOKUP(E7,'LISTA ITEMS (2)'!$E$2:$G$910,2,FALSE)," ")</f>
        <v>CONTACTOR MODULAR EPC1-6322-P7 (MAXGE)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ref="L7:L37" si="1">+H7-K7</f>
        <v>1</v>
      </c>
      <c r="M7" s="12"/>
    </row>
    <row r="8" spans="1:13" s="15" customFormat="1" ht="31.95" customHeight="1" x14ac:dyDescent="0.3">
      <c r="A8" s="12">
        <v>3</v>
      </c>
      <c r="B8" s="12">
        <v>16</v>
      </c>
      <c r="C8" s="12">
        <v>47</v>
      </c>
      <c r="D8" s="12">
        <v>318</v>
      </c>
      <c r="E8" s="12" t="str">
        <f t="shared" si="0"/>
        <v>16-47-318</v>
      </c>
      <c r="F8" s="64" t="str">
        <f>IFERROR(VLOOKUP(E8,'LISTA ITEMS (2)'!$E$2:$G$910,2,FALSE)," ")</f>
        <v>DIFERENCIAL EPR2A040030 2P-40A-30mA (MAXGE)</v>
      </c>
      <c r="G8" s="79" t="str">
        <f>IFERROR(VLOOKUP(E8,'LISTA ITEMS (2)'!$E$2:$G$910,3,FALSE)," ")</f>
        <v>UND</v>
      </c>
      <c r="H8" s="59">
        <v>1</v>
      </c>
      <c r="I8" s="12" t="s">
        <v>356</v>
      </c>
      <c r="J8" s="76"/>
      <c r="K8" s="72"/>
      <c r="L8" s="75">
        <f t="shared" si="1"/>
        <v>1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52</v>
      </c>
      <c r="D9" s="12">
        <v>292</v>
      </c>
      <c r="E9" s="12" t="str">
        <f t="shared" si="0"/>
        <v>16-52-292</v>
      </c>
      <c r="F9" s="64" t="str">
        <f>IFERROR(VLOOKUP(E9,'LISTA ITEMS (2)'!$E$2:$G$910,2,FALSE)," ")</f>
        <v>TERMICO EPBE63M1NC63M1NC40 1P+N C40 (MAXGE)</v>
      </c>
      <c r="G9" s="79" t="str">
        <f>IFERROR(VLOOKUP(E9,'LISTA ITEMS (2)'!$E$2:$G$910,3,FALSE)," ")</f>
        <v>UND</v>
      </c>
      <c r="H9" s="59">
        <v>1</v>
      </c>
      <c r="I9" s="12" t="s">
        <v>356</v>
      </c>
      <c r="J9" s="76"/>
      <c r="K9" s="72"/>
      <c r="L9" s="75">
        <f t="shared" si="1"/>
        <v>1</v>
      </c>
      <c r="M9" s="12"/>
    </row>
    <row r="10" spans="1:13" s="15" customFormat="1" ht="31.95" customHeight="1" x14ac:dyDescent="0.3">
      <c r="A10" s="12">
        <v>5</v>
      </c>
      <c r="B10" s="12">
        <v>16</v>
      </c>
      <c r="C10" s="12">
        <v>52</v>
      </c>
      <c r="D10" s="12">
        <v>293</v>
      </c>
      <c r="E10" s="12" t="str">
        <f t="shared" si="0"/>
        <v>16-52-293</v>
      </c>
      <c r="F10" s="64" t="str">
        <f>IFERROR(VLOOKUP(E10,'LISTA ITEMS (2)'!$E$2:$G$910,2,FALSE)," ")</f>
        <v>TERMICO EPBE63M1NC63M1NC32 1P+N C32 (MAXGE)</v>
      </c>
      <c r="G10" s="79" t="str">
        <f>IFERROR(VLOOKUP(E10,'LISTA ITEMS (2)'!$E$2:$G$910,3,FALSE)," ")</f>
        <v>UND</v>
      </c>
      <c r="H10" s="59">
        <v>1</v>
      </c>
      <c r="I10" s="12" t="s">
        <v>356</v>
      </c>
      <c r="J10" s="76"/>
      <c r="K10" s="72"/>
      <c r="L10" s="75">
        <f t="shared" si="1"/>
        <v>1</v>
      </c>
      <c r="M10" s="3"/>
    </row>
    <row r="11" spans="1:13" s="15" customFormat="1" ht="31.95" customHeight="1" x14ac:dyDescent="0.3">
      <c r="A11" s="12">
        <v>6</v>
      </c>
      <c r="B11" s="12">
        <v>16</v>
      </c>
      <c r="C11" s="12">
        <v>48</v>
      </c>
      <c r="D11" s="12">
        <v>281</v>
      </c>
      <c r="E11" s="12" t="str">
        <f t="shared" si="0"/>
        <v>16-48-281</v>
      </c>
      <c r="F11" s="64" t="str">
        <f>IFERROR(VLOOKUP(E11,'LISTA ITEMS (2)'!$E$2:$G$910,2,FALSE)," ")</f>
        <v>PORTA FUSIBLE SGF-32-DC (MAXGE)</v>
      </c>
      <c r="G11" s="79" t="str">
        <f>IFERROR(VLOOKUP(E11,'LISTA ITEMS (2)'!$E$2:$G$910,3,FALSE)," ")</f>
        <v>UND</v>
      </c>
      <c r="H11" s="59">
        <v>2</v>
      </c>
      <c r="I11" s="12" t="s">
        <v>356</v>
      </c>
      <c r="J11" s="76"/>
      <c r="K11" s="72"/>
      <c r="L11" s="75">
        <f t="shared" si="1"/>
        <v>2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50</v>
      </c>
      <c r="D12" s="12">
        <v>314</v>
      </c>
      <c r="E12" s="12" t="str">
        <f t="shared" si="0"/>
        <v>16-50-314</v>
      </c>
      <c r="F12" s="64" t="str">
        <f>IFERROR(VLOOKUP(E12,'LISTA ITEMS (2)'!$E$2:$G$910,2,FALSE)," ")</f>
        <v>FUSIBLE MG10PV32A (MAXGE)</v>
      </c>
      <c r="G12" s="79" t="str">
        <f>IFERROR(VLOOKUP(E12,'LISTA ITEMS (2)'!$E$2:$G$910,3,FALSE)," ")</f>
        <v>UND</v>
      </c>
      <c r="H12" s="59">
        <v>2</v>
      </c>
      <c r="I12" s="12" t="s">
        <v>356</v>
      </c>
      <c r="J12" s="76"/>
      <c r="K12" s="72"/>
      <c r="L12" s="75">
        <f t="shared" si="1"/>
        <v>2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51</v>
      </c>
      <c r="D13" s="12">
        <v>309</v>
      </c>
      <c r="E13" s="12" t="str">
        <f t="shared" si="0"/>
        <v>16-51-309</v>
      </c>
      <c r="F13" s="64" t="str">
        <f>IFERROR(VLOOKUP(E13,'LISTA ITEMS (2)'!$E$2:$G$910,2,FALSE)," ")</f>
        <v>LIMITADOR MONOFASICO EPS1 C/2 - 275-40 (MAXGE)</v>
      </c>
      <c r="G13" s="79" t="str">
        <f>IFERROR(VLOOKUP(E13,'LISTA ITEMS (2)'!$E$2:$G$910,3,FALSE)," ")</f>
        <v>UND</v>
      </c>
      <c r="H13" s="59">
        <v>1</v>
      </c>
      <c r="I13" s="12" t="s">
        <v>356</v>
      </c>
      <c r="J13" s="76"/>
      <c r="K13" s="72"/>
      <c r="L13" s="75">
        <f t="shared" si="1"/>
        <v>1</v>
      </c>
      <c r="M13" s="12"/>
    </row>
    <row r="14" spans="1:13" s="15" customFormat="1" ht="31.95" customHeight="1" x14ac:dyDescent="0.3">
      <c r="A14" s="12">
        <v>9</v>
      </c>
      <c r="B14" s="12">
        <v>9</v>
      </c>
      <c r="C14" s="12">
        <v>32</v>
      </c>
      <c r="D14" s="12">
        <v>224</v>
      </c>
      <c r="E14" s="12" t="str">
        <f t="shared" si="0"/>
        <v>9-32-224</v>
      </c>
      <c r="F14" s="64" t="str">
        <f>IFERROR(VLOOKUP(E14,'LISTA ITEMS (2)'!$E$2:$G$910,2,FALSE)," ")</f>
        <v>CURVA PVC M-25 GRIS TIPO B</v>
      </c>
      <c r="G14" s="79" t="str">
        <f>IFERROR(VLOOKUP(E14,'LISTA ITEMS (2)'!$E$2:$G$910,3,FALSE)," ")</f>
        <v>UND</v>
      </c>
      <c r="H14" s="59">
        <v>30</v>
      </c>
      <c r="I14" s="12" t="s">
        <v>356</v>
      </c>
      <c r="J14" s="76">
        <v>46071</v>
      </c>
      <c r="K14" s="72">
        <v>10</v>
      </c>
      <c r="L14" s="75">
        <f t="shared" si="1"/>
        <v>20</v>
      </c>
      <c r="M14" s="12"/>
    </row>
    <row r="15" spans="1:13" s="15" customFormat="1" ht="31.95" customHeight="1" x14ac:dyDescent="0.3">
      <c r="A15" s="12">
        <v>10</v>
      </c>
      <c r="B15" s="12">
        <v>7</v>
      </c>
      <c r="C15" s="12">
        <v>54</v>
      </c>
      <c r="D15" s="12">
        <v>295</v>
      </c>
      <c r="E15" s="12" t="str">
        <f t="shared" si="0"/>
        <v>7-54-295</v>
      </c>
      <c r="F15" s="64" t="str">
        <f>IFERROR(VLOOKUP(E15,'LISTA ITEMS (2)'!$E$2:$G$910,2,FALSE)," ")</f>
        <v>BATERIA LFP LITHIUM DL5.OC (DYNESS)</v>
      </c>
      <c r="G15" s="79" t="str">
        <f>IFERROR(VLOOKUP(E15,'LISTA ITEMS (2)'!$E$2:$G$910,3,FALSE)," ")</f>
        <v>UND</v>
      </c>
      <c r="H15" s="59">
        <v>1</v>
      </c>
      <c r="I15" s="12" t="s">
        <v>356</v>
      </c>
      <c r="J15" s="76"/>
      <c r="K15" s="72"/>
      <c r="L15" s="75">
        <f t="shared" si="1"/>
        <v>1</v>
      </c>
      <c r="M15" s="85">
        <v>9.4970282250920102E+17</v>
      </c>
    </row>
    <row r="16" spans="1:13" s="15" customFormat="1" ht="31.95" customHeight="1" x14ac:dyDescent="0.3">
      <c r="A16" s="12">
        <v>11</v>
      </c>
      <c r="B16" s="12">
        <v>7</v>
      </c>
      <c r="C16" s="12">
        <v>35</v>
      </c>
      <c r="D16" s="12">
        <v>286</v>
      </c>
      <c r="E16" s="12" t="str">
        <f t="shared" si="0"/>
        <v>7-35-286</v>
      </c>
      <c r="F16" s="64" t="str">
        <f>IFERROR(VLOOKUP(E16,'LISTA ITEMS (2)'!$E$2:$G$910,2,FALSE)," ")</f>
        <v>INVERSOR SPH 6000TL BL-UP 6KW (GROWATT)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2"/>
      <c r="K16" s="72"/>
      <c r="L16" s="75">
        <f t="shared" si="1"/>
        <v>1</v>
      </c>
      <c r="M16" s="12" t="s">
        <v>694</v>
      </c>
    </row>
    <row r="17" spans="1:13" s="15" customFormat="1" ht="31.95" customHeight="1" x14ac:dyDescent="0.3">
      <c r="A17" s="12">
        <v>12</v>
      </c>
      <c r="B17" s="12">
        <v>16</v>
      </c>
      <c r="C17" s="12">
        <v>61</v>
      </c>
      <c r="D17" s="12">
        <v>331</v>
      </c>
      <c r="E17" s="12" t="str">
        <f t="shared" si="0"/>
        <v>16-61-331</v>
      </c>
      <c r="F17" s="64" t="str">
        <f>IFERROR(VLOOKUP(E17,'LISTA ITEMS (2)'!$E$2:$G$910,2,FALSE)," ")</f>
        <v>CONECTOR FOTOVOLTAICO HEMBRA M4 NEGRO</v>
      </c>
      <c r="G17" s="79" t="str">
        <f>IFERROR(VLOOKUP(E17,'LISTA ITEMS (2)'!$E$2:$G$910,3,FALSE)," ")</f>
        <v>UND</v>
      </c>
      <c r="H17" s="59">
        <v>10</v>
      </c>
      <c r="I17" s="12" t="s">
        <v>356</v>
      </c>
      <c r="J17" s="76">
        <v>46071</v>
      </c>
      <c r="K17" s="72">
        <v>3</v>
      </c>
      <c r="L17" s="75">
        <f t="shared" si="1"/>
        <v>7</v>
      </c>
      <c r="M17" s="12"/>
    </row>
    <row r="18" spans="1:13" s="15" customFormat="1" ht="31.95" customHeight="1" x14ac:dyDescent="0.3">
      <c r="A18" s="12">
        <v>13</v>
      </c>
      <c r="B18" s="12">
        <v>16</v>
      </c>
      <c r="C18" s="12">
        <v>61</v>
      </c>
      <c r="D18" s="12">
        <v>332</v>
      </c>
      <c r="E18" s="12" t="str">
        <f t="shared" si="0"/>
        <v>16-61-332</v>
      </c>
      <c r="F18" s="64" t="str">
        <f>IFERROR(VLOOKUP(E18,'LISTA ITEMS (2)'!$E$2:$G$910,2,FALSE)," ")</f>
        <v>CONECTOR FOTOVOLTAICO MACHO M4 NEGRO</v>
      </c>
      <c r="G18" s="79" t="str">
        <f>IFERROR(VLOOKUP(E18,'LISTA ITEMS (2)'!$E$2:$G$910,3,FALSE)," ")</f>
        <v>UND</v>
      </c>
      <c r="H18" s="59">
        <v>10</v>
      </c>
      <c r="I18" s="12" t="s">
        <v>356</v>
      </c>
      <c r="J18" s="76">
        <v>46071</v>
      </c>
      <c r="K18" s="72">
        <v>3</v>
      </c>
      <c r="L18" s="75">
        <f t="shared" si="1"/>
        <v>7</v>
      </c>
      <c r="M18" s="85"/>
    </row>
    <row r="19" spans="1:13" s="15" customFormat="1" ht="31.95" customHeight="1" x14ac:dyDescent="0.3">
      <c r="A19" s="12">
        <v>14</v>
      </c>
      <c r="B19" s="12">
        <v>16</v>
      </c>
      <c r="C19" s="12">
        <v>45</v>
      </c>
      <c r="D19" s="12">
        <v>276</v>
      </c>
      <c r="E19" s="12" t="str">
        <f t="shared" si="0"/>
        <v>16-45-276</v>
      </c>
      <c r="F19" s="64" t="str">
        <f>IFERROR(VLOOKUP(E19,'LISTA ITEMS (2)'!$E$2:$G$910,2,FALSE)," ")</f>
        <v>CAJA ESTANCA (COCHERA) EXTERIOR 18PT (IDE)</v>
      </c>
      <c r="G19" s="79" t="str">
        <f>IFERROR(VLOOKUP(E19,'LISTA ITEMS (2)'!$E$2:$G$910,3,FALSE)," ")</f>
        <v>UND</v>
      </c>
      <c r="H19" s="59">
        <v>1</v>
      </c>
      <c r="I19" s="12" t="s">
        <v>356</v>
      </c>
      <c r="J19" s="76"/>
      <c r="K19" s="72"/>
      <c r="L19" s="75">
        <f t="shared" si="1"/>
        <v>1</v>
      </c>
      <c r="M19" s="12"/>
    </row>
    <row r="20" spans="1:13" s="15" customFormat="1" ht="31.95" customHeight="1" x14ac:dyDescent="0.3">
      <c r="A20" s="12">
        <v>15</v>
      </c>
      <c r="B20" s="12">
        <v>14</v>
      </c>
      <c r="C20" s="12">
        <v>24</v>
      </c>
      <c r="D20" s="12">
        <v>193</v>
      </c>
      <c r="E20" s="12" t="str">
        <f t="shared" si="0"/>
        <v>14-24-193</v>
      </c>
      <c r="F20" s="64" t="str">
        <f>IFERROR(VLOOKUP(E20,'LISTA ITEMS (2)'!$E$2:$G$910,2,FALSE)," ")</f>
        <v>DISCO CORTE ACERO/INOX A1 2EN1</v>
      </c>
      <c r="G20" s="79" t="str">
        <f>IFERROR(VLOOKUP(E20,'LISTA ITEMS (2)'!$E$2:$G$910,3,FALSE)," ")</f>
        <v>UND</v>
      </c>
      <c r="H20" s="59">
        <v>6</v>
      </c>
      <c r="I20" s="12" t="s">
        <v>356</v>
      </c>
      <c r="J20" s="76">
        <v>46071</v>
      </c>
      <c r="K20" s="72">
        <v>2</v>
      </c>
      <c r="L20" s="75">
        <f t="shared" si="1"/>
        <v>4</v>
      </c>
      <c r="M20" s="12"/>
    </row>
    <row r="21" spans="1:13" s="15" customFormat="1" ht="31.95" customHeight="1" x14ac:dyDescent="0.3">
      <c r="A21" s="12">
        <v>16</v>
      </c>
      <c r="B21" s="30">
        <v>10</v>
      </c>
      <c r="C21" s="30">
        <v>43</v>
      </c>
      <c r="D21" s="30">
        <v>270</v>
      </c>
      <c r="E21" s="12" t="str">
        <f t="shared" si="0"/>
        <v>10-43-270</v>
      </c>
      <c r="F21" s="64" t="str">
        <f>IFERROR(VLOOKUP(E21,'LISTA ITEMS (2)'!$E$2:$G$910,2,FALSE)," ")</f>
        <v>EMPALME ALUMINIO P/BARRA</v>
      </c>
      <c r="G21" s="79" t="str">
        <f>IFERROR(VLOOKUP(E21,'LISTA ITEMS (2)'!$E$2:$G$910,3,FALSE)," ")</f>
        <v>UND</v>
      </c>
      <c r="H21" s="59">
        <v>6</v>
      </c>
      <c r="I21" s="12" t="s">
        <v>356</v>
      </c>
      <c r="J21" s="128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6</v>
      </c>
      <c r="C22" s="12">
        <v>23</v>
      </c>
      <c r="D22" s="12">
        <v>192</v>
      </c>
      <c r="E22" s="12" t="str">
        <f t="shared" si="0"/>
        <v>6-23-192</v>
      </c>
      <c r="F22" s="64" t="str">
        <f>IFERROR(VLOOKUP(E22,'LISTA ITEMS (2)'!$E$2:$G$910,2,FALSE)," ")</f>
        <v xml:space="preserve">CINTA ACERO PERFORADA PARA MONTAJE </v>
      </c>
      <c r="G22" s="79" t="str">
        <f>IFERROR(VLOOKUP(E22,'LISTA ITEMS (2)'!$E$2:$G$910,3,FALSE)," ")</f>
        <v>UND</v>
      </c>
      <c r="H22" s="59">
        <v>1</v>
      </c>
      <c r="I22" s="12" t="s">
        <v>356</v>
      </c>
      <c r="J22" s="72"/>
      <c r="K22" s="72"/>
      <c r="L22" s="75">
        <f t="shared" si="1"/>
        <v>1</v>
      </c>
      <c r="M22" s="12"/>
    </row>
    <row r="23" spans="1:13" s="15" customFormat="1" ht="31.95" customHeight="1" x14ac:dyDescent="0.3">
      <c r="A23" s="12">
        <v>18</v>
      </c>
      <c r="B23" s="12">
        <v>13</v>
      </c>
      <c r="C23" s="12">
        <v>22</v>
      </c>
      <c r="D23" s="12">
        <v>184</v>
      </c>
      <c r="E23" s="12" t="str">
        <f t="shared" si="0"/>
        <v>13-22-184</v>
      </c>
      <c r="F23" s="64" t="str">
        <f>IFERROR(VLOOKUP(E23,'LISTA ITEMS (2)'!$E$2:$G$910,2,FALSE)," ")</f>
        <v>BRIDA P/EXTERIOR NEGRA</v>
      </c>
      <c r="G23" s="79" t="str">
        <f>IFERROR(VLOOKUP(E23,'LISTA ITEMS (2)'!$E$2:$G$910,3,FALSE)," ")</f>
        <v>UND</v>
      </c>
      <c r="H23" s="59">
        <v>200</v>
      </c>
      <c r="I23" s="12" t="s">
        <v>356</v>
      </c>
      <c r="J23" s="76">
        <v>46071</v>
      </c>
      <c r="K23" s="72">
        <v>100</v>
      </c>
      <c r="L23" s="75">
        <f t="shared" si="1"/>
        <v>100</v>
      </c>
      <c r="M23" s="12"/>
    </row>
    <row r="24" spans="1:13" s="15" customFormat="1" ht="31.95" customHeight="1" x14ac:dyDescent="0.3">
      <c r="A24" s="12">
        <v>19</v>
      </c>
      <c r="B24" s="12">
        <v>13</v>
      </c>
      <c r="C24" s="12">
        <v>21</v>
      </c>
      <c r="D24" s="12">
        <v>181</v>
      </c>
      <c r="E24" s="12" t="str">
        <f t="shared" si="0"/>
        <v>13-21-181</v>
      </c>
      <c r="F24" s="64" t="str">
        <f>IFERROR(VLOOKUP(E24,'LISTA ITEMS (2)'!$E$2:$G$910,2,FALSE)," ")</f>
        <v>TACO P/BRIDA NEGRO</v>
      </c>
      <c r="G24" s="79" t="str">
        <f>IFERROR(VLOOKUP(E24,'LISTA ITEMS (2)'!$E$2:$G$910,3,FALSE)," ")</f>
        <v>UND</v>
      </c>
      <c r="H24" s="59">
        <v>100</v>
      </c>
      <c r="I24" s="12" t="s">
        <v>356</v>
      </c>
      <c r="J24" s="76">
        <v>46071</v>
      </c>
      <c r="K24" s="72">
        <v>50</v>
      </c>
      <c r="L24" s="75">
        <f t="shared" si="1"/>
        <v>50</v>
      </c>
      <c r="M24" s="12"/>
    </row>
    <row r="25" spans="1:13" s="15" customFormat="1" ht="31.95" customHeight="1" x14ac:dyDescent="0.3">
      <c r="A25" s="12">
        <v>20</v>
      </c>
      <c r="B25" s="12">
        <v>13</v>
      </c>
      <c r="C25" s="12">
        <v>23</v>
      </c>
      <c r="D25" s="12">
        <v>190</v>
      </c>
      <c r="E25" s="12" t="str">
        <f t="shared" si="0"/>
        <v>13-23-190</v>
      </c>
      <c r="F25" s="64" t="str">
        <f>IFERROR(VLOOKUP(E25,'LISTA ITEMS (2)'!$E$2:$G$910,2,FALSE)," ")</f>
        <v>CINTA BLANCA AISLANTE PVC 19MM</v>
      </c>
      <c r="G25" s="79" t="str">
        <f>IFERROR(VLOOKUP(E25,'LISTA ITEMS (2)'!$E$2:$G$910,3,FALSE)," ")</f>
        <v>UND</v>
      </c>
      <c r="H25" s="59">
        <v>1</v>
      </c>
      <c r="I25" s="12" t="s">
        <v>356</v>
      </c>
      <c r="J25" s="72"/>
      <c r="K25" s="72"/>
      <c r="L25" s="75">
        <f t="shared" si="1"/>
        <v>1</v>
      </c>
      <c r="M25" s="3"/>
    </row>
    <row r="26" spans="1:13" s="15" customFormat="1" ht="31.95" customHeight="1" x14ac:dyDescent="0.3">
      <c r="A26" s="12">
        <v>21</v>
      </c>
      <c r="B26" s="12">
        <v>10</v>
      </c>
      <c r="C26" s="12">
        <v>37</v>
      </c>
      <c r="D26" s="12">
        <v>330</v>
      </c>
      <c r="E26" s="12" t="str">
        <f t="shared" si="0"/>
        <v>10-37-330</v>
      </c>
      <c r="F26" s="64" t="str">
        <f>IFERROR(VLOOKUP(E26,'LISTA ITEMS (2)'!$E$2:$G$910,2,FALSE)," ")</f>
        <v>SOPORTE EN L ALUMINIO GRIS</v>
      </c>
      <c r="G26" s="79" t="str">
        <f>IFERROR(VLOOKUP(E26,'LISTA ITEMS (2)'!$E$2:$G$910,3,FALSE)," ")</f>
        <v>UND</v>
      </c>
      <c r="H26" s="59">
        <v>40</v>
      </c>
      <c r="I26" s="12" t="s">
        <v>356</v>
      </c>
      <c r="J26" s="76">
        <v>46071</v>
      </c>
      <c r="K26" s="72">
        <v>15</v>
      </c>
      <c r="L26" s="75">
        <f t="shared" si="1"/>
        <v>25</v>
      </c>
      <c r="M26" s="12"/>
    </row>
    <row r="27" spans="1:13" s="15" customFormat="1" ht="31.95" customHeight="1" x14ac:dyDescent="0.3">
      <c r="A27" s="12">
        <v>22</v>
      </c>
      <c r="B27" s="12">
        <v>10</v>
      </c>
      <c r="C27" s="12">
        <v>37</v>
      </c>
      <c r="D27" s="12">
        <v>232</v>
      </c>
      <c r="E27" s="12" t="str">
        <f t="shared" si="0"/>
        <v>10-37-232</v>
      </c>
      <c r="F27" s="64" t="str">
        <f>IFERROR(VLOOKUP(E27,'LISTA ITEMS (2)'!$E$2:$G$910,2,FALSE)," ")</f>
        <v>SOPORTE CENTRAL NEGRO</v>
      </c>
      <c r="G27" s="79" t="str">
        <f>IFERROR(VLOOKUP(E27,'LISTA ITEMS (2)'!$E$2:$G$910,3,FALSE)," ")</f>
        <v>UND</v>
      </c>
      <c r="H27" s="59">
        <v>40</v>
      </c>
      <c r="I27" s="12" t="s">
        <v>356</v>
      </c>
      <c r="J27" s="76">
        <v>46071</v>
      </c>
      <c r="K27" s="72">
        <v>20</v>
      </c>
      <c r="L27" s="75">
        <f t="shared" si="1"/>
        <v>20</v>
      </c>
      <c r="M27" s="12"/>
    </row>
    <row r="28" spans="1:13" s="15" customFormat="1" ht="31.95" customHeight="1" x14ac:dyDescent="0.3">
      <c r="A28" s="12">
        <v>23</v>
      </c>
      <c r="B28" s="12">
        <v>10</v>
      </c>
      <c r="C28" s="12">
        <v>37</v>
      </c>
      <c r="D28" s="12">
        <v>315</v>
      </c>
      <c r="E28" s="12" t="str">
        <f t="shared" si="0"/>
        <v>10-37-315</v>
      </c>
      <c r="F28" s="64" t="str">
        <f>IFERROR(VLOOKUP(E28,'LISTA ITEMS (2)'!$E$2:$G$910,2,FALSE)," ")</f>
        <v>SOPORTE FINAL NEGRO</v>
      </c>
      <c r="G28" s="79" t="str">
        <f>IFERROR(VLOOKUP(E28,'LISTA ITEMS (2)'!$E$2:$G$910,3,FALSE)," ")</f>
        <v>UND</v>
      </c>
      <c r="H28" s="59">
        <v>40</v>
      </c>
      <c r="I28" s="12" t="s">
        <v>356</v>
      </c>
      <c r="J28" s="76">
        <v>46071</v>
      </c>
      <c r="K28" s="72">
        <v>15</v>
      </c>
      <c r="L28" s="75">
        <f t="shared" si="1"/>
        <v>25</v>
      </c>
      <c r="M28" s="12"/>
    </row>
    <row r="29" spans="1:13" s="15" customFormat="1" ht="27.6" x14ac:dyDescent="0.3">
      <c r="A29" s="12">
        <v>24</v>
      </c>
      <c r="B29" s="12">
        <v>10</v>
      </c>
      <c r="C29" s="12">
        <v>42</v>
      </c>
      <c r="D29" s="12">
        <v>268</v>
      </c>
      <c r="E29" s="12" t="str">
        <f t="shared" si="0"/>
        <v>10-42-268</v>
      </c>
      <c r="F29" s="64" t="str">
        <f>IFERROR(VLOOKUP(E29,'LISTA ITEMS (2)'!$E$2:$G$910,2,FALSE)," ")</f>
        <v>PATA ALUMINIO PARA ESTRUCTURA PLACA SOLAR ANGULO 30º</v>
      </c>
      <c r="G29" s="79" t="str">
        <f>IFERROR(VLOOKUP(E29,'LISTA ITEMS (2)'!$E$2:$G$910,3,FALSE)," ")</f>
        <v>UND</v>
      </c>
      <c r="H29" s="59">
        <v>6</v>
      </c>
      <c r="I29" s="12" t="s">
        <v>356</v>
      </c>
      <c r="J29" s="76"/>
      <c r="K29" s="72"/>
      <c r="L29" s="75">
        <f t="shared" si="1"/>
        <v>6</v>
      </c>
      <c r="M29" s="84"/>
    </row>
    <row r="30" spans="1:13" s="15" customFormat="1" ht="31.95" customHeight="1" x14ac:dyDescent="0.3">
      <c r="A30" s="12">
        <v>25</v>
      </c>
      <c r="B30" s="12">
        <v>10</v>
      </c>
      <c r="C30" s="12">
        <v>15</v>
      </c>
      <c r="D30" s="12">
        <v>269</v>
      </c>
      <c r="E30" s="12" t="str">
        <f t="shared" si="0"/>
        <v>10-15-269</v>
      </c>
      <c r="F30" s="64" t="str">
        <f>IFERROR(VLOOKUP(E30,'LISTA ITEMS (2)'!$E$2:$G$910,2,FALSE)," ")</f>
        <v>BARRA ALUMINIO PARA ESTRUCTURA  3.60mt</v>
      </c>
      <c r="G30" s="79" t="str">
        <f>IFERROR(VLOOKUP(E30,'LISTA ITEMS (2)'!$E$2:$G$910,3,FALSE)," ")</f>
        <v>UND</v>
      </c>
      <c r="H30" s="59">
        <v>8</v>
      </c>
      <c r="I30" s="12" t="s">
        <v>356</v>
      </c>
      <c r="J30" s="76">
        <v>46071</v>
      </c>
      <c r="K30" s="72">
        <v>2</v>
      </c>
      <c r="L30" s="75">
        <f t="shared" si="1"/>
        <v>6</v>
      </c>
      <c r="M30" s="12"/>
    </row>
    <row r="31" spans="1:13" s="15" customFormat="1" ht="31.95" customHeight="1" x14ac:dyDescent="0.3">
      <c r="A31" s="12">
        <v>26</v>
      </c>
      <c r="B31" s="12">
        <v>17</v>
      </c>
      <c r="C31" s="12">
        <v>44</v>
      </c>
      <c r="D31" s="12">
        <v>271</v>
      </c>
      <c r="E31" s="12" t="str">
        <f t="shared" si="0"/>
        <v>17-44-271</v>
      </c>
      <c r="F31" s="64" t="str">
        <f>IFERROR(VLOOKUP(E31,'LISTA ITEMS (2)'!$E$2:$G$910,2,FALSE)," ")</f>
        <v>SELLANTE QUIMICO BLANCO</v>
      </c>
      <c r="G31" s="79" t="str">
        <f>IFERROR(VLOOKUP(E31,'LISTA ITEMS (2)'!$E$2:$G$910,3,FALSE)," ")</f>
        <v>UND</v>
      </c>
      <c r="H31" s="59">
        <v>1</v>
      </c>
      <c r="I31" s="12" t="s">
        <v>356</v>
      </c>
      <c r="J31" s="76"/>
      <c r="K31" s="72"/>
      <c r="L31" s="75">
        <f t="shared" si="1"/>
        <v>1</v>
      </c>
      <c r="M31" s="12"/>
    </row>
    <row r="32" spans="1:13" s="15" customFormat="1" ht="31.95" customHeight="1" x14ac:dyDescent="0.3">
      <c r="A32" s="12">
        <v>27</v>
      </c>
      <c r="B32" s="12">
        <v>17</v>
      </c>
      <c r="C32" s="12">
        <v>44</v>
      </c>
      <c r="D32" s="12">
        <v>272</v>
      </c>
      <c r="E32" s="12" t="str">
        <f t="shared" si="0"/>
        <v>17-44-272</v>
      </c>
      <c r="F32" s="64" t="str">
        <f>IFERROR(VLOOKUP(E32,'LISTA ITEMS (2)'!$E$2:$G$910,2,FALSE)," ")</f>
        <v>SELLANTE QUIMICO GRIS</v>
      </c>
      <c r="G32" s="79" t="str">
        <f>IFERROR(VLOOKUP(E32,'LISTA ITEMS (2)'!$E$2:$G$910,3,FALSE)," ")</f>
        <v>UND</v>
      </c>
      <c r="H32" s="59">
        <v>2</v>
      </c>
      <c r="I32" s="12" t="s">
        <v>356</v>
      </c>
      <c r="J32" s="76"/>
      <c r="K32" s="72"/>
      <c r="L32" s="75">
        <f t="shared" si="1"/>
        <v>2</v>
      </c>
      <c r="M32" s="3"/>
    </row>
    <row r="33" spans="1:13" s="15" customFormat="1" ht="31.95" customHeight="1" x14ac:dyDescent="0.3">
      <c r="A33" s="12">
        <v>28</v>
      </c>
      <c r="B33" s="12">
        <v>7</v>
      </c>
      <c r="C33" s="12">
        <v>38</v>
      </c>
      <c r="D33" s="12">
        <v>247</v>
      </c>
      <c r="E33" s="12" t="str">
        <f t="shared" si="0"/>
        <v>7-38-247</v>
      </c>
      <c r="F33" s="64" t="str">
        <f>IFERROR(VLOOKUP(E33,'LISTA ITEMS (2)'!$E$2:$G$910,2,FALSE)," ")</f>
        <v>PLACA SOLAR JAM60D42-535LB 535W / 44.13V</v>
      </c>
      <c r="G33" s="79" t="str">
        <f>IFERROR(VLOOKUP(E33,'LISTA ITEMS (2)'!$E$2:$G$910,3,FALSE)," ")</f>
        <v>UND</v>
      </c>
      <c r="H33" s="59">
        <v>10</v>
      </c>
      <c r="I33" s="12" t="s">
        <v>356</v>
      </c>
      <c r="J33" s="72"/>
      <c r="K33" s="72"/>
      <c r="L33" s="75">
        <f t="shared" si="1"/>
        <v>10</v>
      </c>
      <c r="M33" s="12"/>
    </row>
    <row r="34" spans="1:13" s="15" customFormat="1" ht="31.95" customHeight="1" x14ac:dyDescent="0.3">
      <c r="A34" s="12">
        <v>29</v>
      </c>
      <c r="B34" s="12">
        <v>16</v>
      </c>
      <c r="C34" s="12">
        <v>33</v>
      </c>
      <c r="D34" s="12">
        <v>369</v>
      </c>
      <c r="E34" s="12" t="str">
        <f t="shared" si="0"/>
        <v>16-33-369</v>
      </c>
      <c r="F34" s="64" t="str">
        <f>IFERROR(VLOOKUP(E34,'LISTA ITEMS (2)'!$E$2:$G$910,2,FALSE)," ")</f>
        <v>OPTIMIZADOR TS4-A-O (TIGO)</v>
      </c>
      <c r="G34" s="79" t="str">
        <f>IFERROR(VLOOKUP(E34,'LISTA ITEMS (2)'!$E$2:$G$910,3,FALSE)," ")</f>
        <v>UND</v>
      </c>
      <c r="H34" s="59">
        <v>1</v>
      </c>
      <c r="I34" s="12" t="s">
        <v>356</v>
      </c>
      <c r="J34" s="72"/>
      <c r="K34" s="72"/>
      <c r="L34" s="75">
        <f t="shared" si="1"/>
        <v>1</v>
      </c>
      <c r="M34" s="12"/>
    </row>
    <row r="35" spans="1:13" s="15" customFormat="1" ht="31.95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40:I4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30C9-E8BC-4F1F-9E60-51E5D4D94090}">
  <sheetPr>
    <tabColor rgb="FF92D050"/>
  </sheetPr>
  <dimension ref="A1:M40"/>
  <sheetViews>
    <sheetView zoomScale="85" zoomScaleNormal="85" workbookViewId="0">
      <pane ySplit="5" topLeftCell="A33" activePane="bottomLeft" state="frozen"/>
      <selection activeCell="M6" sqref="M6"/>
      <selection pane="bottomLeft" activeCell="M6" sqref="M6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16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701</v>
      </c>
      <c r="D2" s="283"/>
      <c r="E2" s="283"/>
      <c r="F2" s="291"/>
      <c r="G2" s="292" t="s">
        <v>355</v>
      </c>
      <c r="H2" s="290"/>
      <c r="I2" s="62">
        <v>16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700</v>
      </c>
      <c r="D3" s="314"/>
      <c r="E3" s="68"/>
      <c r="F3" s="61" t="s">
        <v>353</v>
      </c>
      <c r="G3" s="295" t="s">
        <v>369</v>
      </c>
      <c r="H3" s="296"/>
      <c r="I3" s="127">
        <v>46070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696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7</v>
      </c>
      <c r="C6" s="12">
        <v>35</v>
      </c>
      <c r="D6" s="12">
        <v>286</v>
      </c>
      <c r="E6" s="12" t="str">
        <f>CONCATENATE(B6,"-",C6,"-",D6)</f>
        <v>7-35-286</v>
      </c>
      <c r="F6" s="64" t="str">
        <f>IFERROR(VLOOKUP(E6,'LISTA ITEMS (2)'!$E$2:$G$910,2,FALSE)," ")</f>
        <v>INVERSOR SPH 6000TL BL-UP 6KW (GROWATT)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2" t="s">
        <v>697</v>
      </c>
    </row>
    <row r="7" spans="1:13" s="15" customFormat="1" ht="31.95" customHeight="1" x14ac:dyDescent="0.3">
      <c r="A7" s="12">
        <v>2</v>
      </c>
      <c r="B7" s="12">
        <v>7</v>
      </c>
      <c r="C7" s="12">
        <v>54</v>
      </c>
      <c r="D7" s="12">
        <v>323</v>
      </c>
      <c r="E7" s="12" t="str">
        <f t="shared" ref="E7:E38" si="0">CONCATENATE(B7,"-",C7,"-",D7)</f>
        <v>7-54-323</v>
      </c>
      <c r="F7" s="64" t="str">
        <f>IFERROR(VLOOKUP(E7,'LISTA ITEMS (2)'!$E$2:$G$910,2,FALSE)," ")</f>
        <v>BATERIA LPF LITHIUM B3 (DYNESS)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ref="L7:L37" si="1">+H7-K7</f>
        <v>1</v>
      </c>
      <c r="M7" s="85">
        <v>1.40316123022506E+16</v>
      </c>
    </row>
    <row r="8" spans="1:13" s="15" customFormat="1" ht="31.95" customHeight="1" x14ac:dyDescent="0.3">
      <c r="A8" s="12">
        <v>3</v>
      </c>
      <c r="B8" s="12">
        <v>13</v>
      </c>
      <c r="C8" s="12">
        <v>22</v>
      </c>
      <c r="D8" s="12">
        <v>184</v>
      </c>
      <c r="E8" s="12" t="str">
        <f t="shared" si="0"/>
        <v>13-22-184</v>
      </c>
      <c r="F8" s="64" t="str">
        <f>IFERROR(VLOOKUP(E8,'LISTA ITEMS (2)'!$E$2:$G$910,2,FALSE)," ")</f>
        <v>BRIDA P/EXTERIOR NEGRA</v>
      </c>
      <c r="G8" s="79" t="str">
        <f>IFERROR(VLOOKUP(E8,'LISTA ITEMS (2)'!$E$2:$G$910,3,FALSE)," ")</f>
        <v>UND</v>
      </c>
      <c r="H8" s="59">
        <v>100</v>
      </c>
      <c r="I8" s="12" t="s">
        <v>356</v>
      </c>
      <c r="J8" s="76">
        <v>46072</v>
      </c>
      <c r="K8" s="72">
        <v>100</v>
      </c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>
        <v>17</v>
      </c>
      <c r="C9" s="12">
        <v>44</v>
      </c>
      <c r="D9" s="12">
        <v>271</v>
      </c>
      <c r="E9" s="12" t="str">
        <f t="shared" si="0"/>
        <v>17-44-271</v>
      </c>
      <c r="F9" s="64" t="str">
        <f>IFERROR(VLOOKUP(E9,'LISTA ITEMS (2)'!$E$2:$G$910,2,FALSE)," ")</f>
        <v>SELLANTE QUIMICO BLANCO</v>
      </c>
      <c r="G9" s="79" t="str">
        <f>IFERROR(VLOOKUP(E9,'LISTA ITEMS (2)'!$E$2:$G$910,3,FALSE)," ")</f>
        <v>UND</v>
      </c>
      <c r="H9" s="59">
        <v>1</v>
      </c>
      <c r="I9" s="12" t="s">
        <v>356</v>
      </c>
      <c r="J9" s="76">
        <v>46072</v>
      </c>
      <c r="K9" s="72">
        <v>1</v>
      </c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>
        <v>17</v>
      </c>
      <c r="C10" s="12">
        <v>44</v>
      </c>
      <c r="D10" s="12">
        <v>272</v>
      </c>
      <c r="E10" s="12" t="str">
        <f t="shared" si="0"/>
        <v>17-44-272</v>
      </c>
      <c r="F10" s="64" t="str">
        <f>IFERROR(VLOOKUP(E10,'LISTA ITEMS (2)'!$E$2:$G$910,2,FALSE)," ")</f>
        <v>SELLANTE QUIMICO GRIS</v>
      </c>
      <c r="G10" s="79" t="str">
        <f>IFERROR(VLOOKUP(E10,'LISTA ITEMS (2)'!$E$2:$G$910,3,FALSE)," ")</f>
        <v>UND</v>
      </c>
      <c r="H10" s="59">
        <v>1</v>
      </c>
      <c r="I10" s="12" t="s">
        <v>356</v>
      </c>
      <c r="J10" s="76">
        <v>46072</v>
      </c>
      <c r="K10" s="72">
        <v>1</v>
      </c>
      <c r="L10" s="75">
        <f t="shared" si="1"/>
        <v>0</v>
      </c>
      <c r="M10" s="3"/>
    </row>
    <row r="11" spans="1:13" s="15" customFormat="1" ht="31.95" customHeight="1" x14ac:dyDescent="0.3">
      <c r="A11" s="12">
        <v>6</v>
      </c>
      <c r="B11" s="12">
        <v>9</v>
      </c>
      <c r="C11" s="12">
        <v>32</v>
      </c>
      <c r="D11" s="12">
        <v>223</v>
      </c>
      <c r="E11" s="12" t="str">
        <f t="shared" si="0"/>
        <v>9-32-223</v>
      </c>
      <c r="F11" s="64" t="str">
        <f>IFERROR(VLOOKUP(E11,'LISTA ITEMS (2)'!$E$2:$G$910,2,FALSE)," ")</f>
        <v>CURVA PVC M-25 GRIS TIPO A</v>
      </c>
      <c r="G11" s="79" t="str">
        <f>IFERROR(VLOOKUP(E11,'LISTA ITEMS (2)'!$E$2:$G$910,3,FALSE)," ")</f>
        <v>UND</v>
      </c>
      <c r="H11" s="59">
        <v>20</v>
      </c>
      <c r="I11" s="12" t="s">
        <v>356</v>
      </c>
      <c r="J11" s="76"/>
      <c r="K11" s="72"/>
      <c r="L11" s="75">
        <f t="shared" si="1"/>
        <v>20</v>
      </c>
      <c r="M11" s="12"/>
    </row>
    <row r="12" spans="1:13" s="15" customFormat="1" ht="31.95" customHeight="1" x14ac:dyDescent="0.3">
      <c r="A12" s="12">
        <v>7</v>
      </c>
      <c r="B12" s="12">
        <v>10</v>
      </c>
      <c r="C12" s="12">
        <v>15</v>
      </c>
      <c r="D12" s="12">
        <v>269</v>
      </c>
      <c r="E12" s="12" t="str">
        <f t="shared" si="0"/>
        <v>10-15-269</v>
      </c>
      <c r="F12" s="64" t="str">
        <f>IFERROR(VLOOKUP(E12,'LISTA ITEMS (2)'!$E$2:$G$910,2,FALSE)," ")</f>
        <v>BARRA ALUMINIO PARA ESTRUCTURA  3.60mt</v>
      </c>
      <c r="G12" s="79" t="str">
        <f>IFERROR(VLOOKUP(E12,'LISTA ITEMS (2)'!$E$2:$G$910,3,FALSE)," ")</f>
        <v>UND</v>
      </c>
      <c r="H12" s="59">
        <v>4</v>
      </c>
      <c r="I12" s="12" t="s">
        <v>356</v>
      </c>
      <c r="J12" s="76"/>
      <c r="K12" s="72"/>
      <c r="L12" s="75">
        <f t="shared" si="1"/>
        <v>4</v>
      </c>
      <c r="M12" s="12"/>
    </row>
    <row r="13" spans="1:13" s="15" customFormat="1" ht="31.95" customHeight="1" x14ac:dyDescent="0.3">
      <c r="A13" s="12">
        <v>8</v>
      </c>
      <c r="B13" s="12">
        <v>10</v>
      </c>
      <c r="C13" s="12">
        <v>42</v>
      </c>
      <c r="D13" s="12">
        <v>268</v>
      </c>
      <c r="E13" s="12" t="str">
        <f t="shared" si="0"/>
        <v>10-42-268</v>
      </c>
      <c r="F13" s="64" t="str">
        <f>IFERROR(VLOOKUP(E13,'LISTA ITEMS (2)'!$E$2:$G$910,2,FALSE)," ")</f>
        <v>PATA ALUMINIO PARA ESTRUCTURA PLACA SOLAR ANGULO 30º</v>
      </c>
      <c r="G13" s="79" t="str">
        <f>IFERROR(VLOOKUP(E13,'LISTA ITEMS (2)'!$E$2:$G$910,3,FALSE)," ")</f>
        <v>UND</v>
      </c>
      <c r="H13" s="59">
        <v>4</v>
      </c>
      <c r="I13" s="12" t="s">
        <v>356</v>
      </c>
      <c r="J13" s="76"/>
      <c r="K13" s="72"/>
      <c r="L13" s="75">
        <f t="shared" si="1"/>
        <v>4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45</v>
      </c>
      <c r="D14" s="12">
        <v>383</v>
      </c>
      <c r="E14" s="12" t="str">
        <f t="shared" si="0"/>
        <v>16-45-383</v>
      </c>
      <c r="F14" s="64" t="str">
        <f>IFERROR(VLOOKUP(E14,'LISTA ITEMS (2)'!$E$2:$G$910,2,FALSE)," ")</f>
        <v xml:space="preserve">CAJA BLANCA P/BATERIA (DYNNES) </v>
      </c>
      <c r="G14" s="79" t="str">
        <f>IFERROR(VLOOKUP(E14,'LISTA ITEMS (2)'!$E$2:$G$910,3,FALSE)," ")</f>
        <v>UND</v>
      </c>
      <c r="H14" s="59">
        <v>1</v>
      </c>
      <c r="I14" s="12" t="s">
        <v>356</v>
      </c>
      <c r="J14" s="76"/>
      <c r="K14" s="72"/>
      <c r="L14" s="75">
        <f t="shared" si="1"/>
        <v>1</v>
      </c>
      <c r="M14" s="12"/>
    </row>
    <row r="15" spans="1:13" s="15" customFormat="1" ht="31.95" customHeight="1" x14ac:dyDescent="0.3">
      <c r="A15" s="12">
        <v>10</v>
      </c>
      <c r="B15" s="12">
        <v>16</v>
      </c>
      <c r="C15" s="12">
        <v>13</v>
      </c>
      <c r="D15" s="12">
        <v>372</v>
      </c>
      <c r="E15" s="12" t="str">
        <f t="shared" si="0"/>
        <v>16-13-372</v>
      </c>
      <c r="F15" s="64" t="str">
        <f>IFERROR(VLOOKUP(E15,'LISTA ITEMS (2)'!$E$2:$G$910,2,FALSE)," ")</f>
        <v>KIT CABLE BATERIA ARK</v>
      </c>
      <c r="G15" s="79" t="str">
        <f>IFERROR(VLOOKUP(E15,'LISTA ITEMS (2)'!$E$2:$G$910,3,FALSE)," ")</f>
        <v>UND</v>
      </c>
      <c r="H15" s="59">
        <v>1</v>
      </c>
      <c r="I15" s="12" t="s">
        <v>356</v>
      </c>
      <c r="J15" s="76"/>
      <c r="K15" s="72"/>
      <c r="L15" s="75">
        <f t="shared" si="1"/>
        <v>1</v>
      </c>
      <c r="M15" s="12"/>
    </row>
    <row r="16" spans="1:13" s="15" customFormat="1" ht="31.95" customHeight="1" x14ac:dyDescent="0.3">
      <c r="A16" s="12">
        <v>11</v>
      </c>
      <c r="B16" s="12">
        <v>16</v>
      </c>
      <c r="C16" s="12">
        <v>53</v>
      </c>
      <c r="D16" s="12">
        <v>290</v>
      </c>
      <c r="E16" s="12" t="str">
        <f t="shared" si="0"/>
        <v>16-53-290</v>
      </c>
      <c r="F16" s="64" t="str">
        <f>IFERROR(VLOOKUP(E16,'LISTA ITEMS (2)'!$E$2:$G$910,2,FALSE)," ")</f>
        <v>PINCHO DE COMUNICACIÓN WIFI SHINEWILAN X2 (GROWATT)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2"/>
      <c r="K16" s="72"/>
      <c r="L16" s="75">
        <f t="shared" si="1"/>
        <v>1</v>
      </c>
      <c r="M16" s="12"/>
    </row>
    <row r="17" spans="1:13" s="15" customFormat="1" ht="31.95" customHeight="1" x14ac:dyDescent="0.3">
      <c r="A17" s="12">
        <v>12</v>
      </c>
      <c r="B17" s="12">
        <v>16</v>
      </c>
      <c r="C17" s="12">
        <v>52</v>
      </c>
      <c r="D17" s="12">
        <v>292</v>
      </c>
      <c r="E17" s="12" t="str">
        <f t="shared" si="0"/>
        <v>16-52-292</v>
      </c>
      <c r="F17" s="64" t="str">
        <f>IFERROR(VLOOKUP(E17,'LISTA ITEMS (2)'!$E$2:$G$910,2,FALSE)," ")</f>
        <v>TERMICO EPBE63M1NC63M1NC40 1P+N C40 (MAXGE)</v>
      </c>
      <c r="G17" s="79" t="str">
        <f>IFERROR(VLOOKUP(E17,'LISTA ITEMS (2)'!$E$2:$G$910,3,FALSE)," ")</f>
        <v>UND</v>
      </c>
      <c r="H17" s="59">
        <v>1</v>
      </c>
      <c r="I17" s="12" t="s">
        <v>356</v>
      </c>
      <c r="J17" s="76"/>
      <c r="K17" s="72"/>
      <c r="L17" s="75">
        <f t="shared" si="1"/>
        <v>1</v>
      </c>
      <c r="M17" s="12"/>
    </row>
    <row r="18" spans="1:13" s="15" customFormat="1" ht="31.95" customHeight="1" x14ac:dyDescent="0.3">
      <c r="A18" s="12">
        <v>13</v>
      </c>
      <c r="B18" s="12">
        <v>16</v>
      </c>
      <c r="C18" s="12">
        <v>52</v>
      </c>
      <c r="D18" s="12">
        <v>293</v>
      </c>
      <c r="E18" s="12" t="str">
        <f t="shared" si="0"/>
        <v>16-52-293</v>
      </c>
      <c r="F18" s="64" t="str">
        <f>IFERROR(VLOOKUP(E18,'LISTA ITEMS (2)'!$E$2:$G$910,2,FALSE)," ")</f>
        <v>TERMICO EPBE63M1NC63M1NC32 1P+N C32 (MAXGE)</v>
      </c>
      <c r="G18" s="79" t="str">
        <f>IFERROR(VLOOKUP(E18,'LISTA ITEMS (2)'!$E$2:$G$910,3,FALSE)," ")</f>
        <v>UND</v>
      </c>
      <c r="H18" s="59">
        <v>1</v>
      </c>
      <c r="I18" s="12" t="s">
        <v>356</v>
      </c>
      <c r="J18" s="76"/>
      <c r="K18" s="72"/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>
        <v>16</v>
      </c>
      <c r="C19" s="12">
        <v>48</v>
      </c>
      <c r="D19" s="12">
        <v>281</v>
      </c>
      <c r="E19" s="12" t="str">
        <f t="shared" si="0"/>
        <v>16-48-281</v>
      </c>
      <c r="F19" s="64" t="str">
        <f>IFERROR(VLOOKUP(E19,'LISTA ITEMS (2)'!$E$2:$G$910,2,FALSE)," ")</f>
        <v>PORTA FUSIBLE SGF-32-DC (MAXGE)</v>
      </c>
      <c r="G19" s="79" t="str">
        <f>IFERROR(VLOOKUP(E19,'LISTA ITEMS (2)'!$E$2:$G$910,3,FALSE)," ")</f>
        <v>UND</v>
      </c>
      <c r="H19" s="59">
        <v>2</v>
      </c>
      <c r="I19" s="12" t="s">
        <v>356</v>
      </c>
      <c r="J19" s="76"/>
      <c r="K19" s="72"/>
      <c r="L19" s="75">
        <f t="shared" si="1"/>
        <v>2</v>
      </c>
      <c r="M19" s="12"/>
    </row>
    <row r="20" spans="1:13" s="15" customFormat="1" ht="31.95" customHeight="1" x14ac:dyDescent="0.3">
      <c r="A20" s="12">
        <v>15</v>
      </c>
      <c r="B20" s="12">
        <v>16</v>
      </c>
      <c r="C20" s="12">
        <v>50</v>
      </c>
      <c r="D20" s="12">
        <v>314</v>
      </c>
      <c r="E20" s="12" t="str">
        <f t="shared" si="0"/>
        <v>16-50-314</v>
      </c>
      <c r="F20" s="64" t="str">
        <f>IFERROR(VLOOKUP(E20,'LISTA ITEMS (2)'!$E$2:$G$910,2,FALSE)," ")</f>
        <v>FUSIBLE MG10PV32A (MAXGE)</v>
      </c>
      <c r="G20" s="79" t="str">
        <f>IFERROR(VLOOKUP(E20,'LISTA ITEMS (2)'!$E$2:$G$910,3,FALSE)," ")</f>
        <v>UND</v>
      </c>
      <c r="H20" s="59">
        <v>2</v>
      </c>
      <c r="I20" s="12" t="s">
        <v>356</v>
      </c>
      <c r="J20" s="76"/>
      <c r="K20" s="72"/>
      <c r="L20" s="75">
        <f t="shared" si="1"/>
        <v>2</v>
      </c>
      <c r="M20" s="12"/>
    </row>
    <row r="21" spans="1:13" s="15" customFormat="1" ht="31.95" customHeight="1" x14ac:dyDescent="0.3">
      <c r="A21" s="12">
        <v>16</v>
      </c>
      <c r="B21" s="30">
        <v>16</v>
      </c>
      <c r="C21" s="30">
        <v>49</v>
      </c>
      <c r="D21" s="30">
        <v>288</v>
      </c>
      <c r="E21" s="12" t="str">
        <f t="shared" si="0"/>
        <v>16-49-288</v>
      </c>
      <c r="F21" s="64" t="str">
        <f>IFERROR(VLOOKUP(E21,'LISTA ITEMS (2)'!$E$2:$G$910,2,FALSE)," ")</f>
        <v>CONTACTOR MODULAR EPC1-6322-P7 (MAXGE)</v>
      </c>
      <c r="G21" s="79" t="str">
        <f>IFERROR(VLOOKUP(E21,'LISTA ITEMS (2)'!$E$2:$G$910,3,FALSE)," ")</f>
        <v>UND</v>
      </c>
      <c r="H21" s="59">
        <v>1</v>
      </c>
      <c r="I21" s="12" t="s">
        <v>356</v>
      </c>
      <c r="J21" s="128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16</v>
      </c>
      <c r="C22" s="12">
        <v>47</v>
      </c>
      <c r="D22" s="12">
        <v>318</v>
      </c>
      <c r="E22" s="12" t="str">
        <f t="shared" si="0"/>
        <v>16-47-318</v>
      </c>
      <c r="F22" s="64" t="str">
        <f>IFERROR(VLOOKUP(E22,'LISTA ITEMS (2)'!$E$2:$G$910,2,FALSE)," ")</f>
        <v>DIFERENCIAL EPR2A040030 2P-40A-30mA (MAXGE)</v>
      </c>
      <c r="G22" s="79" t="str">
        <f>IFERROR(VLOOKUP(E22,'LISTA ITEMS (2)'!$E$2:$G$910,3,FALSE)," ")</f>
        <v>UND</v>
      </c>
      <c r="H22" s="59">
        <v>1</v>
      </c>
      <c r="I22" s="12" t="s">
        <v>356</v>
      </c>
      <c r="J22" s="72"/>
      <c r="K22" s="72"/>
      <c r="L22" s="75">
        <f t="shared" si="1"/>
        <v>1</v>
      </c>
      <c r="M22" s="12"/>
    </row>
    <row r="23" spans="1:13" s="15" customFormat="1" ht="31.95" customHeight="1" x14ac:dyDescent="0.3">
      <c r="A23" s="12">
        <v>18</v>
      </c>
      <c r="B23" s="12">
        <v>16</v>
      </c>
      <c r="C23" s="12">
        <v>45</v>
      </c>
      <c r="D23" s="12">
        <v>275</v>
      </c>
      <c r="E23" s="12" t="str">
        <f t="shared" si="0"/>
        <v>16-45-275</v>
      </c>
      <c r="F23" s="64" t="str">
        <f>IFERROR(VLOOKUP(E23,'LISTA ITEMS (2)'!$E$2:$G$910,2,FALSE)," ")</f>
        <v>CAJA DISTRIBUCION INTERIOR 18 ELEM. (SOLERA)</v>
      </c>
      <c r="G23" s="79" t="str">
        <f>IFERROR(VLOOKUP(E23,'LISTA ITEMS (2)'!$E$2:$G$910,3,FALSE)," ")</f>
        <v>UND</v>
      </c>
      <c r="H23" s="59">
        <v>1</v>
      </c>
      <c r="I23" s="12" t="s">
        <v>356</v>
      </c>
      <c r="J23" s="128">
        <v>46072</v>
      </c>
      <c r="K23" s="72">
        <v>1</v>
      </c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>
        <v>7</v>
      </c>
      <c r="C24" s="12">
        <v>38</v>
      </c>
      <c r="D24" s="12">
        <v>247</v>
      </c>
      <c r="E24" s="12" t="str">
        <f t="shared" si="0"/>
        <v>7-38-247</v>
      </c>
      <c r="F24" s="64" t="str">
        <f>IFERROR(VLOOKUP(E24,'LISTA ITEMS (2)'!$E$2:$G$910,2,FALSE)," ")</f>
        <v>PLACA SOLAR JAM60D42-535LB 535W / 44.13V</v>
      </c>
      <c r="G24" s="79" t="str">
        <f>IFERROR(VLOOKUP(E24,'LISTA ITEMS (2)'!$E$2:$G$910,3,FALSE)," ")</f>
        <v>UND</v>
      </c>
      <c r="H24" s="59">
        <v>4</v>
      </c>
      <c r="I24" s="12" t="s">
        <v>356</v>
      </c>
      <c r="J24" s="72"/>
      <c r="K24" s="72"/>
      <c r="L24" s="75">
        <f t="shared" si="1"/>
        <v>4</v>
      </c>
      <c r="M24" s="12"/>
    </row>
    <row r="25" spans="1:13" s="15" customFormat="1" ht="31.95" customHeight="1" x14ac:dyDescent="0.3">
      <c r="A25" s="12">
        <v>20</v>
      </c>
      <c r="B25" s="12">
        <v>10</v>
      </c>
      <c r="C25" s="12">
        <v>37</v>
      </c>
      <c r="D25" s="12">
        <v>232</v>
      </c>
      <c r="E25" s="12" t="str">
        <f t="shared" si="0"/>
        <v>10-37-232</v>
      </c>
      <c r="F25" s="64" t="str">
        <f>IFERROR(VLOOKUP(E25,'LISTA ITEMS (2)'!$E$2:$G$910,2,FALSE)," ")</f>
        <v>SOPORTE CENTRAL NEGRO</v>
      </c>
      <c r="G25" s="79" t="str">
        <f>IFERROR(VLOOKUP(E25,'LISTA ITEMS (2)'!$E$2:$G$910,3,FALSE)," ")</f>
        <v>UND</v>
      </c>
      <c r="H25" s="59">
        <v>8</v>
      </c>
      <c r="I25" s="12" t="s">
        <v>356</v>
      </c>
      <c r="J25" s="72"/>
      <c r="K25" s="72"/>
      <c r="L25" s="75">
        <f t="shared" si="1"/>
        <v>8</v>
      </c>
      <c r="M25" s="3"/>
    </row>
    <row r="26" spans="1:13" s="15" customFormat="1" ht="31.95" customHeight="1" x14ac:dyDescent="0.3">
      <c r="A26" s="12">
        <v>21</v>
      </c>
      <c r="B26" s="12">
        <v>10</v>
      </c>
      <c r="C26" s="12">
        <v>37</v>
      </c>
      <c r="D26" s="12">
        <v>315</v>
      </c>
      <c r="E26" s="12" t="str">
        <f t="shared" si="0"/>
        <v>10-37-315</v>
      </c>
      <c r="F26" s="64" t="str">
        <f>IFERROR(VLOOKUP(E26,'LISTA ITEMS (2)'!$E$2:$G$910,2,FALSE)," ")</f>
        <v>SOPORTE FINAL NEGRO</v>
      </c>
      <c r="G26" s="79" t="str">
        <f>IFERROR(VLOOKUP(E26,'LISTA ITEMS (2)'!$E$2:$G$910,3,FALSE)," ")</f>
        <v>UND</v>
      </c>
      <c r="H26" s="59">
        <v>8</v>
      </c>
      <c r="I26" s="12" t="s">
        <v>356</v>
      </c>
      <c r="J26" s="76"/>
      <c r="K26" s="72"/>
      <c r="L26" s="75">
        <f t="shared" si="1"/>
        <v>8</v>
      </c>
      <c r="M26" s="12"/>
    </row>
    <row r="27" spans="1:13" s="15" customFormat="1" ht="31.95" customHeight="1" x14ac:dyDescent="0.3">
      <c r="A27" s="12">
        <v>22</v>
      </c>
      <c r="B27" s="12">
        <v>3</v>
      </c>
      <c r="C27" s="12">
        <v>31</v>
      </c>
      <c r="D27" s="12">
        <v>278</v>
      </c>
      <c r="E27" s="12" t="str">
        <f t="shared" si="0"/>
        <v>3-31-278</v>
      </c>
      <c r="F27" s="64" t="str">
        <f>IFERROR(VLOOKUP(E27,'LISTA ITEMS (2)'!$E$2:$G$910,2,FALSE)," ")</f>
        <v>CABLE Nª 6 P/PLACA SOLAR ROJO</v>
      </c>
      <c r="G27" s="79" t="str">
        <f>IFERROR(VLOOKUP(E27,'LISTA ITEMS (2)'!$E$2:$G$910,3,FALSE)," ")</f>
        <v>MT</v>
      </c>
      <c r="H27" s="59">
        <v>15</v>
      </c>
      <c r="I27" s="12" t="s">
        <v>356</v>
      </c>
      <c r="J27" s="76"/>
      <c r="K27" s="72"/>
      <c r="L27" s="75">
        <f t="shared" si="1"/>
        <v>15</v>
      </c>
      <c r="M27" s="12"/>
    </row>
    <row r="28" spans="1:13" s="15" customFormat="1" ht="31.95" customHeight="1" x14ac:dyDescent="0.3">
      <c r="A28" s="12">
        <v>23</v>
      </c>
      <c r="B28" s="12">
        <v>10</v>
      </c>
      <c r="C28" s="12">
        <v>37</v>
      </c>
      <c r="D28" s="12">
        <v>330</v>
      </c>
      <c r="E28" s="12" t="str">
        <f t="shared" si="0"/>
        <v>10-37-330</v>
      </c>
      <c r="F28" s="64" t="str">
        <f>IFERROR(VLOOKUP(E28,'LISTA ITEMS (2)'!$E$2:$G$910,2,FALSE)," ")</f>
        <v>SOPORTE EN L ALUMINIO GRIS</v>
      </c>
      <c r="G28" s="79" t="str">
        <f>IFERROR(VLOOKUP(E28,'LISTA ITEMS (2)'!$E$2:$G$910,3,FALSE)," ")</f>
        <v>UND</v>
      </c>
      <c r="H28" s="59">
        <v>18</v>
      </c>
      <c r="I28" s="12" t="s">
        <v>356</v>
      </c>
      <c r="J28" s="76">
        <v>46072</v>
      </c>
      <c r="K28" s="72">
        <v>6</v>
      </c>
      <c r="L28" s="75">
        <f t="shared" si="1"/>
        <v>12</v>
      </c>
      <c r="M28" s="12"/>
    </row>
    <row r="29" spans="1:13" s="15" customFormat="1" ht="18" x14ac:dyDescent="0.3">
      <c r="A29" s="12">
        <v>24</v>
      </c>
      <c r="B29" s="12">
        <v>10</v>
      </c>
      <c r="C29" s="12">
        <v>15</v>
      </c>
      <c r="D29" s="12">
        <v>269</v>
      </c>
      <c r="E29" s="12" t="str">
        <f t="shared" si="0"/>
        <v>10-15-269</v>
      </c>
      <c r="F29" s="64" t="str">
        <f>IFERROR(VLOOKUP(E29,'LISTA ITEMS (2)'!$E$2:$G$910,2,FALSE)," ")</f>
        <v>BARRA ALUMINIO PARA ESTRUCTURA  3.60mt</v>
      </c>
      <c r="G29" s="79" t="str">
        <f>IFERROR(VLOOKUP(E29,'LISTA ITEMS (2)'!$E$2:$G$910,3,FALSE)," ")</f>
        <v>UND</v>
      </c>
      <c r="H29" s="59">
        <v>4</v>
      </c>
      <c r="I29" s="12" t="s">
        <v>356</v>
      </c>
      <c r="J29" s="76"/>
      <c r="K29" s="72"/>
      <c r="L29" s="75">
        <f t="shared" si="1"/>
        <v>4</v>
      </c>
      <c r="M29" s="84"/>
    </row>
    <row r="30" spans="1:13" s="15" customFormat="1" ht="31.95" customHeight="1" x14ac:dyDescent="0.3">
      <c r="A30" s="12">
        <v>25</v>
      </c>
      <c r="B30" s="12">
        <v>16</v>
      </c>
      <c r="C30" s="12">
        <v>61</v>
      </c>
      <c r="D30" s="12">
        <v>331</v>
      </c>
      <c r="E30" s="12" t="str">
        <f t="shared" si="0"/>
        <v>16-61-331</v>
      </c>
      <c r="F30" s="64" t="str">
        <f>IFERROR(VLOOKUP(E30,'LISTA ITEMS (2)'!$E$2:$G$910,2,FALSE)," ")</f>
        <v>CONECTOR FOTOVOLTAICO HEMBRA M4 NEGRO</v>
      </c>
      <c r="G30" s="79" t="str">
        <f>IFERROR(VLOOKUP(E30,'LISTA ITEMS (2)'!$E$2:$G$910,3,FALSE)," ")</f>
        <v>UND</v>
      </c>
      <c r="H30" s="59">
        <v>10</v>
      </c>
      <c r="I30" s="12" t="s">
        <v>356</v>
      </c>
      <c r="J30" s="76">
        <v>46072</v>
      </c>
      <c r="K30" s="72">
        <v>7</v>
      </c>
      <c r="L30" s="75">
        <f t="shared" si="1"/>
        <v>3</v>
      </c>
      <c r="M30" s="12"/>
    </row>
    <row r="31" spans="1:13" s="15" customFormat="1" ht="31.95" customHeight="1" x14ac:dyDescent="0.3">
      <c r="A31" s="12">
        <v>26</v>
      </c>
      <c r="B31" s="12">
        <v>16</v>
      </c>
      <c r="C31" s="12">
        <v>61</v>
      </c>
      <c r="D31" s="12">
        <v>332</v>
      </c>
      <c r="E31" s="12" t="str">
        <f t="shared" si="0"/>
        <v>16-61-332</v>
      </c>
      <c r="F31" s="64" t="str">
        <f>IFERROR(VLOOKUP(E31,'LISTA ITEMS (2)'!$E$2:$G$910,2,FALSE)," ")</f>
        <v>CONECTOR FOTOVOLTAICO MACHO M4 NEGRO</v>
      </c>
      <c r="G31" s="79" t="str">
        <f>IFERROR(VLOOKUP(E31,'LISTA ITEMS (2)'!$E$2:$G$910,3,FALSE)," ")</f>
        <v>UND</v>
      </c>
      <c r="H31" s="59">
        <v>10</v>
      </c>
      <c r="I31" s="12" t="s">
        <v>356</v>
      </c>
      <c r="J31" s="76">
        <v>46072</v>
      </c>
      <c r="K31" s="72">
        <v>7</v>
      </c>
      <c r="L31" s="75">
        <f t="shared" si="1"/>
        <v>3</v>
      </c>
      <c r="M31" s="12"/>
    </row>
    <row r="32" spans="1:13" s="15" customFormat="1" ht="31.95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9EF7-2D25-4BA6-84FC-AA735F01B56F}">
  <sheetPr>
    <tabColor rgb="FF92D050"/>
  </sheetPr>
  <dimension ref="A1:M39"/>
  <sheetViews>
    <sheetView zoomScale="85" zoomScaleNormal="85" workbookViewId="0">
      <pane ySplit="5" topLeftCell="A6" activePane="bottomLeft" state="frozen"/>
      <selection pane="bottomLeft" activeCell="L2" sqref="L2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17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693</v>
      </c>
      <c r="D2" s="283"/>
      <c r="E2" s="283"/>
      <c r="F2" s="291"/>
      <c r="G2" s="292" t="s">
        <v>355</v>
      </c>
      <c r="H2" s="290"/>
      <c r="I2" s="62">
        <v>17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477</v>
      </c>
      <c r="D3" s="314"/>
      <c r="E3" s="68"/>
      <c r="F3" s="61" t="s">
        <v>353</v>
      </c>
      <c r="G3" s="295" t="s">
        <v>369</v>
      </c>
      <c r="H3" s="296"/>
      <c r="I3" s="127">
        <v>46070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768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7</v>
      </c>
      <c r="C6" s="12">
        <v>54</v>
      </c>
      <c r="D6" s="12">
        <v>295</v>
      </c>
      <c r="E6" s="12" t="str">
        <f>CONCATENATE(B6,"-",C6,"-",D6)</f>
        <v>7-54-295</v>
      </c>
      <c r="F6" s="64" t="str">
        <f>IFERROR(VLOOKUP(E6,'LISTA ITEMS (2)'!$E$2:$G$910,2,FALSE)," ")</f>
        <v>BATERIA LFP LITHIUM DL5.OC (DYNESS)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94" t="s">
        <v>767</v>
      </c>
    </row>
    <row r="7" spans="1:13" s="15" customFormat="1" ht="31.95" customHeight="1" x14ac:dyDescent="0.3">
      <c r="A7" s="12">
        <v>2</v>
      </c>
      <c r="B7" s="12">
        <v>16</v>
      </c>
      <c r="C7" s="12">
        <v>33</v>
      </c>
      <c r="D7" s="12">
        <v>369</v>
      </c>
      <c r="E7" s="12" t="str">
        <f t="shared" ref="E7:E33" si="0">CONCATENATE(B7,"-",C7,"-",D7)</f>
        <v>16-33-369</v>
      </c>
      <c r="F7" s="64" t="str">
        <f>IFERROR(VLOOKUP(E7,'LISTA ITEMS (2)'!$E$2:$G$910,2,FALSE)," ")</f>
        <v>OPTIMIZADOR TS4-A-O (TIGO)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ref="L7:L37" si="1">+H7-K7</f>
        <v>1</v>
      </c>
      <c r="M7" s="85"/>
    </row>
    <row r="8" spans="1:13" s="15" customFormat="1" ht="31.95" customHeight="1" x14ac:dyDescent="0.3">
      <c r="A8" s="12">
        <v>3</v>
      </c>
      <c r="B8" s="12">
        <v>7</v>
      </c>
      <c r="C8" s="12">
        <v>38</v>
      </c>
      <c r="D8" s="12">
        <v>247</v>
      </c>
      <c r="E8" s="12" t="str">
        <f t="shared" si="0"/>
        <v>7-38-247</v>
      </c>
      <c r="F8" s="64" t="str">
        <f>IFERROR(VLOOKUP(E8,'LISTA ITEMS (2)'!$E$2:$G$910,2,FALSE)," ")</f>
        <v>PLACA SOLAR JAM60D42-535LB 535W / 44.13V</v>
      </c>
      <c r="G8" s="79" t="str">
        <f>IFERROR(VLOOKUP(E8,'LISTA ITEMS (2)'!$E$2:$G$910,3,FALSE)," ")</f>
        <v>UND</v>
      </c>
      <c r="H8" s="59">
        <v>12</v>
      </c>
      <c r="I8" s="12" t="s">
        <v>356</v>
      </c>
      <c r="J8" s="76"/>
      <c r="K8" s="72"/>
      <c r="L8" s="75">
        <f t="shared" si="1"/>
        <v>12</v>
      </c>
      <c r="M8" s="12"/>
    </row>
    <row r="9" spans="1:13" s="15" customFormat="1" ht="31.95" customHeight="1" x14ac:dyDescent="0.3">
      <c r="A9" s="12">
        <v>4</v>
      </c>
      <c r="B9" s="12">
        <v>14</v>
      </c>
      <c r="C9" s="12">
        <v>24</v>
      </c>
      <c r="D9" s="12">
        <v>193</v>
      </c>
      <c r="E9" s="12" t="str">
        <f t="shared" si="0"/>
        <v>14-24-193</v>
      </c>
      <c r="F9" s="64" t="str">
        <f>IFERROR(VLOOKUP(E9,'LISTA ITEMS (2)'!$E$2:$G$910,2,FALSE)," ")</f>
        <v>DISCO CORTE ACERO/INOX A1 2EN1</v>
      </c>
      <c r="G9" s="79" t="str">
        <f>IFERROR(VLOOKUP(E9,'LISTA ITEMS (2)'!$E$2:$G$910,3,FALSE)," ")</f>
        <v>UND</v>
      </c>
      <c r="H9" s="59">
        <v>6</v>
      </c>
      <c r="I9" s="12" t="s">
        <v>356</v>
      </c>
      <c r="J9" s="76"/>
      <c r="K9" s="72"/>
      <c r="L9" s="75">
        <f t="shared" si="1"/>
        <v>6</v>
      </c>
      <c r="M9" s="12"/>
    </row>
    <row r="10" spans="1:13" s="15" customFormat="1" ht="31.95" customHeight="1" x14ac:dyDescent="0.3">
      <c r="A10" s="12">
        <v>5</v>
      </c>
      <c r="B10" s="12">
        <v>7</v>
      </c>
      <c r="C10" s="12">
        <v>35</v>
      </c>
      <c r="D10" s="12">
        <v>286</v>
      </c>
      <c r="E10" s="12" t="str">
        <f t="shared" si="0"/>
        <v>7-35-286</v>
      </c>
      <c r="F10" s="64" t="str">
        <f>IFERROR(VLOOKUP(E10,'LISTA ITEMS (2)'!$E$2:$G$910,2,FALSE)," ")</f>
        <v>INVERSOR SPH 6000TL BL-UP 6KW (GROWATT)</v>
      </c>
      <c r="G10" s="79" t="str">
        <f>IFERROR(VLOOKUP(E10,'LISTA ITEMS (2)'!$E$2:$G$910,3,FALSE)," ")</f>
        <v>UND</v>
      </c>
      <c r="H10" s="59">
        <v>1</v>
      </c>
      <c r="I10" s="12" t="s">
        <v>356</v>
      </c>
      <c r="J10" s="76"/>
      <c r="K10" s="72"/>
      <c r="L10" s="75">
        <f t="shared" si="1"/>
        <v>1</v>
      </c>
      <c r="M10" s="3" t="s">
        <v>694</v>
      </c>
    </row>
    <row r="11" spans="1:13" s="15" customFormat="1" ht="31.95" customHeight="1" x14ac:dyDescent="0.3">
      <c r="A11" s="12">
        <v>6</v>
      </c>
      <c r="B11" s="12">
        <v>10</v>
      </c>
      <c r="C11" s="12">
        <v>15</v>
      </c>
      <c r="D11" s="12">
        <v>269</v>
      </c>
      <c r="E11" s="12" t="str">
        <f t="shared" si="0"/>
        <v>10-15-269</v>
      </c>
      <c r="F11" s="64" t="str">
        <f>IFERROR(VLOOKUP(E11,'LISTA ITEMS (2)'!$E$2:$G$910,2,FALSE)," ")</f>
        <v>BARRA ALUMINIO PARA ESTRUCTURA  3.60mt</v>
      </c>
      <c r="G11" s="79" t="str">
        <f>IFERROR(VLOOKUP(E11,'LISTA ITEMS (2)'!$E$2:$G$910,3,FALSE)," ")</f>
        <v>UND</v>
      </c>
      <c r="H11" s="59">
        <v>8</v>
      </c>
      <c r="I11" s="12" t="s">
        <v>356</v>
      </c>
      <c r="J11" s="76">
        <v>46070</v>
      </c>
      <c r="K11" s="72">
        <v>2</v>
      </c>
      <c r="L11" s="75">
        <f t="shared" si="1"/>
        <v>6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61</v>
      </c>
      <c r="D12" s="12">
        <v>331</v>
      </c>
      <c r="E12" s="12" t="str">
        <f t="shared" si="0"/>
        <v>16-61-331</v>
      </c>
      <c r="F12" s="64" t="str">
        <f>IFERROR(VLOOKUP(E12,'LISTA ITEMS (2)'!$E$2:$G$910,2,FALSE)," ")</f>
        <v>CONECTOR FOTOVOLTAICO HEMBRA M4 NEGRO</v>
      </c>
      <c r="G12" s="79" t="str">
        <f>IFERROR(VLOOKUP(E12,'LISTA ITEMS (2)'!$E$2:$G$910,3,FALSE)," ")</f>
        <v>UND</v>
      </c>
      <c r="H12" s="59">
        <v>10</v>
      </c>
      <c r="I12" s="12" t="s">
        <v>356</v>
      </c>
      <c r="J12" s="76"/>
      <c r="K12" s="72"/>
      <c r="L12" s="75">
        <f t="shared" si="1"/>
        <v>10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61</v>
      </c>
      <c r="D13" s="12">
        <v>332</v>
      </c>
      <c r="E13" s="12" t="str">
        <f t="shared" si="0"/>
        <v>16-61-332</v>
      </c>
      <c r="F13" s="64" t="str">
        <f>IFERROR(VLOOKUP(E13,'LISTA ITEMS (2)'!$E$2:$G$910,2,FALSE)," ")</f>
        <v>CONECTOR FOTOVOLTAICO MACHO M4 NEGRO</v>
      </c>
      <c r="G13" s="79" t="str">
        <f>IFERROR(VLOOKUP(E13,'LISTA ITEMS (2)'!$E$2:$G$910,3,FALSE)," ")</f>
        <v>UND</v>
      </c>
      <c r="H13" s="59">
        <v>10</v>
      </c>
      <c r="I13" s="12" t="s">
        <v>356</v>
      </c>
      <c r="J13" s="76"/>
      <c r="K13" s="72"/>
      <c r="L13" s="75">
        <f t="shared" si="1"/>
        <v>10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45</v>
      </c>
      <c r="D14" s="12">
        <v>294</v>
      </c>
      <c r="E14" s="12" t="str">
        <f t="shared" si="0"/>
        <v>16-45-294</v>
      </c>
      <c r="F14" s="64" t="str">
        <f>IFERROR(VLOOKUP(E14,'LISTA ITEMS (2)'!$E$2:$G$910,2,FALSE)," ")</f>
        <v>CAJA DE ESTANCA 133X180X80 EV161 (IDE)</v>
      </c>
      <c r="G14" s="79" t="str">
        <f>IFERROR(VLOOKUP(E14,'LISTA ITEMS (2)'!$E$2:$G$910,3,FALSE)," ")</f>
        <v>UND</v>
      </c>
      <c r="H14" s="59">
        <v>1</v>
      </c>
      <c r="I14" s="12" t="s">
        <v>356</v>
      </c>
      <c r="J14" s="76">
        <v>46070</v>
      </c>
      <c r="K14" s="72">
        <v>1</v>
      </c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>
        <v>10</v>
      </c>
      <c r="C15" s="12">
        <v>43</v>
      </c>
      <c r="D15" s="12">
        <v>270</v>
      </c>
      <c r="E15" s="12" t="str">
        <f t="shared" si="0"/>
        <v>10-43-270</v>
      </c>
      <c r="F15" s="64" t="str">
        <f>IFERROR(VLOOKUP(E15,'LISTA ITEMS (2)'!$E$2:$G$910,2,FALSE)," ")</f>
        <v>EMPALME ALUMINIO P/BARRA</v>
      </c>
      <c r="G15" s="79" t="str">
        <f>IFERROR(VLOOKUP(E15,'LISTA ITEMS (2)'!$E$2:$G$910,3,FALSE)," ")</f>
        <v>UND</v>
      </c>
      <c r="H15" s="59">
        <v>6</v>
      </c>
      <c r="I15" s="12" t="s">
        <v>356</v>
      </c>
      <c r="J15" s="76">
        <v>46070</v>
      </c>
      <c r="K15" s="72">
        <v>4</v>
      </c>
      <c r="L15" s="75">
        <f t="shared" si="1"/>
        <v>2</v>
      </c>
      <c r="M15" s="12"/>
    </row>
    <row r="16" spans="1:13" s="15" customFormat="1" ht="31.95" customHeight="1" x14ac:dyDescent="0.3">
      <c r="A16" s="12">
        <v>11</v>
      </c>
      <c r="B16" s="12">
        <v>6</v>
      </c>
      <c r="C16" s="12">
        <v>23</v>
      </c>
      <c r="D16" s="12">
        <v>192</v>
      </c>
      <c r="E16" s="12" t="str">
        <f t="shared" si="0"/>
        <v>6-23-192</v>
      </c>
      <c r="F16" s="64" t="str">
        <f>IFERROR(VLOOKUP(E16,'LISTA ITEMS (2)'!$E$2:$G$910,2,FALSE)," ")</f>
        <v xml:space="preserve">CINTA ACERO PERFORADA PARA MONTAJE 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6">
        <v>46070</v>
      </c>
      <c r="K16" s="72">
        <v>1</v>
      </c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>
        <v>13</v>
      </c>
      <c r="C17" s="12">
        <v>22</v>
      </c>
      <c r="D17" s="12">
        <v>184</v>
      </c>
      <c r="E17" s="12" t="str">
        <f t="shared" si="0"/>
        <v>13-22-184</v>
      </c>
      <c r="F17" s="64" t="str">
        <f>IFERROR(VLOOKUP(E17,'LISTA ITEMS (2)'!$E$2:$G$910,2,FALSE)," ")</f>
        <v>BRIDA P/EXTERIOR NEGRA</v>
      </c>
      <c r="G17" s="79" t="str">
        <f>IFERROR(VLOOKUP(E17,'LISTA ITEMS (2)'!$E$2:$G$910,3,FALSE)," ")</f>
        <v>UND</v>
      </c>
      <c r="H17" s="59">
        <v>200</v>
      </c>
      <c r="I17" s="12" t="s">
        <v>356</v>
      </c>
      <c r="J17" s="76">
        <v>46070</v>
      </c>
      <c r="K17" s="72">
        <v>100</v>
      </c>
      <c r="L17" s="75">
        <f t="shared" si="1"/>
        <v>100</v>
      </c>
      <c r="M17" s="12"/>
    </row>
    <row r="18" spans="1:13" s="15" customFormat="1" ht="31.95" customHeight="1" x14ac:dyDescent="0.3">
      <c r="A18" s="12">
        <v>13</v>
      </c>
      <c r="B18" s="12">
        <v>13</v>
      </c>
      <c r="C18" s="12">
        <v>21</v>
      </c>
      <c r="D18" s="12">
        <v>181</v>
      </c>
      <c r="E18" s="12" t="str">
        <f t="shared" si="0"/>
        <v>13-21-181</v>
      </c>
      <c r="F18" s="64" t="str">
        <f>IFERROR(VLOOKUP(E18,'LISTA ITEMS (2)'!$E$2:$G$910,2,FALSE)," ")</f>
        <v>TACO P/BRIDA NEGRO</v>
      </c>
      <c r="G18" s="79" t="str">
        <f>IFERROR(VLOOKUP(E18,'LISTA ITEMS (2)'!$E$2:$G$910,3,FALSE)," ")</f>
        <v>UND</v>
      </c>
      <c r="H18" s="59">
        <v>100</v>
      </c>
      <c r="I18" s="12" t="s">
        <v>356</v>
      </c>
      <c r="J18" s="76">
        <v>46070</v>
      </c>
      <c r="K18" s="72">
        <v>100</v>
      </c>
      <c r="L18" s="75">
        <f t="shared" si="1"/>
        <v>0</v>
      </c>
      <c r="M18" s="85"/>
    </row>
    <row r="19" spans="1:13" s="15" customFormat="1" ht="31.95" customHeight="1" x14ac:dyDescent="0.3">
      <c r="A19" s="12">
        <v>14</v>
      </c>
      <c r="B19" s="12">
        <v>13</v>
      </c>
      <c r="C19" s="12">
        <v>23</v>
      </c>
      <c r="D19" s="12">
        <v>190</v>
      </c>
      <c r="E19" s="12" t="str">
        <f t="shared" si="0"/>
        <v>13-23-190</v>
      </c>
      <c r="F19" s="64" t="str">
        <f>IFERROR(VLOOKUP(E19,'LISTA ITEMS (2)'!$E$2:$G$910,2,FALSE)," ")</f>
        <v>CINTA BLANCA AISLANTE PVC 19MM</v>
      </c>
      <c r="G19" s="79" t="str">
        <f>IFERROR(VLOOKUP(E19,'LISTA ITEMS (2)'!$E$2:$G$910,3,FALSE)," ")</f>
        <v>UND</v>
      </c>
      <c r="H19" s="59">
        <v>1</v>
      </c>
      <c r="I19" s="12" t="s">
        <v>356</v>
      </c>
      <c r="J19" s="76"/>
      <c r="K19" s="72"/>
      <c r="L19" s="75">
        <f t="shared" si="1"/>
        <v>1</v>
      </c>
      <c r="M19" s="12"/>
    </row>
    <row r="20" spans="1:13" s="15" customFormat="1" ht="31.95" customHeight="1" x14ac:dyDescent="0.3">
      <c r="A20" s="12">
        <v>15</v>
      </c>
      <c r="B20" s="12">
        <v>10</v>
      </c>
      <c r="C20" s="12">
        <v>37</v>
      </c>
      <c r="D20" s="12">
        <v>330</v>
      </c>
      <c r="E20" s="12" t="str">
        <f t="shared" si="0"/>
        <v>10-37-330</v>
      </c>
      <c r="F20" s="64" t="str">
        <f>IFERROR(VLOOKUP(E20,'LISTA ITEMS (2)'!$E$2:$G$910,2,FALSE)," ")</f>
        <v>SOPORTE EN L ALUMINIO GRIS</v>
      </c>
      <c r="G20" s="79" t="str">
        <f>IFERROR(VLOOKUP(E20,'LISTA ITEMS (2)'!$E$2:$G$910,3,FALSE)," ")</f>
        <v>UND</v>
      </c>
      <c r="H20" s="59">
        <v>40</v>
      </c>
      <c r="I20" s="12" t="s">
        <v>356</v>
      </c>
      <c r="J20" s="76">
        <v>46070</v>
      </c>
      <c r="K20" s="72">
        <v>18</v>
      </c>
      <c r="L20" s="75">
        <f t="shared" si="1"/>
        <v>22</v>
      </c>
      <c r="M20" s="12"/>
    </row>
    <row r="21" spans="1:13" s="15" customFormat="1" ht="31.95" customHeight="1" x14ac:dyDescent="0.3">
      <c r="A21" s="12">
        <v>16</v>
      </c>
      <c r="B21" s="30">
        <v>10</v>
      </c>
      <c r="C21" s="30">
        <v>37</v>
      </c>
      <c r="D21" s="30">
        <v>232</v>
      </c>
      <c r="E21" s="12" t="str">
        <f t="shared" si="0"/>
        <v>10-37-232</v>
      </c>
      <c r="F21" s="64" t="str">
        <f>IFERROR(VLOOKUP(E21,'LISTA ITEMS (2)'!$E$2:$G$910,2,FALSE)," ")</f>
        <v>SOPORTE CENTRAL NEGRO</v>
      </c>
      <c r="G21" s="79" t="str">
        <f>IFERROR(VLOOKUP(E21,'LISTA ITEMS (2)'!$E$2:$G$910,3,FALSE)," ")</f>
        <v>UND</v>
      </c>
      <c r="H21" s="59">
        <v>40</v>
      </c>
      <c r="I21" s="12" t="s">
        <v>356</v>
      </c>
      <c r="J21" s="76">
        <v>46070</v>
      </c>
      <c r="K21" s="72">
        <v>26</v>
      </c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10</v>
      </c>
      <c r="C22" s="12">
        <v>37</v>
      </c>
      <c r="D22" s="12">
        <v>315</v>
      </c>
      <c r="E22" s="12" t="str">
        <f t="shared" si="0"/>
        <v>10-37-315</v>
      </c>
      <c r="F22" s="64" t="str">
        <f>IFERROR(VLOOKUP(E22,'LISTA ITEMS (2)'!$E$2:$G$910,2,FALSE)," ")</f>
        <v>SOPORTE FINAL NEGRO</v>
      </c>
      <c r="G22" s="79" t="str">
        <f>IFERROR(VLOOKUP(E22,'LISTA ITEMS (2)'!$E$2:$G$910,3,FALSE)," ")</f>
        <v>UND</v>
      </c>
      <c r="H22" s="59">
        <v>30</v>
      </c>
      <c r="I22" s="12" t="s">
        <v>356</v>
      </c>
      <c r="J22" s="76">
        <v>46070</v>
      </c>
      <c r="K22" s="72">
        <v>15</v>
      </c>
      <c r="L22" s="75">
        <f t="shared" si="1"/>
        <v>15</v>
      </c>
      <c r="M22" s="12"/>
    </row>
    <row r="23" spans="1:13" s="15" customFormat="1" ht="31.95" customHeight="1" x14ac:dyDescent="0.3">
      <c r="A23" s="12">
        <v>18</v>
      </c>
      <c r="B23" s="12">
        <v>10</v>
      </c>
      <c r="C23" s="12">
        <v>42</v>
      </c>
      <c r="D23" s="12">
        <v>268</v>
      </c>
      <c r="E23" s="12" t="str">
        <f t="shared" si="0"/>
        <v>10-42-268</v>
      </c>
      <c r="F23" s="64" t="str">
        <f>IFERROR(VLOOKUP(E23,'LISTA ITEMS (2)'!$E$2:$G$910,2,FALSE)," ")</f>
        <v>PATA ALUMINIO PARA ESTRUCTURA PLACA SOLAR ANGULO 30º</v>
      </c>
      <c r="G23" s="79" t="str">
        <f>IFERROR(VLOOKUP(E23,'LISTA ITEMS (2)'!$E$2:$G$910,3,FALSE)," ")</f>
        <v>UND</v>
      </c>
      <c r="H23" s="59">
        <v>6</v>
      </c>
      <c r="I23" s="12" t="s">
        <v>356</v>
      </c>
      <c r="J23" s="76">
        <v>46070</v>
      </c>
      <c r="K23" s="72">
        <v>6</v>
      </c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>
        <v>17</v>
      </c>
      <c r="C24" s="12">
        <v>44</v>
      </c>
      <c r="D24" s="12">
        <v>271</v>
      </c>
      <c r="E24" s="12" t="str">
        <f t="shared" si="0"/>
        <v>17-44-271</v>
      </c>
      <c r="F24" s="64" t="str">
        <f>IFERROR(VLOOKUP(E24,'LISTA ITEMS (2)'!$E$2:$G$910,2,FALSE)," ")</f>
        <v>SELLANTE QUIMICO BLANCO</v>
      </c>
      <c r="G24" s="79" t="str">
        <f>IFERROR(VLOOKUP(E24,'LISTA ITEMS (2)'!$E$2:$G$910,3,FALSE)," ")</f>
        <v>UND</v>
      </c>
      <c r="H24" s="59">
        <v>1</v>
      </c>
      <c r="I24" s="12" t="s">
        <v>356</v>
      </c>
      <c r="J24" s="72"/>
      <c r="K24" s="72"/>
      <c r="L24" s="75">
        <f t="shared" si="1"/>
        <v>1</v>
      </c>
      <c r="M24" s="12"/>
    </row>
    <row r="25" spans="1:13" s="15" customFormat="1" ht="31.95" customHeight="1" x14ac:dyDescent="0.3">
      <c r="A25" s="12">
        <v>20</v>
      </c>
      <c r="B25" s="12">
        <v>17</v>
      </c>
      <c r="C25" s="12">
        <v>44</v>
      </c>
      <c r="D25" s="12">
        <v>272</v>
      </c>
      <c r="E25" s="12" t="str">
        <f t="shared" si="0"/>
        <v>17-44-272</v>
      </c>
      <c r="F25" s="64" t="str">
        <f>IFERROR(VLOOKUP(E25,'LISTA ITEMS (2)'!$E$2:$G$910,2,FALSE)," ")</f>
        <v>SELLANTE QUIMICO GRIS</v>
      </c>
      <c r="G25" s="79" t="str">
        <f>IFERROR(VLOOKUP(E25,'LISTA ITEMS (2)'!$E$2:$G$910,3,FALSE)," ")</f>
        <v>UND</v>
      </c>
      <c r="H25" s="59">
        <v>2</v>
      </c>
      <c r="I25" s="12" t="s">
        <v>356</v>
      </c>
      <c r="J25" s="76">
        <v>46070</v>
      </c>
      <c r="K25" s="72">
        <v>2</v>
      </c>
      <c r="L25" s="75">
        <f t="shared" si="1"/>
        <v>0</v>
      </c>
      <c r="M25" s="3"/>
    </row>
    <row r="26" spans="1:13" s="15" customFormat="1" ht="31.95" customHeight="1" x14ac:dyDescent="0.3">
      <c r="A26" s="12">
        <v>21</v>
      </c>
      <c r="B26" s="12">
        <v>16</v>
      </c>
      <c r="C26" s="12">
        <v>45</v>
      </c>
      <c r="D26" s="12">
        <v>276</v>
      </c>
      <c r="E26" s="12" t="str">
        <f t="shared" si="0"/>
        <v>16-45-276</v>
      </c>
      <c r="F26" s="64" t="str">
        <f>IFERROR(VLOOKUP(E26,'LISTA ITEMS (2)'!$E$2:$G$910,2,FALSE)," ")</f>
        <v>CAJA ESTANCA (COCHERA) EXTERIOR 18PT (IDE)</v>
      </c>
      <c r="G26" s="79" t="str">
        <f>IFERROR(VLOOKUP(E26,'LISTA ITEMS (2)'!$E$2:$G$910,3,FALSE)," ")</f>
        <v>UND</v>
      </c>
      <c r="H26" s="59">
        <v>1</v>
      </c>
      <c r="I26" s="12" t="s">
        <v>356</v>
      </c>
      <c r="J26" s="76"/>
      <c r="K26" s="72"/>
      <c r="L26" s="75">
        <f t="shared" si="1"/>
        <v>1</v>
      </c>
      <c r="M26" s="12"/>
    </row>
    <row r="27" spans="1:13" s="15" customFormat="1" ht="31.95" customHeight="1" x14ac:dyDescent="0.3">
      <c r="A27" s="12">
        <v>31</v>
      </c>
      <c r="B27" s="12">
        <v>16</v>
      </c>
      <c r="C27" s="12">
        <v>49</v>
      </c>
      <c r="D27" s="12">
        <v>288</v>
      </c>
      <c r="E27" s="12" t="str">
        <f t="shared" si="0"/>
        <v>16-49-288</v>
      </c>
      <c r="F27" s="64" t="str">
        <f>IFERROR(VLOOKUP(E27,'LISTA ITEMS (2)'!$E$2:$G$910,2,FALSE)," ")</f>
        <v>CONTACTOR MODULAR EPC1-6322-P7 (MAXGE)</v>
      </c>
      <c r="G27" s="79" t="str">
        <f>IFERROR(VLOOKUP(E27,'LISTA ITEMS (2)'!$E$2:$G$910,3,FALSE)," ")</f>
        <v>UND</v>
      </c>
      <c r="H27" s="59">
        <v>1</v>
      </c>
      <c r="I27" s="12" t="s">
        <v>356</v>
      </c>
      <c r="J27" s="76"/>
      <c r="K27" s="72"/>
      <c r="L27" s="75">
        <f t="shared" si="1"/>
        <v>1</v>
      </c>
      <c r="M27" s="12"/>
    </row>
    <row r="28" spans="1:13" s="15" customFormat="1" ht="31.95" customHeight="1" x14ac:dyDescent="0.3">
      <c r="A28" s="12">
        <v>32</v>
      </c>
      <c r="B28" s="12">
        <v>16</v>
      </c>
      <c r="C28" s="12">
        <v>47</v>
      </c>
      <c r="D28" s="12">
        <v>318</v>
      </c>
      <c r="E28" s="12" t="str">
        <f t="shared" si="0"/>
        <v>16-47-318</v>
      </c>
      <c r="F28" s="64" t="str">
        <f>IFERROR(VLOOKUP(E28,'LISTA ITEMS (2)'!$E$2:$G$910,2,FALSE)," ")</f>
        <v>DIFERENCIAL EPR2A040030 2P-40A-30mA (MAXGE)</v>
      </c>
      <c r="G28" s="79" t="str">
        <f>IFERROR(VLOOKUP(E28,'LISTA ITEMS (2)'!$E$2:$G$910,3,FALSE)," ")</f>
        <v>UND</v>
      </c>
      <c r="H28" s="59">
        <v>1</v>
      </c>
      <c r="I28" s="12" t="s">
        <v>356</v>
      </c>
      <c r="J28" s="76">
        <v>46076</v>
      </c>
      <c r="K28" s="72">
        <v>1</v>
      </c>
      <c r="L28" s="75">
        <f t="shared" si="1"/>
        <v>0</v>
      </c>
      <c r="M28" s="12"/>
    </row>
    <row r="29" spans="1:13" s="15" customFormat="1" ht="31.95" customHeight="1" x14ac:dyDescent="0.3">
      <c r="A29" s="12">
        <v>33</v>
      </c>
      <c r="B29" s="12">
        <v>16</v>
      </c>
      <c r="C29" s="12">
        <v>52</v>
      </c>
      <c r="D29" s="12">
        <v>292</v>
      </c>
      <c r="E29" s="12" t="str">
        <f t="shared" ref="E29:E32" si="2">CONCATENATE(B29,"-",C29,"-",D29)</f>
        <v>16-52-292</v>
      </c>
      <c r="F29" s="64" t="str">
        <f>IFERROR(VLOOKUP(E29,'LISTA ITEMS (2)'!$E$2:$G$910,2,FALSE)," ")</f>
        <v>TERMICO EPBE63M1NC63M1NC40 1P+N C40 (MAXGE)</v>
      </c>
      <c r="G29" s="79" t="str">
        <f>IFERROR(VLOOKUP(E29,'LISTA ITEMS (2)'!$E$2:$G$910,3,FALSE)," ")</f>
        <v>UND</v>
      </c>
      <c r="H29" s="59">
        <v>1</v>
      </c>
      <c r="I29" s="12" t="s">
        <v>356</v>
      </c>
      <c r="J29" s="76">
        <v>46076</v>
      </c>
      <c r="K29" s="72">
        <v>1</v>
      </c>
      <c r="L29" s="75">
        <f t="shared" si="1"/>
        <v>0</v>
      </c>
      <c r="M29" s="12"/>
    </row>
    <row r="30" spans="1:13" s="15" customFormat="1" ht="31.95" customHeight="1" x14ac:dyDescent="0.3">
      <c r="A30" s="12">
        <v>34</v>
      </c>
      <c r="B30" s="12">
        <v>16</v>
      </c>
      <c r="C30" s="12">
        <v>52</v>
      </c>
      <c r="D30" s="12">
        <v>293</v>
      </c>
      <c r="E30" s="12" t="str">
        <f t="shared" si="2"/>
        <v>16-52-293</v>
      </c>
      <c r="F30" s="64" t="str">
        <f>IFERROR(VLOOKUP(E30,'LISTA ITEMS (2)'!$E$2:$G$910,2,FALSE)," ")</f>
        <v>TERMICO EPBE63M1NC63M1NC32 1P+N C32 (MAXGE)</v>
      </c>
      <c r="G30" s="79" t="str">
        <f>IFERROR(VLOOKUP(E30,'LISTA ITEMS (2)'!$E$2:$G$910,3,FALSE)," ")</f>
        <v>UND</v>
      </c>
      <c r="H30" s="59">
        <v>1</v>
      </c>
      <c r="I30" s="12" t="s">
        <v>356</v>
      </c>
      <c r="J30" s="76"/>
      <c r="K30" s="72"/>
      <c r="L30" s="75">
        <f t="shared" si="1"/>
        <v>1</v>
      </c>
      <c r="M30" s="12"/>
    </row>
    <row r="31" spans="1:13" s="15" customFormat="1" ht="31.95" customHeight="1" x14ac:dyDescent="0.3">
      <c r="A31" s="12">
        <v>35</v>
      </c>
      <c r="B31" s="12">
        <v>16</v>
      </c>
      <c r="C31" s="12">
        <v>48</v>
      </c>
      <c r="D31" s="12">
        <v>281</v>
      </c>
      <c r="E31" s="12" t="str">
        <f t="shared" si="2"/>
        <v>16-48-281</v>
      </c>
      <c r="F31" s="64" t="str">
        <f>IFERROR(VLOOKUP(E31,'LISTA ITEMS (2)'!$E$2:$G$910,2,FALSE)," ")</f>
        <v>PORTA FUSIBLE SGF-32-DC (MAXGE)</v>
      </c>
      <c r="G31" s="79" t="str">
        <f>IFERROR(VLOOKUP(E31,'LISTA ITEMS (2)'!$E$2:$G$910,3,FALSE)," ")</f>
        <v>UND</v>
      </c>
      <c r="H31" s="59">
        <v>2</v>
      </c>
      <c r="I31" s="12" t="s">
        <v>356</v>
      </c>
      <c r="J31" s="76">
        <v>46076</v>
      </c>
      <c r="K31" s="72">
        <v>2</v>
      </c>
      <c r="L31" s="75">
        <f t="shared" si="1"/>
        <v>0</v>
      </c>
      <c r="M31" s="12"/>
    </row>
    <row r="32" spans="1:13" s="15" customFormat="1" ht="31.95" customHeight="1" x14ac:dyDescent="0.3">
      <c r="A32" s="12">
        <v>36</v>
      </c>
      <c r="B32" s="12">
        <v>16</v>
      </c>
      <c r="C32" s="12">
        <v>50</v>
      </c>
      <c r="D32" s="12">
        <v>314</v>
      </c>
      <c r="E32" s="12" t="str">
        <f t="shared" si="2"/>
        <v>16-50-314</v>
      </c>
      <c r="F32" s="64" t="str">
        <f>IFERROR(VLOOKUP(E32,'LISTA ITEMS (2)'!$E$2:$G$910,2,FALSE)," ")</f>
        <v>FUSIBLE MG10PV32A (MAXGE)</v>
      </c>
      <c r="G32" s="79" t="str">
        <f>IFERROR(VLOOKUP(E32,'LISTA ITEMS (2)'!$E$2:$G$910,3,FALSE)," ")</f>
        <v>UND</v>
      </c>
      <c r="H32" s="59">
        <v>2</v>
      </c>
      <c r="I32" s="12" t="s">
        <v>356</v>
      </c>
      <c r="J32" s="76">
        <v>46076</v>
      </c>
      <c r="K32" s="72">
        <v>2</v>
      </c>
      <c r="L32" s="75">
        <f t="shared" si="1"/>
        <v>0</v>
      </c>
      <c r="M32" s="12"/>
    </row>
    <row r="33" spans="1:13" s="15" customFormat="1" ht="31.95" customHeight="1" x14ac:dyDescent="0.3">
      <c r="A33" s="12">
        <v>37</v>
      </c>
      <c r="B33" s="12">
        <v>16</v>
      </c>
      <c r="C33" s="12">
        <v>51</v>
      </c>
      <c r="D33" s="12">
        <v>309</v>
      </c>
      <c r="E33" s="12" t="str">
        <f t="shared" si="0"/>
        <v>16-51-309</v>
      </c>
      <c r="F33" s="64" t="str">
        <f>IFERROR(VLOOKUP(E33,'LISTA ITEMS (2)'!$E$2:$G$910,2,FALSE)," ")</f>
        <v>LIMITADOR MONOFASICO EPS1 C/2 - 275-40 (MAXGE)</v>
      </c>
      <c r="G33" s="79" t="str">
        <f>IFERROR(VLOOKUP(E33,'LISTA ITEMS (2)'!$E$2:$G$910,3,FALSE)," ")</f>
        <v>UND</v>
      </c>
      <c r="H33" s="59">
        <v>1</v>
      </c>
      <c r="I33" s="12" t="s">
        <v>356</v>
      </c>
      <c r="J33" s="76"/>
      <c r="K33" s="72"/>
      <c r="L33" s="75">
        <f t="shared" si="1"/>
        <v>1</v>
      </c>
      <c r="M33" s="12"/>
    </row>
    <row r="34" spans="1:13" s="15" customFormat="1" ht="31.95" customHeight="1" x14ac:dyDescent="0.3">
      <c r="A34" s="12">
        <v>38</v>
      </c>
      <c r="B34" s="12">
        <v>9</v>
      </c>
      <c r="C34" s="12">
        <v>32</v>
      </c>
      <c r="D34" s="12">
        <v>224</v>
      </c>
      <c r="E34" s="12" t="str">
        <f t="shared" ref="E34:E37" si="3">CONCATENATE(B34,"-",C34,"-",D34)</f>
        <v>9-32-224</v>
      </c>
      <c r="F34" s="64" t="str">
        <f>IFERROR(VLOOKUP(E34,'LISTA ITEMS (2)'!$E$2:$G$910,2,FALSE)," ")</f>
        <v>CURVA PVC M-25 GRIS TIPO B</v>
      </c>
      <c r="G34" s="79" t="str">
        <f>IFERROR(VLOOKUP(E34,'LISTA ITEMS (2)'!$E$2:$G$910,3,FALSE)," ")</f>
        <v>UND</v>
      </c>
      <c r="H34" s="59">
        <v>30</v>
      </c>
      <c r="I34" s="12" t="s">
        <v>356</v>
      </c>
      <c r="J34" s="76">
        <v>46070</v>
      </c>
      <c r="K34" s="72">
        <v>1</v>
      </c>
      <c r="L34" s="75">
        <f t="shared" si="1"/>
        <v>29</v>
      </c>
      <c r="M34" s="12"/>
    </row>
    <row r="35" spans="1:13" s="15" customFormat="1" ht="31.95" customHeight="1" x14ac:dyDescent="0.3">
      <c r="A35" s="12">
        <v>39</v>
      </c>
      <c r="B35" s="12">
        <v>3</v>
      </c>
      <c r="C35" s="12">
        <v>31</v>
      </c>
      <c r="D35" s="12">
        <v>277</v>
      </c>
      <c r="E35" s="12" t="str">
        <f t="shared" si="3"/>
        <v>3-31-277</v>
      </c>
      <c r="F35" s="64" t="str">
        <f>IFERROR(VLOOKUP(E35,'LISTA ITEMS (2)'!$E$2:$G$910,2,FALSE)," ")</f>
        <v>CABLE Nª 6 P/PLACA SOLAR NEGRO</v>
      </c>
      <c r="G35" s="79" t="str">
        <f>IFERROR(VLOOKUP(E35,'LISTA ITEMS (2)'!$E$2:$G$910,3,FALSE)," ")</f>
        <v>MT</v>
      </c>
      <c r="H35" s="59">
        <v>40</v>
      </c>
      <c r="I35" s="12" t="s">
        <v>356</v>
      </c>
      <c r="J35" s="76"/>
      <c r="K35" s="72"/>
      <c r="L35" s="75">
        <f t="shared" si="1"/>
        <v>40</v>
      </c>
      <c r="M35" s="12"/>
    </row>
    <row r="36" spans="1:13" s="15" customFormat="1" ht="31.95" customHeight="1" x14ac:dyDescent="0.3">
      <c r="A36" s="12">
        <v>40</v>
      </c>
      <c r="B36" s="12">
        <v>9</v>
      </c>
      <c r="C36" s="12">
        <v>2</v>
      </c>
      <c r="D36" s="12">
        <v>291</v>
      </c>
      <c r="E36" s="12" t="str">
        <f t="shared" si="3"/>
        <v>9-2-291</v>
      </c>
      <c r="F36" s="64" t="str">
        <f>IFERROR(VLOOKUP(E36,'LISTA ITEMS (2)'!$E$2:$G$910,2,FALSE)," ")</f>
        <v>TUBO ELECTRICO PVC 25mm - 3mt(AISCAN)</v>
      </c>
      <c r="G36" s="79" t="str">
        <f>IFERROR(VLOOKUP(E36,'LISTA ITEMS (2)'!$E$2:$G$910,3,FALSE)," ")</f>
        <v>UND</v>
      </c>
      <c r="H36" s="59">
        <v>20</v>
      </c>
      <c r="I36" s="12" t="s">
        <v>356</v>
      </c>
      <c r="J36" s="76">
        <v>46070</v>
      </c>
      <c r="K36" s="72">
        <v>13</v>
      </c>
      <c r="L36" s="75">
        <f t="shared" si="1"/>
        <v>7</v>
      </c>
      <c r="M36" s="12"/>
    </row>
    <row r="37" spans="1:13" s="15" customFormat="1" ht="31.95" customHeight="1" x14ac:dyDescent="0.3">
      <c r="A37" s="12">
        <v>41</v>
      </c>
      <c r="B37" s="12">
        <v>3</v>
      </c>
      <c r="C37" s="12">
        <v>31</v>
      </c>
      <c r="D37" s="12">
        <v>278</v>
      </c>
      <c r="E37" s="12" t="str">
        <f t="shared" si="3"/>
        <v>3-31-278</v>
      </c>
      <c r="F37" s="64" t="str">
        <f>IFERROR(VLOOKUP(E37,'LISTA ITEMS (2)'!$E$2:$G$910,2,FALSE)," ")</f>
        <v>CABLE Nª 6 P/PLACA SOLAR ROJO</v>
      </c>
      <c r="G37" s="79" t="str">
        <f>IFERROR(VLOOKUP(E37,'LISTA ITEMS (2)'!$E$2:$G$910,3,FALSE)," ")</f>
        <v>MT</v>
      </c>
      <c r="H37" s="59">
        <v>40</v>
      </c>
      <c r="I37" s="12" t="s">
        <v>356</v>
      </c>
      <c r="J37" s="76"/>
      <c r="K37" s="72"/>
      <c r="L37" s="75">
        <f t="shared" si="1"/>
        <v>40</v>
      </c>
      <c r="M37" s="12"/>
    </row>
    <row r="38" spans="1:13" ht="2.4" customHeight="1" x14ac:dyDescent="0.3"/>
    <row r="39" spans="1:13" ht="69.599999999999994" customHeight="1" x14ac:dyDescent="0.3">
      <c r="A39" s="305" t="s">
        <v>686</v>
      </c>
      <c r="B39" s="306"/>
      <c r="C39" s="306"/>
      <c r="D39" s="306"/>
      <c r="E39" s="306"/>
      <c r="F39" s="306"/>
      <c r="G39" s="306"/>
      <c r="H39" s="306"/>
      <c r="I39" s="307"/>
    </row>
  </sheetData>
  <mergeCells count="13">
    <mergeCell ref="A1:B1"/>
    <mergeCell ref="C1:F1"/>
    <mergeCell ref="G1:H1"/>
    <mergeCell ref="A2:B2"/>
    <mergeCell ref="C2:F2"/>
    <mergeCell ref="G2:H2"/>
    <mergeCell ref="A39:I39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B647-FF74-4E25-8347-15DCC92399E5}">
  <sheetPr>
    <tabColor rgb="FF92D050"/>
  </sheetPr>
  <dimension ref="A1:M40"/>
  <sheetViews>
    <sheetView zoomScale="85" zoomScaleNormal="85" workbookViewId="0">
      <pane ySplit="5" topLeftCell="A7" activePane="bottomLeft" state="frozen"/>
      <selection pane="bottomLeft" activeCell="H16" sqref="H16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18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769</v>
      </c>
      <c r="D2" s="283"/>
      <c r="E2" s="283"/>
      <c r="F2" s="291"/>
      <c r="G2" s="292" t="s">
        <v>355</v>
      </c>
      <c r="H2" s="290"/>
      <c r="I2" s="62">
        <v>18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261</v>
      </c>
      <c r="D3" s="314"/>
      <c r="E3" s="68"/>
      <c r="F3" s="61" t="s">
        <v>353</v>
      </c>
      <c r="G3" s="295" t="s">
        <v>369</v>
      </c>
      <c r="H3" s="296"/>
      <c r="I3" s="127">
        <v>46070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770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43</v>
      </c>
      <c r="D6" s="12">
        <v>270</v>
      </c>
      <c r="E6" s="12" t="str">
        <f>CONCATENATE(B6,"-",C6,"-",D6)</f>
        <v>10-43-270</v>
      </c>
      <c r="F6" s="64" t="str">
        <f>IFERROR(VLOOKUP(E6,'LISTA ITEMS (2)'!$E$2:$G$910,2,FALSE)," ")</f>
        <v>EMPALME ALUMINIO P/BARRA</v>
      </c>
      <c r="G6" s="79" t="str">
        <f>IFERROR(VLOOKUP(E6,'LISTA ITEMS (2)'!$E$2:$G$910,3,FALSE)," ")</f>
        <v>UND</v>
      </c>
      <c r="H6" s="59">
        <v>4</v>
      </c>
      <c r="I6" s="12" t="s">
        <v>356</v>
      </c>
      <c r="J6" s="76"/>
      <c r="K6" s="72"/>
      <c r="L6" s="75">
        <f>+H6-K6</f>
        <v>4</v>
      </c>
      <c r="M6" s="194"/>
    </row>
    <row r="7" spans="1:13" s="15" customFormat="1" ht="31.95" customHeight="1" x14ac:dyDescent="0.3">
      <c r="A7" s="12">
        <v>2</v>
      </c>
      <c r="B7" s="12">
        <v>17</v>
      </c>
      <c r="C7" s="12">
        <v>44</v>
      </c>
      <c r="D7" s="12">
        <v>271</v>
      </c>
      <c r="E7" s="12" t="str">
        <f t="shared" ref="E7:E38" si="0">CONCATENATE(B7,"-",C7,"-",D7)</f>
        <v>17-44-271</v>
      </c>
      <c r="F7" s="64" t="str">
        <f>IFERROR(VLOOKUP(E7,'LISTA ITEMS (2)'!$E$2:$G$910,2,FALSE)," ")</f>
        <v>SELLANTE QUIMICO BLANCO</v>
      </c>
      <c r="G7" s="79" t="str">
        <f>IFERROR(VLOOKUP(E7,'LISTA ITEMS (2)'!$E$2:$G$910,3,FALSE)," ")</f>
        <v>UND</v>
      </c>
      <c r="H7" s="59">
        <v>1</v>
      </c>
      <c r="I7" s="12" t="s">
        <v>356</v>
      </c>
      <c r="J7" s="76"/>
      <c r="K7" s="72"/>
      <c r="L7" s="75">
        <f t="shared" ref="L7:L37" si="1">+H7-K7</f>
        <v>1</v>
      </c>
      <c r="M7" s="85"/>
    </row>
    <row r="8" spans="1:13" s="15" customFormat="1" ht="31.95" customHeight="1" x14ac:dyDescent="0.3">
      <c r="A8" s="12">
        <v>3</v>
      </c>
      <c r="B8" s="12">
        <v>17</v>
      </c>
      <c r="C8" s="12">
        <v>44</v>
      </c>
      <c r="D8" s="12">
        <v>272</v>
      </c>
      <c r="E8" s="12" t="str">
        <f t="shared" si="0"/>
        <v>17-44-272</v>
      </c>
      <c r="F8" s="64" t="str">
        <f>IFERROR(VLOOKUP(E8,'LISTA ITEMS (2)'!$E$2:$G$910,2,FALSE)," ")</f>
        <v>SELLANTE QUIMICO GRIS</v>
      </c>
      <c r="G8" s="79" t="str">
        <f>IFERROR(VLOOKUP(E8,'LISTA ITEMS (2)'!$E$2:$G$910,3,FALSE)," ")</f>
        <v>UND</v>
      </c>
      <c r="H8" s="59">
        <v>1</v>
      </c>
      <c r="I8" s="12" t="s">
        <v>356</v>
      </c>
      <c r="J8" s="76"/>
      <c r="K8" s="72"/>
      <c r="L8" s="75">
        <f t="shared" si="1"/>
        <v>1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45</v>
      </c>
      <c r="D9" s="12">
        <v>294</v>
      </c>
      <c r="E9" s="12" t="str">
        <f t="shared" si="0"/>
        <v>16-45-294</v>
      </c>
      <c r="F9" s="64" t="str">
        <f>IFERROR(VLOOKUP(E9,'LISTA ITEMS (2)'!$E$2:$G$910,2,FALSE)," ")</f>
        <v>CAJA DE ESTANCA 133X180X80 EV161 (IDE)</v>
      </c>
      <c r="G9" s="79" t="str">
        <f>IFERROR(VLOOKUP(E9,'LISTA ITEMS (2)'!$E$2:$G$910,3,FALSE)," ")</f>
        <v>UND</v>
      </c>
      <c r="H9" s="59">
        <v>1</v>
      </c>
      <c r="I9" s="12" t="s">
        <v>356</v>
      </c>
      <c r="J9" s="76"/>
      <c r="K9" s="72"/>
      <c r="L9" s="75">
        <f t="shared" si="1"/>
        <v>1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37</v>
      </c>
      <c r="D10" s="12">
        <v>232</v>
      </c>
      <c r="E10" s="12" t="str">
        <f t="shared" si="0"/>
        <v>10-37-232</v>
      </c>
      <c r="F10" s="64" t="str">
        <f>IFERROR(VLOOKUP(E10,'LISTA ITEMS (2)'!$E$2:$G$910,2,FALSE)," ")</f>
        <v>SOPORTE CENTRAL NEGRO</v>
      </c>
      <c r="G10" s="79" t="str">
        <f>IFERROR(VLOOKUP(E10,'LISTA ITEMS (2)'!$E$2:$G$910,3,FALSE)," ")</f>
        <v>UND</v>
      </c>
      <c r="H10" s="59">
        <v>20</v>
      </c>
      <c r="I10" s="12" t="s">
        <v>356</v>
      </c>
      <c r="J10" s="76">
        <v>46072</v>
      </c>
      <c r="K10" s="72">
        <v>5</v>
      </c>
      <c r="L10" s="75">
        <f t="shared" si="1"/>
        <v>15</v>
      </c>
      <c r="M10" s="3"/>
    </row>
    <row r="11" spans="1:13" s="15" customFormat="1" ht="31.95" customHeight="1" x14ac:dyDescent="0.3">
      <c r="A11" s="12">
        <v>6</v>
      </c>
      <c r="B11" s="12">
        <v>10</v>
      </c>
      <c r="C11" s="12">
        <v>37</v>
      </c>
      <c r="D11" s="12">
        <v>315</v>
      </c>
      <c r="E11" s="12" t="str">
        <f t="shared" si="0"/>
        <v>10-37-315</v>
      </c>
      <c r="F11" s="64" t="str">
        <f>IFERROR(VLOOKUP(E11,'LISTA ITEMS (2)'!$E$2:$G$910,2,FALSE)," ")</f>
        <v>SOPORTE FINAL NEGRO</v>
      </c>
      <c r="G11" s="79" t="str">
        <f>IFERROR(VLOOKUP(E11,'LISTA ITEMS (2)'!$E$2:$G$910,3,FALSE)," ")</f>
        <v>UND</v>
      </c>
      <c r="H11" s="59">
        <v>15</v>
      </c>
      <c r="I11" s="12" t="s">
        <v>356</v>
      </c>
      <c r="J11" s="76">
        <v>46072</v>
      </c>
      <c r="K11" s="72">
        <v>5</v>
      </c>
      <c r="L11" s="75">
        <f t="shared" si="1"/>
        <v>10</v>
      </c>
      <c r="M11" s="12"/>
    </row>
    <row r="12" spans="1:13" s="15" customFormat="1" ht="31.95" customHeight="1" x14ac:dyDescent="0.3">
      <c r="A12" s="12">
        <v>7</v>
      </c>
      <c r="B12" s="12">
        <v>6</v>
      </c>
      <c r="C12" s="12">
        <v>23</v>
      </c>
      <c r="D12" s="12">
        <v>192</v>
      </c>
      <c r="E12" s="12" t="str">
        <f t="shared" si="0"/>
        <v>6-23-192</v>
      </c>
      <c r="F12" s="64" t="str">
        <f>IFERROR(VLOOKUP(E12,'LISTA ITEMS (2)'!$E$2:$G$910,2,FALSE)," ")</f>
        <v xml:space="preserve">CINTA ACERO PERFORADA PARA MONTAJE 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4</v>
      </c>
      <c r="C13" s="12">
        <v>15</v>
      </c>
      <c r="D13" s="12">
        <v>326</v>
      </c>
      <c r="E13" s="12" t="str">
        <f t="shared" si="0"/>
        <v>4-15-326</v>
      </c>
      <c r="F13" s="64" t="str">
        <f>IFERROR(VLOOKUP(E13,'LISTA ITEMS (2)'!$E$2:$G$910,2,FALSE)," ")</f>
        <v>BARRA PERFORADA PARA REFUERZO 27x18x2MT GALV.</v>
      </c>
      <c r="G13" s="79" t="str">
        <f>IFERROR(VLOOKUP(E13,'LISTA ITEMS (2)'!$E$2:$G$910,3,FALSE)," ")</f>
        <v>UND</v>
      </c>
      <c r="H13" s="59">
        <v>4</v>
      </c>
      <c r="I13" s="12" t="s">
        <v>356</v>
      </c>
      <c r="J13" s="76">
        <v>46072</v>
      </c>
      <c r="K13" s="72">
        <v>1</v>
      </c>
      <c r="L13" s="75">
        <f t="shared" si="1"/>
        <v>3</v>
      </c>
      <c r="M13" s="12"/>
    </row>
    <row r="14" spans="1:13" s="15" customFormat="1" ht="31.95" customHeight="1" x14ac:dyDescent="0.3">
      <c r="A14" s="12">
        <v>9</v>
      </c>
      <c r="B14" s="12">
        <v>7</v>
      </c>
      <c r="C14" s="12">
        <v>38</v>
      </c>
      <c r="D14" s="12">
        <v>247</v>
      </c>
      <c r="E14" s="12" t="str">
        <f t="shared" si="0"/>
        <v>7-38-247</v>
      </c>
      <c r="F14" s="64" t="str">
        <f>IFERROR(VLOOKUP(E14,'LISTA ITEMS (2)'!$E$2:$G$910,2,FALSE)," ")</f>
        <v>PLACA SOLAR JAM60D42-535LB 535W / 44.13V</v>
      </c>
      <c r="G14" s="79" t="str">
        <f>IFERROR(VLOOKUP(E14,'LISTA ITEMS (2)'!$E$2:$G$910,3,FALSE)," ")</f>
        <v>UND</v>
      </c>
      <c r="H14" s="59">
        <v>4</v>
      </c>
      <c r="I14" s="12" t="s">
        <v>356</v>
      </c>
      <c r="J14" s="76"/>
      <c r="K14" s="72"/>
      <c r="L14" s="75">
        <f t="shared" si="1"/>
        <v>4</v>
      </c>
      <c r="M14" s="12"/>
    </row>
    <row r="15" spans="1:13" s="15" customFormat="1" ht="31.95" customHeight="1" x14ac:dyDescent="0.3">
      <c r="A15" s="12">
        <v>10</v>
      </c>
      <c r="B15" s="12">
        <v>13</v>
      </c>
      <c r="C15" s="12">
        <v>22</v>
      </c>
      <c r="D15" s="12">
        <v>184</v>
      </c>
      <c r="E15" s="12" t="str">
        <f t="shared" si="0"/>
        <v>13-22-184</v>
      </c>
      <c r="F15" s="64" t="str">
        <f>IFERROR(VLOOKUP(E15,'LISTA ITEMS (2)'!$E$2:$G$910,2,FALSE)," ")</f>
        <v>BRIDA P/EXTERIOR NEGRA</v>
      </c>
      <c r="G15" s="79" t="str">
        <f>IFERROR(VLOOKUP(E15,'LISTA ITEMS (2)'!$E$2:$G$910,3,FALSE)," ")</f>
        <v>UND</v>
      </c>
      <c r="H15" s="59">
        <v>100</v>
      </c>
      <c r="I15" s="12" t="s">
        <v>356</v>
      </c>
      <c r="J15" s="76"/>
      <c r="K15" s="72"/>
      <c r="L15" s="75">
        <f t="shared" si="1"/>
        <v>100</v>
      </c>
      <c r="M15" s="12"/>
    </row>
    <row r="16" spans="1:13" s="15" customFormat="1" ht="31.95" customHeight="1" x14ac:dyDescent="0.3">
      <c r="A16" s="12">
        <v>11</v>
      </c>
      <c r="B16" s="12">
        <v>13</v>
      </c>
      <c r="C16" s="12">
        <v>21</v>
      </c>
      <c r="D16" s="12">
        <v>181</v>
      </c>
      <c r="E16" s="12" t="str">
        <f t="shared" si="0"/>
        <v>13-21-181</v>
      </c>
      <c r="F16" s="64" t="str">
        <f>IFERROR(VLOOKUP(E16,'LISTA ITEMS (2)'!$E$2:$G$910,2,FALSE)," ")</f>
        <v>TACO P/BRIDA NEGRO</v>
      </c>
      <c r="G16" s="79" t="str">
        <f>IFERROR(VLOOKUP(E16,'LISTA ITEMS (2)'!$E$2:$G$910,3,FALSE)," ")</f>
        <v>UND</v>
      </c>
      <c r="H16" s="59">
        <v>100</v>
      </c>
      <c r="I16" s="12" t="s">
        <v>356</v>
      </c>
      <c r="J16" s="72"/>
      <c r="K16" s="72"/>
      <c r="L16" s="75">
        <f t="shared" si="1"/>
        <v>100</v>
      </c>
      <c r="M16" s="12"/>
    </row>
    <row r="17" spans="1:13" s="15" customFormat="1" ht="31.95" customHeight="1" x14ac:dyDescent="0.3">
      <c r="A17" s="12">
        <v>12</v>
      </c>
      <c r="B17" s="12">
        <v>3</v>
      </c>
      <c r="C17" s="12">
        <v>31</v>
      </c>
      <c r="D17" s="12">
        <v>277</v>
      </c>
      <c r="E17" s="12" t="str">
        <f t="shared" si="0"/>
        <v>3-31-277</v>
      </c>
      <c r="F17" s="64" t="str">
        <f>IFERROR(VLOOKUP(E17,'LISTA ITEMS (2)'!$E$2:$G$910,2,FALSE)," ")</f>
        <v>CABLE Nª 6 P/PLACA SOLAR NEGRO</v>
      </c>
      <c r="G17" s="79" t="str">
        <f>IFERROR(VLOOKUP(E17,'LISTA ITEMS (2)'!$E$2:$G$910,3,FALSE)," ")</f>
        <v>MT</v>
      </c>
      <c r="H17" s="59">
        <v>15</v>
      </c>
      <c r="I17" s="12" t="s">
        <v>356</v>
      </c>
      <c r="J17" s="76"/>
      <c r="K17" s="72"/>
      <c r="L17" s="75">
        <f t="shared" si="1"/>
        <v>15</v>
      </c>
      <c r="M17" s="12"/>
    </row>
    <row r="18" spans="1:13" s="15" customFormat="1" ht="31.95" customHeight="1" x14ac:dyDescent="0.3">
      <c r="A18" s="12">
        <v>13</v>
      </c>
      <c r="B18" s="12">
        <v>3</v>
      </c>
      <c r="C18" s="12">
        <v>31</v>
      </c>
      <c r="D18" s="12">
        <v>278</v>
      </c>
      <c r="E18" s="12" t="str">
        <f t="shared" si="0"/>
        <v>3-31-278</v>
      </c>
      <c r="F18" s="64" t="str">
        <f>IFERROR(VLOOKUP(E18,'LISTA ITEMS (2)'!$E$2:$G$910,2,FALSE)," ")</f>
        <v>CABLE Nª 6 P/PLACA SOLAR ROJO</v>
      </c>
      <c r="G18" s="79" t="str">
        <f>IFERROR(VLOOKUP(E18,'LISTA ITEMS (2)'!$E$2:$G$910,3,FALSE)," ")</f>
        <v>MT</v>
      </c>
      <c r="H18" s="59">
        <v>15</v>
      </c>
      <c r="I18" s="12" t="s">
        <v>356</v>
      </c>
      <c r="J18" s="76"/>
      <c r="K18" s="72"/>
      <c r="L18" s="75">
        <f t="shared" si="1"/>
        <v>15</v>
      </c>
      <c r="M18" s="85"/>
    </row>
    <row r="19" spans="1:13" s="15" customFormat="1" ht="31.95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30"/>
      <c r="C21" s="30"/>
      <c r="D21" s="30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128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3"/>
    </row>
    <row r="26" spans="1:13" s="15" customFormat="1" ht="31.95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18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hidden="1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hidden="1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hidden="1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02AC-2CEC-4A94-904A-BA63FF482F7D}">
  <sheetPr>
    <tabColor rgb="FF92D050"/>
  </sheetPr>
  <dimension ref="A1:M40"/>
  <sheetViews>
    <sheetView zoomScale="85" zoomScaleNormal="85" workbookViewId="0">
      <pane ySplit="5" topLeftCell="A34" activePane="bottomLeft" state="frozen"/>
      <selection pane="bottomLeft" activeCell="K4" sqref="K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19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772</v>
      </c>
      <c r="D2" s="283"/>
      <c r="E2" s="283"/>
      <c r="F2" s="291"/>
      <c r="G2" s="292" t="s">
        <v>355</v>
      </c>
      <c r="H2" s="290"/>
      <c r="I2" s="62">
        <v>19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773</v>
      </c>
      <c r="D3" s="314"/>
      <c r="E3" s="68"/>
      <c r="F3" s="61" t="s">
        <v>353</v>
      </c>
      <c r="G3" s="295" t="s">
        <v>369</v>
      </c>
      <c r="H3" s="296"/>
      <c r="I3" s="127">
        <v>46071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768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53</v>
      </c>
      <c r="D6" s="12">
        <v>290</v>
      </c>
      <c r="E6" s="12" t="str">
        <f>CONCATENATE(B6,"-",C6,"-",D6)</f>
        <v>16-53-290</v>
      </c>
      <c r="F6" s="64" t="str">
        <f>IFERROR(VLOOKUP(E6,'LISTA ITEMS (2)'!$E$2:$G$910,2,FALSE)," ")</f>
        <v>PINCHO DE COMUNICACIÓN WIFI SHINEWILAN X2 (GROWATT)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94" t="s">
        <v>771</v>
      </c>
    </row>
    <row r="7" spans="1:13" s="15" customFormat="1" ht="31.95" customHeight="1" x14ac:dyDescent="0.3">
      <c r="A7" s="12">
        <v>2</v>
      </c>
      <c r="B7" s="12">
        <v>16</v>
      </c>
      <c r="C7" s="12">
        <v>45</v>
      </c>
      <c r="D7" s="12">
        <v>294</v>
      </c>
      <c r="E7" s="12" t="str">
        <f t="shared" ref="E7:E38" si="0">CONCATENATE(B7,"-",C7,"-",D7)</f>
        <v>16-45-294</v>
      </c>
      <c r="F7" s="64" t="str">
        <f>IFERROR(VLOOKUP(E7,'LISTA ITEMS (2)'!$E$2:$G$910,2,FALSE)," ")</f>
        <v>CAJA DE ESTANCA 133X180X80 EV161 (IDE)</v>
      </c>
      <c r="G7" s="79" t="str">
        <f>IFERROR(VLOOKUP(E7,'LISTA ITEMS (2)'!$E$2:$G$910,3,FALSE)," ")</f>
        <v>UND</v>
      </c>
      <c r="H7" s="59">
        <v>2</v>
      </c>
      <c r="I7" s="12" t="s">
        <v>356</v>
      </c>
      <c r="J7" s="76"/>
      <c r="K7" s="72"/>
      <c r="L7" s="75">
        <f t="shared" ref="L7:L37" si="1">+H7-K7</f>
        <v>2</v>
      </c>
      <c r="M7" s="85"/>
    </row>
    <row r="8" spans="1:13" s="15" customFormat="1" ht="31.95" customHeight="1" x14ac:dyDescent="0.3">
      <c r="A8" s="12">
        <v>3</v>
      </c>
      <c r="B8" s="12">
        <v>16</v>
      </c>
      <c r="C8" s="12">
        <v>48</v>
      </c>
      <c r="D8" s="12">
        <v>281</v>
      </c>
      <c r="E8" s="12" t="str">
        <f t="shared" si="0"/>
        <v>16-48-281</v>
      </c>
      <c r="F8" s="64" t="str">
        <f>IFERROR(VLOOKUP(E8,'LISTA ITEMS (2)'!$E$2:$G$910,2,FALSE)," ")</f>
        <v>PORTA FUSIBLE SGF-32-DC (MAXGE)</v>
      </c>
      <c r="G8" s="79" t="str">
        <f>IFERROR(VLOOKUP(E8,'LISTA ITEMS (2)'!$E$2:$G$910,3,FALSE)," ")</f>
        <v>UND</v>
      </c>
      <c r="H8" s="59">
        <v>4</v>
      </c>
      <c r="I8" s="12" t="s">
        <v>356</v>
      </c>
      <c r="J8" s="76">
        <v>46072</v>
      </c>
      <c r="K8" s="72">
        <v>1</v>
      </c>
      <c r="L8" s="75">
        <f t="shared" si="1"/>
        <v>3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50</v>
      </c>
      <c r="D9" s="12">
        <v>314</v>
      </c>
      <c r="E9" s="12" t="str">
        <f t="shared" si="0"/>
        <v>16-50-314</v>
      </c>
      <c r="F9" s="64" t="str">
        <f>IFERROR(VLOOKUP(E9,'LISTA ITEMS (2)'!$E$2:$G$910,2,FALSE)," ")</f>
        <v>FUSIBLE MG10PV32A (MAXGE)</v>
      </c>
      <c r="G9" s="79" t="str">
        <f>IFERROR(VLOOKUP(E9,'LISTA ITEMS (2)'!$E$2:$G$910,3,FALSE)," ")</f>
        <v>UND</v>
      </c>
      <c r="H9" s="59">
        <v>4</v>
      </c>
      <c r="I9" s="12" t="s">
        <v>356</v>
      </c>
      <c r="J9" s="76">
        <v>46072</v>
      </c>
      <c r="K9" s="72">
        <v>1</v>
      </c>
      <c r="L9" s="75">
        <f t="shared" si="1"/>
        <v>3</v>
      </c>
      <c r="M9" s="12"/>
    </row>
    <row r="10" spans="1:13" s="15" customFormat="1" ht="31.95" customHeight="1" x14ac:dyDescent="0.3">
      <c r="A10" s="12">
        <v>5</v>
      </c>
      <c r="B10" s="12">
        <v>16</v>
      </c>
      <c r="C10" s="12">
        <v>61</v>
      </c>
      <c r="D10" s="12">
        <v>331</v>
      </c>
      <c r="E10" s="12" t="str">
        <f t="shared" si="0"/>
        <v>16-61-331</v>
      </c>
      <c r="F10" s="64" t="str">
        <f>IFERROR(VLOOKUP(E10,'LISTA ITEMS (2)'!$E$2:$G$910,2,FALSE)," ")</f>
        <v>CONECTOR FOTOVOLTAICO HEMBRA M4 NEGRO</v>
      </c>
      <c r="G10" s="79" t="str">
        <f>IFERROR(VLOOKUP(E10,'LISTA ITEMS (2)'!$E$2:$G$910,3,FALSE)," ")</f>
        <v>UND</v>
      </c>
      <c r="H10" s="59">
        <v>6</v>
      </c>
      <c r="I10" s="12" t="s">
        <v>356</v>
      </c>
      <c r="J10" s="76">
        <v>46072</v>
      </c>
      <c r="K10" s="72">
        <v>2</v>
      </c>
      <c r="L10" s="75">
        <f t="shared" si="1"/>
        <v>4</v>
      </c>
      <c r="M10" s="3"/>
    </row>
    <row r="11" spans="1:13" s="15" customFormat="1" ht="31.95" customHeight="1" x14ac:dyDescent="0.3">
      <c r="A11" s="12">
        <v>6</v>
      </c>
      <c r="B11" s="12">
        <v>16</v>
      </c>
      <c r="C11" s="12">
        <v>61</v>
      </c>
      <c r="D11" s="12">
        <v>332</v>
      </c>
      <c r="E11" s="12" t="str">
        <f t="shared" si="0"/>
        <v>16-61-332</v>
      </c>
      <c r="F11" s="64" t="str">
        <f>IFERROR(VLOOKUP(E11,'LISTA ITEMS (2)'!$E$2:$G$910,2,FALSE)," ")</f>
        <v>CONECTOR FOTOVOLTAICO MACHO M4 NEGRO</v>
      </c>
      <c r="G11" s="79" t="str">
        <f>IFERROR(VLOOKUP(E11,'LISTA ITEMS (2)'!$E$2:$G$910,3,FALSE)," ")</f>
        <v>UND</v>
      </c>
      <c r="H11" s="59">
        <v>6</v>
      </c>
      <c r="I11" s="12" t="s">
        <v>356</v>
      </c>
      <c r="J11" s="76">
        <v>46072</v>
      </c>
      <c r="K11" s="72">
        <v>2</v>
      </c>
      <c r="L11" s="75">
        <f t="shared" si="1"/>
        <v>4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47</v>
      </c>
      <c r="D12" s="12">
        <v>318</v>
      </c>
      <c r="E12" s="12" t="str">
        <f t="shared" si="0"/>
        <v>16-47-318</v>
      </c>
      <c r="F12" s="64" t="str">
        <f>IFERROR(VLOOKUP(E12,'LISTA ITEMS (2)'!$E$2:$G$910,2,FALSE)," ")</f>
        <v>DIFERENCIAL EPR2A040030 2P-40A-30mA (MAXGE)</v>
      </c>
      <c r="G12" s="79" t="str">
        <f>IFERROR(VLOOKUP(E12,'LISTA ITEMS (2)'!$E$2:$G$910,3,FALSE)," ")</f>
        <v>UND</v>
      </c>
      <c r="H12" s="59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10</v>
      </c>
      <c r="C13" s="12">
        <v>37</v>
      </c>
      <c r="D13" s="12">
        <v>330</v>
      </c>
      <c r="E13" s="12" t="str">
        <f t="shared" si="0"/>
        <v>10-37-330</v>
      </c>
      <c r="F13" s="64" t="str">
        <f>IFERROR(VLOOKUP(E13,'LISTA ITEMS (2)'!$E$2:$G$910,2,FALSE)," ")</f>
        <v>SOPORTE EN L ALUMINIO GRIS</v>
      </c>
      <c r="G13" s="79" t="str">
        <f>IFERROR(VLOOKUP(E13,'LISTA ITEMS (2)'!$E$2:$G$910,3,FALSE)," ")</f>
        <v>UND</v>
      </c>
      <c r="H13" s="59">
        <v>20</v>
      </c>
      <c r="I13" s="12" t="s">
        <v>356</v>
      </c>
      <c r="J13" s="76">
        <v>46072</v>
      </c>
      <c r="K13" s="72">
        <v>6</v>
      </c>
      <c r="L13" s="75">
        <f t="shared" si="1"/>
        <v>14</v>
      </c>
      <c r="M13" s="12"/>
    </row>
    <row r="14" spans="1:13" s="15" customFormat="1" ht="31.95" customHeight="1" x14ac:dyDescent="0.3">
      <c r="A14" s="12">
        <v>9</v>
      </c>
      <c r="B14" s="12">
        <v>10</v>
      </c>
      <c r="C14" s="12">
        <v>34</v>
      </c>
      <c r="D14" s="12">
        <v>227</v>
      </c>
      <c r="E14" s="12" t="str">
        <f t="shared" si="0"/>
        <v>10-34-227</v>
      </c>
      <c r="F14" s="64" t="str">
        <f>IFERROR(VLOOKUP(E14,'LISTA ITEMS (2)'!$E$2:$G$910,2,FALSE)," ")</f>
        <v>MICRORAIL 2X30 PERFORADO</v>
      </c>
      <c r="G14" s="79" t="str">
        <f>IFERROR(VLOOKUP(E14,'LISTA ITEMS (2)'!$E$2:$G$910,3,FALSE)," ")</f>
        <v>UND</v>
      </c>
      <c r="H14" s="59">
        <v>20</v>
      </c>
      <c r="I14" s="12" t="s">
        <v>356</v>
      </c>
      <c r="J14" s="76">
        <v>46072</v>
      </c>
      <c r="K14" s="72">
        <v>6</v>
      </c>
      <c r="L14" s="75">
        <f t="shared" si="1"/>
        <v>14</v>
      </c>
      <c r="M14" s="12"/>
    </row>
    <row r="15" spans="1:13" s="15" customFormat="1" ht="31.95" customHeight="1" x14ac:dyDescent="0.3">
      <c r="A15" s="12">
        <v>10</v>
      </c>
      <c r="B15" s="12">
        <v>16</v>
      </c>
      <c r="C15" s="12">
        <v>31</v>
      </c>
      <c r="D15" s="12">
        <v>412</v>
      </c>
      <c r="E15" s="12" t="str">
        <f t="shared" si="0"/>
        <v>16-31-412</v>
      </c>
      <c r="F15" s="64" t="str">
        <f>IFERROR(VLOOKUP(E15,'LISTA ITEMS (2)'!$E$2:$G$910,2,FALSE)," ")</f>
        <v>CABLE UTP RJ45 1.8m (VICTRON ENERGY)</v>
      </c>
      <c r="G15" s="79" t="str">
        <f>IFERROR(VLOOKUP(E15,'LISTA ITEMS (2)'!$E$2:$G$910,3,FALSE)," ")</f>
        <v>UND</v>
      </c>
      <c r="H15" s="59">
        <v>4</v>
      </c>
      <c r="I15" s="12" t="s">
        <v>356</v>
      </c>
      <c r="J15" s="76"/>
      <c r="K15" s="72"/>
      <c r="L15" s="75">
        <f t="shared" si="1"/>
        <v>4</v>
      </c>
      <c r="M15" s="12"/>
    </row>
    <row r="16" spans="1:13" s="15" customFormat="1" ht="31.95" customHeight="1" x14ac:dyDescent="0.3">
      <c r="A16" s="12">
        <v>11</v>
      </c>
      <c r="B16" s="12">
        <v>16</v>
      </c>
      <c r="C16" s="12">
        <v>45</v>
      </c>
      <c r="D16" s="12">
        <v>275</v>
      </c>
      <c r="E16" s="12" t="str">
        <f t="shared" si="0"/>
        <v>16-45-275</v>
      </c>
      <c r="F16" s="64" t="str">
        <f>IFERROR(VLOOKUP(E16,'LISTA ITEMS (2)'!$E$2:$G$910,2,FALSE)," ")</f>
        <v>CAJA DISTRIBUCION INTERIOR 18 ELEM. (SOLERA)</v>
      </c>
      <c r="G16" s="79" t="str">
        <f>IFERROR(VLOOKUP(E16,'LISTA ITEMS (2)'!$E$2:$G$910,3,FALSE)," ")</f>
        <v>UND</v>
      </c>
      <c r="H16" s="59">
        <v>1</v>
      </c>
      <c r="I16" s="12" t="s">
        <v>356</v>
      </c>
      <c r="J16" s="72"/>
      <c r="K16" s="72"/>
      <c r="L16" s="75">
        <f t="shared" si="1"/>
        <v>1</v>
      </c>
      <c r="M16" s="12"/>
    </row>
    <row r="17" spans="1:13" s="15" customFormat="1" ht="31.95" customHeight="1" x14ac:dyDescent="0.3">
      <c r="A17" s="12">
        <v>12</v>
      </c>
      <c r="B17" s="12">
        <v>10</v>
      </c>
      <c r="C17" s="12">
        <v>42</v>
      </c>
      <c r="D17" s="12">
        <v>268</v>
      </c>
      <c r="E17" s="12" t="str">
        <f t="shared" si="0"/>
        <v>10-42-268</v>
      </c>
      <c r="F17" s="64" t="str">
        <f>IFERROR(VLOOKUP(E17,'LISTA ITEMS (2)'!$E$2:$G$910,2,FALSE)," ")</f>
        <v>PATA ALUMINIO PARA ESTRUCTURA PLACA SOLAR ANGULO 30º</v>
      </c>
      <c r="G17" s="79" t="str">
        <f>IFERROR(VLOOKUP(E17,'LISTA ITEMS (2)'!$E$2:$G$910,3,FALSE)," ")</f>
        <v>UND</v>
      </c>
      <c r="H17" s="59">
        <v>6</v>
      </c>
      <c r="I17" s="12" t="s">
        <v>356</v>
      </c>
      <c r="J17" s="76">
        <v>46072</v>
      </c>
      <c r="K17" s="72">
        <v>1</v>
      </c>
      <c r="L17" s="75">
        <f t="shared" si="1"/>
        <v>5</v>
      </c>
      <c r="M17" s="12"/>
    </row>
    <row r="18" spans="1:13" s="15" customFormat="1" ht="31.95" customHeight="1" x14ac:dyDescent="0.3">
      <c r="A18" s="12">
        <v>13</v>
      </c>
      <c r="B18" s="12">
        <v>10</v>
      </c>
      <c r="C18" s="12">
        <v>15</v>
      </c>
      <c r="D18" s="12">
        <v>269</v>
      </c>
      <c r="E18" s="12" t="str">
        <f t="shared" si="0"/>
        <v>10-15-269</v>
      </c>
      <c r="F18" s="64" t="str">
        <f>IFERROR(VLOOKUP(E18,'LISTA ITEMS (2)'!$E$2:$G$910,2,FALSE)," ")</f>
        <v>BARRA ALUMINIO PARA ESTRUCTURA  3.60mt</v>
      </c>
      <c r="G18" s="79" t="str">
        <f>IFERROR(VLOOKUP(E18,'LISTA ITEMS (2)'!$E$2:$G$910,3,FALSE)," ")</f>
        <v>UND</v>
      </c>
      <c r="H18" s="59">
        <v>4</v>
      </c>
      <c r="I18" s="12" t="s">
        <v>356</v>
      </c>
      <c r="J18" s="76">
        <v>46072</v>
      </c>
      <c r="K18" s="72">
        <v>1</v>
      </c>
      <c r="L18" s="75">
        <f t="shared" si="1"/>
        <v>3</v>
      </c>
      <c r="M18" s="85"/>
    </row>
    <row r="19" spans="1:13" s="15" customFormat="1" ht="31.95" customHeight="1" x14ac:dyDescent="0.3">
      <c r="A19" s="12">
        <v>14</v>
      </c>
      <c r="B19" s="12">
        <v>13</v>
      </c>
      <c r="C19" s="12">
        <v>22</v>
      </c>
      <c r="D19" s="12">
        <v>184</v>
      </c>
      <c r="E19" s="12" t="str">
        <f t="shared" si="0"/>
        <v>13-22-184</v>
      </c>
      <c r="F19" s="64" t="str">
        <f>IFERROR(VLOOKUP(E19,'LISTA ITEMS (2)'!$E$2:$G$910,2,FALSE)," ")</f>
        <v>BRIDA P/EXTERIOR NEGRA</v>
      </c>
      <c r="G19" s="79" t="str">
        <f>IFERROR(VLOOKUP(E19,'LISTA ITEMS (2)'!$E$2:$G$910,3,FALSE)," ")</f>
        <v>UND</v>
      </c>
      <c r="H19" s="59">
        <v>100</v>
      </c>
      <c r="I19" s="12" t="s">
        <v>356</v>
      </c>
      <c r="J19" s="76"/>
      <c r="K19" s="72"/>
      <c r="L19" s="75">
        <f t="shared" si="1"/>
        <v>100</v>
      </c>
      <c r="M19" s="12"/>
    </row>
    <row r="20" spans="1:13" s="15" customFormat="1" ht="31.95" customHeight="1" x14ac:dyDescent="0.3">
      <c r="A20" s="12">
        <v>15</v>
      </c>
      <c r="B20" s="12">
        <v>13</v>
      </c>
      <c r="C20" s="12">
        <v>21</v>
      </c>
      <c r="D20" s="12">
        <v>181</v>
      </c>
      <c r="E20" s="12" t="str">
        <f t="shared" si="0"/>
        <v>13-21-181</v>
      </c>
      <c r="F20" s="64" t="str">
        <f>IFERROR(VLOOKUP(E20,'LISTA ITEMS (2)'!$E$2:$G$910,2,FALSE)," ")</f>
        <v>TACO P/BRIDA NEGRO</v>
      </c>
      <c r="G20" s="79" t="str">
        <f>IFERROR(VLOOKUP(E20,'LISTA ITEMS (2)'!$E$2:$G$910,3,FALSE)," ")</f>
        <v>UND</v>
      </c>
      <c r="H20" s="59">
        <v>100</v>
      </c>
      <c r="I20" s="12" t="s">
        <v>356</v>
      </c>
      <c r="J20" s="76"/>
      <c r="K20" s="72"/>
      <c r="L20" s="75">
        <f t="shared" si="1"/>
        <v>100</v>
      </c>
      <c r="M20" s="12"/>
    </row>
    <row r="21" spans="1:13" s="15" customFormat="1" ht="31.95" customHeight="1" x14ac:dyDescent="0.3">
      <c r="A21" s="12">
        <v>16</v>
      </c>
      <c r="B21" s="30">
        <v>10</v>
      </c>
      <c r="C21" s="30">
        <v>37</v>
      </c>
      <c r="D21" s="30">
        <v>232</v>
      </c>
      <c r="E21" s="12" t="str">
        <f t="shared" si="0"/>
        <v>10-37-232</v>
      </c>
      <c r="F21" s="64" t="str">
        <f>IFERROR(VLOOKUP(E21,'LISTA ITEMS (2)'!$E$2:$G$910,2,FALSE)," ")</f>
        <v>SOPORTE CENTRAL NEGRO</v>
      </c>
      <c r="G21" s="79" t="str">
        <f>IFERROR(VLOOKUP(E21,'LISTA ITEMS (2)'!$E$2:$G$910,3,FALSE)," ")</f>
        <v>UND</v>
      </c>
      <c r="H21" s="59">
        <v>35</v>
      </c>
      <c r="I21" s="12" t="s">
        <v>356</v>
      </c>
      <c r="J21" s="76">
        <v>46072</v>
      </c>
      <c r="K21" s="72">
        <v>15</v>
      </c>
      <c r="L21" s="75">
        <v>1</v>
      </c>
      <c r="M21" s="12"/>
    </row>
    <row r="22" spans="1:13" s="15" customFormat="1" ht="31.95" customHeight="1" x14ac:dyDescent="0.3">
      <c r="A22" s="12">
        <v>17</v>
      </c>
      <c r="B22" s="12">
        <v>10</v>
      </c>
      <c r="C22" s="12">
        <v>37</v>
      </c>
      <c r="D22" s="12">
        <v>315</v>
      </c>
      <c r="E22" s="12" t="str">
        <f t="shared" si="0"/>
        <v>10-37-315</v>
      </c>
      <c r="F22" s="64" t="str">
        <f>IFERROR(VLOOKUP(E22,'LISTA ITEMS (2)'!$E$2:$G$910,2,FALSE)," ")</f>
        <v>SOPORTE FINAL NEGRO</v>
      </c>
      <c r="G22" s="79" t="str">
        <f>IFERROR(VLOOKUP(E22,'LISTA ITEMS (2)'!$E$2:$G$910,3,FALSE)," ")</f>
        <v>UND</v>
      </c>
      <c r="H22" s="59">
        <v>20</v>
      </c>
      <c r="I22" s="12" t="s">
        <v>356</v>
      </c>
      <c r="J22" s="76">
        <v>46072</v>
      </c>
      <c r="K22" s="72">
        <v>5</v>
      </c>
      <c r="L22" s="75">
        <f t="shared" si="1"/>
        <v>15</v>
      </c>
      <c r="M22" s="12"/>
    </row>
    <row r="23" spans="1:13" s="15" customFormat="1" ht="31.95" customHeight="1" x14ac:dyDescent="0.3">
      <c r="A23" s="12">
        <v>18</v>
      </c>
      <c r="B23" s="12">
        <v>17</v>
      </c>
      <c r="C23" s="12">
        <v>44</v>
      </c>
      <c r="D23" s="12">
        <v>271</v>
      </c>
      <c r="E23" s="12" t="str">
        <f t="shared" si="0"/>
        <v>17-44-271</v>
      </c>
      <c r="F23" s="64" t="str">
        <f>IFERROR(VLOOKUP(E23,'LISTA ITEMS (2)'!$E$2:$G$910,2,FALSE)," ")</f>
        <v>SELLANTE QUIMICO BLANCO</v>
      </c>
      <c r="G23" s="79" t="str">
        <f>IFERROR(VLOOKUP(E23,'LISTA ITEMS (2)'!$E$2:$G$910,3,FALSE)," ")</f>
        <v>UND</v>
      </c>
      <c r="H23" s="59">
        <v>1</v>
      </c>
      <c r="I23" s="12" t="s">
        <v>356</v>
      </c>
      <c r="J23" s="72"/>
      <c r="K23" s="72"/>
      <c r="L23" s="75">
        <f t="shared" si="1"/>
        <v>1</v>
      </c>
      <c r="M23" s="12"/>
    </row>
    <row r="24" spans="1:13" s="15" customFormat="1" ht="31.95" customHeight="1" x14ac:dyDescent="0.3">
      <c r="A24" s="12">
        <v>19</v>
      </c>
      <c r="B24" s="12">
        <v>17</v>
      </c>
      <c r="C24" s="12">
        <v>44</v>
      </c>
      <c r="D24" s="12">
        <v>272</v>
      </c>
      <c r="E24" s="12" t="str">
        <f t="shared" si="0"/>
        <v>17-44-272</v>
      </c>
      <c r="F24" s="64" t="str">
        <f>IFERROR(VLOOKUP(E24,'LISTA ITEMS (2)'!$E$2:$G$910,2,FALSE)," ")</f>
        <v>SELLANTE QUIMICO GRIS</v>
      </c>
      <c r="G24" s="79" t="str">
        <f>IFERROR(VLOOKUP(E24,'LISTA ITEMS (2)'!$E$2:$G$910,3,FALSE)," ")</f>
        <v>UND</v>
      </c>
      <c r="H24" s="59">
        <v>1</v>
      </c>
      <c r="I24" s="12" t="s">
        <v>356</v>
      </c>
      <c r="J24" s="72"/>
      <c r="K24" s="72"/>
      <c r="L24" s="75">
        <f t="shared" si="1"/>
        <v>1</v>
      </c>
      <c r="M24" s="12"/>
    </row>
    <row r="25" spans="1:13" s="15" customFormat="1" ht="31.95" customHeight="1" x14ac:dyDescent="0.3">
      <c r="A25" s="12">
        <v>20</v>
      </c>
      <c r="B25" s="12">
        <v>7</v>
      </c>
      <c r="C25" s="12">
        <v>38</v>
      </c>
      <c r="D25" s="12">
        <v>247</v>
      </c>
      <c r="E25" s="12" t="str">
        <f t="shared" si="0"/>
        <v>7-38-247</v>
      </c>
      <c r="F25" s="64" t="str">
        <f>IFERROR(VLOOKUP(E25,'LISTA ITEMS (2)'!$E$2:$G$910,2,FALSE)," ")</f>
        <v>PLACA SOLAR JAM60D42-535LB 535W / 44.13V</v>
      </c>
      <c r="G25" s="79" t="str">
        <f>IFERROR(VLOOKUP(E25,'LISTA ITEMS (2)'!$E$2:$G$910,3,FALSE)," ")</f>
        <v>UND</v>
      </c>
      <c r="H25" s="59">
        <v>6</v>
      </c>
      <c r="I25" s="12" t="s">
        <v>356</v>
      </c>
      <c r="J25" s="72"/>
      <c r="K25" s="72"/>
      <c r="L25" s="75">
        <f t="shared" si="1"/>
        <v>6</v>
      </c>
      <c r="M25" s="3"/>
    </row>
    <row r="26" spans="1:13" s="15" customFormat="1" ht="31.95" customHeight="1" x14ac:dyDescent="0.3">
      <c r="A26" s="12">
        <v>21</v>
      </c>
      <c r="B26" s="12">
        <v>8</v>
      </c>
      <c r="C26" s="12">
        <v>27</v>
      </c>
      <c r="D26" s="12">
        <v>203</v>
      </c>
      <c r="E26" s="12" t="str">
        <f t="shared" si="0"/>
        <v>8-27-203</v>
      </c>
      <c r="F26" s="64" t="str">
        <f>IFERROR(VLOOKUP(E26,'LISTA ITEMS (2)'!$E$2:$G$910,2,FALSE)," ")</f>
        <v>TORNILLO A/GALVANIZADO CON C/HEZAGONAL, R/COMPLETA, C/ARANDELA Y AUTOTALADRANTE 6.3X90</v>
      </c>
      <c r="G26" s="79" t="str">
        <f>IFERROR(VLOOKUP(E26,'LISTA ITEMS (2)'!$E$2:$G$910,3,FALSE)," ")</f>
        <v>UND</v>
      </c>
      <c r="H26" s="59">
        <v>100</v>
      </c>
      <c r="I26" s="12" t="s">
        <v>356</v>
      </c>
      <c r="J26" s="76">
        <v>46072</v>
      </c>
      <c r="K26" s="72">
        <v>100</v>
      </c>
      <c r="L26" s="75">
        <f t="shared" si="1"/>
        <v>0</v>
      </c>
      <c r="M26" s="12"/>
    </row>
    <row r="27" spans="1:13" s="15" customFormat="1" ht="31.95" customHeight="1" x14ac:dyDescent="0.3">
      <c r="A27" s="12">
        <v>22</v>
      </c>
      <c r="B27" s="12">
        <v>7</v>
      </c>
      <c r="C27" s="12">
        <v>35</v>
      </c>
      <c r="D27" s="12">
        <v>327</v>
      </c>
      <c r="E27" s="12" t="str">
        <f t="shared" si="0"/>
        <v>7-35-327</v>
      </c>
      <c r="F27" s="64" t="str">
        <f>IFERROR(VLOOKUP(E27,'LISTA ITEMS (2)'!$E$2:$G$910,2,FALSE)," ")</f>
        <v xml:space="preserve">INVERSOR 48/5000/70-50-230V MULTIPLUS (VICTROM ENERGY)  </v>
      </c>
      <c r="G27" s="79" t="str">
        <f>IFERROR(VLOOKUP(E27,'LISTA ITEMS (2)'!$E$2:$G$910,3,FALSE)," ")</f>
        <v>UND</v>
      </c>
      <c r="H27" s="59">
        <v>1</v>
      </c>
      <c r="I27" s="12" t="s">
        <v>356</v>
      </c>
      <c r="J27" s="76"/>
      <c r="K27" s="72"/>
      <c r="L27" s="75">
        <f t="shared" si="1"/>
        <v>1</v>
      </c>
      <c r="M27" s="12" t="s">
        <v>776</v>
      </c>
    </row>
    <row r="28" spans="1:13" s="15" customFormat="1" ht="31.95" customHeight="1" x14ac:dyDescent="0.3">
      <c r="A28" s="12">
        <v>23</v>
      </c>
      <c r="B28" s="12">
        <v>7</v>
      </c>
      <c r="C28" s="12">
        <v>36</v>
      </c>
      <c r="D28" s="12">
        <v>231</v>
      </c>
      <c r="E28" s="12" t="str">
        <f t="shared" si="0"/>
        <v>7-36-231</v>
      </c>
      <c r="F28" s="64" t="str">
        <f>IFERROR(VLOOKUP(E28,'LISTA ITEMS (2)'!$E$2:$G$910,2,FALSE)," ")</f>
        <v>CONTROLADOR SMART SOLAR MPPT 250/100-TR VICTROM ENERGY</v>
      </c>
      <c r="G28" s="79" t="str">
        <f>IFERROR(VLOOKUP(E28,'LISTA ITEMS (2)'!$E$2:$G$910,3,FALSE)," ")</f>
        <v>UND</v>
      </c>
      <c r="H28" s="59">
        <v>2</v>
      </c>
      <c r="I28" s="12" t="s">
        <v>356</v>
      </c>
      <c r="J28" s="76">
        <v>46072</v>
      </c>
      <c r="K28" s="72">
        <v>2</v>
      </c>
      <c r="L28" s="75">
        <f t="shared" si="1"/>
        <v>0</v>
      </c>
      <c r="M28" s="3" t="s">
        <v>777</v>
      </c>
    </row>
    <row r="29" spans="1:13" s="15" customFormat="1" ht="18" x14ac:dyDescent="0.3">
      <c r="A29" s="12">
        <v>24</v>
      </c>
      <c r="B29" s="12">
        <v>3</v>
      </c>
      <c r="C29" s="12">
        <v>31</v>
      </c>
      <c r="D29" s="12">
        <v>277</v>
      </c>
      <c r="E29" s="12" t="str">
        <f t="shared" si="0"/>
        <v>3-31-277</v>
      </c>
      <c r="F29" s="64" t="str">
        <f>IFERROR(VLOOKUP(E29,'LISTA ITEMS (2)'!$E$2:$G$910,2,FALSE)," ")</f>
        <v>CABLE Nª 6 P/PLACA SOLAR NEGRO</v>
      </c>
      <c r="G29" s="79" t="str">
        <f>IFERROR(VLOOKUP(E29,'LISTA ITEMS (2)'!$E$2:$G$910,3,FALSE)," ")</f>
        <v>MT</v>
      </c>
      <c r="H29" s="59">
        <v>30</v>
      </c>
      <c r="I29" s="12" t="s">
        <v>356</v>
      </c>
      <c r="J29" s="76"/>
      <c r="K29" s="72"/>
      <c r="L29" s="75">
        <f t="shared" si="1"/>
        <v>30</v>
      </c>
      <c r="M29" s="84"/>
    </row>
    <row r="30" spans="1:13" s="15" customFormat="1" ht="31.95" customHeight="1" x14ac:dyDescent="0.3">
      <c r="A30" s="12">
        <v>25</v>
      </c>
      <c r="B30" s="12">
        <v>3</v>
      </c>
      <c r="C30" s="12">
        <v>31</v>
      </c>
      <c r="D30" s="12">
        <v>278</v>
      </c>
      <c r="E30" s="12" t="str">
        <f t="shared" si="0"/>
        <v>3-31-278</v>
      </c>
      <c r="F30" s="64" t="str">
        <f>IFERROR(VLOOKUP(E30,'LISTA ITEMS (2)'!$E$2:$G$910,2,FALSE)," ")</f>
        <v>CABLE Nª 6 P/PLACA SOLAR ROJO</v>
      </c>
      <c r="G30" s="79" t="str">
        <f>IFERROR(VLOOKUP(E30,'LISTA ITEMS (2)'!$E$2:$G$910,3,FALSE)," ")</f>
        <v>MT</v>
      </c>
      <c r="H30" s="59">
        <v>25</v>
      </c>
      <c r="I30" s="12" t="s">
        <v>356</v>
      </c>
      <c r="J30" s="76"/>
      <c r="K30" s="72"/>
      <c r="L30" s="75">
        <f t="shared" si="1"/>
        <v>25</v>
      </c>
      <c r="M30" s="12"/>
    </row>
    <row r="31" spans="1:13" s="15" customFormat="1" ht="31.95" customHeight="1" x14ac:dyDescent="0.3">
      <c r="A31" s="12">
        <v>26</v>
      </c>
      <c r="B31" s="12">
        <v>7</v>
      </c>
      <c r="C31" s="12">
        <v>54</v>
      </c>
      <c r="D31" s="12">
        <v>295</v>
      </c>
      <c r="E31" s="12" t="str">
        <f t="shared" si="0"/>
        <v>7-54-295</v>
      </c>
      <c r="F31" s="64" t="str">
        <f>IFERROR(VLOOKUP(E31,'LISTA ITEMS (2)'!$E$2:$G$910,2,FALSE)," ")</f>
        <v>BATERIA LFP LITHIUM DL5.OC (DYNESS)</v>
      </c>
      <c r="G31" s="79" t="str">
        <f>IFERROR(VLOOKUP(E31,'LISTA ITEMS (2)'!$E$2:$G$910,3,FALSE)," ")</f>
        <v>UND</v>
      </c>
      <c r="H31" s="59">
        <v>2</v>
      </c>
      <c r="I31" s="12" t="s">
        <v>356</v>
      </c>
      <c r="J31" s="76"/>
      <c r="K31" s="72"/>
      <c r="L31" s="75">
        <f t="shared" si="1"/>
        <v>2</v>
      </c>
      <c r="M31" s="195" t="s">
        <v>778</v>
      </c>
    </row>
    <row r="32" spans="1:13" s="15" customFormat="1" ht="31.95" customHeight="1" x14ac:dyDescent="0.3">
      <c r="A32" s="12">
        <v>27</v>
      </c>
      <c r="B32" s="12">
        <v>16</v>
      </c>
      <c r="C32" s="12">
        <v>76</v>
      </c>
      <c r="D32" s="12">
        <v>397</v>
      </c>
      <c r="E32" s="12" t="str">
        <f t="shared" si="0"/>
        <v>16-76-397</v>
      </c>
      <c r="F32" s="64" t="str">
        <f>IFERROR(VLOOKUP(E32,'LISTA ITEMS (2)'!$E$2:$G$910,2,FALSE)," ")</f>
        <v>RACK MURAL S.ABI1260 12U 635X600X600mm</v>
      </c>
      <c r="G32" s="79" t="str">
        <f>IFERROR(VLOOKUP(E32,'LISTA ITEMS (2)'!$E$2:$G$910,3,FALSE)," ")</f>
        <v>UND</v>
      </c>
      <c r="H32" s="59">
        <v>1</v>
      </c>
      <c r="I32" s="12" t="s">
        <v>356</v>
      </c>
      <c r="J32" s="76"/>
      <c r="K32" s="72"/>
      <c r="L32" s="75">
        <f t="shared" si="1"/>
        <v>1</v>
      </c>
      <c r="M32" s="3"/>
    </row>
    <row r="33" spans="1:13" s="15" customFormat="1" ht="31.95" customHeight="1" x14ac:dyDescent="0.3">
      <c r="A33" s="12">
        <v>28</v>
      </c>
      <c r="B33" s="12">
        <v>16</v>
      </c>
      <c r="C33" s="12">
        <v>60</v>
      </c>
      <c r="D33" s="12">
        <v>324</v>
      </c>
      <c r="E33" s="12" t="str">
        <f t="shared" si="0"/>
        <v>16-60-324</v>
      </c>
      <c r="F33" s="64" t="str">
        <f>IFERROR(VLOOKUP(E33,'LISTA ITEMS (2)'!$E$2:$G$910,2,FALSE)," ")</f>
        <v>REGLETA CONEXIÓN ELECTRICA 35mm NEGRA 12Puntos</v>
      </c>
      <c r="G33" s="79" t="str">
        <f>IFERROR(VLOOKUP(E33,'LISTA ITEMS (2)'!$E$2:$G$910,3,FALSE)," ")</f>
        <v>UND</v>
      </c>
      <c r="H33" s="59">
        <v>1</v>
      </c>
      <c r="I33" s="12" t="s">
        <v>356</v>
      </c>
      <c r="J33" s="72"/>
      <c r="K33" s="72"/>
      <c r="L33" s="75">
        <f t="shared" si="1"/>
        <v>1</v>
      </c>
      <c r="M33" s="12"/>
    </row>
    <row r="34" spans="1:13" s="15" customFormat="1" ht="31.95" customHeight="1" x14ac:dyDescent="0.3">
      <c r="A34" s="12">
        <v>29</v>
      </c>
      <c r="B34" s="12">
        <v>4</v>
      </c>
      <c r="C34" s="12">
        <v>15</v>
      </c>
      <c r="D34" s="12">
        <v>267</v>
      </c>
      <c r="E34" s="12" t="str">
        <f t="shared" si="0"/>
        <v>4-15-267</v>
      </c>
      <c r="F34" s="64" t="str">
        <f>IFERROR(VLOOKUP(E34,'LISTA ITEMS (2)'!$E$2:$G$910,2,FALSE)," ")</f>
        <v>BARRA PERFORADA PARA REFUERZO 20X10X2MT GALV.</v>
      </c>
      <c r="G34" s="79" t="str">
        <f>IFERROR(VLOOKUP(E34,'LISTA ITEMS (2)'!$E$2:$G$910,3,FALSE)," ")</f>
        <v>UND</v>
      </c>
      <c r="H34" s="59">
        <v>12</v>
      </c>
      <c r="I34" s="12" t="s">
        <v>356</v>
      </c>
      <c r="J34" s="76">
        <v>46072</v>
      </c>
      <c r="K34" s="72">
        <v>6</v>
      </c>
      <c r="L34" s="75">
        <f t="shared" si="1"/>
        <v>6</v>
      </c>
      <c r="M34" s="12"/>
    </row>
    <row r="35" spans="1:13" s="15" customFormat="1" ht="31.95" customHeight="1" x14ac:dyDescent="0.3">
      <c r="A35" s="12">
        <v>30</v>
      </c>
      <c r="B35" s="12">
        <v>4</v>
      </c>
      <c r="C35" s="12">
        <v>15</v>
      </c>
      <c r="D35" s="12">
        <v>326</v>
      </c>
      <c r="E35" s="12" t="str">
        <f t="shared" si="0"/>
        <v>4-15-326</v>
      </c>
      <c r="F35" s="64" t="str">
        <f>IFERROR(VLOOKUP(E35,'LISTA ITEMS (2)'!$E$2:$G$910,2,FALSE)," ")</f>
        <v>BARRA PERFORADA PARA REFUERZO 27x18x2MT GALV.</v>
      </c>
      <c r="G35" s="79" t="str">
        <f>IFERROR(VLOOKUP(E35,'LISTA ITEMS (2)'!$E$2:$G$910,3,FALSE)," ")</f>
        <v>UND</v>
      </c>
      <c r="H35" s="59">
        <v>1</v>
      </c>
      <c r="I35" s="12" t="s">
        <v>356</v>
      </c>
      <c r="J35" s="76"/>
      <c r="K35" s="72"/>
      <c r="L35" s="75">
        <f t="shared" si="1"/>
        <v>1</v>
      </c>
      <c r="M35" s="12"/>
    </row>
    <row r="36" spans="1:13" s="15" customFormat="1" ht="31.95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C9EC-7EB1-44B4-8916-59AD374999A9}">
  <sheetPr>
    <tabColor rgb="FF92D050"/>
  </sheetPr>
  <dimension ref="A1:M40"/>
  <sheetViews>
    <sheetView zoomScale="85" zoomScaleNormal="85" workbookViewId="0">
      <pane ySplit="5" topLeftCell="A6" activePane="bottomLeft" state="frozen"/>
      <selection pane="bottomLeft" activeCell="M4" sqref="M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20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780</v>
      </c>
      <c r="D2" s="283"/>
      <c r="E2" s="283"/>
      <c r="F2" s="291"/>
      <c r="G2" s="292" t="s">
        <v>355</v>
      </c>
      <c r="H2" s="290"/>
      <c r="I2" s="62">
        <v>20</v>
      </c>
      <c r="J2" s="69"/>
      <c r="K2" s="110" t="s">
        <v>554</v>
      </c>
      <c r="L2" s="110" t="s">
        <v>126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781</v>
      </c>
      <c r="D3" s="314"/>
      <c r="E3" s="68"/>
      <c r="F3" s="61" t="s">
        <v>353</v>
      </c>
      <c r="G3" s="295" t="s">
        <v>369</v>
      </c>
      <c r="H3" s="296"/>
      <c r="I3" s="127">
        <v>46071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782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47</v>
      </c>
      <c r="D6" s="12">
        <v>318</v>
      </c>
      <c r="E6" s="12" t="str">
        <f>CONCATENATE(B6,"-",C6,"-",D6)</f>
        <v>16-47-318</v>
      </c>
      <c r="F6" s="64" t="str">
        <f>IFERROR(VLOOKUP(E6,'LISTA ITEMS (2)'!$E$2:$G$910,2,FALSE)," ")</f>
        <v>DIFERENCIAL EPR2A040030 2P-40A-30mA (MAXGE)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94"/>
    </row>
    <row r="7" spans="1:13" s="15" customFormat="1" ht="31.95" customHeight="1" x14ac:dyDescent="0.3">
      <c r="A7" s="12">
        <v>2</v>
      </c>
      <c r="B7" s="12"/>
      <c r="C7" s="12"/>
      <c r="D7" s="12"/>
      <c r="E7" s="12" t="str">
        <f t="shared" ref="E7:E38" si="0">CONCATENATE(B7,"-",C7,"-",D7)</f>
        <v>--</v>
      </c>
      <c r="F7" s="64">
        <f>IFERROR(VLOOKUP(E7,'LISTA ITEMS (2)'!$E$2:$G$910,2,FALSE)," ")</f>
        <v>0</v>
      </c>
      <c r="G7" s="79">
        <f>IFERROR(VLOOKUP(E7,'LISTA ITEMS (2)'!$E$2:$G$910,3,FALSE)," ")</f>
        <v>0</v>
      </c>
      <c r="H7" s="59"/>
      <c r="I7" s="12" t="s">
        <v>356</v>
      </c>
      <c r="J7" s="76"/>
      <c r="K7" s="72"/>
      <c r="L7" s="75">
        <f t="shared" ref="L7:L37" si="1">+H7-K7</f>
        <v>0</v>
      </c>
      <c r="M7" s="85"/>
    </row>
    <row r="8" spans="1:13" s="15" customFormat="1" ht="31.95" customHeight="1" x14ac:dyDescent="0.3">
      <c r="A8" s="12">
        <v>3</v>
      </c>
      <c r="B8" s="12"/>
      <c r="C8" s="12"/>
      <c r="D8" s="12"/>
      <c r="E8" s="12" t="str">
        <f t="shared" si="0"/>
        <v>--</v>
      </c>
      <c r="F8" s="64">
        <f>IFERROR(VLOOKUP(E8,'LISTA ITEMS (2)'!$E$2:$G$910,2,FALSE)," ")</f>
        <v>0</v>
      </c>
      <c r="G8" s="79">
        <f>IFERROR(VLOOKUP(E8,'LISTA ITEMS (2)'!$E$2:$G$910,3,FALSE)," ")</f>
        <v>0</v>
      </c>
      <c r="H8" s="59"/>
      <c r="I8" s="12" t="s">
        <v>356</v>
      </c>
      <c r="J8" s="76"/>
      <c r="K8" s="72"/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/>
      <c r="C9" s="12"/>
      <c r="D9" s="12"/>
      <c r="E9" s="12" t="str">
        <f t="shared" si="0"/>
        <v>--</v>
      </c>
      <c r="F9" s="64">
        <f>IFERROR(VLOOKUP(E9,'LISTA ITEMS (2)'!$E$2:$G$910,2,FALSE)," ")</f>
        <v>0</v>
      </c>
      <c r="G9" s="79">
        <f>IFERROR(VLOOKUP(E9,'LISTA ITEMS (2)'!$E$2:$G$910,3,FALSE)," ")</f>
        <v>0</v>
      </c>
      <c r="H9" s="59"/>
      <c r="I9" s="12" t="s">
        <v>356</v>
      </c>
      <c r="J9" s="76"/>
      <c r="K9" s="72"/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/>
      <c r="C10" s="12"/>
      <c r="D10" s="12"/>
      <c r="E10" s="12" t="str">
        <f t="shared" si="0"/>
        <v>--</v>
      </c>
      <c r="F10" s="64">
        <f>IFERROR(VLOOKUP(E10,'LISTA ITEMS (2)'!$E$2:$G$910,2,FALSE)," ")</f>
        <v>0</v>
      </c>
      <c r="G10" s="79">
        <f>IFERROR(VLOOKUP(E10,'LISTA ITEMS (2)'!$E$2:$G$910,3,FALSE)," ")</f>
        <v>0</v>
      </c>
      <c r="H10" s="59"/>
      <c r="I10" s="12" t="s">
        <v>356</v>
      </c>
      <c r="J10" s="76"/>
      <c r="K10" s="72"/>
      <c r="L10" s="75">
        <f t="shared" si="1"/>
        <v>0</v>
      </c>
      <c r="M10" s="3"/>
    </row>
    <row r="11" spans="1:13" s="15" customFormat="1" ht="31.95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59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59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59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59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30"/>
      <c r="C21" s="30"/>
      <c r="D21" s="30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128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3"/>
    </row>
    <row r="26" spans="1:13" s="15" customFormat="1" ht="31.95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3"/>
    </row>
    <row r="29" spans="1:13" s="15" customFormat="1" ht="18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95"/>
    </row>
    <row r="32" spans="1:13" s="15" customFormat="1" ht="31.95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6FDD-F286-44A3-A0AD-BB18C3C1A517}">
  <sheetPr>
    <tabColor rgb="FF92D050"/>
  </sheetPr>
  <dimension ref="A1:M40"/>
  <sheetViews>
    <sheetView zoomScale="85" zoomScaleNormal="85" workbookViewId="0">
      <pane ySplit="5" topLeftCell="A12" activePane="bottomLeft" state="frozen"/>
      <selection pane="bottomLeft" activeCell="L2" sqref="L2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21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800</v>
      </c>
      <c r="D2" s="283"/>
      <c r="E2" s="283"/>
      <c r="F2" s="291"/>
      <c r="G2" s="292" t="s">
        <v>355</v>
      </c>
      <c r="H2" s="290"/>
      <c r="I2" s="62">
        <v>21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471</v>
      </c>
      <c r="D3" s="314"/>
      <c r="E3" s="68"/>
      <c r="F3" s="61" t="s">
        <v>353</v>
      </c>
      <c r="G3" s="295" t="s">
        <v>369</v>
      </c>
      <c r="H3" s="296"/>
      <c r="I3" s="127">
        <v>46072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799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7</v>
      </c>
      <c r="C6" s="12">
        <v>35</v>
      </c>
      <c r="D6" s="12">
        <v>327</v>
      </c>
      <c r="E6" s="12" t="str">
        <f>CONCATENATE(B6,"-",C6,"-",D6)</f>
        <v>7-35-327</v>
      </c>
      <c r="F6" s="64" t="str">
        <f>IFERROR(VLOOKUP(E6,'LISTA ITEMS (2)'!$E$2:$G$910,2,FALSE)," ")</f>
        <v xml:space="preserve">INVERSOR 48/5000/70-50-230V MULTIPLUS (VICTROM ENERGY)  </v>
      </c>
      <c r="G6" s="79" t="str">
        <f>IFERROR(VLOOKUP(E6,'LISTA ITEMS (2)'!$E$2:$G$910,3,FALSE)," ")</f>
        <v>UND</v>
      </c>
      <c r="H6" s="59">
        <v>1</v>
      </c>
      <c r="I6" s="12" t="s">
        <v>356</v>
      </c>
      <c r="J6" s="76"/>
      <c r="K6" s="72"/>
      <c r="L6" s="75">
        <f>+H6-K6</f>
        <v>1</v>
      </c>
      <c r="M6" s="194" t="s">
        <v>783</v>
      </c>
    </row>
    <row r="7" spans="1:13" s="15" customFormat="1" ht="31.95" customHeight="1" x14ac:dyDescent="0.3">
      <c r="A7" s="12">
        <v>2</v>
      </c>
      <c r="B7" s="12">
        <v>10</v>
      </c>
      <c r="C7" s="12">
        <v>37</v>
      </c>
      <c r="D7" s="12">
        <v>330</v>
      </c>
      <c r="E7" s="12" t="str">
        <f t="shared" ref="E7:E38" si="0">CONCATENATE(B7,"-",C7,"-",D7)</f>
        <v>10-37-330</v>
      </c>
      <c r="F7" s="64" t="str">
        <f>IFERROR(VLOOKUP(E7,'LISTA ITEMS (2)'!$E$2:$G$910,2,FALSE)," ")</f>
        <v>SOPORTE EN L ALUMINIO GRIS</v>
      </c>
      <c r="G7" s="79" t="str">
        <f>IFERROR(VLOOKUP(E7,'LISTA ITEMS (2)'!$E$2:$G$910,3,FALSE)," ")</f>
        <v>UND</v>
      </c>
      <c r="H7" s="59">
        <v>20</v>
      </c>
      <c r="I7" s="12" t="s">
        <v>356</v>
      </c>
      <c r="J7" s="76"/>
      <c r="K7" s="72"/>
      <c r="L7" s="75">
        <f t="shared" ref="L7:L37" si="1">+H7-K7</f>
        <v>20</v>
      </c>
      <c r="M7" s="85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232</v>
      </c>
      <c r="E8" s="12" t="str">
        <f t="shared" si="0"/>
        <v>10-37-232</v>
      </c>
      <c r="F8" s="64" t="str">
        <f>IFERROR(VLOOKUP(E8,'LISTA ITEMS (2)'!$E$2:$G$910,2,FALSE)," ")</f>
        <v>SOPORTE CENTRAL NEGRO</v>
      </c>
      <c r="G8" s="79" t="str">
        <f>IFERROR(VLOOKUP(E8,'LISTA ITEMS (2)'!$E$2:$G$910,3,FALSE)," ")</f>
        <v>UND</v>
      </c>
      <c r="H8" s="59">
        <v>20</v>
      </c>
      <c r="I8" s="12" t="s">
        <v>356</v>
      </c>
      <c r="J8" s="76"/>
      <c r="K8" s="72"/>
      <c r="L8" s="75">
        <f t="shared" si="1"/>
        <v>20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315</v>
      </c>
      <c r="E9" s="12" t="str">
        <f t="shared" si="0"/>
        <v>10-37-315</v>
      </c>
      <c r="F9" s="64" t="str">
        <f>IFERROR(VLOOKUP(E9,'LISTA ITEMS (2)'!$E$2:$G$910,2,FALSE)," ")</f>
        <v>SOPORTE FINAL NEGRO</v>
      </c>
      <c r="G9" s="79" t="str">
        <f>IFERROR(VLOOKUP(E9,'LISTA ITEMS (2)'!$E$2:$G$910,3,FALSE)," ")</f>
        <v>UND</v>
      </c>
      <c r="H9" s="59">
        <v>16</v>
      </c>
      <c r="I9" s="12" t="s">
        <v>356</v>
      </c>
      <c r="J9" s="76"/>
      <c r="K9" s="72"/>
      <c r="L9" s="75">
        <f t="shared" si="1"/>
        <v>16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43</v>
      </c>
      <c r="D10" s="12">
        <v>270</v>
      </c>
      <c r="E10" s="12" t="str">
        <f t="shared" si="0"/>
        <v>10-43-270</v>
      </c>
      <c r="F10" s="64" t="str">
        <f>IFERROR(VLOOKUP(E10,'LISTA ITEMS (2)'!$E$2:$G$910,2,FALSE)," ")</f>
        <v>EMPALME ALUMINIO P/BARRA</v>
      </c>
      <c r="G10" s="79" t="str">
        <f>IFERROR(VLOOKUP(E10,'LISTA ITEMS (2)'!$E$2:$G$910,3,FALSE)," ")</f>
        <v>UND</v>
      </c>
      <c r="H10" s="59">
        <v>8</v>
      </c>
      <c r="I10" s="12" t="s">
        <v>356</v>
      </c>
      <c r="J10" s="76"/>
      <c r="K10" s="72"/>
      <c r="L10" s="75">
        <f t="shared" si="1"/>
        <v>8</v>
      </c>
      <c r="M10" s="3"/>
    </row>
    <row r="11" spans="1:13" s="15" customFormat="1" ht="31.95" customHeight="1" x14ac:dyDescent="0.3">
      <c r="A11" s="12">
        <v>6</v>
      </c>
      <c r="B11" s="12">
        <v>6</v>
      </c>
      <c r="C11" s="12">
        <v>23</v>
      </c>
      <c r="D11" s="12">
        <v>192</v>
      </c>
      <c r="E11" s="12" t="str">
        <f t="shared" si="0"/>
        <v>6-23-192</v>
      </c>
      <c r="F11" s="64" t="str">
        <f>IFERROR(VLOOKUP(E11,'LISTA ITEMS (2)'!$E$2:$G$910,2,FALSE)," ")</f>
        <v xml:space="preserve">CINTA ACERO PERFORADA PARA MONTAJE </v>
      </c>
      <c r="G11" s="79" t="str">
        <f>IFERROR(VLOOKUP(E11,'LISTA ITEMS (2)'!$E$2:$G$910,3,FALSE)," ")</f>
        <v>UND</v>
      </c>
      <c r="H11" s="59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10</v>
      </c>
      <c r="C12" s="12">
        <v>15</v>
      </c>
      <c r="D12" s="12">
        <v>269</v>
      </c>
      <c r="E12" s="12" t="str">
        <f t="shared" si="0"/>
        <v>10-15-269</v>
      </c>
      <c r="F12" s="64" t="str">
        <f>IFERROR(VLOOKUP(E12,'LISTA ITEMS (2)'!$E$2:$G$910,2,FALSE)," ")</f>
        <v>BARRA ALUMINIO PARA ESTRUCTURA  3.60mt</v>
      </c>
      <c r="G12" s="79" t="str">
        <f>IFERROR(VLOOKUP(E12,'LISTA ITEMS (2)'!$E$2:$G$910,3,FALSE)," ")</f>
        <v>UND</v>
      </c>
      <c r="H12" s="59">
        <v>5</v>
      </c>
      <c r="I12" s="12" t="s">
        <v>356</v>
      </c>
      <c r="J12" s="76">
        <v>46077</v>
      </c>
      <c r="K12" s="72">
        <v>2</v>
      </c>
      <c r="L12" s="75">
        <f t="shared" si="1"/>
        <v>3</v>
      </c>
      <c r="M12" s="12"/>
    </row>
    <row r="13" spans="1:13" s="15" customFormat="1" ht="31.95" customHeight="1" x14ac:dyDescent="0.3">
      <c r="A13" s="12">
        <v>8</v>
      </c>
      <c r="B13" s="12">
        <v>10</v>
      </c>
      <c r="C13" s="12">
        <v>42</v>
      </c>
      <c r="D13" s="12">
        <v>268</v>
      </c>
      <c r="E13" s="12" t="str">
        <f t="shared" si="0"/>
        <v>10-42-268</v>
      </c>
      <c r="F13" s="64" t="str">
        <f>IFERROR(VLOOKUP(E13,'LISTA ITEMS (2)'!$E$2:$G$910,2,FALSE)," ")</f>
        <v>PATA ALUMINIO PARA ESTRUCTURA PLACA SOLAR ANGULO 30º</v>
      </c>
      <c r="G13" s="79" t="str">
        <f>IFERROR(VLOOKUP(E13,'LISTA ITEMS (2)'!$E$2:$G$910,3,FALSE)," ")</f>
        <v>UND</v>
      </c>
      <c r="H13" s="59">
        <v>7</v>
      </c>
      <c r="I13" s="12" t="s">
        <v>356</v>
      </c>
      <c r="J13" s="76"/>
      <c r="K13" s="72"/>
      <c r="L13" s="75">
        <f t="shared" si="1"/>
        <v>7</v>
      </c>
      <c r="M13" s="12"/>
    </row>
    <row r="14" spans="1:13" s="15" customFormat="1" ht="31.95" customHeight="1" x14ac:dyDescent="0.3">
      <c r="A14" s="12">
        <v>9</v>
      </c>
      <c r="B14" s="12">
        <v>7</v>
      </c>
      <c r="C14" s="12">
        <v>38</v>
      </c>
      <c r="D14" s="12">
        <v>247</v>
      </c>
      <c r="E14" s="12" t="str">
        <f t="shared" si="0"/>
        <v>7-38-247</v>
      </c>
      <c r="F14" s="64" t="str">
        <f>IFERROR(VLOOKUP(E14,'LISTA ITEMS (2)'!$E$2:$G$910,2,FALSE)," ")</f>
        <v>PLACA SOLAR JAM60D42-535LB 535W / 44.13V</v>
      </c>
      <c r="G14" s="79" t="str">
        <f>IFERROR(VLOOKUP(E14,'LISTA ITEMS (2)'!$E$2:$G$910,3,FALSE)," ")</f>
        <v>UND</v>
      </c>
      <c r="H14" s="59">
        <v>8</v>
      </c>
      <c r="I14" s="12" t="s">
        <v>356</v>
      </c>
      <c r="J14" s="76"/>
      <c r="K14" s="72"/>
      <c r="L14" s="75">
        <f t="shared" si="1"/>
        <v>8</v>
      </c>
      <c r="M14" s="12"/>
    </row>
    <row r="15" spans="1:13" s="15" customFormat="1" ht="31.95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59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59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59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59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59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59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30"/>
      <c r="C21" s="30"/>
      <c r="D21" s="30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59"/>
      <c r="I21" s="12" t="s">
        <v>356</v>
      </c>
      <c r="J21" s="128"/>
      <c r="K21" s="72"/>
      <c r="L21" s="75">
        <v>1</v>
      </c>
      <c r="M21" s="12"/>
    </row>
    <row r="22" spans="1:13" s="15" customFormat="1" ht="31.95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59"/>
      <c r="I22" s="12" t="s">
        <v>356</v>
      </c>
      <c r="J22" s="72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59"/>
      <c r="I23" s="12" t="s">
        <v>356</v>
      </c>
      <c r="J23" s="72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59"/>
      <c r="I24" s="12" t="s">
        <v>356</v>
      </c>
      <c r="J24" s="72"/>
      <c r="K24" s="72"/>
      <c r="L24" s="75">
        <f t="shared" si="1"/>
        <v>0</v>
      </c>
      <c r="M24" s="12"/>
    </row>
    <row r="25" spans="1:13" s="15" customFormat="1" ht="31.95" customHeight="1" x14ac:dyDescent="0.3">
      <c r="A25" s="12">
        <v>20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59"/>
      <c r="I25" s="12" t="s">
        <v>356</v>
      </c>
      <c r="J25" s="72"/>
      <c r="K25" s="72"/>
      <c r="L25" s="75">
        <f t="shared" si="1"/>
        <v>0</v>
      </c>
      <c r="M25" s="3"/>
    </row>
    <row r="26" spans="1:13" s="15" customFormat="1" ht="31.95" customHeight="1" x14ac:dyDescent="0.3">
      <c r="A26" s="12">
        <v>21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59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22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59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23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59"/>
      <c r="I28" s="12" t="s">
        <v>356</v>
      </c>
      <c r="J28" s="76"/>
      <c r="K28" s="72"/>
      <c r="L28" s="75">
        <f t="shared" si="1"/>
        <v>0</v>
      </c>
      <c r="M28" s="3"/>
    </row>
    <row r="29" spans="1:13" s="15" customFormat="1" ht="18" x14ac:dyDescent="0.3">
      <c r="A29" s="12">
        <v>24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59"/>
      <c r="I29" s="12" t="s">
        <v>356</v>
      </c>
      <c r="J29" s="76"/>
      <c r="K29" s="72"/>
      <c r="L29" s="75">
        <f t="shared" si="1"/>
        <v>0</v>
      </c>
      <c r="M29" s="84"/>
    </row>
    <row r="30" spans="1:13" s="15" customFormat="1" ht="31.95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26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59"/>
      <c r="I31" s="12" t="s">
        <v>356</v>
      </c>
      <c r="J31" s="76"/>
      <c r="K31" s="72"/>
      <c r="L31" s="75">
        <f t="shared" si="1"/>
        <v>0</v>
      </c>
      <c r="M31" s="195"/>
    </row>
    <row r="32" spans="1:13" s="15" customFormat="1" ht="31.95" customHeight="1" x14ac:dyDescent="0.3">
      <c r="A32" s="12">
        <v>27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59"/>
      <c r="I32" s="12" t="s">
        <v>356</v>
      </c>
      <c r="J32" s="76"/>
      <c r="K32" s="72"/>
      <c r="L32" s="75">
        <f t="shared" si="1"/>
        <v>0</v>
      </c>
      <c r="M32" s="3"/>
    </row>
    <row r="33" spans="1:13" s="15" customFormat="1" ht="31.95" customHeight="1" x14ac:dyDescent="0.3">
      <c r="A33" s="12">
        <v>28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59"/>
      <c r="I33" s="12" t="s">
        <v>356</v>
      </c>
      <c r="J33" s="72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29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59"/>
      <c r="I34" s="12" t="s">
        <v>356</v>
      </c>
      <c r="J34" s="72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30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59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31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59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32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59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33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59"/>
      <c r="I38" s="12"/>
      <c r="J38" s="76"/>
      <c r="K38" s="72"/>
      <c r="L38" s="75"/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D293-467F-4095-A005-B01814849226}">
  <sheetPr>
    <tabColor rgb="FF92D050"/>
  </sheetPr>
  <dimension ref="A1:M32"/>
  <sheetViews>
    <sheetView zoomScale="85" zoomScaleNormal="85" workbookViewId="0">
      <pane ySplit="5" topLeftCell="A6" activePane="bottomLeft" state="frozen"/>
      <selection pane="bottomLeft" activeCell="G8" sqref="G8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22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802</v>
      </c>
      <c r="D2" s="283"/>
      <c r="E2" s="283"/>
      <c r="F2" s="291"/>
      <c r="G2" s="292" t="s">
        <v>355</v>
      </c>
      <c r="H2" s="290"/>
      <c r="I2" s="62">
        <v>22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787</v>
      </c>
      <c r="D3" s="314"/>
      <c r="E3" s="68"/>
      <c r="F3" s="61" t="s">
        <v>353</v>
      </c>
      <c r="G3" s="295" t="s">
        <v>369</v>
      </c>
      <c r="H3" s="296"/>
      <c r="I3" s="127">
        <v>46072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801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37</v>
      </c>
      <c r="D6" s="12">
        <v>330</v>
      </c>
      <c r="E6" s="12" t="str">
        <f t="shared" ref="E6:E30" si="0">CONCATENATE(B6,"-",C6,"-",D6)</f>
        <v>10-37-330</v>
      </c>
      <c r="F6" s="64" t="str">
        <f>IFERROR(VLOOKUP(E6,'LISTA ITEMS (2)'!$E$2:$G$910,2,FALSE)," ")</f>
        <v>SOPORTE EN L ALUMINIO GRIS</v>
      </c>
      <c r="G6" s="79" t="str">
        <f>IFERROR(VLOOKUP(E6,'LISTA ITEMS (2)'!$E$2:$G$910,3,FALSE)," ")</f>
        <v>UND</v>
      </c>
      <c r="H6" s="196">
        <v>50</v>
      </c>
      <c r="I6" s="12" t="s">
        <v>356</v>
      </c>
      <c r="J6" s="76">
        <v>46073</v>
      </c>
      <c r="K6" s="72">
        <v>20</v>
      </c>
      <c r="L6" s="75">
        <f t="shared" ref="L6:L30" si="1">+H6-K6</f>
        <v>30</v>
      </c>
      <c r="M6" s="85"/>
    </row>
    <row r="7" spans="1:13" s="15" customFormat="1" ht="31.95" customHeight="1" x14ac:dyDescent="0.3">
      <c r="A7" s="12">
        <v>2</v>
      </c>
      <c r="B7" s="12">
        <v>10</v>
      </c>
      <c r="C7" s="12">
        <v>37</v>
      </c>
      <c r="D7" s="12">
        <v>232</v>
      </c>
      <c r="E7" s="12" t="str">
        <f t="shared" si="0"/>
        <v>10-37-232</v>
      </c>
      <c r="F7" s="64" t="str">
        <f>IFERROR(VLOOKUP(E7,'LISTA ITEMS (2)'!$E$2:$G$910,2,FALSE)," ")</f>
        <v>SOPORTE CENTRAL NEGRO</v>
      </c>
      <c r="G7" s="79" t="str">
        <f>IFERROR(VLOOKUP(E7,'LISTA ITEMS (2)'!$E$2:$G$910,3,FALSE)," ")</f>
        <v>UND</v>
      </c>
      <c r="H7" s="196">
        <v>45</v>
      </c>
      <c r="I7" s="12" t="s">
        <v>356</v>
      </c>
      <c r="J7" s="76">
        <v>46073</v>
      </c>
      <c r="K7" s="72">
        <v>15</v>
      </c>
      <c r="L7" s="75">
        <f t="shared" si="1"/>
        <v>30</v>
      </c>
      <c r="M7" s="12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315</v>
      </c>
      <c r="E8" s="12" t="str">
        <f t="shared" si="0"/>
        <v>10-37-315</v>
      </c>
      <c r="F8" s="64" t="str">
        <f>IFERROR(VLOOKUP(E8,'LISTA ITEMS (2)'!$E$2:$G$910,2,FALSE)," ")</f>
        <v>SOPORTE FINAL NEGRO</v>
      </c>
      <c r="G8" s="79" t="str">
        <f>IFERROR(VLOOKUP(E8,'LISTA ITEMS (2)'!$E$2:$G$910,3,FALSE)," ")</f>
        <v>UND</v>
      </c>
      <c r="H8" s="196">
        <v>40</v>
      </c>
      <c r="I8" s="12" t="s">
        <v>356</v>
      </c>
      <c r="J8" s="76">
        <v>46073</v>
      </c>
      <c r="K8" s="72">
        <v>15</v>
      </c>
      <c r="L8" s="75">
        <f t="shared" si="1"/>
        <v>25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43</v>
      </c>
      <c r="D9" s="12">
        <v>270</v>
      </c>
      <c r="E9" s="12" t="str">
        <f t="shared" si="0"/>
        <v>10-43-270</v>
      </c>
      <c r="F9" s="64" t="str">
        <f>IFERROR(VLOOKUP(E9,'LISTA ITEMS (2)'!$E$2:$G$910,2,FALSE)," ")</f>
        <v>EMPALME ALUMINIO P/BARRA</v>
      </c>
      <c r="G9" s="79" t="str">
        <f>IFERROR(VLOOKUP(E9,'LISTA ITEMS (2)'!$E$2:$G$910,3,FALSE)," ")</f>
        <v>UND</v>
      </c>
      <c r="H9" s="196">
        <v>12</v>
      </c>
      <c r="I9" s="12" t="s">
        <v>356</v>
      </c>
      <c r="J9" s="76">
        <v>46073</v>
      </c>
      <c r="K9" s="72">
        <v>6</v>
      </c>
      <c r="L9" s="75">
        <f t="shared" si="1"/>
        <v>6</v>
      </c>
      <c r="M9" s="3"/>
    </row>
    <row r="10" spans="1:13" s="15" customFormat="1" ht="31.95" customHeight="1" x14ac:dyDescent="0.3">
      <c r="A10" s="12">
        <v>5</v>
      </c>
      <c r="B10" s="12">
        <v>6</v>
      </c>
      <c r="C10" s="12">
        <v>23</v>
      </c>
      <c r="D10" s="12">
        <v>192</v>
      </c>
      <c r="E10" s="12" t="str">
        <f t="shared" si="0"/>
        <v>6-23-192</v>
      </c>
      <c r="F10" s="64" t="str">
        <f>IFERROR(VLOOKUP(E10,'LISTA ITEMS (2)'!$E$2:$G$910,2,FALSE)," ")</f>
        <v xml:space="preserve">CINTA ACERO PERFORADA PARA MONTAJE </v>
      </c>
      <c r="G10" s="79" t="str">
        <f>IFERROR(VLOOKUP(E10,'LISTA ITEMS (2)'!$E$2:$G$910,3,FALSE)," ")</f>
        <v>UND</v>
      </c>
      <c r="H10" s="196">
        <v>1</v>
      </c>
      <c r="I10" s="12" t="s">
        <v>356</v>
      </c>
      <c r="J10" s="76"/>
      <c r="K10" s="72"/>
      <c r="L10" s="75">
        <f t="shared" si="1"/>
        <v>1</v>
      </c>
      <c r="M10" s="12"/>
    </row>
    <row r="11" spans="1:13" s="15" customFormat="1" ht="31.95" customHeight="1" x14ac:dyDescent="0.3">
      <c r="A11" s="12">
        <v>6</v>
      </c>
      <c r="B11" s="12">
        <v>10</v>
      </c>
      <c r="C11" s="12">
        <v>15</v>
      </c>
      <c r="D11" s="12">
        <v>269</v>
      </c>
      <c r="E11" s="12" t="str">
        <f t="shared" si="0"/>
        <v>10-15-269</v>
      </c>
      <c r="F11" s="64" t="str">
        <f>IFERROR(VLOOKUP(E11,'LISTA ITEMS (2)'!$E$2:$G$910,2,FALSE)," ")</f>
        <v>BARRA ALUMINIO PARA ESTRUCTURA  3.60mt</v>
      </c>
      <c r="G11" s="79" t="str">
        <f>IFERROR(VLOOKUP(E11,'LISTA ITEMS (2)'!$E$2:$G$910,3,FALSE)," ")</f>
        <v>UND</v>
      </c>
      <c r="H11" s="196">
        <v>12</v>
      </c>
      <c r="I11" s="12" t="s">
        <v>356</v>
      </c>
      <c r="J11" s="76">
        <v>46073</v>
      </c>
      <c r="K11" s="72">
        <v>6</v>
      </c>
      <c r="L11" s="75">
        <f t="shared" si="1"/>
        <v>6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45</v>
      </c>
      <c r="D12" s="12">
        <v>294</v>
      </c>
      <c r="E12" s="12" t="str">
        <f t="shared" si="0"/>
        <v>16-45-294</v>
      </c>
      <c r="F12" s="64" t="str">
        <f>IFERROR(VLOOKUP(E12,'LISTA ITEMS (2)'!$E$2:$G$910,2,FALSE)," ")</f>
        <v>CAJA DE ESTANCA 133X180X80 EV161 (IDE)</v>
      </c>
      <c r="G12" s="79" t="str">
        <f>IFERROR(VLOOKUP(E12,'LISTA ITEMS (2)'!$E$2:$G$910,3,FALSE)," ")</f>
        <v>UND</v>
      </c>
      <c r="H12" s="196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13</v>
      </c>
      <c r="C13" s="12">
        <v>21</v>
      </c>
      <c r="D13" s="12">
        <v>181</v>
      </c>
      <c r="E13" s="12" t="str">
        <f t="shared" si="0"/>
        <v>13-21-181</v>
      </c>
      <c r="F13" s="64" t="str">
        <f>IFERROR(VLOOKUP(E13,'LISTA ITEMS (2)'!$E$2:$G$910,2,FALSE)," ")</f>
        <v>TACO P/BRIDA NEGRO</v>
      </c>
      <c r="G13" s="79" t="str">
        <f>IFERROR(VLOOKUP(E13,'LISTA ITEMS (2)'!$E$2:$G$910,3,FALSE)," ")</f>
        <v>UND</v>
      </c>
      <c r="H13" s="196">
        <v>100</v>
      </c>
      <c r="I13" s="12" t="s">
        <v>356</v>
      </c>
      <c r="J13" s="76"/>
      <c r="K13" s="72"/>
      <c r="L13" s="75">
        <f t="shared" si="1"/>
        <v>100</v>
      </c>
      <c r="M13" s="12"/>
    </row>
    <row r="14" spans="1:13" s="15" customFormat="1" ht="31.95" customHeight="1" x14ac:dyDescent="0.3">
      <c r="A14" s="12">
        <v>9</v>
      </c>
      <c r="B14" s="12">
        <v>13</v>
      </c>
      <c r="C14" s="12">
        <v>22</v>
      </c>
      <c r="D14" s="12">
        <v>184</v>
      </c>
      <c r="E14" s="12" t="str">
        <f t="shared" si="0"/>
        <v>13-22-184</v>
      </c>
      <c r="F14" s="64" t="str">
        <f>IFERROR(VLOOKUP(E14,'LISTA ITEMS (2)'!$E$2:$G$910,2,FALSE)," ")</f>
        <v>BRIDA P/EXTERIOR NEGRA</v>
      </c>
      <c r="G14" s="79" t="str">
        <f>IFERROR(VLOOKUP(E14,'LISTA ITEMS (2)'!$E$2:$G$910,3,FALSE)," ")</f>
        <v>UND</v>
      </c>
      <c r="H14" s="196">
        <v>200</v>
      </c>
      <c r="I14" s="12" t="s">
        <v>356</v>
      </c>
      <c r="J14" s="76">
        <v>46073</v>
      </c>
      <c r="K14" s="72">
        <v>100</v>
      </c>
      <c r="L14" s="75">
        <f t="shared" si="1"/>
        <v>100</v>
      </c>
      <c r="M14" s="12"/>
    </row>
    <row r="15" spans="1:13" s="15" customFormat="1" ht="31.95" customHeight="1" x14ac:dyDescent="0.3">
      <c r="A15" s="12">
        <v>10</v>
      </c>
      <c r="B15" s="12">
        <v>14</v>
      </c>
      <c r="C15" s="12">
        <v>24</v>
      </c>
      <c r="D15" s="12">
        <v>193</v>
      </c>
      <c r="E15" s="12" t="str">
        <f t="shared" si="0"/>
        <v>14-24-193</v>
      </c>
      <c r="F15" s="64" t="str">
        <f>IFERROR(VLOOKUP(E15,'LISTA ITEMS (2)'!$E$2:$G$910,2,FALSE)," ")</f>
        <v>DISCO CORTE ACERO/INOX A1 2EN1</v>
      </c>
      <c r="G15" s="79" t="str">
        <f>IFERROR(VLOOKUP(E15,'LISTA ITEMS (2)'!$E$2:$G$910,3,FALSE)," ")</f>
        <v>UND</v>
      </c>
      <c r="H15" s="196">
        <v>4</v>
      </c>
      <c r="I15" s="12" t="s">
        <v>356</v>
      </c>
      <c r="J15" s="76">
        <v>46073</v>
      </c>
      <c r="K15" s="72">
        <v>2</v>
      </c>
      <c r="L15" s="75">
        <f t="shared" si="1"/>
        <v>2</v>
      </c>
      <c r="M15" s="12"/>
    </row>
    <row r="16" spans="1:13" s="15" customFormat="1" ht="31.95" customHeight="1" x14ac:dyDescent="0.3">
      <c r="A16" s="12">
        <v>11</v>
      </c>
      <c r="B16" s="12">
        <v>3</v>
      </c>
      <c r="C16" s="12">
        <v>31</v>
      </c>
      <c r="D16" s="12">
        <v>277</v>
      </c>
      <c r="E16" s="12" t="str">
        <f t="shared" si="0"/>
        <v>3-31-277</v>
      </c>
      <c r="F16" s="64" t="str">
        <f>IFERROR(VLOOKUP(E16,'LISTA ITEMS (2)'!$E$2:$G$910,2,FALSE)," ")</f>
        <v>CABLE Nª 6 P/PLACA SOLAR NEGRO</v>
      </c>
      <c r="G16" s="79" t="str">
        <f>IFERROR(VLOOKUP(E16,'LISTA ITEMS (2)'!$E$2:$G$910,3,FALSE)," ")</f>
        <v>MT</v>
      </c>
      <c r="H16" s="196">
        <v>30</v>
      </c>
      <c r="I16" s="12" t="s">
        <v>356</v>
      </c>
      <c r="J16" s="76"/>
      <c r="K16" s="72"/>
      <c r="L16" s="75">
        <f t="shared" si="1"/>
        <v>30</v>
      </c>
      <c r="M16" s="85"/>
    </row>
    <row r="17" spans="1:13" s="15" customFormat="1" ht="31.95" customHeight="1" x14ac:dyDescent="0.3">
      <c r="A17" s="12">
        <v>12</v>
      </c>
      <c r="B17" s="12">
        <v>17</v>
      </c>
      <c r="C17" s="12">
        <v>44</v>
      </c>
      <c r="D17" s="12">
        <v>273</v>
      </c>
      <c r="E17" s="12" t="str">
        <f t="shared" si="0"/>
        <v>17-44-273</v>
      </c>
      <c r="F17" s="64" t="str">
        <f>IFERROR(VLOOKUP(E17,'LISTA ITEMS (2)'!$E$2:$G$910,2,FALSE)," ")</f>
        <v>SELLANTE QUIMICO TACO</v>
      </c>
      <c r="G17" s="79" t="str">
        <f>IFERROR(VLOOKUP(E17,'LISTA ITEMS (2)'!$E$2:$G$910,3,FALSE)," ")</f>
        <v>UND</v>
      </c>
      <c r="H17" s="196">
        <v>6</v>
      </c>
      <c r="I17" s="12" t="s">
        <v>356</v>
      </c>
      <c r="J17" s="76">
        <v>46073</v>
      </c>
      <c r="K17" s="72">
        <v>3</v>
      </c>
      <c r="L17" s="75">
        <f t="shared" si="1"/>
        <v>3</v>
      </c>
      <c r="M17" s="12"/>
    </row>
    <row r="18" spans="1:13" s="15" customFormat="1" ht="31.95" customHeight="1" x14ac:dyDescent="0.3">
      <c r="A18" s="12">
        <v>13</v>
      </c>
      <c r="B18" s="12">
        <v>20</v>
      </c>
      <c r="C18" s="12">
        <v>83</v>
      </c>
      <c r="D18" s="12">
        <v>409</v>
      </c>
      <c r="E18" s="12" t="str">
        <f t="shared" si="0"/>
        <v>20-83-409</v>
      </c>
      <c r="F18" s="64" t="str">
        <f>IFERROR(VLOOKUP(E18,'LISTA ITEMS (2)'!$E$2:$G$910,2,FALSE)," ")</f>
        <v>TAMIZ NYLON 16X85</v>
      </c>
      <c r="G18" s="79" t="str">
        <f>IFERROR(VLOOKUP(E18,'LISTA ITEMS (2)'!$E$2:$G$910,3,FALSE)," ")</f>
        <v>UND</v>
      </c>
      <c r="H18" s="196">
        <v>20</v>
      </c>
      <c r="I18" s="12" t="s">
        <v>356</v>
      </c>
      <c r="J18" s="76">
        <v>46073</v>
      </c>
      <c r="K18" s="72">
        <v>9</v>
      </c>
      <c r="L18" s="75">
        <f t="shared" si="1"/>
        <v>11</v>
      </c>
      <c r="M18" s="12"/>
    </row>
    <row r="19" spans="1:13" s="15" customFormat="1" ht="31.95" customHeight="1" x14ac:dyDescent="0.3">
      <c r="A19" s="12">
        <v>14</v>
      </c>
      <c r="B19" s="30">
        <v>17</v>
      </c>
      <c r="C19" s="30">
        <v>44</v>
      </c>
      <c r="D19" s="30">
        <v>271</v>
      </c>
      <c r="E19" s="12" t="str">
        <f t="shared" si="0"/>
        <v>17-44-271</v>
      </c>
      <c r="F19" s="64" t="str">
        <f>IFERROR(VLOOKUP(E19,'LISTA ITEMS (2)'!$E$2:$G$910,2,FALSE)," ")</f>
        <v>SELLANTE QUIMICO BLANCO</v>
      </c>
      <c r="G19" s="79" t="str">
        <f>IFERROR(VLOOKUP(E19,'LISTA ITEMS (2)'!$E$2:$G$910,3,FALSE)," ")</f>
        <v>UND</v>
      </c>
      <c r="H19" s="196">
        <v>2</v>
      </c>
      <c r="I19" s="12" t="s">
        <v>356</v>
      </c>
      <c r="J19" s="76">
        <v>46073</v>
      </c>
      <c r="K19" s="72">
        <v>1</v>
      </c>
      <c r="L19" s="75">
        <v>1</v>
      </c>
      <c r="M19" s="12"/>
    </row>
    <row r="20" spans="1:13" s="15" customFormat="1" ht="31.95" customHeight="1" x14ac:dyDescent="0.3">
      <c r="A20" s="12">
        <v>15</v>
      </c>
      <c r="B20" s="12">
        <v>17</v>
      </c>
      <c r="C20" s="12">
        <v>44</v>
      </c>
      <c r="D20" s="12">
        <v>272</v>
      </c>
      <c r="E20" s="12" t="str">
        <f t="shared" si="0"/>
        <v>17-44-272</v>
      </c>
      <c r="F20" s="64" t="str">
        <f>IFERROR(VLOOKUP(E20,'LISTA ITEMS (2)'!$E$2:$G$910,2,FALSE)," ")</f>
        <v>SELLANTE QUIMICO GRIS</v>
      </c>
      <c r="G20" s="79" t="str">
        <f>IFERROR(VLOOKUP(E20,'LISTA ITEMS (2)'!$E$2:$G$910,3,FALSE)," ")</f>
        <v>UND</v>
      </c>
      <c r="H20" s="196">
        <v>2</v>
      </c>
      <c r="I20" s="12" t="s">
        <v>356</v>
      </c>
      <c r="J20" s="76">
        <v>46073</v>
      </c>
      <c r="K20" s="72">
        <v>1</v>
      </c>
      <c r="L20" s="75">
        <f t="shared" si="1"/>
        <v>1</v>
      </c>
      <c r="M20" s="12"/>
    </row>
    <row r="21" spans="1:13" s="15" customFormat="1" ht="31.95" customHeight="1" x14ac:dyDescent="0.3">
      <c r="A21" s="12">
        <v>16</v>
      </c>
      <c r="B21" s="12">
        <v>10</v>
      </c>
      <c r="C21" s="12">
        <v>42</v>
      </c>
      <c r="D21" s="12">
        <v>329</v>
      </c>
      <c r="E21" s="12" t="str">
        <f t="shared" si="0"/>
        <v>10-42-329</v>
      </c>
      <c r="F21" s="64" t="str">
        <f>IFERROR(VLOOKUP(E21,'LISTA ITEMS (2)'!$E$2:$G$910,2,FALSE)," ")</f>
        <v>PATA ALUMINIO PARA ESTRUCTURA PLACA SOLAR VELA ANGULO 15º</v>
      </c>
      <c r="G21" s="79" t="str">
        <f>IFERROR(VLOOKUP(E21,'LISTA ITEMS (2)'!$E$2:$G$910,3,FALSE)," ")</f>
        <v>UND</v>
      </c>
      <c r="H21" s="196">
        <v>4</v>
      </c>
      <c r="I21" s="12" t="s">
        <v>356</v>
      </c>
      <c r="J21" s="72"/>
      <c r="K21" s="72"/>
      <c r="L21" s="75">
        <f t="shared" si="1"/>
        <v>4</v>
      </c>
      <c r="M21" s="12"/>
    </row>
    <row r="22" spans="1:13" s="15" customFormat="1" ht="31.95" customHeight="1" x14ac:dyDescent="0.3">
      <c r="A22" s="12">
        <v>17</v>
      </c>
      <c r="B22" s="12">
        <v>16</v>
      </c>
      <c r="C22" s="12">
        <v>61</v>
      </c>
      <c r="D22" s="12">
        <v>331</v>
      </c>
      <c r="E22" s="12" t="str">
        <f t="shared" si="0"/>
        <v>16-61-331</v>
      </c>
      <c r="F22" s="64" t="str">
        <f>IFERROR(VLOOKUP(E22,'LISTA ITEMS (2)'!$E$2:$G$910,2,FALSE)," ")</f>
        <v>CONECTOR FOTOVOLTAICO HEMBRA M4 NEGRO</v>
      </c>
      <c r="G22" s="79" t="str">
        <f>IFERROR(VLOOKUP(E22,'LISTA ITEMS (2)'!$E$2:$G$910,3,FALSE)," ")</f>
        <v>UND</v>
      </c>
      <c r="H22" s="196">
        <v>10</v>
      </c>
      <c r="I22" s="12" t="s">
        <v>356</v>
      </c>
      <c r="J22" s="76">
        <v>46073</v>
      </c>
      <c r="K22" s="72">
        <v>3</v>
      </c>
      <c r="L22" s="75">
        <f t="shared" si="1"/>
        <v>7</v>
      </c>
      <c r="M22" s="12"/>
    </row>
    <row r="23" spans="1:13" s="15" customFormat="1" ht="31.95" customHeight="1" x14ac:dyDescent="0.3">
      <c r="A23" s="12">
        <v>18</v>
      </c>
      <c r="B23" s="12">
        <v>16</v>
      </c>
      <c r="C23" s="12">
        <v>61</v>
      </c>
      <c r="D23" s="12">
        <v>332</v>
      </c>
      <c r="E23" s="12" t="str">
        <f t="shared" si="0"/>
        <v>16-61-332</v>
      </c>
      <c r="F23" s="64" t="str">
        <f>IFERROR(VLOOKUP(E23,'LISTA ITEMS (2)'!$E$2:$G$910,2,FALSE)," ")</f>
        <v>CONECTOR FOTOVOLTAICO MACHO M4 NEGRO</v>
      </c>
      <c r="G23" s="79" t="str">
        <f>IFERROR(VLOOKUP(E23,'LISTA ITEMS (2)'!$E$2:$G$910,3,FALSE)," ")</f>
        <v>UND</v>
      </c>
      <c r="H23" s="196">
        <v>10</v>
      </c>
      <c r="I23" s="12" t="s">
        <v>356</v>
      </c>
      <c r="J23" s="76">
        <v>46073</v>
      </c>
      <c r="K23" s="72">
        <v>3</v>
      </c>
      <c r="L23" s="75">
        <f t="shared" si="1"/>
        <v>7</v>
      </c>
      <c r="M23" s="3"/>
    </row>
    <row r="24" spans="1:13" s="15" customFormat="1" ht="31.95" customHeight="1" x14ac:dyDescent="0.3">
      <c r="A24" s="12">
        <v>19</v>
      </c>
      <c r="B24" s="12">
        <v>9</v>
      </c>
      <c r="C24" s="12">
        <v>32</v>
      </c>
      <c r="D24" s="12">
        <v>223</v>
      </c>
      <c r="E24" s="12" t="str">
        <f t="shared" si="0"/>
        <v>9-32-223</v>
      </c>
      <c r="F24" s="64" t="str">
        <f>IFERROR(VLOOKUP(E24,'LISTA ITEMS (2)'!$E$2:$G$910,2,FALSE)," ")</f>
        <v>CURVA PVC M-25 GRIS TIPO A</v>
      </c>
      <c r="G24" s="79" t="str">
        <f>IFERROR(VLOOKUP(E24,'LISTA ITEMS (2)'!$E$2:$G$910,3,FALSE)," ")</f>
        <v>UND</v>
      </c>
      <c r="H24" s="196">
        <v>20</v>
      </c>
      <c r="I24" s="12" t="s">
        <v>356</v>
      </c>
      <c r="J24" s="76">
        <v>46073</v>
      </c>
      <c r="K24" s="72">
        <v>8</v>
      </c>
      <c r="L24" s="75">
        <f t="shared" si="1"/>
        <v>12</v>
      </c>
      <c r="M24" s="12"/>
    </row>
    <row r="25" spans="1:13" s="15" customFormat="1" ht="31.95" customHeight="1" x14ac:dyDescent="0.3">
      <c r="A25" s="12">
        <v>20</v>
      </c>
      <c r="B25" s="12">
        <v>3</v>
      </c>
      <c r="C25" s="12">
        <v>31</v>
      </c>
      <c r="D25" s="12">
        <v>211</v>
      </c>
      <c r="E25" s="12" t="str">
        <f t="shared" si="0"/>
        <v>3-31-211</v>
      </c>
      <c r="F25" s="64" t="str">
        <f>IFERROR(VLOOKUP(E25,'LISTA ITEMS (2)'!$E$2:$G$910,2,FALSE)," ")</f>
        <v>CABLE Nª 6 C/ALTERNA VERDE/AMARILLO</v>
      </c>
      <c r="G25" s="79" t="str">
        <f>IFERROR(VLOOKUP(E25,'LISTA ITEMS (2)'!$E$2:$G$910,3,FALSE)," ")</f>
        <v>MT</v>
      </c>
      <c r="H25" s="196">
        <v>100</v>
      </c>
      <c r="I25" s="12" t="s">
        <v>356</v>
      </c>
      <c r="J25" s="76"/>
      <c r="K25" s="72"/>
      <c r="L25" s="75">
        <f t="shared" si="1"/>
        <v>100</v>
      </c>
      <c r="M25" s="12"/>
    </row>
    <row r="26" spans="1:13" s="15" customFormat="1" ht="31.95" customHeight="1" x14ac:dyDescent="0.3">
      <c r="A26" s="12">
        <v>21</v>
      </c>
      <c r="B26" s="12">
        <v>3</v>
      </c>
      <c r="C26" s="12">
        <v>31</v>
      </c>
      <c r="D26" s="12">
        <v>213</v>
      </c>
      <c r="E26" s="12" t="str">
        <f t="shared" si="0"/>
        <v>3-31-213</v>
      </c>
      <c r="F26" s="64" t="str">
        <f>IFERROR(VLOOKUP(E26,'LISTA ITEMS (2)'!$E$2:$G$910,2,FALSE)," ")</f>
        <v>CABLE Nª 6 C/ALTERNA NEGRO</v>
      </c>
      <c r="G26" s="79" t="str">
        <f>IFERROR(VLOOKUP(E26,'LISTA ITEMS (2)'!$E$2:$G$910,3,FALSE)," ")</f>
        <v>MT</v>
      </c>
      <c r="H26" s="196">
        <v>100</v>
      </c>
      <c r="I26" s="12" t="s">
        <v>356</v>
      </c>
      <c r="J26" s="76"/>
      <c r="K26" s="72"/>
      <c r="L26" s="75">
        <f t="shared" si="1"/>
        <v>100</v>
      </c>
      <c r="M26" s="3"/>
    </row>
    <row r="27" spans="1:13" s="15" customFormat="1" ht="18" x14ac:dyDescent="0.3">
      <c r="A27" s="12">
        <v>22</v>
      </c>
      <c r="B27" s="12">
        <v>3</v>
      </c>
      <c r="C27" s="12">
        <v>31</v>
      </c>
      <c r="D27" s="12">
        <v>209</v>
      </c>
      <c r="E27" s="12" t="str">
        <f t="shared" si="0"/>
        <v>3-31-209</v>
      </c>
      <c r="F27" s="64" t="str">
        <f>IFERROR(VLOOKUP(E27,'LISTA ITEMS (2)'!$E$2:$G$910,2,FALSE)," ")</f>
        <v>CABLE Nª 6 C/ALTERNA MARRON</v>
      </c>
      <c r="G27" s="79" t="str">
        <f>IFERROR(VLOOKUP(E27,'LISTA ITEMS (2)'!$E$2:$G$910,3,FALSE)," ")</f>
        <v>MT</v>
      </c>
      <c r="H27" s="196">
        <v>100</v>
      </c>
      <c r="I27" s="12" t="s">
        <v>356</v>
      </c>
      <c r="J27" s="76"/>
      <c r="K27" s="72"/>
      <c r="L27" s="75">
        <f t="shared" si="1"/>
        <v>100</v>
      </c>
      <c r="M27" s="84"/>
    </row>
    <row r="28" spans="1:13" s="15" customFormat="1" ht="31.95" customHeight="1" x14ac:dyDescent="0.3">
      <c r="A28" s="12">
        <v>23</v>
      </c>
      <c r="B28" s="12">
        <v>3</v>
      </c>
      <c r="C28" s="12">
        <v>31</v>
      </c>
      <c r="D28" s="12">
        <v>212</v>
      </c>
      <c r="E28" s="12" t="str">
        <f t="shared" si="0"/>
        <v>3-31-212</v>
      </c>
      <c r="F28" s="64" t="str">
        <f>IFERROR(VLOOKUP(E28,'LISTA ITEMS (2)'!$E$2:$G$910,2,FALSE)," ")</f>
        <v>CABLE Nª 6 C/ALTERNA AZUL</v>
      </c>
      <c r="G28" s="79" t="str">
        <f>IFERROR(VLOOKUP(E28,'LISTA ITEMS (2)'!$E$2:$G$910,3,FALSE)," ")</f>
        <v>MT</v>
      </c>
      <c r="H28" s="196">
        <v>100</v>
      </c>
      <c r="I28" s="12" t="s">
        <v>356</v>
      </c>
      <c r="J28" s="76"/>
      <c r="K28" s="72"/>
      <c r="L28" s="75">
        <f t="shared" si="1"/>
        <v>100</v>
      </c>
      <c r="M28" s="12"/>
    </row>
    <row r="29" spans="1:13" s="15" customFormat="1" ht="31.95" customHeight="1" x14ac:dyDescent="0.3">
      <c r="A29" s="12">
        <v>24</v>
      </c>
      <c r="B29" s="12">
        <v>3</v>
      </c>
      <c r="C29" s="12">
        <v>31</v>
      </c>
      <c r="D29" s="12">
        <v>210</v>
      </c>
      <c r="E29" s="12" t="str">
        <f t="shared" si="0"/>
        <v>3-31-210</v>
      </c>
      <c r="F29" s="64" t="str">
        <f>IFERROR(VLOOKUP(E29,'LISTA ITEMS (2)'!$E$2:$G$910,2,FALSE)," ")</f>
        <v>CABLE Nª 6 C/ALTERNA GRIS</v>
      </c>
      <c r="G29" s="79" t="str">
        <f>IFERROR(VLOOKUP(E29,'LISTA ITEMS (2)'!$E$2:$G$910,3,FALSE)," ")</f>
        <v>MT</v>
      </c>
      <c r="H29" s="196">
        <v>100</v>
      </c>
      <c r="I29" s="12" t="s">
        <v>356</v>
      </c>
      <c r="J29" s="76"/>
      <c r="K29" s="72"/>
      <c r="L29" s="75">
        <f t="shared" si="1"/>
        <v>100</v>
      </c>
      <c r="M29" s="195"/>
    </row>
    <row r="30" spans="1:13" s="15" customFormat="1" ht="31.95" customHeight="1" x14ac:dyDescent="0.3">
      <c r="A30" s="12">
        <v>25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59"/>
      <c r="I30" s="12" t="s">
        <v>356</v>
      </c>
      <c r="J30" s="76"/>
      <c r="K30" s="72"/>
      <c r="L30" s="75">
        <f t="shared" si="1"/>
        <v>0</v>
      </c>
      <c r="M30" s="3"/>
    </row>
    <row r="31" spans="1:13" ht="2.4" customHeight="1" x14ac:dyDescent="0.3"/>
    <row r="32" spans="1:13" ht="69.599999999999994" customHeight="1" x14ac:dyDescent="0.3">
      <c r="A32" s="305" t="s">
        <v>686</v>
      </c>
      <c r="B32" s="306"/>
      <c r="C32" s="306"/>
      <c r="D32" s="306"/>
      <c r="E32" s="306"/>
      <c r="F32" s="306"/>
      <c r="G32" s="306"/>
      <c r="H32" s="306"/>
      <c r="I32" s="307"/>
    </row>
  </sheetData>
  <mergeCells count="13">
    <mergeCell ref="A1:B1"/>
    <mergeCell ref="C1:F1"/>
    <mergeCell ref="G1:H1"/>
    <mergeCell ref="A2:B2"/>
    <mergeCell ref="C2:F2"/>
    <mergeCell ref="G2:H2"/>
    <mergeCell ref="A32:I32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B44A-3F51-4380-B985-22EDEB3347DC}">
  <sheetPr>
    <tabColor rgb="FF92D050"/>
  </sheetPr>
  <dimension ref="A1:M22"/>
  <sheetViews>
    <sheetView zoomScale="85" zoomScaleNormal="85" workbookViewId="0">
      <pane ySplit="5" topLeftCell="A6" activePane="bottomLeft" state="frozen"/>
      <selection pane="bottomLeft" activeCell="M14" sqref="M1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23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785</v>
      </c>
      <c r="D2" s="283"/>
      <c r="E2" s="283"/>
      <c r="F2" s="291"/>
      <c r="G2" s="292" t="s">
        <v>355</v>
      </c>
      <c r="H2" s="290"/>
      <c r="I2" s="62">
        <v>23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700</v>
      </c>
      <c r="D3" s="314"/>
      <c r="E3" s="68"/>
      <c r="F3" s="61" t="s">
        <v>353</v>
      </c>
      <c r="G3" s="295" t="s">
        <v>369</v>
      </c>
      <c r="H3" s="296"/>
      <c r="I3" s="127">
        <v>46073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824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37</v>
      </c>
      <c r="D6" s="12">
        <v>330</v>
      </c>
      <c r="E6" s="12" t="str">
        <f>CONCATENATE(B6,"-",C6,"-",D6)</f>
        <v>10-37-330</v>
      </c>
      <c r="F6" s="64" t="str">
        <f>IFERROR(VLOOKUP(E6,'LISTA ITEMS (2)'!$E$2:$G$910,2,FALSE)," ")</f>
        <v>SOPORTE EN L ALUMINIO GRIS</v>
      </c>
      <c r="G6" s="79" t="str">
        <f>IFERROR(VLOOKUP(E6,'LISTA ITEMS (2)'!$E$2:$G$910,3,FALSE)," ")</f>
        <v>UND</v>
      </c>
      <c r="H6" s="196">
        <v>50</v>
      </c>
      <c r="I6" s="12" t="s">
        <v>356</v>
      </c>
      <c r="J6" s="76">
        <v>46076</v>
      </c>
      <c r="K6" s="72">
        <v>30</v>
      </c>
      <c r="L6" s="75">
        <f>+H6-K6</f>
        <v>20</v>
      </c>
      <c r="M6" s="194"/>
    </row>
    <row r="7" spans="1:13" s="15" customFormat="1" ht="31.95" customHeight="1" x14ac:dyDescent="0.3">
      <c r="A7" s="12">
        <v>2</v>
      </c>
      <c r="B7" s="12">
        <v>10</v>
      </c>
      <c r="C7" s="12">
        <v>37</v>
      </c>
      <c r="D7" s="12">
        <v>232</v>
      </c>
      <c r="E7" s="12" t="str">
        <f t="shared" ref="E7:E20" si="0">CONCATENATE(B7,"-",C7,"-",D7)</f>
        <v>10-37-232</v>
      </c>
      <c r="F7" s="64" t="str">
        <f>IFERROR(VLOOKUP(E7,'LISTA ITEMS (2)'!$E$2:$G$910,2,FALSE)," ")</f>
        <v>SOPORTE CENTRAL NEGRO</v>
      </c>
      <c r="G7" s="79" t="str">
        <f>IFERROR(VLOOKUP(E7,'LISTA ITEMS (2)'!$E$2:$G$910,3,FALSE)," ")</f>
        <v>UND</v>
      </c>
      <c r="H7" s="196">
        <v>60</v>
      </c>
      <c r="I7" s="12" t="s">
        <v>356</v>
      </c>
      <c r="J7" s="76">
        <v>46076</v>
      </c>
      <c r="K7" s="72">
        <v>39</v>
      </c>
      <c r="L7" s="75">
        <f t="shared" ref="L7:L20" si="1">+H7-K7</f>
        <v>21</v>
      </c>
      <c r="M7" s="85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315</v>
      </c>
      <c r="E8" s="12" t="str">
        <f t="shared" si="0"/>
        <v>10-37-315</v>
      </c>
      <c r="F8" s="64" t="str">
        <f>IFERROR(VLOOKUP(E8,'LISTA ITEMS (2)'!$E$2:$G$910,2,FALSE)," ")</f>
        <v>SOPORTE FINAL NEGRO</v>
      </c>
      <c r="G8" s="79" t="str">
        <f>IFERROR(VLOOKUP(E8,'LISTA ITEMS (2)'!$E$2:$G$910,3,FALSE)," ")</f>
        <v>UND</v>
      </c>
      <c r="H8" s="196">
        <v>50</v>
      </c>
      <c r="I8" s="12" t="s">
        <v>356</v>
      </c>
      <c r="J8" s="76">
        <v>46076</v>
      </c>
      <c r="K8" s="72">
        <v>32</v>
      </c>
      <c r="L8" s="75">
        <f t="shared" si="1"/>
        <v>18</v>
      </c>
      <c r="M8" s="12"/>
    </row>
    <row r="9" spans="1:13" s="15" customFormat="1" ht="31.95" customHeight="1" x14ac:dyDescent="0.3">
      <c r="A9" s="12">
        <v>4</v>
      </c>
      <c r="B9" s="12">
        <v>17</v>
      </c>
      <c r="C9" s="12">
        <v>44</v>
      </c>
      <c r="D9" s="12">
        <v>271</v>
      </c>
      <c r="E9" s="12" t="str">
        <f t="shared" si="0"/>
        <v>17-44-271</v>
      </c>
      <c r="F9" s="64" t="str">
        <f>IFERROR(VLOOKUP(E9,'LISTA ITEMS (2)'!$E$2:$G$910,2,FALSE)," ")</f>
        <v>SELLANTE QUIMICO BLANCO</v>
      </c>
      <c r="G9" s="79" t="str">
        <f>IFERROR(VLOOKUP(E9,'LISTA ITEMS (2)'!$E$2:$G$910,3,FALSE)," ")</f>
        <v>UND</v>
      </c>
      <c r="H9" s="196">
        <v>2</v>
      </c>
      <c r="I9" s="12" t="s">
        <v>356</v>
      </c>
      <c r="J9" s="76"/>
      <c r="K9" s="72"/>
      <c r="L9" s="75">
        <f t="shared" si="1"/>
        <v>2</v>
      </c>
      <c r="M9" s="12"/>
    </row>
    <row r="10" spans="1:13" s="15" customFormat="1" ht="31.95" customHeight="1" x14ac:dyDescent="0.3">
      <c r="A10" s="12">
        <v>5</v>
      </c>
      <c r="B10" s="12">
        <v>17</v>
      </c>
      <c r="C10" s="12">
        <v>44</v>
      </c>
      <c r="D10" s="12">
        <v>272</v>
      </c>
      <c r="E10" s="12" t="str">
        <f t="shared" si="0"/>
        <v>17-44-272</v>
      </c>
      <c r="F10" s="64" t="str">
        <f>IFERROR(VLOOKUP(E10,'LISTA ITEMS (2)'!$E$2:$G$910,2,FALSE)," ")</f>
        <v>SELLANTE QUIMICO GRIS</v>
      </c>
      <c r="G10" s="79" t="str">
        <f>IFERROR(VLOOKUP(E10,'LISTA ITEMS (2)'!$E$2:$G$910,3,FALSE)," ")</f>
        <v>UND</v>
      </c>
      <c r="H10" s="196">
        <v>2</v>
      </c>
      <c r="I10" s="12" t="s">
        <v>356</v>
      </c>
      <c r="J10" s="76">
        <v>46076</v>
      </c>
      <c r="K10" s="72">
        <v>1</v>
      </c>
      <c r="L10" s="75">
        <f t="shared" si="1"/>
        <v>1</v>
      </c>
      <c r="M10" s="3"/>
    </row>
    <row r="11" spans="1:13" s="15" customFormat="1" ht="31.95" customHeight="1" x14ac:dyDescent="0.3">
      <c r="A11" s="12">
        <v>6</v>
      </c>
      <c r="B11" s="12">
        <v>16</v>
      </c>
      <c r="C11" s="12">
        <v>45</v>
      </c>
      <c r="D11" s="12">
        <v>294</v>
      </c>
      <c r="E11" s="12" t="str">
        <f t="shared" si="0"/>
        <v>16-45-294</v>
      </c>
      <c r="F11" s="64" t="str">
        <f>IFERROR(VLOOKUP(E11,'LISTA ITEMS (2)'!$E$2:$G$910,2,FALSE)," ")</f>
        <v>CAJA DE ESTANCA 133X180X80 EV161 (IDE)</v>
      </c>
      <c r="G11" s="79" t="str">
        <f>IFERROR(VLOOKUP(E11,'LISTA ITEMS (2)'!$E$2:$G$910,3,FALSE)," ")</f>
        <v>UND</v>
      </c>
      <c r="H11" s="196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13</v>
      </c>
      <c r="C12" s="12">
        <v>22</v>
      </c>
      <c r="D12" s="12">
        <v>184</v>
      </c>
      <c r="E12" s="12" t="str">
        <f t="shared" si="0"/>
        <v>13-22-184</v>
      </c>
      <c r="F12" s="64" t="str">
        <f>IFERROR(VLOOKUP(E12,'LISTA ITEMS (2)'!$E$2:$G$910,2,FALSE)," ")</f>
        <v>BRIDA P/EXTERIOR NEGRA</v>
      </c>
      <c r="G12" s="79" t="str">
        <f>IFERROR(VLOOKUP(E12,'LISTA ITEMS (2)'!$E$2:$G$910,3,FALSE)," ")</f>
        <v>UND</v>
      </c>
      <c r="H12" s="196">
        <v>200</v>
      </c>
      <c r="I12" s="12" t="s">
        <v>356</v>
      </c>
      <c r="J12" s="76"/>
      <c r="K12" s="72"/>
      <c r="L12" s="75">
        <f t="shared" si="1"/>
        <v>200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61</v>
      </c>
      <c r="D13" s="12">
        <v>331</v>
      </c>
      <c r="E13" s="12" t="str">
        <f t="shared" si="0"/>
        <v>16-61-331</v>
      </c>
      <c r="F13" s="64" t="str">
        <f>IFERROR(VLOOKUP(E13,'LISTA ITEMS (2)'!$E$2:$G$910,2,FALSE)," ")</f>
        <v>CONECTOR FOTOVOLTAICO HEMBRA M4 NEGRO</v>
      </c>
      <c r="G13" s="79" t="str">
        <f>IFERROR(VLOOKUP(E13,'LISTA ITEMS (2)'!$E$2:$G$910,3,FALSE)," ")</f>
        <v>UND</v>
      </c>
      <c r="H13" s="196">
        <v>5</v>
      </c>
      <c r="I13" s="12" t="s">
        <v>356</v>
      </c>
      <c r="J13" s="76"/>
      <c r="K13" s="72"/>
      <c r="L13" s="75">
        <f t="shared" si="1"/>
        <v>5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61</v>
      </c>
      <c r="D14" s="12">
        <v>332</v>
      </c>
      <c r="E14" s="12" t="str">
        <f t="shared" si="0"/>
        <v>16-61-332</v>
      </c>
      <c r="F14" s="64" t="str">
        <f>IFERROR(VLOOKUP(E14,'LISTA ITEMS (2)'!$E$2:$G$910,2,FALSE)," ")</f>
        <v>CONECTOR FOTOVOLTAICO MACHO M4 NEGRO</v>
      </c>
      <c r="G14" s="79" t="str">
        <f>IFERROR(VLOOKUP(E14,'LISTA ITEMS (2)'!$E$2:$G$910,3,FALSE)," ")</f>
        <v>UND</v>
      </c>
      <c r="H14" s="196">
        <v>5</v>
      </c>
      <c r="I14" s="12" t="s">
        <v>356</v>
      </c>
      <c r="J14" s="76"/>
      <c r="K14" s="72"/>
      <c r="L14" s="75">
        <f t="shared" si="1"/>
        <v>5</v>
      </c>
      <c r="M14" s="12"/>
    </row>
    <row r="15" spans="1:13" s="15" customFormat="1" ht="31.95" customHeight="1" x14ac:dyDescent="0.3">
      <c r="A15" s="12">
        <v>10</v>
      </c>
      <c r="B15" s="12">
        <v>10</v>
      </c>
      <c r="C15" s="12">
        <v>43</v>
      </c>
      <c r="D15" s="12">
        <v>270</v>
      </c>
      <c r="E15" s="12" t="str">
        <f t="shared" si="0"/>
        <v>10-43-270</v>
      </c>
      <c r="F15" s="64" t="str">
        <f>IFERROR(VLOOKUP(E15,'LISTA ITEMS (2)'!$E$2:$G$910,2,FALSE)," ")</f>
        <v>EMPALME ALUMINIO P/BARRA</v>
      </c>
      <c r="G15" s="79" t="str">
        <f>IFERROR(VLOOKUP(E15,'LISTA ITEMS (2)'!$E$2:$G$910,3,FALSE)," ")</f>
        <v>UND</v>
      </c>
      <c r="H15" s="196">
        <v>8</v>
      </c>
      <c r="I15" s="12" t="s">
        <v>356</v>
      </c>
      <c r="J15" s="76"/>
      <c r="K15" s="72">
        <v>3</v>
      </c>
      <c r="L15" s="75">
        <f t="shared" si="1"/>
        <v>5</v>
      </c>
      <c r="M15" s="12"/>
    </row>
    <row r="16" spans="1:13" s="15" customFormat="1" ht="31.95" customHeight="1" x14ac:dyDescent="0.3">
      <c r="A16" s="12">
        <v>11</v>
      </c>
      <c r="B16" s="12">
        <v>14</v>
      </c>
      <c r="C16" s="12">
        <v>24</v>
      </c>
      <c r="D16" s="12">
        <v>193</v>
      </c>
      <c r="E16" s="12" t="str">
        <f t="shared" si="0"/>
        <v>14-24-193</v>
      </c>
      <c r="F16" s="64" t="str">
        <f>IFERROR(VLOOKUP(E16,'LISTA ITEMS (2)'!$E$2:$G$910,2,FALSE)," ")</f>
        <v>DISCO CORTE ACERO/INOX A1 2EN1</v>
      </c>
      <c r="G16" s="79" t="str">
        <f>IFERROR(VLOOKUP(E16,'LISTA ITEMS (2)'!$E$2:$G$910,3,FALSE)," ")</f>
        <v>UND</v>
      </c>
      <c r="H16" s="196">
        <v>5</v>
      </c>
      <c r="I16" s="12" t="s">
        <v>356</v>
      </c>
      <c r="J16" s="128">
        <v>46076</v>
      </c>
      <c r="K16" s="72">
        <v>5</v>
      </c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>
        <v>10</v>
      </c>
      <c r="C17" s="12">
        <v>15</v>
      </c>
      <c r="D17" s="12">
        <v>269</v>
      </c>
      <c r="E17" s="12" t="str">
        <f t="shared" si="0"/>
        <v>10-15-269</v>
      </c>
      <c r="F17" s="64" t="str">
        <f>IFERROR(VLOOKUP(E17,'LISTA ITEMS (2)'!$E$2:$G$910,2,FALSE)," ")</f>
        <v>BARRA ALUMINIO PARA ESTRUCTURA  3.60mt</v>
      </c>
      <c r="G17" s="79" t="str">
        <f>IFERROR(VLOOKUP(E17,'LISTA ITEMS (2)'!$E$2:$G$910,3,FALSE)," ")</f>
        <v>UND</v>
      </c>
      <c r="H17" s="196">
        <v>14</v>
      </c>
      <c r="I17" s="12" t="s">
        <v>356</v>
      </c>
      <c r="J17" s="76"/>
      <c r="K17" s="72"/>
      <c r="L17" s="75">
        <f t="shared" si="1"/>
        <v>14</v>
      </c>
      <c r="M17" s="12"/>
    </row>
    <row r="18" spans="1:13" s="15" customFormat="1" ht="31.95" customHeight="1" x14ac:dyDescent="0.3">
      <c r="A18" s="12">
        <v>13</v>
      </c>
      <c r="B18" s="12">
        <v>13</v>
      </c>
      <c r="C18" s="12">
        <v>21</v>
      </c>
      <c r="D18" s="12">
        <v>181</v>
      </c>
      <c r="E18" s="12" t="str">
        <f t="shared" si="0"/>
        <v>13-21-181</v>
      </c>
      <c r="F18" s="64" t="str">
        <f>IFERROR(VLOOKUP(E18,'LISTA ITEMS (2)'!$E$2:$G$910,2,FALSE)," ")</f>
        <v>TACO P/BRIDA NEGRO</v>
      </c>
      <c r="G18" s="79" t="str">
        <f>IFERROR(VLOOKUP(E18,'LISTA ITEMS (2)'!$E$2:$G$910,3,FALSE)," ")</f>
        <v>UND</v>
      </c>
      <c r="H18" s="196">
        <v>100</v>
      </c>
      <c r="I18" s="12" t="s">
        <v>356</v>
      </c>
      <c r="J18" s="76"/>
      <c r="K18" s="72"/>
      <c r="L18" s="75">
        <f t="shared" si="1"/>
        <v>100</v>
      </c>
      <c r="M18" s="85"/>
    </row>
    <row r="19" spans="1:13" s="15" customFormat="1" ht="31.95" customHeight="1" x14ac:dyDescent="0.3">
      <c r="A19" s="12">
        <v>14</v>
      </c>
      <c r="B19" s="12">
        <v>7</v>
      </c>
      <c r="C19" s="12">
        <v>38</v>
      </c>
      <c r="D19" s="12">
        <v>247</v>
      </c>
      <c r="E19" s="12" t="str">
        <f t="shared" si="0"/>
        <v>7-38-247</v>
      </c>
      <c r="F19" s="64" t="str">
        <f>IFERROR(VLOOKUP(E19,'LISTA ITEMS (2)'!$E$2:$G$910,2,FALSE)," ")</f>
        <v>PLACA SOLAR JAM60D42-535LB 535W / 44.13V</v>
      </c>
      <c r="G19" s="79" t="str">
        <f>IFERROR(VLOOKUP(E19,'LISTA ITEMS (2)'!$E$2:$G$910,3,FALSE)," ")</f>
        <v>UND</v>
      </c>
      <c r="H19" s="196">
        <v>14</v>
      </c>
      <c r="I19" s="12" t="s">
        <v>356</v>
      </c>
      <c r="J19" s="76"/>
      <c r="K19" s="72"/>
      <c r="L19" s="75">
        <f t="shared" si="1"/>
        <v>14</v>
      </c>
      <c r="M19" s="12"/>
    </row>
    <row r="20" spans="1:13" s="15" customFormat="1" ht="31.95" customHeight="1" x14ac:dyDescent="0.3">
      <c r="A20" s="12">
        <v>15</v>
      </c>
      <c r="B20" s="12">
        <v>9</v>
      </c>
      <c r="C20" s="12">
        <v>32</v>
      </c>
      <c r="D20" s="12">
        <v>224</v>
      </c>
      <c r="E20" s="12" t="str">
        <f t="shared" si="0"/>
        <v>9-32-224</v>
      </c>
      <c r="F20" s="64" t="str">
        <f>IFERROR(VLOOKUP(E20,'LISTA ITEMS (2)'!$E$2:$G$910,2,FALSE)," ")</f>
        <v>CURVA PVC M-25 GRIS TIPO B</v>
      </c>
      <c r="G20" s="79" t="str">
        <f>IFERROR(VLOOKUP(E20,'LISTA ITEMS (2)'!$E$2:$G$910,3,FALSE)," ")</f>
        <v>UND</v>
      </c>
      <c r="H20" s="196">
        <v>10</v>
      </c>
      <c r="I20" s="12" t="s">
        <v>356</v>
      </c>
      <c r="J20" s="76">
        <v>46076</v>
      </c>
      <c r="K20" s="72">
        <v>1</v>
      </c>
      <c r="L20" s="75">
        <f t="shared" si="1"/>
        <v>9</v>
      </c>
      <c r="M20" s="12"/>
    </row>
    <row r="21" spans="1:13" ht="2.4" customHeight="1" x14ac:dyDescent="0.3"/>
    <row r="22" spans="1:13" ht="69.599999999999994" customHeight="1" x14ac:dyDescent="0.3">
      <c r="A22" s="305" t="s">
        <v>686</v>
      </c>
      <c r="B22" s="306"/>
      <c r="C22" s="306"/>
      <c r="D22" s="306"/>
      <c r="E22" s="306"/>
      <c r="F22" s="306"/>
      <c r="G22" s="306"/>
      <c r="H22" s="306"/>
      <c r="I22" s="307"/>
    </row>
  </sheetData>
  <mergeCells count="13">
    <mergeCell ref="A1:B1"/>
    <mergeCell ref="C1:F1"/>
    <mergeCell ref="G1:H1"/>
    <mergeCell ref="A2:B2"/>
    <mergeCell ref="C2:F2"/>
    <mergeCell ref="G2:H2"/>
    <mergeCell ref="A22:I22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F901-485F-48F1-8A4A-8C9D0BCD9C3B}">
  <sheetPr>
    <tabColor rgb="FF92D050"/>
  </sheetPr>
  <dimension ref="A1:M40"/>
  <sheetViews>
    <sheetView zoomScale="85" zoomScaleNormal="85" workbookViewId="0">
      <pane ySplit="5" topLeftCell="A6" activePane="bottomLeft" state="frozen"/>
      <selection pane="bottomLeft" activeCell="J8" sqref="J8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24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804</v>
      </c>
      <c r="D2" s="283"/>
      <c r="E2" s="283"/>
      <c r="F2" s="291"/>
      <c r="G2" s="292" t="s">
        <v>355</v>
      </c>
      <c r="H2" s="290"/>
      <c r="I2" s="62">
        <v>24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805</v>
      </c>
      <c r="D3" s="314"/>
      <c r="E3" s="68"/>
      <c r="F3" s="61" t="s">
        <v>353</v>
      </c>
      <c r="G3" s="295" t="s">
        <v>369</v>
      </c>
      <c r="H3" s="296"/>
      <c r="I3" s="127">
        <v>46076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803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15</v>
      </c>
      <c r="D6" s="12">
        <v>269</v>
      </c>
      <c r="E6" s="12" t="str">
        <f>CONCATENATE(B6,"-",C6,"-",D6)</f>
        <v>10-15-269</v>
      </c>
      <c r="F6" s="64" t="str">
        <f>IFERROR(VLOOKUP(E6,'LISTA ITEMS (2)'!$E$2:$G$910,2,FALSE)," ")</f>
        <v>BARRA ALUMINIO PARA ESTRUCTURA  3.60mt</v>
      </c>
      <c r="G6" s="79" t="str">
        <f>IFERROR(VLOOKUP(E6,'LISTA ITEMS (2)'!$E$2:$G$910,3,FALSE)," ")</f>
        <v>UND</v>
      </c>
      <c r="H6" s="196">
        <v>7</v>
      </c>
      <c r="I6" s="12" t="s">
        <v>356</v>
      </c>
      <c r="J6" s="76">
        <v>46077</v>
      </c>
      <c r="K6" s="72">
        <v>1</v>
      </c>
      <c r="L6" s="75">
        <f>+H6-K6</f>
        <v>6</v>
      </c>
      <c r="M6" s="194"/>
    </row>
    <row r="7" spans="1:13" s="15" customFormat="1" ht="31.95" customHeight="1" x14ac:dyDescent="0.3">
      <c r="A7" s="12">
        <v>2</v>
      </c>
      <c r="B7" s="12">
        <v>7</v>
      </c>
      <c r="C7" s="12">
        <v>38</v>
      </c>
      <c r="D7" s="12">
        <v>247</v>
      </c>
      <c r="E7" s="12" t="str">
        <f t="shared" ref="E7:E38" si="0">CONCATENATE(B7,"-",C7,"-",D7)</f>
        <v>7-38-247</v>
      </c>
      <c r="F7" s="64" t="str">
        <f>IFERROR(VLOOKUP(E7,'LISTA ITEMS (2)'!$E$2:$G$910,2,FALSE)," ")</f>
        <v>PLACA SOLAR JAM60D42-535LB 535W / 44.13V</v>
      </c>
      <c r="G7" s="79" t="str">
        <f>IFERROR(VLOOKUP(E7,'LISTA ITEMS (2)'!$E$2:$G$910,3,FALSE)," ")</f>
        <v>UND</v>
      </c>
      <c r="H7" s="196">
        <v>8</v>
      </c>
      <c r="I7" s="12" t="s">
        <v>356</v>
      </c>
      <c r="J7" s="76"/>
      <c r="K7" s="72"/>
      <c r="L7" s="75">
        <f t="shared" ref="L7:L38" si="1">+H7-K7</f>
        <v>8</v>
      </c>
      <c r="M7" s="85"/>
    </row>
    <row r="8" spans="1:13" s="15" customFormat="1" ht="31.95" customHeight="1" x14ac:dyDescent="0.3">
      <c r="A8" s="12">
        <v>3</v>
      </c>
      <c r="B8" s="12">
        <v>16</v>
      </c>
      <c r="C8" s="12">
        <v>48</v>
      </c>
      <c r="D8" s="12">
        <v>281</v>
      </c>
      <c r="E8" s="12" t="str">
        <f t="shared" si="0"/>
        <v>16-48-281</v>
      </c>
      <c r="F8" s="64" t="str">
        <f>IFERROR(VLOOKUP(E8,'LISTA ITEMS (2)'!$E$2:$G$910,2,FALSE)," ")</f>
        <v>PORTA FUSIBLE SGF-32-DC (MAXGE)</v>
      </c>
      <c r="G8" s="79" t="str">
        <f>IFERROR(VLOOKUP(E8,'LISTA ITEMS (2)'!$E$2:$G$910,3,FALSE)," ")</f>
        <v>UND</v>
      </c>
      <c r="H8" s="196">
        <v>4</v>
      </c>
      <c r="I8" s="12" t="s">
        <v>356</v>
      </c>
      <c r="J8" s="76">
        <v>46077</v>
      </c>
      <c r="K8" s="72">
        <v>1</v>
      </c>
      <c r="L8" s="75">
        <f t="shared" si="1"/>
        <v>3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50</v>
      </c>
      <c r="D9" s="12">
        <v>314</v>
      </c>
      <c r="E9" s="12" t="str">
        <f t="shared" si="0"/>
        <v>16-50-314</v>
      </c>
      <c r="F9" s="64" t="str">
        <f>IFERROR(VLOOKUP(E9,'LISTA ITEMS (2)'!$E$2:$G$910,2,FALSE)," ")</f>
        <v>FUSIBLE MG10PV32A (MAXGE)</v>
      </c>
      <c r="G9" s="79" t="str">
        <f>IFERROR(VLOOKUP(E9,'LISTA ITEMS (2)'!$E$2:$G$910,3,FALSE)," ")</f>
        <v>UND</v>
      </c>
      <c r="H9" s="196">
        <v>4</v>
      </c>
      <c r="I9" s="12" t="s">
        <v>356</v>
      </c>
      <c r="J9" s="76">
        <v>46077</v>
      </c>
      <c r="K9" s="72">
        <v>1</v>
      </c>
      <c r="L9" s="75">
        <f t="shared" si="1"/>
        <v>3</v>
      </c>
      <c r="M9" s="12"/>
    </row>
    <row r="10" spans="1:13" s="15" customFormat="1" ht="31.95" customHeight="1" x14ac:dyDescent="0.3">
      <c r="A10" s="12">
        <v>5</v>
      </c>
      <c r="B10" s="12">
        <v>16</v>
      </c>
      <c r="C10" s="12">
        <v>49</v>
      </c>
      <c r="D10" s="12">
        <v>288</v>
      </c>
      <c r="E10" s="12" t="str">
        <f t="shared" si="0"/>
        <v>16-49-288</v>
      </c>
      <c r="F10" s="64" t="str">
        <f>IFERROR(VLOOKUP(E10,'LISTA ITEMS (2)'!$E$2:$G$910,2,FALSE)," ")</f>
        <v>CONTACTOR MODULAR EPC1-6322-P7 (MAXGE)</v>
      </c>
      <c r="G10" s="79" t="str">
        <f>IFERROR(VLOOKUP(E10,'LISTA ITEMS (2)'!$E$2:$G$910,3,FALSE)," ")</f>
        <v>UND</v>
      </c>
      <c r="H10" s="196">
        <v>1</v>
      </c>
      <c r="I10" s="12" t="s">
        <v>356</v>
      </c>
      <c r="J10" s="76"/>
      <c r="K10" s="72"/>
      <c r="L10" s="75">
        <f t="shared" si="1"/>
        <v>1</v>
      </c>
      <c r="M10" s="3"/>
    </row>
    <row r="11" spans="1:13" s="15" customFormat="1" ht="31.95" customHeight="1" x14ac:dyDescent="0.3">
      <c r="A11" s="12">
        <v>6</v>
      </c>
      <c r="B11" s="12">
        <v>16</v>
      </c>
      <c r="C11" s="12">
        <v>47</v>
      </c>
      <c r="D11" s="12">
        <v>318</v>
      </c>
      <c r="E11" s="12" t="str">
        <f t="shared" si="0"/>
        <v>16-47-318</v>
      </c>
      <c r="F11" s="64" t="str">
        <f>IFERROR(VLOOKUP(E11,'LISTA ITEMS (2)'!$E$2:$G$910,2,FALSE)," ")</f>
        <v>DIFERENCIAL EPR2A040030 2P-40A-30mA (MAXGE)</v>
      </c>
      <c r="G11" s="79" t="str">
        <f>IFERROR(VLOOKUP(E11,'LISTA ITEMS (2)'!$E$2:$G$910,3,FALSE)," ")</f>
        <v>UND</v>
      </c>
      <c r="H11" s="196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52</v>
      </c>
      <c r="D12" s="12">
        <v>292</v>
      </c>
      <c r="E12" s="12" t="str">
        <f t="shared" si="0"/>
        <v>16-52-292</v>
      </c>
      <c r="F12" s="64" t="str">
        <f>IFERROR(VLOOKUP(E12,'LISTA ITEMS (2)'!$E$2:$G$910,2,FALSE)," ")</f>
        <v>TERMICO EPBE63M1NC63M1NC40 1P+N C40 (MAXGE)</v>
      </c>
      <c r="G12" s="79" t="str">
        <f>IFERROR(VLOOKUP(E12,'LISTA ITEMS (2)'!$E$2:$G$910,3,FALSE)," ")</f>
        <v>UND</v>
      </c>
      <c r="H12" s="196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52</v>
      </c>
      <c r="D13" s="12">
        <v>293</v>
      </c>
      <c r="E13" s="12" t="str">
        <f t="shared" si="0"/>
        <v>16-52-293</v>
      </c>
      <c r="F13" s="64" t="str">
        <f>IFERROR(VLOOKUP(E13,'LISTA ITEMS (2)'!$E$2:$G$910,2,FALSE)," ")</f>
        <v>TERMICO EPBE63M1NC63M1NC32 1P+N C32 (MAXGE)</v>
      </c>
      <c r="G13" s="79" t="str">
        <f>IFERROR(VLOOKUP(E13,'LISTA ITEMS (2)'!$E$2:$G$910,3,FALSE)," ")</f>
        <v>UND</v>
      </c>
      <c r="H13" s="196">
        <v>1</v>
      </c>
      <c r="I13" s="12" t="s">
        <v>356</v>
      </c>
      <c r="J13" s="76"/>
      <c r="K13" s="72"/>
      <c r="L13" s="75">
        <f t="shared" si="1"/>
        <v>1</v>
      </c>
      <c r="M13" s="12"/>
    </row>
    <row r="14" spans="1:13" s="15" customFormat="1" ht="31.95" customHeight="1" x14ac:dyDescent="0.3">
      <c r="A14" s="12">
        <v>9</v>
      </c>
      <c r="B14" s="12">
        <v>16</v>
      </c>
      <c r="C14" s="12">
        <v>51</v>
      </c>
      <c r="D14" s="12">
        <v>309</v>
      </c>
      <c r="E14" s="12" t="str">
        <f t="shared" si="0"/>
        <v>16-51-309</v>
      </c>
      <c r="F14" s="64" t="str">
        <f>IFERROR(VLOOKUP(E14,'LISTA ITEMS (2)'!$E$2:$G$910,2,FALSE)," ")</f>
        <v>LIMITADOR MONOFASICO EPS1 C/2 - 275-40 (MAXGE)</v>
      </c>
      <c r="G14" s="79" t="str">
        <f>IFERROR(VLOOKUP(E14,'LISTA ITEMS (2)'!$E$2:$G$910,3,FALSE)," ")</f>
        <v>UND</v>
      </c>
      <c r="H14" s="196">
        <v>1</v>
      </c>
      <c r="I14" s="12" t="s">
        <v>356</v>
      </c>
      <c r="J14" s="76"/>
      <c r="K14" s="72"/>
      <c r="L14" s="75">
        <f t="shared" si="1"/>
        <v>1</v>
      </c>
      <c r="M14" s="12"/>
    </row>
    <row r="15" spans="1:13" s="15" customFormat="1" ht="31.95" customHeight="1" x14ac:dyDescent="0.3">
      <c r="A15" s="12">
        <v>10</v>
      </c>
      <c r="B15" s="12">
        <v>16</v>
      </c>
      <c r="C15" s="12">
        <v>53</v>
      </c>
      <c r="D15" s="12">
        <v>290</v>
      </c>
      <c r="E15" s="12" t="str">
        <f t="shared" si="0"/>
        <v>16-53-290</v>
      </c>
      <c r="F15" s="64" t="str">
        <f>IFERROR(VLOOKUP(E15,'LISTA ITEMS (2)'!$E$2:$G$910,2,FALSE)," ")</f>
        <v>PINCHO DE COMUNICACIÓN WIFI SHINEWILAN X2 (GROWATT)</v>
      </c>
      <c r="G15" s="79" t="str">
        <f>IFERROR(VLOOKUP(E15,'LISTA ITEMS (2)'!$E$2:$G$910,3,FALSE)," ")</f>
        <v>UND</v>
      </c>
      <c r="H15" s="196">
        <v>2</v>
      </c>
      <c r="I15" s="12" t="s">
        <v>356</v>
      </c>
      <c r="J15" s="76"/>
      <c r="K15" s="72"/>
      <c r="L15" s="75">
        <f t="shared" si="1"/>
        <v>2</v>
      </c>
      <c r="M15" s="12"/>
    </row>
    <row r="16" spans="1:13" s="15" customFormat="1" ht="31.95" customHeight="1" x14ac:dyDescent="0.3">
      <c r="A16" s="12">
        <v>11</v>
      </c>
      <c r="B16" s="12">
        <v>10</v>
      </c>
      <c r="C16" s="12">
        <v>37</v>
      </c>
      <c r="D16" s="12">
        <v>330</v>
      </c>
      <c r="E16" s="12" t="str">
        <f t="shared" si="0"/>
        <v>10-37-330</v>
      </c>
      <c r="F16" s="64" t="str">
        <f>IFERROR(VLOOKUP(E16,'LISTA ITEMS (2)'!$E$2:$G$910,2,FALSE)," ")</f>
        <v>SOPORTE EN L ALUMINIO GRIS</v>
      </c>
      <c r="G16" s="79" t="str">
        <f>IFERROR(VLOOKUP(E16,'LISTA ITEMS (2)'!$E$2:$G$910,3,FALSE)," ")</f>
        <v>UND</v>
      </c>
      <c r="H16" s="196">
        <v>35</v>
      </c>
      <c r="I16" s="12" t="s">
        <v>356</v>
      </c>
      <c r="J16" s="76">
        <v>46077</v>
      </c>
      <c r="K16" s="72">
        <v>15</v>
      </c>
      <c r="L16" s="75">
        <f t="shared" si="1"/>
        <v>20</v>
      </c>
      <c r="M16" s="12"/>
    </row>
    <row r="17" spans="1:13" s="15" customFormat="1" ht="31.95" customHeight="1" x14ac:dyDescent="0.3">
      <c r="A17" s="12">
        <v>12</v>
      </c>
      <c r="B17" s="12">
        <v>10</v>
      </c>
      <c r="C17" s="12">
        <v>37</v>
      </c>
      <c r="D17" s="12">
        <v>232</v>
      </c>
      <c r="E17" s="12" t="str">
        <f t="shared" si="0"/>
        <v>10-37-232</v>
      </c>
      <c r="F17" s="64" t="str">
        <f>IFERROR(VLOOKUP(E17,'LISTA ITEMS (2)'!$E$2:$G$910,2,FALSE)," ")</f>
        <v>SOPORTE CENTRAL NEGRO</v>
      </c>
      <c r="G17" s="79" t="str">
        <f>IFERROR(VLOOKUP(E17,'LISTA ITEMS (2)'!$E$2:$G$910,3,FALSE)," ")</f>
        <v>UND</v>
      </c>
      <c r="H17" s="196">
        <v>35</v>
      </c>
      <c r="I17" s="12" t="s">
        <v>356</v>
      </c>
      <c r="J17" s="76">
        <v>46077</v>
      </c>
      <c r="K17" s="72">
        <v>23</v>
      </c>
      <c r="L17" s="75">
        <f t="shared" si="1"/>
        <v>12</v>
      </c>
      <c r="M17" s="12"/>
    </row>
    <row r="18" spans="1:13" s="15" customFormat="1" ht="31.95" customHeight="1" x14ac:dyDescent="0.3">
      <c r="A18" s="12">
        <v>13</v>
      </c>
      <c r="B18" s="12">
        <v>10</v>
      </c>
      <c r="C18" s="12">
        <v>37</v>
      </c>
      <c r="D18" s="12">
        <v>315</v>
      </c>
      <c r="E18" s="12" t="str">
        <f t="shared" si="0"/>
        <v>10-37-315</v>
      </c>
      <c r="F18" s="64" t="str">
        <f>IFERROR(VLOOKUP(E18,'LISTA ITEMS (2)'!$E$2:$G$910,2,FALSE)," ")</f>
        <v>SOPORTE FINAL NEGRO</v>
      </c>
      <c r="G18" s="79" t="str">
        <f>IFERROR(VLOOKUP(E18,'LISTA ITEMS (2)'!$E$2:$G$910,3,FALSE)," ")</f>
        <v>UND</v>
      </c>
      <c r="H18" s="196">
        <v>20</v>
      </c>
      <c r="I18" s="12" t="s">
        <v>356</v>
      </c>
      <c r="J18" s="76">
        <v>46077</v>
      </c>
      <c r="K18" s="72">
        <v>12</v>
      </c>
      <c r="L18" s="75">
        <f t="shared" si="1"/>
        <v>8</v>
      </c>
      <c r="M18" s="85"/>
    </row>
    <row r="19" spans="1:13" s="15" customFormat="1" ht="31.95" customHeight="1" x14ac:dyDescent="0.3">
      <c r="A19" s="12">
        <v>14</v>
      </c>
      <c r="B19" s="12">
        <v>10</v>
      </c>
      <c r="C19" s="12">
        <v>43</v>
      </c>
      <c r="D19" s="12">
        <v>270</v>
      </c>
      <c r="E19" s="12" t="str">
        <f t="shared" si="0"/>
        <v>10-43-270</v>
      </c>
      <c r="F19" s="64" t="str">
        <f>IFERROR(VLOOKUP(E19,'LISTA ITEMS (2)'!$E$2:$G$910,2,FALSE)," ")</f>
        <v>EMPALME ALUMINIO P/BARRA</v>
      </c>
      <c r="G19" s="79" t="str">
        <f>IFERROR(VLOOKUP(E19,'LISTA ITEMS (2)'!$E$2:$G$910,3,FALSE)," ")</f>
        <v>UND</v>
      </c>
      <c r="H19" s="196">
        <v>8</v>
      </c>
      <c r="I19" s="12" t="s">
        <v>356</v>
      </c>
      <c r="J19" s="76">
        <v>46077</v>
      </c>
      <c r="K19" s="72">
        <v>4</v>
      </c>
      <c r="L19" s="75">
        <f t="shared" si="1"/>
        <v>4</v>
      </c>
      <c r="M19" s="12"/>
    </row>
    <row r="20" spans="1:13" s="15" customFormat="1" ht="31.95" customHeight="1" x14ac:dyDescent="0.3">
      <c r="A20" s="12">
        <v>15</v>
      </c>
      <c r="B20" s="12">
        <v>16</v>
      </c>
      <c r="C20" s="12">
        <v>45</v>
      </c>
      <c r="D20" s="12">
        <v>294</v>
      </c>
      <c r="E20" s="12" t="str">
        <f t="shared" si="0"/>
        <v>16-45-294</v>
      </c>
      <c r="F20" s="64" t="str">
        <f>IFERROR(VLOOKUP(E20,'LISTA ITEMS (2)'!$E$2:$G$910,2,FALSE)," ")</f>
        <v>CAJA DE ESTANCA 133X180X80 EV161 (IDE)</v>
      </c>
      <c r="G20" s="79" t="str">
        <f>IFERROR(VLOOKUP(E20,'LISTA ITEMS (2)'!$E$2:$G$910,3,FALSE)," ")</f>
        <v>UND</v>
      </c>
      <c r="H20" s="196">
        <v>1</v>
      </c>
      <c r="I20" s="12" t="s">
        <v>356</v>
      </c>
      <c r="J20" s="76"/>
      <c r="K20" s="72"/>
      <c r="L20" s="75">
        <f t="shared" si="1"/>
        <v>1</v>
      </c>
      <c r="M20" s="12"/>
    </row>
    <row r="21" spans="1:13" s="15" customFormat="1" ht="31.95" customHeight="1" x14ac:dyDescent="0.3">
      <c r="A21" s="12">
        <v>14</v>
      </c>
      <c r="B21" s="12">
        <v>17</v>
      </c>
      <c r="C21" s="12">
        <v>44</v>
      </c>
      <c r="D21" s="12">
        <v>271</v>
      </c>
      <c r="E21" s="12" t="str">
        <f t="shared" si="0"/>
        <v>17-44-271</v>
      </c>
      <c r="F21" s="64" t="str">
        <f>IFERROR(VLOOKUP(E21,'LISTA ITEMS (2)'!$E$2:$G$910,2,FALSE)," ")</f>
        <v>SELLANTE QUIMICO BLANCO</v>
      </c>
      <c r="G21" s="79" t="str">
        <f>IFERROR(VLOOKUP(E21,'LISTA ITEMS (2)'!$E$2:$G$910,3,FALSE)," ")</f>
        <v>UND</v>
      </c>
      <c r="H21" s="196">
        <v>2</v>
      </c>
      <c r="I21" s="12" t="s">
        <v>356</v>
      </c>
      <c r="J21" s="76"/>
      <c r="K21" s="72"/>
      <c r="L21" s="75">
        <f t="shared" si="1"/>
        <v>2</v>
      </c>
      <c r="M21" s="12"/>
    </row>
    <row r="22" spans="1:13" s="15" customFormat="1" ht="31.95" customHeight="1" x14ac:dyDescent="0.3">
      <c r="A22" s="12">
        <v>14</v>
      </c>
      <c r="B22" s="12">
        <v>17</v>
      </c>
      <c r="C22" s="12">
        <v>44</v>
      </c>
      <c r="D22" s="12">
        <v>272</v>
      </c>
      <c r="E22" s="12" t="str">
        <f t="shared" si="0"/>
        <v>17-44-272</v>
      </c>
      <c r="F22" s="64" t="str">
        <f>IFERROR(VLOOKUP(E22,'LISTA ITEMS (2)'!$E$2:$G$910,2,FALSE)," ")</f>
        <v>SELLANTE QUIMICO GRIS</v>
      </c>
      <c r="G22" s="79" t="str">
        <f>IFERROR(VLOOKUP(E22,'LISTA ITEMS (2)'!$E$2:$G$910,3,FALSE)," ")</f>
        <v>UND</v>
      </c>
      <c r="H22" s="196">
        <v>1</v>
      </c>
      <c r="I22" s="12" t="s">
        <v>356</v>
      </c>
      <c r="J22" s="76"/>
      <c r="K22" s="72"/>
      <c r="L22" s="75">
        <f t="shared" si="1"/>
        <v>1</v>
      </c>
      <c r="M22" s="12"/>
    </row>
    <row r="23" spans="1:13" s="15" customFormat="1" ht="31.95" customHeight="1" x14ac:dyDescent="0.3">
      <c r="A23" s="12">
        <v>15</v>
      </c>
      <c r="B23" s="12">
        <v>14</v>
      </c>
      <c r="C23" s="12">
        <v>24</v>
      </c>
      <c r="D23" s="12">
        <v>193</v>
      </c>
      <c r="E23" s="12" t="str">
        <f t="shared" si="0"/>
        <v>14-24-193</v>
      </c>
      <c r="F23" s="64" t="str">
        <f>IFERROR(VLOOKUP(E23,'LISTA ITEMS (2)'!$E$2:$G$910,2,FALSE)," ")</f>
        <v>DISCO CORTE ACERO/INOX A1 2EN1</v>
      </c>
      <c r="G23" s="79" t="str">
        <f>IFERROR(VLOOKUP(E23,'LISTA ITEMS (2)'!$E$2:$G$910,3,FALSE)," ")</f>
        <v>UND</v>
      </c>
      <c r="H23" s="196">
        <v>3</v>
      </c>
      <c r="I23" s="12" t="s">
        <v>356</v>
      </c>
      <c r="J23" s="76"/>
      <c r="K23" s="72"/>
      <c r="L23" s="75">
        <f t="shared" si="1"/>
        <v>3</v>
      </c>
      <c r="M23" s="12"/>
    </row>
    <row r="24" spans="1:13" s="15" customFormat="1" ht="31.95" customHeight="1" x14ac:dyDescent="0.3">
      <c r="A24" s="12">
        <v>14</v>
      </c>
      <c r="B24" s="12">
        <v>13</v>
      </c>
      <c r="C24" s="12">
        <v>21</v>
      </c>
      <c r="D24" s="12">
        <v>181</v>
      </c>
      <c r="E24" s="12" t="str">
        <f t="shared" si="0"/>
        <v>13-21-181</v>
      </c>
      <c r="F24" s="64" t="str">
        <f>IFERROR(VLOOKUP(E24,'LISTA ITEMS (2)'!$E$2:$G$910,2,FALSE)," ")</f>
        <v>TACO P/BRIDA NEGRO</v>
      </c>
      <c r="G24" s="79" t="str">
        <f>IFERROR(VLOOKUP(E24,'LISTA ITEMS (2)'!$E$2:$G$910,3,FALSE)," ")</f>
        <v>UND</v>
      </c>
      <c r="H24" s="196">
        <v>100</v>
      </c>
      <c r="I24" s="12" t="s">
        <v>356</v>
      </c>
      <c r="J24" s="76"/>
      <c r="K24" s="72"/>
      <c r="L24" s="75">
        <f t="shared" si="1"/>
        <v>100</v>
      </c>
      <c r="M24" s="12"/>
    </row>
    <row r="25" spans="1:13" s="15" customFormat="1" ht="31.95" customHeight="1" x14ac:dyDescent="0.3">
      <c r="A25" s="12">
        <v>14</v>
      </c>
      <c r="B25" s="12">
        <v>13</v>
      </c>
      <c r="C25" s="12">
        <v>22</v>
      </c>
      <c r="D25" s="12">
        <v>184</v>
      </c>
      <c r="E25" s="12" t="str">
        <f t="shared" si="0"/>
        <v>13-22-184</v>
      </c>
      <c r="F25" s="64" t="str">
        <f>IFERROR(VLOOKUP(E25,'LISTA ITEMS (2)'!$E$2:$G$910,2,FALSE)," ")</f>
        <v>BRIDA P/EXTERIOR NEGRA</v>
      </c>
      <c r="G25" s="79" t="str">
        <f>IFERROR(VLOOKUP(E25,'LISTA ITEMS (2)'!$E$2:$G$910,3,FALSE)," ")</f>
        <v>UND</v>
      </c>
      <c r="H25" s="196">
        <v>100</v>
      </c>
      <c r="I25" s="12" t="s">
        <v>356</v>
      </c>
      <c r="J25" s="76"/>
      <c r="K25" s="72"/>
      <c r="L25" s="75">
        <f t="shared" si="1"/>
        <v>100</v>
      </c>
      <c r="M25" s="12"/>
    </row>
    <row r="26" spans="1:13" s="15" customFormat="1" ht="31.95" customHeight="1" x14ac:dyDescent="0.3">
      <c r="A26" s="12">
        <v>15</v>
      </c>
      <c r="B26" s="12">
        <v>16</v>
      </c>
      <c r="C26" s="12">
        <v>61</v>
      </c>
      <c r="D26" s="12">
        <v>331</v>
      </c>
      <c r="E26" s="12" t="str">
        <f t="shared" si="0"/>
        <v>16-61-331</v>
      </c>
      <c r="F26" s="64" t="str">
        <f>IFERROR(VLOOKUP(E26,'LISTA ITEMS (2)'!$E$2:$G$910,2,FALSE)," ")</f>
        <v>CONECTOR FOTOVOLTAICO HEMBRA M4 NEGRO</v>
      </c>
      <c r="G26" s="79" t="str">
        <f>IFERROR(VLOOKUP(E26,'LISTA ITEMS (2)'!$E$2:$G$910,3,FALSE)," ")</f>
        <v>UND</v>
      </c>
      <c r="H26" s="196">
        <v>10</v>
      </c>
      <c r="I26" s="12" t="s">
        <v>356</v>
      </c>
      <c r="J26" s="76"/>
      <c r="K26" s="72"/>
      <c r="L26" s="75">
        <f t="shared" si="1"/>
        <v>10</v>
      </c>
      <c r="M26" s="12"/>
    </row>
    <row r="27" spans="1:13" s="15" customFormat="1" ht="31.95" customHeight="1" x14ac:dyDescent="0.3">
      <c r="A27" s="12">
        <v>14</v>
      </c>
      <c r="B27" s="12">
        <v>16</v>
      </c>
      <c r="C27" s="12">
        <v>61</v>
      </c>
      <c r="D27" s="12">
        <v>332</v>
      </c>
      <c r="E27" s="12" t="str">
        <f t="shared" si="0"/>
        <v>16-61-332</v>
      </c>
      <c r="F27" s="64" t="str">
        <f>IFERROR(VLOOKUP(E27,'LISTA ITEMS (2)'!$E$2:$G$910,2,FALSE)," ")</f>
        <v>CONECTOR FOTOVOLTAICO MACHO M4 NEGRO</v>
      </c>
      <c r="G27" s="79" t="str">
        <f>IFERROR(VLOOKUP(E27,'LISTA ITEMS (2)'!$E$2:$G$910,3,FALSE)," ")</f>
        <v>UND</v>
      </c>
      <c r="H27" s="196">
        <v>10</v>
      </c>
      <c r="I27" s="12" t="s">
        <v>356</v>
      </c>
      <c r="J27" s="76"/>
      <c r="K27" s="72"/>
      <c r="L27" s="75">
        <f t="shared" si="1"/>
        <v>10</v>
      </c>
      <c r="M27" s="12"/>
    </row>
    <row r="28" spans="1:13" s="15" customFormat="1" ht="31.95" customHeight="1" x14ac:dyDescent="0.3">
      <c r="A28" s="12">
        <v>14</v>
      </c>
      <c r="B28" s="12">
        <v>20</v>
      </c>
      <c r="C28" s="12">
        <v>83</v>
      </c>
      <c r="D28" s="12">
        <v>409</v>
      </c>
      <c r="E28" s="12" t="str">
        <f t="shared" si="0"/>
        <v>20-83-409</v>
      </c>
      <c r="F28" s="64" t="str">
        <f>IFERROR(VLOOKUP(E28,'LISTA ITEMS (2)'!$E$2:$G$910,2,FALSE)," ")</f>
        <v>TAMIZ NYLON 16X85</v>
      </c>
      <c r="G28" s="79" t="str">
        <f>IFERROR(VLOOKUP(E28,'LISTA ITEMS (2)'!$E$2:$G$910,3,FALSE)," ")</f>
        <v>UND</v>
      </c>
      <c r="H28" s="196">
        <v>20</v>
      </c>
      <c r="I28" s="12" t="s">
        <v>356</v>
      </c>
      <c r="J28" s="76"/>
      <c r="K28" s="72"/>
      <c r="L28" s="75">
        <f t="shared" si="1"/>
        <v>20</v>
      </c>
      <c r="M28" s="12"/>
    </row>
    <row r="29" spans="1:13" s="15" customFormat="1" ht="31.95" customHeight="1" x14ac:dyDescent="0.3">
      <c r="A29" s="12">
        <v>15</v>
      </c>
      <c r="B29" s="12">
        <v>17</v>
      </c>
      <c r="C29" s="12">
        <v>44</v>
      </c>
      <c r="D29" s="12">
        <v>273</v>
      </c>
      <c r="E29" s="12" t="str">
        <f t="shared" si="0"/>
        <v>17-44-273</v>
      </c>
      <c r="F29" s="64" t="str">
        <f>IFERROR(VLOOKUP(E29,'LISTA ITEMS (2)'!$E$2:$G$910,2,FALSE)," ")</f>
        <v>SELLANTE QUIMICO TACO</v>
      </c>
      <c r="G29" s="79" t="str">
        <f>IFERROR(VLOOKUP(E29,'LISTA ITEMS (2)'!$E$2:$G$910,3,FALSE)," ")</f>
        <v>UND</v>
      </c>
      <c r="H29" s="196">
        <v>5</v>
      </c>
      <c r="I29" s="12" t="s">
        <v>356</v>
      </c>
      <c r="J29" s="76">
        <v>46077</v>
      </c>
      <c r="K29" s="72">
        <v>5</v>
      </c>
      <c r="L29" s="75">
        <f t="shared" si="1"/>
        <v>0</v>
      </c>
      <c r="M29" s="12"/>
    </row>
    <row r="30" spans="1:13" s="15" customFormat="1" ht="31.95" customHeight="1" x14ac:dyDescent="0.3">
      <c r="A30" s="12">
        <v>14</v>
      </c>
      <c r="B30" s="12">
        <v>9</v>
      </c>
      <c r="C30" s="12">
        <v>32</v>
      </c>
      <c r="D30" s="12">
        <v>223</v>
      </c>
      <c r="E30" s="12" t="str">
        <f t="shared" si="0"/>
        <v>9-32-223</v>
      </c>
      <c r="F30" s="64" t="str">
        <f>IFERROR(VLOOKUP(E30,'LISTA ITEMS (2)'!$E$2:$G$910,2,FALSE)," ")</f>
        <v>CURVA PVC M-25 GRIS TIPO A</v>
      </c>
      <c r="G30" s="79" t="str">
        <f>IFERROR(VLOOKUP(E30,'LISTA ITEMS (2)'!$E$2:$G$910,3,FALSE)," ")</f>
        <v>UND</v>
      </c>
      <c r="H30" s="196">
        <v>14</v>
      </c>
      <c r="I30" s="12" t="s">
        <v>356</v>
      </c>
      <c r="J30" s="76"/>
      <c r="K30" s="72"/>
      <c r="L30" s="75">
        <f t="shared" si="1"/>
        <v>14</v>
      </c>
      <c r="M30" s="12"/>
    </row>
    <row r="31" spans="1:13" s="15" customFormat="1" ht="31.95" customHeight="1" x14ac:dyDescent="0.3">
      <c r="A31" s="12">
        <v>14</v>
      </c>
      <c r="B31" s="12">
        <v>9</v>
      </c>
      <c r="C31" s="12">
        <v>32</v>
      </c>
      <c r="D31" s="12">
        <v>224</v>
      </c>
      <c r="E31" s="12" t="str">
        <f t="shared" si="0"/>
        <v>9-32-224</v>
      </c>
      <c r="F31" s="64" t="str">
        <f>IFERROR(VLOOKUP(E31,'LISTA ITEMS (2)'!$E$2:$G$910,2,FALSE)," ")</f>
        <v>CURVA PVC M-25 GRIS TIPO B</v>
      </c>
      <c r="G31" s="79" t="str">
        <f>IFERROR(VLOOKUP(E31,'LISTA ITEMS (2)'!$E$2:$G$910,3,FALSE)," ")</f>
        <v>UND</v>
      </c>
      <c r="H31" s="196">
        <v>10</v>
      </c>
      <c r="I31" s="12" t="s">
        <v>356</v>
      </c>
      <c r="J31" s="76"/>
      <c r="K31" s="72"/>
      <c r="L31" s="75">
        <f t="shared" si="1"/>
        <v>10</v>
      </c>
      <c r="M31" s="12"/>
    </row>
    <row r="32" spans="1:13" s="15" customFormat="1" ht="31.95" customHeight="1" x14ac:dyDescent="0.3">
      <c r="A32" s="12">
        <v>15</v>
      </c>
      <c r="B32" s="12">
        <v>16</v>
      </c>
      <c r="C32" s="12">
        <v>33</v>
      </c>
      <c r="D32" s="12">
        <v>369</v>
      </c>
      <c r="E32" s="12" t="str">
        <f t="shared" si="0"/>
        <v>16-33-369</v>
      </c>
      <c r="F32" s="64" t="str">
        <f>IFERROR(VLOOKUP(E32,'LISTA ITEMS (2)'!$E$2:$G$910,2,FALSE)," ")</f>
        <v>OPTIMIZADOR TS4-A-O (TIGO)</v>
      </c>
      <c r="G32" s="79" t="str">
        <f>IFERROR(VLOOKUP(E32,'LISTA ITEMS (2)'!$E$2:$G$910,3,FALSE)," ")</f>
        <v>UND</v>
      </c>
      <c r="H32" s="196">
        <v>2</v>
      </c>
      <c r="I32" s="12" t="s">
        <v>356</v>
      </c>
      <c r="J32" s="76"/>
      <c r="K32" s="72"/>
      <c r="L32" s="75">
        <f t="shared" si="1"/>
        <v>2</v>
      </c>
      <c r="M32" s="12"/>
    </row>
    <row r="33" spans="1:13" s="15" customFormat="1" ht="31.95" customHeight="1" x14ac:dyDescent="0.3">
      <c r="A33" s="12">
        <v>14</v>
      </c>
      <c r="B33" s="12">
        <v>7</v>
      </c>
      <c r="C33" s="12">
        <v>54</v>
      </c>
      <c r="D33" s="12">
        <v>295</v>
      </c>
      <c r="E33" s="12" t="str">
        <f t="shared" si="0"/>
        <v>7-54-295</v>
      </c>
      <c r="F33" s="64" t="str">
        <f>IFERROR(VLOOKUP(E33,'LISTA ITEMS (2)'!$E$2:$G$910,2,FALSE)," ")</f>
        <v>BATERIA LFP LITHIUM DL5.OC (DYNESS)</v>
      </c>
      <c r="G33" s="79" t="str">
        <f>IFERROR(VLOOKUP(E33,'LISTA ITEMS (2)'!$E$2:$G$910,3,FALSE)," ")</f>
        <v>UND</v>
      </c>
      <c r="H33" s="196">
        <v>1</v>
      </c>
      <c r="I33" s="12" t="s">
        <v>356</v>
      </c>
      <c r="J33" s="76"/>
      <c r="K33" s="72"/>
      <c r="L33" s="75">
        <f t="shared" si="1"/>
        <v>1</v>
      </c>
      <c r="M33" s="12"/>
    </row>
    <row r="34" spans="1:13" s="15" customFormat="1" ht="31.95" customHeight="1" x14ac:dyDescent="0.3">
      <c r="A34" s="12">
        <v>14</v>
      </c>
      <c r="B34" s="12">
        <v>7</v>
      </c>
      <c r="C34" s="12">
        <v>35</v>
      </c>
      <c r="D34" s="12">
        <v>286</v>
      </c>
      <c r="E34" s="12" t="str">
        <f t="shared" si="0"/>
        <v>7-35-286</v>
      </c>
      <c r="F34" s="64" t="str">
        <f>IFERROR(VLOOKUP(E34,'LISTA ITEMS (2)'!$E$2:$G$910,2,FALSE)," ")</f>
        <v>INVERSOR SPH 6000TL BL-UP 6KW (GROWATT)</v>
      </c>
      <c r="G34" s="79" t="str">
        <f>IFERROR(VLOOKUP(E34,'LISTA ITEMS (2)'!$E$2:$G$910,3,FALSE)," ")</f>
        <v>UND</v>
      </c>
      <c r="H34" s="196">
        <v>1</v>
      </c>
      <c r="I34" s="12" t="s">
        <v>356</v>
      </c>
      <c r="J34" s="76"/>
      <c r="K34" s="72"/>
      <c r="L34" s="75">
        <f t="shared" si="1"/>
        <v>1</v>
      </c>
      <c r="M34" s="12"/>
    </row>
    <row r="35" spans="1:13" s="15" customFormat="1" ht="31.95" customHeight="1" x14ac:dyDescent="0.3">
      <c r="A35" s="12">
        <v>15</v>
      </c>
      <c r="B35" s="12">
        <v>16</v>
      </c>
      <c r="C35" s="12">
        <v>45</v>
      </c>
      <c r="D35" s="12">
        <v>317</v>
      </c>
      <c r="E35" s="12" t="str">
        <f t="shared" si="0"/>
        <v>16-45-317</v>
      </c>
      <c r="F35" s="64" t="str">
        <f>IFERROR(VLOOKUP(E35,'LISTA ITEMS (2)'!$E$2:$G$910,2,FALSE)," ")</f>
        <v>CAJA DISTRIBUCION INTERIOR 8 ELEM. (SOLERA)</v>
      </c>
      <c r="G35" s="79" t="str">
        <f>IFERROR(VLOOKUP(E35,'LISTA ITEMS (2)'!$E$2:$G$910,3,FALSE)," ")</f>
        <v>UND</v>
      </c>
      <c r="H35" s="196">
        <v>1</v>
      </c>
      <c r="I35" s="12" t="s">
        <v>356</v>
      </c>
      <c r="J35" s="76"/>
      <c r="K35" s="72"/>
      <c r="L35" s="75">
        <f t="shared" si="1"/>
        <v>1</v>
      </c>
      <c r="M35" s="12"/>
    </row>
    <row r="36" spans="1:13" s="15" customFormat="1" ht="31.95" customHeight="1" x14ac:dyDescent="0.3">
      <c r="A36" s="12">
        <v>14</v>
      </c>
      <c r="B36" s="12">
        <v>16</v>
      </c>
      <c r="C36" s="12">
        <v>13</v>
      </c>
      <c r="D36" s="12">
        <v>372</v>
      </c>
      <c r="E36" s="12" t="str">
        <f t="shared" si="0"/>
        <v>16-13-372</v>
      </c>
      <c r="F36" s="64" t="str">
        <f>IFERROR(VLOOKUP(E36,'LISTA ITEMS (2)'!$E$2:$G$910,2,FALSE)," ")</f>
        <v>KIT CABLE BATERIA ARK</v>
      </c>
      <c r="G36" s="79" t="str">
        <f>IFERROR(VLOOKUP(E36,'LISTA ITEMS (2)'!$E$2:$G$910,3,FALSE)," ")</f>
        <v>UND</v>
      </c>
      <c r="H36" s="196">
        <v>1</v>
      </c>
      <c r="I36" s="12" t="s">
        <v>356</v>
      </c>
      <c r="J36" s="76"/>
      <c r="K36" s="72"/>
      <c r="L36" s="75">
        <f t="shared" si="1"/>
        <v>1</v>
      </c>
      <c r="M36" s="12"/>
    </row>
    <row r="37" spans="1:13" s="15" customFormat="1" ht="31.95" customHeight="1" x14ac:dyDescent="0.3">
      <c r="A37" s="12">
        <v>15</v>
      </c>
      <c r="B37" s="12">
        <v>17</v>
      </c>
      <c r="C37" s="12">
        <v>44</v>
      </c>
      <c r="D37" s="12">
        <v>271</v>
      </c>
      <c r="E37" s="12" t="str">
        <f t="shared" ref="E37" si="2">CONCATENATE(B37,"-",C37,"-",D37)</f>
        <v>17-44-271</v>
      </c>
      <c r="F37" s="64" t="str">
        <f>IFERROR(VLOOKUP(E37,'LISTA ITEMS (2)'!$E$2:$G$910,2,FALSE)," ")</f>
        <v>SELLANTE QUIMICO BLANCO</v>
      </c>
      <c r="G37" s="79" t="str">
        <f>IFERROR(VLOOKUP(E37,'LISTA ITEMS (2)'!$E$2:$G$910,3,FALSE)," ")</f>
        <v>UND</v>
      </c>
      <c r="H37" s="196">
        <v>2</v>
      </c>
      <c r="I37" s="12" t="s">
        <v>356</v>
      </c>
      <c r="J37" s="76">
        <v>46077</v>
      </c>
      <c r="K37" s="72">
        <v>1</v>
      </c>
      <c r="L37" s="75">
        <f t="shared" ref="L37" si="3">+H37-K37</f>
        <v>1</v>
      </c>
      <c r="M37" s="12"/>
    </row>
    <row r="38" spans="1:13" s="15" customFormat="1" ht="31.95" customHeight="1" x14ac:dyDescent="0.3">
      <c r="A38" s="12">
        <v>16</v>
      </c>
      <c r="B38" s="12">
        <v>17</v>
      </c>
      <c r="C38" s="12">
        <v>44</v>
      </c>
      <c r="D38" s="12">
        <v>272</v>
      </c>
      <c r="E38" s="12" t="str">
        <f t="shared" si="0"/>
        <v>17-44-272</v>
      </c>
      <c r="F38" s="64" t="str">
        <f>IFERROR(VLOOKUP(E38,'LISTA ITEMS (2)'!$E$2:$G$910,2,FALSE)," ")</f>
        <v>SELLANTE QUIMICO GRIS</v>
      </c>
      <c r="G38" s="79" t="str">
        <f>IFERROR(VLOOKUP(E38,'LISTA ITEMS (2)'!$E$2:$G$910,3,FALSE)," ")</f>
        <v>UND</v>
      </c>
      <c r="H38" s="196">
        <v>2</v>
      </c>
      <c r="I38" s="12" t="s">
        <v>356</v>
      </c>
      <c r="J38" s="76">
        <v>46077</v>
      </c>
      <c r="K38" s="72">
        <v>1</v>
      </c>
      <c r="L38" s="75">
        <f t="shared" si="1"/>
        <v>1</v>
      </c>
      <c r="M38" s="12"/>
    </row>
    <row r="39" spans="1:13" ht="2.4" customHeight="1" x14ac:dyDescent="0.3"/>
    <row r="40" spans="1:13" ht="69.599999999999994" customHeight="1" x14ac:dyDescent="0.3">
      <c r="A40" s="305" t="s">
        <v>686</v>
      </c>
      <c r="B40" s="306"/>
      <c r="C40" s="306"/>
      <c r="D40" s="306"/>
      <c r="E40" s="306"/>
      <c r="F40" s="306"/>
      <c r="G40" s="306"/>
      <c r="H40" s="306"/>
      <c r="I40" s="307"/>
    </row>
  </sheetData>
  <autoFilter ref="A5:M38" xr:uid="{2455F901-485F-48F1-8A4A-8C9D0BCD9C3B}">
    <filterColumn colId="1" showButton="0"/>
    <filterColumn colId="2" showButton="0"/>
  </autoFilter>
  <mergeCells count="13">
    <mergeCell ref="A1:B1"/>
    <mergeCell ref="C1:F1"/>
    <mergeCell ref="G1:H1"/>
    <mergeCell ref="A2:B2"/>
    <mergeCell ref="C2:F2"/>
    <mergeCell ref="G2:H2"/>
    <mergeCell ref="A40:I40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0EFB-975A-40D5-8FCE-AD5D95C30A9F}">
  <sheetPr>
    <tabColor rgb="FF92D050"/>
  </sheetPr>
  <dimension ref="A1:M39"/>
  <sheetViews>
    <sheetView zoomScale="85" zoomScaleNormal="85" workbookViewId="0">
      <pane ySplit="5" topLeftCell="A6" activePane="bottomLeft" state="frozen"/>
      <selection pane="bottomLeft" activeCell="F7" sqref="F7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25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786</v>
      </c>
      <c r="D2" s="283"/>
      <c r="E2" s="283"/>
      <c r="F2" s="291"/>
      <c r="G2" s="292" t="s">
        <v>355</v>
      </c>
      <c r="H2" s="290"/>
      <c r="I2" s="62">
        <v>25</v>
      </c>
      <c r="J2" s="69"/>
      <c r="K2" s="110" t="s">
        <v>554</v>
      </c>
      <c r="L2" s="110" t="s">
        <v>126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787</v>
      </c>
      <c r="D3" s="314"/>
      <c r="E3" s="68"/>
      <c r="F3" s="61" t="s">
        <v>353</v>
      </c>
      <c r="G3" s="295" t="s">
        <v>369</v>
      </c>
      <c r="H3" s="296"/>
      <c r="I3" s="127">
        <v>46073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784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9</v>
      </c>
      <c r="C6" s="12">
        <v>32</v>
      </c>
      <c r="D6" s="12">
        <v>224</v>
      </c>
      <c r="E6" s="12" t="str">
        <f>CONCATENATE(B6,"-",C6,"-",D6)</f>
        <v>9-32-224</v>
      </c>
      <c r="F6" s="64" t="str">
        <f>IFERROR(VLOOKUP(E6,'LISTA ITEMS (2)'!$E$2:$G$910,2,FALSE)," ")</f>
        <v>CURVA PVC M-25 GRIS TIPO B</v>
      </c>
      <c r="G6" s="79" t="str">
        <f>IFERROR(VLOOKUP(E6,'LISTA ITEMS (2)'!$E$2:$G$910,3,FALSE)," ")</f>
        <v>UND</v>
      </c>
      <c r="H6" s="196">
        <v>22</v>
      </c>
      <c r="I6" s="12" t="s">
        <v>356</v>
      </c>
      <c r="J6" s="76"/>
      <c r="K6" s="72"/>
      <c r="L6" s="75">
        <f>+H6-K6</f>
        <v>22</v>
      </c>
      <c r="M6" s="194"/>
    </row>
    <row r="7" spans="1:13" s="15" customFormat="1" ht="31.95" customHeight="1" x14ac:dyDescent="0.3">
      <c r="A7" s="12">
        <v>2</v>
      </c>
      <c r="B7" s="12"/>
      <c r="C7" s="12"/>
      <c r="D7" s="12"/>
      <c r="E7" s="12" t="str">
        <f t="shared" ref="E7:E37" si="0">CONCATENATE(B7,"-",C7,"-",D7)</f>
        <v>--</v>
      </c>
      <c r="F7" s="64">
        <f>IFERROR(VLOOKUP(E7,'LISTA ITEMS (2)'!$E$2:$G$910,2,FALSE)," ")</f>
        <v>0</v>
      </c>
      <c r="G7" s="79">
        <f>IFERROR(VLOOKUP(E7,'LISTA ITEMS (2)'!$E$2:$G$910,3,FALSE)," ")</f>
        <v>0</v>
      </c>
      <c r="H7" s="196"/>
      <c r="I7" s="12" t="s">
        <v>356</v>
      </c>
      <c r="J7" s="76"/>
      <c r="K7" s="72"/>
      <c r="L7" s="75">
        <f t="shared" ref="L7:L37" si="1">+H7-K7</f>
        <v>0</v>
      </c>
      <c r="M7" s="85"/>
    </row>
    <row r="8" spans="1:13" s="15" customFormat="1" ht="31.95" customHeight="1" x14ac:dyDescent="0.3">
      <c r="A8" s="12">
        <v>3</v>
      </c>
      <c r="B8" s="12"/>
      <c r="C8" s="12"/>
      <c r="D8" s="12"/>
      <c r="E8" s="12" t="str">
        <f t="shared" si="0"/>
        <v>--</v>
      </c>
      <c r="F8" s="64">
        <f>IFERROR(VLOOKUP(E8,'LISTA ITEMS (2)'!$E$2:$G$910,2,FALSE)," ")</f>
        <v>0</v>
      </c>
      <c r="G8" s="79">
        <f>IFERROR(VLOOKUP(E8,'LISTA ITEMS (2)'!$E$2:$G$910,3,FALSE)," ")</f>
        <v>0</v>
      </c>
      <c r="H8" s="196"/>
      <c r="I8" s="12" t="s">
        <v>356</v>
      </c>
      <c r="J8" s="76"/>
      <c r="K8" s="72"/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/>
      <c r="C9" s="12"/>
      <c r="D9" s="12"/>
      <c r="E9" s="12" t="str">
        <f t="shared" si="0"/>
        <v>--</v>
      </c>
      <c r="F9" s="64">
        <f>IFERROR(VLOOKUP(E9,'LISTA ITEMS (2)'!$E$2:$G$910,2,FALSE)," ")</f>
        <v>0</v>
      </c>
      <c r="G9" s="79">
        <f>IFERROR(VLOOKUP(E9,'LISTA ITEMS (2)'!$E$2:$G$910,3,FALSE)," ")</f>
        <v>0</v>
      </c>
      <c r="H9" s="196"/>
      <c r="I9" s="12" t="s">
        <v>356</v>
      </c>
      <c r="J9" s="76"/>
      <c r="K9" s="72"/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/>
      <c r="C10" s="12"/>
      <c r="D10" s="12"/>
      <c r="E10" s="12" t="str">
        <f t="shared" si="0"/>
        <v>--</v>
      </c>
      <c r="F10" s="64">
        <f>IFERROR(VLOOKUP(E10,'LISTA ITEMS (2)'!$E$2:$G$910,2,FALSE)," ")</f>
        <v>0</v>
      </c>
      <c r="G10" s="79">
        <f>IFERROR(VLOOKUP(E10,'LISTA ITEMS (2)'!$E$2:$G$910,3,FALSE)," ")</f>
        <v>0</v>
      </c>
      <c r="H10" s="196"/>
      <c r="I10" s="12" t="s">
        <v>356</v>
      </c>
      <c r="J10" s="76"/>
      <c r="K10" s="72"/>
      <c r="L10" s="75">
        <f t="shared" si="1"/>
        <v>0</v>
      </c>
      <c r="M10" s="3"/>
    </row>
    <row r="11" spans="1:13" s="15" customFormat="1" ht="31.95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196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196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196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196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196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196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196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196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196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196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14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196"/>
      <c r="I21" s="12" t="s">
        <v>356</v>
      </c>
      <c r="J21" s="76"/>
      <c r="K21" s="72"/>
      <c r="L21" s="75">
        <f t="shared" si="1"/>
        <v>0</v>
      </c>
      <c r="M21" s="12"/>
    </row>
    <row r="22" spans="1:13" s="15" customFormat="1" ht="31.95" customHeight="1" x14ac:dyDescent="0.3">
      <c r="A22" s="12">
        <v>14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196"/>
      <c r="I22" s="12" t="s">
        <v>356</v>
      </c>
      <c r="J22" s="76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15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196"/>
      <c r="I23" s="12" t="s">
        <v>356</v>
      </c>
      <c r="J23" s="76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14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196"/>
      <c r="I24" s="12" t="s">
        <v>356</v>
      </c>
      <c r="J24" s="76"/>
      <c r="K24" s="72"/>
      <c r="L24" s="75">
        <f t="shared" si="1"/>
        <v>0</v>
      </c>
      <c r="M24" s="12"/>
    </row>
    <row r="25" spans="1:13" s="15" customFormat="1" ht="31.95" customHeight="1" x14ac:dyDescent="0.3">
      <c r="A25" s="12">
        <v>14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196"/>
      <c r="I25" s="12" t="s">
        <v>356</v>
      </c>
      <c r="J25" s="76"/>
      <c r="K25" s="72"/>
      <c r="L25" s="75">
        <f t="shared" si="1"/>
        <v>0</v>
      </c>
      <c r="M25" s="12"/>
    </row>
    <row r="26" spans="1:13" s="15" customFormat="1" ht="31.95" customHeight="1" x14ac:dyDescent="0.3">
      <c r="A26" s="12">
        <v>15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196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14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196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14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196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31.95" customHeight="1" x14ac:dyDescent="0.3">
      <c r="A29" s="12">
        <v>15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196"/>
      <c r="I29" s="12" t="s">
        <v>356</v>
      </c>
      <c r="J29" s="76"/>
      <c r="K29" s="72"/>
      <c r="L29" s="75">
        <f t="shared" si="1"/>
        <v>0</v>
      </c>
      <c r="M29" s="12"/>
    </row>
    <row r="30" spans="1:13" s="15" customFormat="1" ht="31.95" customHeight="1" x14ac:dyDescent="0.3">
      <c r="A30" s="12">
        <v>14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196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14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196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customHeight="1" x14ac:dyDescent="0.3">
      <c r="A32" s="12">
        <v>15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196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customHeight="1" x14ac:dyDescent="0.3">
      <c r="A33" s="12">
        <v>14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196"/>
      <c r="I33" s="12" t="s">
        <v>356</v>
      </c>
      <c r="J33" s="76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14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196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15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196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14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15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ht="2.4" customHeight="1" x14ac:dyDescent="0.3"/>
    <row r="39" spans="1:13" ht="69.599999999999994" customHeight="1" x14ac:dyDescent="0.3">
      <c r="A39" s="305" t="s">
        <v>686</v>
      </c>
      <c r="B39" s="306"/>
      <c r="C39" s="306"/>
      <c r="D39" s="306"/>
      <c r="E39" s="306"/>
      <c r="F39" s="306"/>
      <c r="G39" s="306"/>
      <c r="H39" s="306"/>
      <c r="I39" s="307"/>
    </row>
  </sheetData>
  <mergeCells count="13">
    <mergeCell ref="A1:B1"/>
    <mergeCell ref="C1:F1"/>
    <mergeCell ref="G1:H1"/>
    <mergeCell ref="A2:B2"/>
    <mergeCell ref="C2:F2"/>
    <mergeCell ref="G2:H2"/>
    <mergeCell ref="A39:I39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9E4E-E6BD-488B-BDBD-E971853C4874}">
  <sheetPr>
    <tabColor rgb="FF92D050"/>
  </sheetPr>
  <dimension ref="A1:M46"/>
  <sheetViews>
    <sheetView zoomScale="85" zoomScaleNormal="85" workbookViewId="0">
      <pane ySplit="5" topLeftCell="A30" activePane="bottomLeft" state="frozen"/>
      <selection activeCell="A4" sqref="A4:D4"/>
      <selection pane="bottomLeft" activeCell="G36" sqref="G36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26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809</v>
      </c>
      <c r="D2" s="283"/>
      <c r="E2" s="283"/>
      <c r="F2" s="291"/>
      <c r="G2" s="292" t="s">
        <v>355</v>
      </c>
      <c r="H2" s="290"/>
      <c r="I2" s="62">
        <v>26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810</v>
      </c>
      <c r="D3" s="314"/>
      <c r="E3" s="68"/>
      <c r="F3" s="61" t="s">
        <v>353</v>
      </c>
      <c r="G3" s="295" t="s">
        <v>369</v>
      </c>
      <c r="H3" s="296"/>
      <c r="I3" s="127">
        <v>46077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808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47</v>
      </c>
      <c r="D6" s="12">
        <v>318</v>
      </c>
      <c r="E6" s="12" t="str">
        <f>CONCATENATE(B6,"-",C6,"-",D6)</f>
        <v>16-47-318</v>
      </c>
      <c r="F6" s="64" t="str">
        <f>IFERROR(VLOOKUP(E6,'LISTA ITEMS (2)'!$E$2:$G$910,2,FALSE)," ")</f>
        <v>DIFERENCIAL EPR2A040030 2P-40A-30mA (MAXGE)</v>
      </c>
      <c r="G6" s="79" t="str">
        <f>IFERROR(VLOOKUP(E6,'LISTA ITEMS (2)'!$E$2:$G$910,3,FALSE)," ")</f>
        <v>UND</v>
      </c>
      <c r="H6" s="196">
        <v>1</v>
      </c>
      <c r="I6" s="12" t="s">
        <v>356</v>
      </c>
      <c r="J6" s="76"/>
      <c r="K6" s="72"/>
      <c r="L6" s="75">
        <f>+H6-K6</f>
        <v>1</v>
      </c>
      <c r="M6" s="194"/>
    </row>
    <row r="7" spans="1:13" s="15" customFormat="1" ht="31.95" customHeight="1" x14ac:dyDescent="0.3">
      <c r="A7" s="12">
        <v>2</v>
      </c>
      <c r="B7" s="12">
        <v>16</v>
      </c>
      <c r="C7" s="12">
        <v>48</v>
      </c>
      <c r="D7" s="12">
        <v>281</v>
      </c>
      <c r="E7" s="12" t="str">
        <f t="shared" ref="E7:E44" si="0">CONCATENATE(B7,"-",C7,"-",D7)</f>
        <v>16-48-281</v>
      </c>
      <c r="F7" s="64" t="str">
        <f>IFERROR(VLOOKUP(E7,'LISTA ITEMS (2)'!$E$2:$G$910,2,FALSE)," ")</f>
        <v>PORTA FUSIBLE SGF-32-DC (MAXGE)</v>
      </c>
      <c r="G7" s="79" t="str">
        <f>IFERROR(VLOOKUP(E7,'LISTA ITEMS (2)'!$E$2:$G$910,3,FALSE)," ")</f>
        <v>UND</v>
      </c>
      <c r="H7" s="196">
        <v>4</v>
      </c>
      <c r="I7" s="12" t="s">
        <v>356</v>
      </c>
      <c r="J7" s="76">
        <v>46076</v>
      </c>
      <c r="K7" s="72">
        <v>1</v>
      </c>
      <c r="L7" s="75">
        <f t="shared" ref="L7:L44" si="1">+H7-K7</f>
        <v>3</v>
      </c>
      <c r="M7" s="85"/>
    </row>
    <row r="8" spans="1:13" s="15" customFormat="1" ht="31.95" customHeight="1" x14ac:dyDescent="0.3">
      <c r="A8" s="12">
        <v>3</v>
      </c>
      <c r="B8" s="12">
        <v>16</v>
      </c>
      <c r="C8" s="12">
        <v>50</v>
      </c>
      <c r="D8" s="12">
        <v>314</v>
      </c>
      <c r="E8" s="12" t="str">
        <f t="shared" si="0"/>
        <v>16-50-314</v>
      </c>
      <c r="F8" s="64" t="str">
        <f>IFERROR(VLOOKUP(E8,'LISTA ITEMS (2)'!$E$2:$G$910,2,FALSE)," ")</f>
        <v>FUSIBLE MG10PV32A (MAXGE)</v>
      </c>
      <c r="G8" s="79" t="str">
        <f>IFERROR(VLOOKUP(E8,'LISTA ITEMS (2)'!$E$2:$G$910,3,FALSE)," ")</f>
        <v>UND</v>
      </c>
      <c r="H8" s="196">
        <v>4</v>
      </c>
      <c r="I8" s="12" t="s">
        <v>356</v>
      </c>
      <c r="J8" s="76">
        <v>46076</v>
      </c>
      <c r="K8" s="72">
        <v>1</v>
      </c>
      <c r="L8" s="75">
        <f t="shared" si="1"/>
        <v>3</v>
      </c>
      <c r="M8" s="12"/>
    </row>
    <row r="9" spans="1:13" s="15" customFormat="1" ht="31.95" customHeight="1" x14ac:dyDescent="0.3">
      <c r="A9" s="12">
        <v>4</v>
      </c>
      <c r="B9" s="12">
        <v>16</v>
      </c>
      <c r="C9" s="12">
        <v>52</v>
      </c>
      <c r="D9" s="12">
        <v>292</v>
      </c>
      <c r="E9" s="12" t="str">
        <f t="shared" si="0"/>
        <v>16-52-292</v>
      </c>
      <c r="F9" s="64" t="str">
        <f>IFERROR(VLOOKUP(E9,'LISTA ITEMS (2)'!$E$2:$G$910,2,FALSE)," ")</f>
        <v>TERMICO EPBE63M1NC63M1NC40 1P+N C40 (MAXGE)</v>
      </c>
      <c r="G9" s="79" t="str">
        <f>IFERROR(VLOOKUP(E9,'LISTA ITEMS (2)'!$E$2:$G$910,3,FALSE)," ")</f>
        <v>UND</v>
      </c>
      <c r="H9" s="196">
        <v>1</v>
      </c>
      <c r="I9" s="12" t="s">
        <v>356</v>
      </c>
      <c r="J9" s="76"/>
      <c r="K9" s="72"/>
      <c r="L9" s="75">
        <f t="shared" si="1"/>
        <v>1</v>
      </c>
      <c r="M9" s="12"/>
    </row>
    <row r="10" spans="1:13" s="15" customFormat="1" ht="31.95" customHeight="1" x14ac:dyDescent="0.3">
      <c r="A10" s="12">
        <v>5</v>
      </c>
      <c r="B10" s="12">
        <v>16</v>
      </c>
      <c r="C10" s="12">
        <v>52</v>
      </c>
      <c r="D10" s="12">
        <v>293</v>
      </c>
      <c r="E10" s="12" t="str">
        <f t="shared" si="0"/>
        <v>16-52-293</v>
      </c>
      <c r="F10" s="64" t="str">
        <f>IFERROR(VLOOKUP(E10,'LISTA ITEMS (2)'!$E$2:$G$910,2,FALSE)," ")</f>
        <v>TERMICO EPBE63M1NC63M1NC32 1P+N C32 (MAXGE)</v>
      </c>
      <c r="G10" s="79" t="str">
        <f>IFERROR(VLOOKUP(E10,'LISTA ITEMS (2)'!$E$2:$G$910,3,FALSE)," ")</f>
        <v>UND</v>
      </c>
      <c r="H10" s="196">
        <v>1</v>
      </c>
      <c r="I10" s="12" t="s">
        <v>356</v>
      </c>
      <c r="J10" s="76"/>
      <c r="K10" s="72"/>
      <c r="L10" s="75">
        <f t="shared" si="1"/>
        <v>1</v>
      </c>
      <c r="M10" s="3"/>
    </row>
    <row r="11" spans="1:13" s="15" customFormat="1" ht="31.95" customHeight="1" x14ac:dyDescent="0.3">
      <c r="A11" s="12">
        <v>6</v>
      </c>
      <c r="B11" s="12">
        <v>16</v>
      </c>
      <c r="C11" s="12">
        <v>49</v>
      </c>
      <c r="D11" s="12">
        <v>288</v>
      </c>
      <c r="E11" s="12" t="str">
        <f t="shared" si="0"/>
        <v>16-49-288</v>
      </c>
      <c r="F11" s="64" t="str">
        <f>IFERROR(VLOOKUP(E11,'LISTA ITEMS (2)'!$E$2:$G$910,2,FALSE)," ")</f>
        <v>CONTACTOR MODULAR EPC1-6322-P7 (MAXGE)</v>
      </c>
      <c r="G11" s="79" t="str">
        <f>IFERROR(VLOOKUP(E11,'LISTA ITEMS (2)'!$E$2:$G$910,3,FALSE)," ")</f>
        <v>UND</v>
      </c>
      <c r="H11" s="196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16</v>
      </c>
      <c r="C12" s="12">
        <v>53</v>
      </c>
      <c r="D12" s="12">
        <v>290</v>
      </c>
      <c r="E12" s="12" t="str">
        <f t="shared" si="0"/>
        <v>16-53-290</v>
      </c>
      <c r="F12" s="64" t="str">
        <f>IFERROR(VLOOKUP(E12,'LISTA ITEMS (2)'!$E$2:$G$910,2,FALSE)," ")</f>
        <v>PINCHO DE COMUNICACIÓN WIFI SHINEWILAN X2 (GROWATT)</v>
      </c>
      <c r="G12" s="79" t="str">
        <f>IFERROR(VLOOKUP(E12,'LISTA ITEMS (2)'!$E$2:$G$910,3,FALSE)," ")</f>
        <v>UND</v>
      </c>
      <c r="H12" s="196">
        <v>2</v>
      </c>
      <c r="I12" s="12" t="s">
        <v>356</v>
      </c>
      <c r="J12" s="76"/>
      <c r="K12" s="72"/>
      <c r="L12" s="75">
        <f t="shared" si="1"/>
        <v>2</v>
      </c>
      <c r="M12" s="12"/>
    </row>
    <row r="13" spans="1:13" s="15" customFormat="1" ht="31.95" customHeight="1" x14ac:dyDescent="0.3">
      <c r="A13" s="12">
        <v>8</v>
      </c>
      <c r="B13" s="12">
        <v>7</v>
      </c>
      <c r="C13" s="12">
        <v>54</v>
      </c>
      <c r="D13" s="12">
        <v>295</v>
      </c>
      <c r="E13" s="12" t="str">
        <f t="shared" si="0"/>
        <v>7-54-295</v>
      </c>
      <c r="F13" s="64" t="str">
        <f>IFERROR(VLOOKUP(E13,'LISTA ITEMS (2)'!$E$2:$G$910,2,FALSE)," ")</f>
        <v>BATERIA LFP LITHIUM DL5.OC (DYNESS)</v>
      </c>
      <c r="G13" s="79" t="str">
        <f>IFERROR(VLOOKUP(E13,'LISTA ITEMS (2)'!$E$2:$G$910,3,FALSE)," ")</f>
        <v>UND</v>
      </c>
      <c r="H13" s="196">
        <v>1</v>
      </c>
      <c r="I13" s="12" t="s">
        <v>356</v>
      </c>
      <c r="J13" s="76"/>
      <c r="K13" s="72"/>
      <c r="L13" s="75">
        <f t="shared" si="1"/>
        <v>1</v>
      </c>
      <c r="M13" s="194" t="s">
        <v>788</v>
      </c>
    </row>
    <row r="14" spans="1:13" s="15" customFormat="1" ht="31.95" customHeight="1" x14ac:dyDescent="0.3">
      <c r="A14" s="12">
        <v>9</v>
      </c>
      <c r="B14" s="12">
        <v>7</v>
      </c>
      <c r="C14" s="12">
        <v>35</v>
      </c>
      <c r="D14" s="12">
        <v>286</v>
      </c>
      <c r="E14" s="12" t="str">
        <f t="shared" si="0"/>
        <v>7-35-286</v>
      </c>
      <c r="F14" s="64" t="str">
        <f>IFERROR(VLOOKUP(E14,'LISTA ITEMS (2)'!$E$2:$G$910,2,FALSE)," ")</f>
        <v>INVERSOR SPH 6000TL BL-UP 6KW (GROWATT)</v>
      </c>
      <c r="G14" s="79" t="str">
        <f>IFERROR(VLOOKUP(E14,'LISTA ITEMS (2)'!$E$2:$G$910,3,FALSE)," ")</f>
        <v>UND</v>
      </c>
      <c r="H14" s="196">
        <v>1</v>
      </c>
      <c r="I14" s="12" t="s">
        <v>356</v>
      </c>
      <c r="J14" s="76"/>
      <c r="K14" s="72"/>
      <c r="L14" s="75">
        <f t="shared" si="1"/>
        <v>1</v>
      </c>
      <c r="M14" s="12" t="s">
        <v>789</v>
      </c>
    </row>
    <row r="15" spans="1:13" s="15" customFormat="1" ht="31.95" customHeight="1" x14ac:dyDescent="0.3">
      <c r="A15" s="12">
        <v>10</v>
      </c>
      <c r="B15" s="12">
        <v>6</v>
      </c>
      <c r="C15" s="12">
        <v>23</v>
      </c>
      <c r="D15" s="12">
        <v>192</v>
      </c>
      <c r="E15" s="12" t="str">
        <f t="shared" si="0"/>
        <v>6-23-192</v>
      </c>
      <c r="F15" s="64" t="str">
        <f>IFERROR(VLOOKUP(E15,'LISTA ITEMS (2)'!$E$2:$G$910,2,FALSE)," ")</f>
        <v xml:space="preserve">CINTA ACERO PERFORADA PARA MONTAJE </v>
      </c>
      <c r="G15" s="79" t="str">
        <f>IFERROR(VLOOKUP(E15,'LISTA ITEMS (2)'!$E$2:$G$910,3,FALSE)," ")</f>
        <v>UND</v>
      </c>
      <c r="H15" s="196">
        <v>2</v>
      </c>
      <c r="I15" s="12" t="s">
        <v>356</v>
      </c>
      <c r="J15" s="76"/>
      <c r="K15" s="72"/>
      <c r="L15" s="75">
        <f t="shared" si="1"/>
        <v>2</v>
      </c>
      <c r="M15" s="12"/>
    </row>
    <row r="16" spans="1:13" s="15" customFormat="1" ht="31.95" customHeight="1" x14ac:dyDescent="0.3">
      <c r="A16" s="12">
        <v>11</v>
      </c>
      <c r="B16" s="12">
        <v>13</v>
      </c>
      <c r="C16" s="12">
        <v>21</v>
      </c>
      <c r="D16" s="12">
        <v>181</v>
      </c>
      <c r="E16" s="12" t="str">
        <f t="shared" si="0"/>
        <v>13-21-181</v>
      </c>
      <c r="F16" s="64" t="str">
        <f>IFERROR(VLOOKUP(E16,'LISTA ITEMS (2)'!$E$2:$G$910,2,FALSE)," ")</f>
        <v>TACO P/BRIDA NEGRO</v>
      </c>
      <c r="G16" s="79" t="str">
        <f>IFERROR(VLOOKUP(E16,'LISTA ITEMS (2)'!$E$2:$G$910,3,FALSE)," ")</f>
        <v>UND</v>
      </c>
      <c r="H16" s="196">
        <v>100</v>
      </c>
      <c r="I16" s="12" t="s">
        <v>356</v>
      </c>
      <c r="J16" s="72"/>
      <c r="K16" s="72"/>
      <c r="L16" s="75">
        <f t="shared" si="1"/>
        <v>100</v>
      </c>
      <c r="M16" s="12"/>
    </row>
    <row r="17" spans="1:13" s="15" customFormat="1" ht="31.95" customHeight="1" x14ac:dyDescent="0.3">
      <c r="A17" s="12">
        <v>12</v>
      </c>
      <c r="B17" s="12">
        <v>13</v>
      </c>
      <c r="C17" s="12">
        <v>22</v>
      </c>
      <c r="D17" s="12">
        <v>184</v>
      </c>
      <c r="E17" s="12" t="str">
        <f t="shared" si="0"/>
        <v>13-22-184</v>
      </c>
      <c r="F17" s="64" t="str">
        <f>IFERROR(VLOOKUP(E17,'LISTA ITEMS (2)'!$E$2:$G$910,2,FALSE)," ")</f>
        <v>BRIDA P/EXTERIOR NEGRA</v>
      </c>
      <c r="G17" s="79" t="str">
        <f>IFERROR(VLOOKUP(E17,'LISTA ITEMS (2)'!$E$2:$G$910,3,FALSE)," ")</f>
        <v>UND</v>
      </c>
      <c r="H17" s="196">
        <v>300</v>
      </c>
      <c r="I17" s="12" t="s">
        <v>356</v>
      </c>
      <c r="J17" s="76">
        <v>46076</v>
      </c>
      <c r="K17" s="72">
        <v>200</v>
      </c>
      <c r="L17" s="75">
        <f t="shared" si="1"/>
        <v>100</v>
      </c>
      <c r="M17" s="12"/>
    </row>
    <row r="18" spans="1:13" s="15" customFormat="1" ht="31.95" customHeight="1" x14ac:dyDescent="0.3">
      <c r="A18" s="12">
        <v>13</v>
      </c>
      <c r="B18" s="12">
        <v>16</v>
      </c>
      <c r="C18" s="12">
        <v>61</v>
      </c>
      <c r="D18" s="12">
        <v>331</v>
      </c>
      <c r="E18" s="12" t="str">
        <f t="shared" si="0"/>
        <v>16-61-331</v>
      </c>
      <c r="F18" s="64" t="str">
        <f>IFERROR(VLOOKUP(E18,'LISTA ITEMS (2)'!$E$2:$G$910,2,FALSE)," ")</f>
        <v>CONECTOR FOTOVOLTAICO HEMBRA M4 NEGRO</v>
      </c>
      <c r="G18" s="79" t="str">
        <f>IFERROR(VLOOKUP(E18,'LISTA ITEMS (2)'!$E$2:$G$910,3,FALSE)," ")</f>
        <v>UND</v>
      </c>
      <c r="H18" s="196">
        <v>10</v>
      </c>
      <c r="I18" s="12" t="s">
        <v>356</v>
      </c>
      <c r="J18" s="76">
        <v>46076</v>
      </c>
      <c r="K18" s="72">
        <v>9</v>
      </c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>
        <v>16</v>
      </c>
      <c r="C19" s="12">
        <v>61</v>
      </c>
      <c r="D19" s="12">
        <v>332</v>
      </c>
      <c r="E19" s="12" t="str">
        <f t="shared" si="0"/>
        <v>16-61-332</v>
      </c>
      <c r="F19" s="64" t="str">
        <f>IFERROR(VLOOKUP(E19,'LISTA ITEMS (2)'!$E$2:$G$910,2,FALSE)," ")</f>
        <v>CONECTOR FOTOVOLTAICO MACHO M4 NEGRO</v>
      </c>
      <c r="G19" s="79" t="str">
        <f>IFERROR(VLOOKUP(E19,'LISTA ITEMS (2)'!$E$2:$G$910,3,FALSE)," ")</f>
        <v>UND</v>
      </c>
      <c r="H19" s="196">
        <v>10</v>
      </c>
      <c r="I19" s="12" t="s">
        <v>356</v>
      </c>
      <c r="J19" s="76">
        <v>46076</v>
      </c>
      <c r="K19" s="72">
        <v>4</v>
      </c>
      <c r="L19" s="75">
        <f t="shared" si="1"/>
        <v>6</v>
      </c>
      <c r="M19" s="12"/>
    </row>
    <row r="20" spans="1:13" s="15" customFormat="1" ht="31.95" customHeight="1" x14ac:dyDescent="0.3">
      <c r="A20" s="12">
        <v>15</v>
      </c>
      <c r="B20" s="12">
        <v>10</v>
      </c>
      <c r="C20" s="12">
        <v>43</v>
      </c>
      <c r="D20" s="12">
        <v>270</v>
      </c>
      <c r="E20" s="12" t="str">
        <f t="shared" si="0"/>
        <v>10-43-270</v>
      </c>
      <c r="F20" s="64" t="str">
        <f>IFERROR(VLOOKUP(E20,'LISTA ITEMS (2)'!$E$2:$G$910,2,FALSE)," ")</f>
        <v>EMPALME ALUMINIO P/BARRA</v>
      </c>
      <c r="G20" s="79" t="str">
        <f>IFERROR(VLOOKUP(E20,'LISTA ITEMS (2)'!$E$2:$G$910,3,FALSE)," ")</f>
        <v>UND</v>
      </c>
      <c r="H20" s="196">
        <v>8</v>
      </c>
      <c r="I20" s="12" t="s">
        <v>356</v>
      </c>
      <c r="J20" s="76">
        <v>46076</v>
      </c>
      <c r="K20" s="72">
        <v>2</v>
      </c>
      <c r="L20" s="75">
        <f t="shared" si="1"/>
        <v>6</v>
      </c>
      <c r="M20" s="12"/>
    </row>
    <row r="21" spans="1:13" s="15" customFormat="1" ht="31.95" customHeight="1" x14ac:dyDescent="0.3">
      <c r="A21" s="12">
        <v>14</v>
      </c>
      <c r="B21" s="12">
        <v>7</v>
      </c>
      <c r="C21" s="12">
        <v>38</v>
      </c>
      <c r="D21" s="12">
        <v>247</v>
      </c>
      <c r="E21" s="12" t="str">
        <f t="shared" si="0"/>
        <v>7-38-247</v>
      </c>
      <c r="F21" s="64" t="str">
        <f>IFERROR(VLOOKUP(E21,'LISTA ITEMS (2)'!$E$2:$G$910,2,FALSE)," ")</f>
        <v>PLACA SOLAR JAM60D42-535LB 535W / 44.13V</v>
      </c>
      <c r="G21" s="79" t="str">
        <f>IFERROR(VLOOKUP(E21,'LISTA ITEMS (2)'!$E$2:$G$910,3,FALSE)," ")</f>
        <v>UND</v>
      </c>
      <c r="H21" s="196">
        <v>14</v>
      </c>
      <c r="I21" s="12" t="s">
        <v>356</v>
      </c>
      <c r="J21" s="76"/>
      <c r="K21" s="72"/>
      <c r="L21" s="75">
        <f t="shared" si="1"/>
        <v>14</v>
      </c>
      <c r="M21" s="12"/>
    </row>
    <row r="22" spans="1:13" s="15" customFormat="1" ht="31.95" customHeight="1" x14ac:dyDescent="0.3">
      <c r="A22" s="12">
        <v>14</v>
      </c>
      <c r="B22" s="12">
        <v>10</v>
      </c>
      <c r="C22" s="12">
        <v>15</v>
      </c>
      <c r="D22" s="12">
        <v>269</v>
      </c>
      <c r="E22" s="12" t="str">
        <f t="shared" si="0"/>
        <v>10-15-269</v>
      </c>
      <c r="F22" s="64" t="str">
        <f>IFERROR(VLOOKUP(E22,'LISTA ITEMS (2)'!$E$2:$G$910,2,FALSE)," ")</f>
        <v>BARRA ALUMINIO PARA ESTRUCTURA  3.60mt</v>
      </c>
      <c r="G22" s="79" t="str">
        <f>IFERROR(VLOOKUP(E22,'LISTA ITEMS (2)'!$E$2:$G$910,3,FALSE)," ")</f>
        <v>UND</v>
      </c>
      <c r="H22" s="196">
        <v>12</v>
      </c>
      <c r="I22" s="12" t="s">
        <v>356</v>
      </c>
      <c r="J22" s="76">
        <v>46076</v>
      </c>
      <c r="K22" s="72">
        <v>3</v>
      </c>
      <c r="L22" s="75">
        <f t="shared" si="1"/>
        <v>9</v>
      </c>
      <c r="M22" s="12"/>
    </row>
    <row r="23" spans="1:13" s="15" customFormat="1" ht="31.95" customHeight="1" x14ac:dyDescent="0.3">
      <c r="A23" s="12">
        <v>15</v>
      </c>
      <c r="B23" s="12">
        <v>10</v>
      </c>
      <c r="C23" s="12">
        <v>37</v>
      </c>
      <c r="D23" s="12">
        <v>330</v>
      </c>
      <c r="E23" s="12" t="str">
        <f t="shared" si="0"/>
        <v>10-37-330</v>
      </c>
      <c r="F23" s="64" t="str">
        <f>IFERROR(VLOOKUP(E23,'LISTA ITEMS (2)'!$E$2:$G$910,2,FALSE)," ")</f>
        <v>SOPORTE EN L ALUMINIO GRIS</v>
      </c>
      <c r="G23" s="79" t="str">
        <f>IFERROR(VLOOKUP(E23,'LISTA ITEMS (2)'!$E$2:$G$910,3,FALSE)," ")</f>
        <v>UND</v>
      </c>
      <c r="H23" s="196">
        <v>30</v>
      </c>
      <c r="I23" s="12" t="s">
        <v>356</v>
      </c>
      <c r="J23" s="76">
        <v>46076</v>
      </c>
      <c r="K23" s="72">
        <v>5</v>
      </c>
      <c r="L23" s="75">
        <f t="shared" si="1"/>
        <v>25</v>
      </c>
      <c r="M23" s="12"/>
    </row>
    <row r="24" spans="1:13" s="15" customFormat="1" ht="31.95" customHeight="1" x14ac:dyDescent="0.3">
      <c r="A24" s="12">
        <v>14</v>
      </c>
      <c r="B24" s="12">
        <v>10</v>
      </c>
      <c r="C24" s="12">
        <v>37</v>
      </c>
      <c r="D24" s="12">
        <v>232</v>
      </c>
      <c r="E24" s="12" t="str">
        <f t="shared" si="0"/>
        <v>10-37-232</v>
      </c>
      <c r="F24" s="64" t="str">
        <f>IFERROR(VLOOKUP(E24,'LISTA ITEMS (2)'!$E$2:$G$910,2,FALSE)," ")</f>
        <v>SOPORTE CENTRAL NEGRO</v>
      </c>
      <c r="G24" s="79" t="str">
        <f>IFERROR(VLOOKUP(E24,'LISTA ITEMS (2)'!$E$2:$G$910,3,FALSE)," ")</f>
        <v>UND</v>
      </c>
      <c r="H24" s="196">
        <v>33</v>
      </c>
      <c r="I24" s="12" t="s">
        <v>356</v>
      </c>
      <c r="J24" s="76">
        <v>46076</v>
      </c>
      <c r="K24" s="72">
        <v>6</v>
      </c>
      <c r="L24" s="75">
        <f t="shared" si="1"/>
        <v>27</v>
      </c>
      <c r="M24" s="12"/>
    </row>
    <row r="25" spans="1:13" s="15" customFormat="1" ht="31.95" customHeight="1" x14ac:dyDescent="0.3">
      <c r="A25" s="12">
        <v>14</v>
      </c>
      <c r="B25" s="12">
        <v>10</v>
      </c>
      <c r="C25" s="12">
        <v>37</v>
      </c>
      <c r="D25" s="12">
        <v>315</v>
      </c>
      <c r="E25" s="12" t="str">
        <f t="shared" si="0"/>
        <v>10-37-315</v>
      </c>
      <c r="F25" s="64" t="str">
        <f>IFERROR(VLOOKUP(E25,'LISTA ITEMS (2)'!$E$2:$G$910,2,FALSE)," ")</f>
        <v>SOPORTE FINAL NEGRO</v>
      </c>
      <c r="G25" s="79" t="str">
        <f>IFERROR(VLOOKUP(E25,'LISTA ITEMS (2)'!$E$2:$G$910,3,FALSE)," ")</f>
        <v>UND</v>
      </c>
      <c r="H25" s="196">
        <v>20</v>
      </c>
      <c r="I25" s="12" t="s">
        <v>356</v>
      </c>
      <c r="J25" s="76">
        <v>46076</v>
      </c>
      <c r="K25" s="72">
        <v>5</v>
      </c>
      <c r="L25" s="75">
        <f t="shared" si="1"/>
        <v>15</v>
      </c>
      <c r="M25" s="12"/>
    </row>
    <row r="26" spans="1:13" s="15" customFormat="1" ht="31.95" customHeight="1" x14ac:dyDescent="0.3">
      <c r="A26" s="12">
        <v>15</v>
      </c>
      <c r="B26" s="12">
        <v>4</v>
      </c>
      <c r="C26" s="12">
        <v>15</v>
      </c>
      <c r="D26" s="12">
        <v>267</v>
      </c>
      <c r="E26" s="12" t="str">
        <f t="shared" si="0"/>
        <v>4-15-267</v>
      </c>
      <c r="F26" s="64" t="str">
        <f>IFERROR(VLOOKUP(E26,'LISTA ITEMS (2)'!$E$2:$G$910,2,FALSE)," ")</f>
        <v>BARRA PERFORADA PARA REFUERZO 20X10X2MT GALV.</v>
      </c>
      <c r="G26" s="79" t="str">
        <f>IFERROR(VLOOKUP(E26,'LISTA ITEMS (2)'!$E$2:$G$910,3,FALSE)," ")</f>
        <v>UND</v>
      </c>
      <c r="H26" s="196">
        <v>12</v>
      </c>
      <c r="I26" s="12" t="s">
        <v>356</v>
      </c>
      <c r="J26" s="76">
        <v>46076</v>
      </c>
      <c r="K26" s="72">
        <v>3</v>
      </c>
      <c r="L26" s="75">
        <f t="shared" si="1"/>
        <v>9</v>
      </c>
      <c r="M26" s="12"/>
    </row>
    <row r="27" spans="1:13" s="15" customFormat="1" ht="31.95" customHeight="1" x14ac:dyDescent="0.3">
      <c r="A27" s="12">
        <v>14</v>
      </c>
      <c r="B27" s="12">
        <v>9</v>
      </c>
      <c r="C27" s="12">
        <v>2</v>
      </c>
      <c r="D27" s="12">
        <v>291</v>
      </c>
      <c r="E27" s="12" t="str">
        <f t="shared" si="0"/>
        <v>9-2-291</v>
      </c>
      <c r="F27" s="64" t="str">
        <f>IFERROR(VLOOKUP(E27,'LISTA ITEMS (2)'!$E$2:$G$910,2,FALSE)," ")</f>
        <v>TUBO ELECTRICO PVC 25mm - 3mt(AISCAN)</v>
      </c>
      <c r="G27" s="79" t="str">
        <f>IFERROR(VLOOKUP(E27,'LISTA ITEMS (2)'!$E$2:$G$910,3,FALSE)," ")</f>
        <v>UND</v>
      </c>
      <c r="H27" s="196">
        <v>18</v>
      </c>
      <c r="I27" s="12" t="s">
        <v>356</v>
      </c>
      <c r="J27" s="76">
        <v>46076</v>
      </c>
      <c r="K27" s="72">
        <v>3</v>
      </c>
      <c r="L27" s="75">
        <f t="shared" si="1"/>
        <v>15</v>
      </c>
      <c r="M27" s="12"/>
    </row>
    <row r="28" spans="1:13" s="15" customFormat="1" ht="31.95" customHeight="1" x14ac:dyDescent="0.3">
      <c r="A28" s="12">
        <v>14</v>
      </c>
      <c r="B28" s="12">
        <v>10</v>
      </c>
      <c r="C28" s="12">
        <v>43</v>
      </c>
      <c r="D28" s="12">
        <v>270</v>
      </c>
      <c r="E28" s="12" t="str">
        <f t="shared" si="0"/>
        <v>10-43-270</v>
      </c>
      <c r="F28" s="64" t="str">
        <f>IFERROR(VLOOKUP(E28,'LISTA ITEMS (2)'!$E$2:$G$910,2,FALSE)," ")</f>
        <v>EMPALME ALUMINIO P/BARRA</v>
      </c>
      <c r="G28" s="79" t="str">
        <f>IFERROR(VLOOKUP(E28,'LISTA ITEMS (2)'!$E$2:$G$910,3,FALSE)," ")</f>
        <v>UND</v>
      </c>
      <c r="H28" s="196">
        <v>4</v>
      </c>
      <c r="I28" s="12" t="s">
        <v>356</v>
      </c>
      <c r="J28" s="76">
        <v>46076</v>
      </c>
      <c r="K28" s="72">
        <v>1</v>
      </c>
      <c r="L28" s="75">
        <f t="shared" si="1"/>
        <v>3</v>
      </c>
      <c r="M28" s="12"/>
    </row>
    <row r="29" spans="1:13" s="15" customFormat="1" ht="31.95" customHeight="1" x14ac:dyDescent="0.3">
      <c r="A29" s="12">
        <v>15</v>
      </c>
      <c r="B29" s="12">
        <v>10</v>
      </c>
      <c r="C29" s="12">
        <v>42</v>
      </c>
      <c r="D29" s="12">
        <v>268</v>
      </c>
      <c r="E29" s="12" t="str">
        <f t="shared" si="0"/>
        <v>10-42-268</v>
      </c>
      <c r="F29" s="64" t="str">
        <f>IFERROR(VLOOKUP(E29,'LISTA ITEMS (2)'!$E$2:$G$910,2,FALSE)," ")</f>
        <v>PATA ALUMINIO PARA ESTRUCTURA PLACA SOLAR ANGULO 30º</v>
      </c>
      <c r="G29" s="79" t="str">
        <f>IFERROR(VLOOKUP(E29,'LISTA ITEMS (2)'!$E$2:$G$910,3,FALSE)," ")</f>
        <v>UND</v>
      </c>
      <c r="H29" s="196">
        <v>12</v>
      </c>
      <c r="I29" s="12" t="s">
        <v>356</v>
      </c>
      <c r="J29" s="76">
        <v>46076</v>
      </c>
      <c r="K29" s="72">
        <v>2</v>
      </c>
      <c r="L29" s="75">
        <f t="shared" si="1"/>
        <v>10</v>
      </c>
      <c r="M29" s="12"/>
    </row>
    <row r="30" spans="1:13" s="15" customFormat="1" ht="31.95" customHeight="1" x14ac:dyDescent="0.3">
      <c r="A30" s="12">
        <v>14</v>
      </c>
      <c r="B30" s="12">
        <v>14</v>
      </c>
      <c r="C30" s="12">
        <v>24</v>
      </c>
      <c r="D30" s="12">
        <v>193</v>
      </c>
      <c r="E30" s="12" t="str">
        <f t="shared" si="0"/>
        <v>14-24-193</v>
      </c>
      <c r="F30" s="64" t="str">
        <f>IFERROR(VLOOKUP(E30,'LISTA ITEMS (2)'!$E$2:$G$910,2,FALSE)," ")</f>
        <v>DISCO CORTE ACERO/INOX A1 2EN1</v>
      </c>
      <c r="G30" s="79" t="str">
        <f>IFERROR(VLOOKUP(E30,'LISTA ITEMS (2)'!$E$2:$G$910,3,FALSE)," ")</f>
        <v>UND</v>
      </c>
      <c r="H30" s="196">
        <v>3</v>
      </c>
      <c r="I30" s="12" t="s">
        <v>356</v>
      </c>
      <c r="J30" s="76">
        <v>46076</v>
      </c>
      <c r="K30" s="72">
        <v>1</v>
      </c>
      <c r="L30" s="75">
        <f t="shared" si="1"/>
        <v>2</v>
      </c>
      <c r="M30" s="12"/>
    </row>
    <row r="31" spans="1:13" s="15" customFormat="1" ht="31.95" customHeight="1" x14ac:dyDescent="0.3">
      <c r="A31" s="12">
        <v>14</v>
      </c>
      <c r="B31" s="12">
        <v>3</v>
      </c>
      <c r="C31" s="12">
        <v>31</v>
      </c>
      <c r="D31" s="12">
        <v>277</v>
      </c>
      <c r="E31" s="12" t="str">
        <f t="shared" si="0"/>
        <v>3-31-277</v>
      </c>
      <c r="F31" s="64" t="str">
        <f>IFERROR(VLOOKUP(E31,'LISTA ITEMS (2)'!$E$2:$G$910,2,FALSE)," ")</f>
        <v>CABLE Nª 6 P/PLACA SOLAR NEGRO</v>
      </c>
      <c r="G31" s="79" t="str">
        <f>IFERROR(VLOOKUP(E31,'LISTA ITEMS (2)'!$E$2:$G$910,3,FALSE)," ")</f>
        <v>MT</v>
      </c>
      <c r="H31" s="196">
        <v>30</v>
      </c>
      <c r="I31" s="12" t="s">
        <v>356</v>
      </c>
      <c r="J31" s="76"/>
      <c r="K31" s="72"/>
      <c r="L31" s="75">
        <f t="shared" si="1"/>
        <v>30</v>
      </c>
      <c r="M31" s="12"/>
    </row>
    <row r="32" spans="1:13" s="15" customFormat="1" ht="31.95" customHeight="1" x14ac:dyDescent="0.3">
      <c r="A32" s="12">
        <v>15</v>
      </c>
      <c r="B32" s="12">
        <v>3</v>
      </c>
      <c r="C32" s="12">
        <v>31</v>
      </c>
      <c r="D32" s="12">
        <v>278</v>
      </c>
      <c r="E32" s="12" t="str">
        <f t="shared" si="0"/>
        <v>3-31-278</v>
      </c>
      <c r="F32" s="64" t="str">
        <f>IFERROR(VLOOKUP(E32,'LISTA ITEMS (2)'!$E$2:$G$910,2,FALSE)," ")</f>
        <v>CABLE Nª 6 P/PLACA SOLAR ROJO</v>
      </c>
      <c r="G32" s="79" t="str">
        <f>IFERROR(VLOOKUP(E32,'LISTA ITEMS (2)'!$E$2:$G$910,3,FALSE)," ")</f>
        <v>MT</v>
      </c>
      <c r="H32" s="196">
        <v>30</v>
      </c>
      <c r="I32" s="12" t="s">
        <v>356</v>
      </c>
      <c r="J32" s="76"/>
      <c r="K32" s="72"/>
      <c r="L32" s="75">
        <f t="shared" si="1"/>
        <v>30</v>
      </c>
      <c r="M32" s="12"/>
    </row>
    <row r="33" spans="1:13" s="15" customFormat="1" ht="31.95" customHeight="1" x14ac:dyDescent="0.3">
      <c r="A33" s="12">
        <v>14</v>
      </c>
      <c r="B33" s="12">
        <v>16</v>
      </c>
      <c r="C33" s="12">
        <v>45</v>
      </c>
      <c r="D33" s="12">
        <v>294</v>
      </c>
      <c r="E33" s="12" t="str">
        <f t="shared" si="0"/>
        <v>16-45-294</v>
      </c>
      <c r="F33" s="64" t="str">
        <f>IFERROR(VLOOKUP(E33,'LISTA ITEMS (2)'!$E$2:$G$910,2,FALSE)," ")</f>
        <v>CAJA DE ESTANCA 133X180X80 EV161 (IDE)</v>
      </c>
      <c r="G33" s="79" t="str">
        <f>IFERROR(VLOOKUP(E33,'LISTA ITEMS (2)'!$E$2:$G$910,3,FALSE)," ")</f>
        <v>UND</v>
      </c>
      <c r="H33" s="196">
        <v>2</v>
      </c>
      <c r="I33" s="12" t="s">
        <v>356</v>
      </c>
      <c r="J33" s="76"/>
      <c r="K33" s="72"/>
      <c r="L33" s="75">
        <f t="shared" si="1"/>
        <v>2</v>
      </c>
      <c r="M33" s="12"/>
    </row>
    <row r="34" spans="1:13" s="15" customFormat="1" ht="31.95" customHeight="1" x14ac:dyDescent="0.3">
      <c r="A34" s="12">
        <v>14</v>
      </c>
      <c r="B34" s="12">
        <v>16</v>
      </c>
      <c r="C34" s="12">
        <v>45</v>
      </c>
      <c r="D34" s="12">
        <v>276</v>
      </c>
      <c r="E34" s="12" t="str">
        <f t="shared" si="0"/>
        <v>16-45-276</v>
      </c>
      <c r="F34" s="64" t="str">
        <f>IFERROR(VLOOKUP(E34,'LISTA ITEMS (2)'!$E$2:$G$910,2,FALSE)," ")</f>
        <v>CAJA ESTANCA (COCHERA) EXTERIOR 18PT (IDE)</v>
      </c>
      <c r="G34" s="79" t="str">
        <f>IFERROR(VLOOKUP(E34,'LISTA ITEMS (2)'!$E$2:$G$910,3,FALSE)," ")</f>
        <v>UND</v>
      </c>
      <c r="H34" s="196">
        <v>1</v>
      </c>
      <c r="I34" s="12" t="s">
        <v>356</v>
      </c>
      <c r="J34" s="76"/>
      <c r="K34" s="72"/>
      <c r="L34" s="75">
        <f t="shared" si="1"/>
        <v>1</v>
      </c>
      <c r="M34" s="12"/>
    </row>
    <row r="35" spans="1:13" s="15" customFormat="1" ht="31.95" customHeight="1" x14ac:dyDescent="0.3">
      <c r="A35" s="12">
        <v>15</v>
      </c>
      <c r="B35" s="12">
        <v>16</v>
      </c>
      <c r="C35" s="12">
        <v>45</v>
      </c>
      <c r="D35" s="12">
        <v>299</v>
      </c>
      <c r="E35" s="12" t="str">
        <f t="shared" si="0"/>
        <v>16-45-299</v>
      </c>
      <c r="F35" s="64" t="str">
        <f>IFERROR(VLOOKUP(E35,'LISTA ITEMS (2)'!$E$2:$G$910,2,FALSE)," ")</f>
        <v>CAJA ESTANCA (COCHERA) EXTERIOR 8PT (IDE)</v>
      </c>
      <c r="G35" s="79" t="str">
        <f>IFERROR(VLOOKUP(E35,'LISTA ITEMS (2)'!$E$2:$G$910,3,FALSE)," ")</f>
        <v>UND</v>
      </c>
      <c r="H35" s="196">
        <v>1</v>
      </c>
      <c r="I35" s="12" t="s">
        <v>356</v>
      </c>
      <c r="J35" s="76"/>
      <c r="K35" s="72"/>
      <c r="L35" s="75">
        <f t="shared" si="1"/>
        <v>1</v>
      </c>
      <c r="M35" s="12"/>
    </row>
    <row r="36" spans="1:13" s="15" customFormat="1" ht="31.95" customHeight="1" x14ac:dyDescent="0.3">
      <c r="A36" s="12">
        <v>14</v>
      </c>
      <c r="B36" s="12">
        <v>16</v>
      </c>
      <c r="C36" s="12">
        <v>45</v>
      </c>
      <c r="D36" s="12">
        <v>275</v>
      </c>
      <c r="E36" s="12" t="str">
        <f t="shared" si="0"/>
        <v>16-45-275</v>
      </c>
      <c r="F36" s="64" t="str">
        <f>IFERROR(VLOOKUP(E36,'LISTA ITEMS (2)'!$E$2:$G$910,2,FALSE)," ")</f>
        <v>CAJA DISTRIBUCION INTERIOR 18 ELEM. (SOLERA)</v>
      </c>
      <c r="G36" s="79" t="str">
        <f>IFERROR(VLOOKUP(E36,'LISTA ITEMS (2)'!$E$2:$G$910,3,FALSE)," ")</f>
        <v>UND</v>
      </c>
      <c r="H36" s="196">
        <v>1</v>
      </c>
      <c r="I36" s="12" t="s">
        <v>356</v>
      </c>
      <c r="J36" s="76"/>
      <c r="K36" s="72"/>
      <c r="L36" s="75">
        <f t="shared" si="1"/>
        <v>1</v>
      </c>
      <c r="M36" s="12"/>
    </row>
    <row r="37" spans="1:13" s="15" customFormat="1" ht="31.95" customHeight="1" x14ac:dyDescent="0.3">
      <c r="A37" s="12">
        <v>15</v>
      </c>
      <c r="B37" s="12">
        <v>16</v>
      </c>
      <c r="C37" s="12">
        <v>45</v>
      </c>
      <c r="D37" s="12">
        <v>317</v>
      </c>
      <c r="E37" s="12" t="str">
        <f t="shared" si="0"/>
        <v>16-45-317</v>
      </c>
      <c r="F37" s="64" t="str">
        <f>IFERROR(VLOOKUP(E37,'LISTA ITEMS (2)'!$E$2:$G$910,2,FALSE)," ")</f>
        <v>CAJA DISTRIBUCION INTERIOR 8 ELEM. (SOLERA)</v>
      </c>
      <c r="G37" s="79" t="str">
        <f>IFERROR(VLOOKUP(E37,'LISTA ITEMS (2)'!$E$2:$G$910,3,FALSE)," ")</f>
        <v>UND</v>
      </c>
      <c r="H37" s="196">
        <v>1</v>
      </c>
      <c r="I37" s="12" t="s">
        <v>356</v>
      </c>
      <c r="J37" s="76"/>
      <c r="K37" s="72"/>
      <c r="L37" s="75">
        <f t="shared" si="1"/>
        <v>1</v>
      </c>
      <c r="M37" s="12"/>
    </row>
    <row r="38" spans="1:13" s="15" customFormat="1" ht="31.95" customHeight="1" x14ac:dyDescent="0.3">
      <c r="A38" s="12">
        <v>16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17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s="15" customFormat="1" ht="31.95" customHeight="1" x14ac:dyDescent="0.3">
      <c r="A40" s="12">
        <v>18</v>
      </c>
      <c r="B40" s="12"/>
      <c r="C40" s="12"/>
      <c r="D40" s="12"/>
      <c r="E40" s="12" t="str">
        <f t="shared" si="0"/>
        <v>--</v>
      </c>
      <c r="F40" s="64">
        <f>IFERROR(VLOOKUP(E40,'LISTA ITEMS (2)'!$E$2:$G$910,2,FALSE)," ")</f>
        <v>0</v>
      </c>
      <c r="G40" s="79">
        <f>IFERROR(VLOOKUP(E40,'LISTA ITEMS (2)'!$E$2:$G$910,3,FALSE)," ")</f>
        <v>0</v>
      </c>
      <c r="H40" s="196"/>
      <c r="I40" s="12" t="s">
        <v>356</v>
      </c>
      <c r="J40" s="76"/>
      <c r="K40" s="72"/>
      <c r="L40" s="75">
        <f t="shared" si="1"/>
        <v>0</v>
      </c>
      <c r="M40" s="12"/>
    </row>
    <row r="41" spans="1:13" s="15" customFormat="1" ht="31.95" customHeight="1" x14ac:dyDescent="0.3">
      <c r="A41" s="12">
        <v>19</v>
      </c>
      <c r="B41" s="12"/>
      <c r="C41" s="12"/>
      <c r="D41" s="12"/>
      <c r="E41" s="12" t="str">
        <f t="shared" si="0"/>
        <v>--</v>
      </c>
      <c r="F41" s="64">
        <f>IFERROR(VLOOKUP(E41,'LISTA ITEMS (2)'!$E$2:$G$910,2,FALSE)," ")</f>
        <v>0</v>
      </c>
      <c r="G41" s="79">
        <f>IFERROR(VLOOKUP(E41,'LISTA ITEMS (2)'!$E$2:$G$910,3,FALSE)," ")</f>
        <v>0</v>
      </c>
      <c r="H41" s="196"/>
      <c r="I41" s="12" t="s">
        <v>356</v>
      </c>
      <c r="J41" s="76"/>
      <c r="K41" s="72"/>
      <c r="L41" s="75">
        <f t="shared" si="1"/>
        <v>0</v>
      </c>
      <c r="M41" s="12"/>
    </row>
    <row r="42" spans="1:13" s="15" customFormat="1" ht="31.95" customHeight="1" x14ac:dyDescent="0.3">
      <c r="A42" s="12">
        <v>20</v>
      </c>
      <c r="B42" s="12"/>
      <c r="C42" s="12"/>
      <c r="D42" s="12"/>
      <c r="E42" s="12" t="str">
        <f t="shared" si="0"/>
        <v>--</v>
      </c>
      <c r="F42" s="64">
        <f>IFERROR(VLOOKUP(E42,'LISTA ITEMS (2)'!$E$2:$G$910,2,FALSE)," ")</f>
        <v>0</v>
      </c>
      <c r="G42" s="79">
        <f>IFERROR(VLOOKUP(E42,'LISTA ITEMS (2)'!$E$2:$G$910,3,FALSE)," ")</f>
        <v>0</v>
      </c>
      <c r="H42" s="196"/>
      <c r="I42" s="12" t="s">
        <v>356</v>
      </c>
      <c r="J42" s="76"/>
      <c r="K42" s="72"/>
      <c r="L42" s="75">
        <f t="shared" si="1"/>
        <v>0</v>
      </c>
      <c r="M42" s="12"/>
    </row>
    <row r="43" spans="1:13" s="15" customFormat="1" ht="31.95" customHeight="1" x14ac:dyDescent="0.3">
      <c r="A43" s="12">
        <v>21</v>
      </c>
      <c r="B43" s="12"/>
      <c r="C43" s="12"/>
      <c r="D43" s="12"/>
      <c r="E43" s="12" t="str">
        <f t="shared" si="0"/>
        <v>--</v>
      </c>
      <c r="F43" s="64">
        <f>IFERROR(VLOOKUP(E43,'LISTA ITEMS (2)'!$E$2:$G$910,2,FALSE)," ")</f>
        <v>0</v>
      </c>
      <c r="G43" s="79">
        <f>IFERROR(VLOOKUP(E43,'LISTA ITEMS (2)'!$E$2:$G$910,3,FALSE)," ")</f>
        <v>0</v>
      </c>
      <c r="H43" s="196"/>
      <c r="I43" s="12" t="s">
        <v>356</v>
      </c>
      <c r="J43" s="76"/>
      <c r="K43" s="72"/>
      <c r="L43" s="75">
        <f t="shared" si="1"/>
        <v>0</v>
      </c>
      <c r="M43" s="12"/>
    </row>
    <row r="44" spans="1:13" s="15" customFormat="1" ht="31.95" customHeight="1" x14ac:dyDescent="0.3">
      <c r="A44" s="12">
        <v>22</v>
      </c>
      <c r="B44" s="12"/>
      <c r="C44" s="12"/>
      <c r="D44" s="12"/>
      <c r="E44" s="12" t="str">
        <f t="shared" si="0"/>
        <v>--</v>
      </c>
      <c r="F44" s="64">
        <f>IFERROR(VLOOKUP(E44,'LISTA ITEMS (2)'!$E$2:$G$910,2,FALSE)," ")</f>
        <v>0</v>
      </c>
      <c r="G44" s="79">
        <f>IFERROR(VLOOKUP(E44,'LISTA ITEMS (2)'!$E$2:$G$910,3,FALSE)," ")</f>
        <v>0</v>
      </c>
      <c r="H44" s="196"/>
      <c r="I44" s="12" t="s">
        <v>356</v>
      </c>
      <c r="J44" s="76"/>
      <c r="K44" s="72"/>
      <c r="L44" s="75">
        <f t="shared" si="1"/>
        <v>0</v>
      </c>
      <c r="M44" s="12"/>
    </row>
    <row r="45" spans="1:13" ht="2.4" customHeight="1" x14ac:dyDescent="0.3"/>
    <row r="46" spans="1:13" ht="69.599999999999994" customHeight="1" x14ac:dyDescent="0.3">
      <c r="A46" s="305" t="s">
        <v>686</v>
      </c>
      <c r="B46" s="306"/>
      <c r="C46" s="306"/>
      <c r="D46" s="306"/>
      <c r="E46" s="306"/>
      <c r="F46" s="306"/>
      <c r="G46" s="306"/>
      <c r="H46" s="306"/>
      <c r="I46" s="307"/>
    </row>
  </sheetData>
  <autoFilter ref="A5:M44" xr:uid="{412A9E4E-E6BD-488B-BDBD-E971853C4874}">
    <filterColumn colId="1" showButton="0"/>
    <filterColumn colId="2" showButton="0"/>
  </autoFilter>
  <mergeCells count="13">
    <mergeCell ref="A46:I4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3D19-47B4-4BBD-A9FB-CD3B61C90CAB}">
  <sheetPr>
    <tabColor rgb="FF92D050"/>
  </sheetPr>
  <dimension ref="A1:M46"/>
  <sheetViews>
    <sheetView zoomScale="85" zoomScaleNormal="85" workbookViewId="0">
      <pane ySplit="5" topLeftCell="A6" activePane="bottomLeft" state="frozen"/>
      <selection activeCell="A4" sqref="A4:D4"/>
      <selection pane="bottomLeft" activeCell="L4" sqref="L4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27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806</v>
      </c>
      <c r="D2" s="283"/>
      <c r="E2" s="283"/>
      <c r="F2" s="291"/>
      <c r="G2" s="292" t="s">
        <v>355</v>
      </c>
      <c r="H2" s="290"/>
      <c r="I2" s="62">
        <v>27</v>
      </c>
      <c r="J2" s="69"/>
      <c r="K2" s="110" t="s">
        <v>554</v>
      </c>
      <c r="L2" s="110" t="s">
        <v>126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807</v>
      </c>
      <c r="D3" s="314"/>
      <c r="E3" s="68"/>
      <c r="F3" s="61" t="s">
        <v>353</v>
      </c>
      <c r="G3" s="295" t="s">
        <v>369</v>
      </c>
      <c r="H3" s="296"/>
      <c r="I3" s="127">
        <v>46077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790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7</v>
      </c>
      <c r="C6" s="12">
        <v>85</v>
      </c>
      <c r="D6" s="12">
        <v>413</v>
      </c>
      <c r="E6" s="12" t="str">
        <f>CONCATENATE(B6,"-",C6,"-",D6)</f>
        <v>7-85-413</v>
      </c>
      <c r="F6" s="64" t="str">
        <f>IFERROR(VLOOKUP(E6,'LISTA ITEMS (2)'!$E$2:$G$910,2,FALSE)," ")</f>
        <v>UNIDAD EXTERIOR DE BAMBA DE CALOR WH-UD12HE5 (PANASONIC)</v>
      </c>
      <c r="G6" s="79" t="str">
        <f>IFERROR(VLOOKUP(E6,'LISTA ITEMS (2)'!$E$2:$G$910,3,FALSE)," ")</f>
        <v>UND</v>
      </c>
      <c r="H6" s="196">
        <v>1</v>
      </c>
      <c r="I6" s="12" t="s">
        <v>356</v>
      </c>
      <c r="J6" s="76"/>
      <c r="K6" s="72"/>
      <c r="L6" s="75">
        <f>+H6-K6</f>
        <v>1</v>
      </c>
      <c r="M6" s="194" t="s">
        <v>793</v>
      </c>
    </row>
    <row r="7" spans="1:13" s="15" customFormat="1" ht="31.95" customHeight="1" x14ac:dyDescent="0.3">
      <c r="A7" s="12">
        <v>2</v>
      </c>
      <c r="B7" s="12"/>
      <c r="C7" s="12"/>
      <c r="D7" s="12"/>
      <c r="E7" s="12" t="str">
        <f t="shared" ref="E7:E44" si="0">CONCATENATE(B7,"-",C7,"-",D7)</f>
        <v>--</v>
      </c>
      <c r="F7" s="64">
        <f>IFERROR(VLOOKUP(E7,'LISTA ITEMS (2)'!$E$2:$G$910,2,FALSE)," ")</f>
        <v>0</v>
      </c>
      <c r="G7" s="79">
        <f>IFERROR(VLOOKUP(E7,'LISTA ITEMS (2)'!$E$2:$G$910,3,FALSE)," ")</f>
        <v>0</v>
      </c>
      <c r="H7" s="196"/>
      <c r="I7" s="12" t="s">
        <v>356</v>
      </c>
      <c r="J7" s="76"/>
      <c r="K7" s="72"/>
      <c r="L7" s="75">
        <f t="shared" ref="L7:L44" si="1">+H7-K7</f>
        <v>0</v>
      </c>
      <c r="M7" s="85"/>
    </row>
    <row r="8" spans="1:13" s="15" customFormat="1" ht="31.95" customHeight="1" x14ac:dyDescent="0.3">
      <c r="A8" s="12">
        <v>3</v>
      </c>
      <c r="B8" s="12"/>
      <c r="C8" s="12"/>
      <c r="D8" s="12"/>
      <c r="E8" s="12" t="str">
        <f t="shared" si="0"/>
        <v>--</v>
      </c>
      <c r="F8" s="64">
        <f>IFERROR(VLOOKUP(E8,'LISTA ITEMS (2)'!$E$2:$G$910,2,FALSE)," ")</f>
        <v>0</v>
      </c>
      <c r="G8" s="79">
        <f>IFERROR(VLOOKUP(E8,'LISTA ITEMS (2)'!$E$2:$G$910,3,FALSE)," ")</f>
        <v>0</v>
      </c>
      <c r="H8" s="196"/>
      <c r="I8" s="12" t="s">
        <v>356</v>
      </c>
      <c r="J8" s="76"/>
      <c r="K8" s="72"/>
      <c r="L8" s="75">
        <f t="shared" si="1"/>
        <v>0</v>
      </c>
      <c r="M8" s="12"/>
    </row>
    <row r="9" spans="1:13" s="15" customFormat="1" ht="31.95" customHeight="1" x14ac:dyDescent="0.3">
      <c r="A9" s="12">
        <v>4</v>
      </c>
      <c r="B9" s="12"/>
      <c r="C9" s="12"/>
      <c r="D9" s="12"/>
      <c r="E9" s="12" t="str">
        <f t="shared" si="0"/>
        <v>--</v>
      </c>
      <c r="F9" s="64">
        <f>IFERROR(VLOOKUP(E9,'LISTA ITEMS (2)'!$E$2:$G$910,2,FALSE)," ")</f>
        <v>0</v>
      </c>
      <c r="G9" s="79">
        <f>IFERROR(VLOOKUP(E9,'LISTA ITEMS (2)'!$E$2:$G$910,3,FALSE)," ")</f>
        <v>0</v>
      </c>
      <c r="H9" s="196"/>
      <c r="I9" s="12" t="s">
        <v>356</v>
      </c>
      <c r="J9" s="76"/>
      <c r="K9" s="72"/>
      <c r="L9" s="75">
        <f t="shared" si="1"/>
        <v>0</v>
      </c>
      <c r="M9" s="12"/>
    </row>
    <row r="10" spans="1:13" s="15" customFormat="1" ht="31.95" customHeight="1" x14ac:dyDescent="0.3">
      <c r="A10" s="12">
        <v>5</v>
      </c>
      <c r="B10" s="12"/>
      <c r="C10" s="12"/>
      <c r="D10" s="12"/>
      <c r="E10" s="12" t="str">
        <f t="shared" si="0"/>
        <v>--</v>
      </c>
      <c r="F10" s="64">
        <f>IFERROR(VLOOKUP(E10,'LISTA ITEMS (2)'!$E$2:$G$910,2,FALSE)," ")</f>
        <v>0</v>
      </c>
      <c r="G10" s="79">
        <f>IFERROR(VLOOKUP(E10,'LISTA ITEMS (2)'!$E$2:$G$910,3,FALSE)," ")</f>
        <v>0</v>
      </c>
      <c r="H10" s="196"/>
      <c r="I10" s="12" t="s">
        <v>356</v>
      </c>
      <c r="J10" s="76"/>
      <c r="K10" s="72"/>
      <c r="L10" s="75">
        <f t="shared" si="1"/>
        <v>0</v>
      </c>
      <c r="M10" s="3"/>
    </row>
    <row r="11" spans="1:13" s="15" customFormat="1" ht="31.95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196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196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196"/>
      <c r="I13" s="12" t="s">
        <v>356</v>
      </c>
      <c r="J13" s="76"/>
      <c r="K13" s="72"/>
      <c r="L13" s="75">
        <f t="shared" si="1"/>
        <v>0</v>
      </c>
      <c r="M13" s="194"/>
    </row>
    <row r="14" spans="1:13" s="15" customFormat="1" ht="31.95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196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196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196"/>
      <c r="I16" s="12" t="s">
        <v>356</v>
      </c>
      <c r="J16" s="72"/>
      <c r="K16" s="72"/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196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196"/>
      <c r="I18" s="12" t="s">
        <v>356</v>
      </c>
      <c r="J18" s="76"/>
      <c r="K18" s="72"/>
      <c r="L18" s="75">
        <f t="shared" si="1"/>
        <v>0</v>
      </c>
      <c r="M18" s="85"/>
    </row>
    <row r="19" spans="1:13" s="15" customFormat="1" ht="31.95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196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196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14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196"/>
      <c r="I21" s="12" t="s">
        <v>356</v>
      </c>
      <c r="J21" s="76"/>
      <c r="K21" s="72"/>
      <c r="L21" s="75">
        <f t="shared" si="1"/>
        <v>0</v>
      </c>
      <c r="M21" s="12"/>
    </row>
    <row r="22" spans="1:13" s="15" customFormat="1" ht="31.95" customHeight="1" x14ac:dyDescent="0.3">
      <c r="A22" s="12">
        <v>14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196"/>
      <c r="I22" s="12" t="s">
        <v>356</v>
      </c>
      <c r="J22" s="76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15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196"/>
      <c r="I23" s="12" t="s">
        <v>356</v>
      </c>
      <c r="J23" s="76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14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196"/>
      <c r="I24" s="12" t="s">
        <v>356</v>
      </c>
      <c r="J24" s="76"/>
      <c r="K24" s="72"/>
      <c r="L24" s="75">
        <f t="shared" si="1"/>
        <v>0</v>
      </c>
      <c r="M24" s="12"/>
    </row>
    <row r="25" spans="1:13" s="15" customFormat="1" ht="31.95" customHeight="1" x14ac:dyDescent="0.3">
      <c r="A25" s="12">
        <v>14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196"/>
      <c r="I25" s="12" t="s">
        <v>356</v>
      </c>
      <c r="J25" s="76"/>
      <c r="K25" s="72"/>
      <c r="L25" s="75">
        <f t="shared" si="1"/>
        <v>0</v>
      </c>
      <c r="M25" s="12"/>
    </row>
    <row r="26" spans="1:13" s="15" customFormat="1" ht="31.95" customHeight="1" x14ac:dyDescent="0.3">
      <c r="A26" s="12">
        <v>15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196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14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196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14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196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31.95" customHeight="1" x14ac:dyDescent="0.3">
      <c r="A29" s="12">
        <v>15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196"/>
      <c r="I29" s="12" t="s">
        <v>356</v>
      </c>
      <c r="J29" s="76"/>
      <c r="K29" s="72"/>
      <c r="L29" s="75">
        <f t="shared" si="1"/>
        <v>0</v>
      </c>
      <c r="M29" s="12"/>
    </row>
    <row r="30" spans="1:13" s="15" customFormat="1" ht="31.95" customHeight="1" x14ac:dyDescent="0.3">
      <c r="A30" s="12">
        <v>14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196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14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196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customHeight="1" x14ac:dyDescent="0.3">
      <c r="A32" s="12">
        <v>15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196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customHeight="1" x14ac:dyDescent="0.3">
      <c r="A33" s="12">
        <v>14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196"/>
      <c r="I33" s="12" t="s">
        <v>356</v>
      </c>
      <c r="J33" s="76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14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196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15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196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14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15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16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17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s="15" customFormat="1" ht="31.95" customHeight="1" x14ac:dyDescent="0.3">
      <c r="A40" s="12">
        <v>18</v>
      </c>
      <c r="B40" s="12"/>
      <c r="C40" s="12"/>
      <c r="D40" s="12"/>
      <c r="E40" s="12" t="str">
        <f t="shared" si="0"/>
        <v>--</v>
      </c>
      <c r="F40" s="64">
        <f>IFERROR(VLOOKUP(E40,'LISTA ITEMS (2)'!$E$2:$G$910,2,FALSE)," ")</f>
        <v>0</v>
      </c>
      <c r="G40" s="79">
        <f>IFERROR(VLOOKUP(E40,'LISTA ITEMS (2)'!$E$2:$G$910,3,FALSE)," ")</f>
        <v>0</v>
      </c>
      <c r="H40" s="196"/>
      <c r="I40" s="12" t="s">
        <v>356</v>
      </c>
      <c r="J40" s="76"/>
      <c r="K40" s="72"/>
      <c r="L40" s="75">
        <f t="shared" si="1"/>
        <v>0</v>
      </c>
      <c r="M40" s="12"/>
    </row>
    <row r="41" spans="1:13" s="15" customFormat="1" ht="31.95" customHeight="1" x14ac:dyDescent="0.3">
      <c r="A41" s="12">
        <v>19</v>
      </c>
      <c r="B41" s="12"/>
      <c r="C41" s="12"/>
      <c r="D41" s="12"/>
      <c r="E41" s="12" t="str">
        <f t="shared" si="0"/>
        <v>--</v>
      </c>
      <c r="F41" s="64">
        <f>IFERROR(VLOOKUP(E41,'LISTA ITEMS (2)'!$E$2:$G$910,2,FALSE)," ")</f>
        <v>0</v>
      </c>
      <c r="G41" s="79">
        <f>IFERROR(VLOOKUP(E41,'LISTA ITEMS (2)'!$E$2:$G$910,3,FALSE)," ")</f>
        <v>0</v>
      </c>
      <c r="H41" s="196"/>
      <c r="I41" s="12" t="s">
        <v>356</v>
      </c>
      <c r="J41" s="76"/>
      <c r="K41" s="72"/>
      <c r="L41" s="75">
        <f t="shared" si="1"/>
        <v>0</v>
      </c>
      <c r="M41" s="12"/>
    </row>
    <row r="42" spans="1:13" s="15" customFormat="1" ht="31.95" customHeight="1" x14ac:dyDescent="0.3">
      <c r="A42" s="12">
        <v>20</v>
      </c>
      <c r="B42" s="12"/>
      <c r="C42" s="12"/>
      <c r="D42" s="12"/>
      <c r="E42" s="12" t="str">
        <f t="shared" si="0"/>
        <v>--</v>
      </c>
      <c r="F42" s="64">
        <f>IFERROR(VLOOKUP(E42,'LISTA ITEMS (2)'!$E$2:$G$910,2,FALSE)," ")</f>
        <v>0</v>
      </c>
      <c r="G42" s="79">
        <f>IFERROR(VLOOKUP(E42,'LISTA ITEMS (2)'!$E$2:$G$910,3,FALSE)," ")</f>
        <v>0</v>
      </c>
      <c r="H42" s="196"/>
      <c r="I42" s="12" t="s">
        <v>356</v>
      </c>
      <c r="J42" s="76"/>
      <c r="K42" s="72"/>
      <c r="L42" s="75">
        <f t="shared" si="1"/>
        <v>0</v>
      </c>
      <c r="M42" s="12"/>
    </row>
    <row r="43" spans="1:13" s="15" customFormat="1" ht="31.95" customHeight="1" x14ac:dyDescent="0.3">
      <c r="A43" s="12">
        <v>21</v>
      </c>
      <c r="B43" s="12"/>
      <c r="C43" s="12"/>
      <c r="D43" s="12"/>
      <c r="E43" s="12" t="str">
        <f t="shared" si="0"/>
        <v>--</v>
      </c>
      <c r="F43" s="64">
        <f>IFERROR(VLOOKUP(E43,'LISTA ITEMS (2)'!$E$2:$G$910,2,FALSE)," ")</f>
        <v>0</v>
      </c>
      <c r="G43" s="79">
        <f>IFERROR(VLOOKUP(E43,'LISTA ITEMS (2)'!$E$2:$G$910,3,FALSE)," ")</f>
        <v>0</v>
      </c>
      <c r="H43" s="196"/>
      <c r="I43" s="12" t="s">
        <v>356</v>
      </c>
      <c r="J43" s="76"/>
      <c r="K43" s="72"/>
      <c r="L43" s="75">
        <f t="shared" si="1"/>
        <v>0</v>
      </c>
      <c r="M43" s="12"/>
    </row>
    <row r="44" spans="1:13" s="15" customFormat="1" ht="31.95" customHeight="1" x14ac:dyDescent="0.3">
      <c r="A44" s="12">
        <v>22</v>
      </c>
      <c r="B44" s="12"/>
      <c r="C44" s="12"/>
      <c r="D44" s="12"/>
      <c r="E44" s="12" t="str">
        <f t="shared" si="0"/>
        <v>--</v>
      </c>
      <c r="F44" s="64">
        <f>IFERROR(VLOOKUP(E44,'LISTA ITEMS (2)'!$E$2:$G$910,2,FALSE)," ")</f>
        <v>0</v>
      </c>
      <c r="G44" s="79">
        <f>IFERROR(VLOOKUP(E44,'LISTA ITEMS (2)'!$E$2:$G$910,3,FALSE)," ")</f>
        <v>0</v>
      </c>
      <c r="H44" s="196"/>
      <c r="I44" s="12" t="s">
        <v>356</v>
      </c>
      <c r="J44" s="76"/>
      <c r="K44" s="72"/>
      <c r="L44" s="75">
        <f t="shared" si="1"/>
        <v>0</v>
      </c>
      <c r="M44" s="12"/>
    </row>
    <row r="45" spans="1:13" ht="2.4" customHeight="1" x14ac:dyDescent="0.3"/>
    <row r="46" spans="1:13" ht="69.599999999999994" customHeight="1" x14ac:dyDescent="0.3">
      <c r="A46" s="305" t="s">
        <v>686</v>
      </c>
      <c r="B46" s="306"/>
      <c r="C46" s="306"/>
      <c r="D46" s="306"/>
      <c r="E46" s="306"/>
      <c r="F46" s="306"/>
      <c r="G46" s="306"/>
      <c r="H46" s="306"/>
      <c r="I46" s="307"/>
    </row>
  </sheetData>
  <mergeCells count="13">
    <mergeCell ref="A46:I4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2F27-22EC-4E3F-926D-D1195CE4F62B}">
  <sheetPr>
    <tabColor rgb="FF92D050"/>
  </sheetPr>
  <dimension ref="A1:M46"/>
  <sheetViews>
    <sheetView zoomScale="85" zoomScaleNormal="85" workbookViewId="0">
      <pane ySplit="5" topLeftCell="A26" activePane="bottomLeft" state="frozen"/>
      <selection activeCell="A4" sqref="A4:D4"/>
      <selection pane="bottomLeft" activeCell="L33" sqref="L33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28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814</v>
      </c>
      <c r="D2" s="283"/>
      <c r="E2" s="283"/>
      <c r="F2" s="291"/>
      <c r="G2" s="292" t="s">
        <v>355</v>
      </c>
      <c r="H2" s="290"/>
      <c r="I2" s="62">
        <v>28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815</v>
      </c>
      <c r="D3" s="314"/>
      <c r="E3" s="68"/>
      <c r="F3" s="61" t="s">
        <v>353</v>
      </c>
      <c r="G3" s="295" t="s">
        <v>369</v>
      </c>
      <c r="H3" s="296"/>
      <c r="I3" s="127">
        <v>46078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813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7</v>
      </c>
      <c r="C6" s="12">
        <v>35</v>
      </c>
      <c r="D6" s="12">
        <v>286</v>
      </c>
      <c r="E6" s="12" t="str">
        <f>CONCATENATE(B6,"-",C6,"-",D6)</f>
        <v>7-35-286</v>
      </c>
      <c r="F6" s="64" t="str">
        <f>IFERROR(VLOOKUP(E6,'LISTA ITEMS (2)'!$E$2:$G$910,2,FALSE)," ")</f>
        <v>INVERSOR SPH 6000TL BL-UP 6KW (GROWATT)</v>
      </c>
      <c r="G6" s="79" t="str">
        <f>IFERROR(VLOOKUP(E6,'LISTA ITEMS (2)'!$E$2:$G$910,3,FALSE)," ")</f>
        <v>UND</v>
      </c>
      <c r="H6" s="196">
        <v>1</v>
      </c>
      <c r="I6" s="12" t="s">
        <v>356</v>
      </c>
      <c r="J6" s="76"/>
      <c r="K6" s="72"/>
      <c r="L6" s="75">
        <f>+H6-K6</f>
        <v>1</v>
      </c>
      <c r="M6" s="194" t="s">
        <v>794</v>
      </c>
    </row>
    <row r="7" spans="1:13" s="15" customFormat="1" ht="31.95" customHeight="1" x14ac:dyDescent="0.3">
      <c r="A7" s="12">
        <v>2</v>
      </c>
      <c r="B7" s="12">
        <v>7</v>
      </c>
      <c r="C7" s="12">
        <v>54</v>
      </c>
      <c r="D7" s="12">
        <v>295</v>
      </c>
      <c r="E7" s="12" t="str">
        <f t="shared" ref="E7:E44" si="0">CONCATENATE(B7,"-",C7,"-",D7)</f>
        <v>7-54-295</v>
      </c>
      <c r="F7" s="64" t="str">
        <f>IFERROR(VLOOKUP(E7,'LISTA ITEMS (2)'!$E$2:$G$910,2,FALSE)," ")</f>
        <v>BATERIA LFP LITHIUM DL5.OC (DYNESS)</v>
      </c>
      <c r="G7" s="79" t="str">
        <f>IFERROR(VLOOKUP(E7,'LISTA ITEMS (2)'!$E$2:$G$910,3,FALSE)," ")</f>
        <v>UND</v>
      </c>
      <c r="H7" s="196">
        <v>1</v>
      </c>
      <c r="I7" s="12" t="s">
        <v>356</v>
      </c>
      <c r="J7" s="76"/>
      <c r="K7" s="72"/>
      <c r="L7" s="75">
        <f t="shared" ref="L7:L44" si="1">+H7-K7</f>
        <v>1</v>
      </c>
      <c r="M7" s="194" t="s">
        <v>795</v>
      </c>
    </row>
    <row r="8" spans="1:13" s="15" customFormat="1" ht="31.95" customHeight="1" x14ac:dyDescent="0.3">
      <c r="A8" s="12">
        <v>3</v>
      </c>
      <c r="B8" s="12">
        <v>10</v>
      </c>
      <c r="C8" s="12">
        <v>15</v>
      </c>
      <c r="D8" s="12">
        <v>269</v>
      </c>
      <c r="E8" s="12" t="str">
        <f t="shared" si="0"/>
        <v>10-15-269</v>
      </c>
      <c r="F8" s="64" t="str">
        <f>IFERROR(VLOOKUP(E8,'LISTA ITEMS (2)'!$E$2:$G$910,2,FALSE)," ")</f>
        <v>BARRA ALUMINIO PARA ESTRUCTURA  3.60mt</v>
      </c>
      <c r="G8" s="79" t="str">
        <f>IFERROR(VLOOKUP(E8,'LISTA ITEMS (2)'!$E$2:$G$910,3,FALSE)," ")</f>
        <v>UND</v>
      </c>
      <c r="H8" s="196">
        <v>12</v>
      </c>
      <c r="I8" s="12" t="s">
        <v>356</v>
      </c>
      <c r="J8" s="76">
        <v>46079</v>
      </c>
      <c r="K8" s="72">
        <v>3</v>
      </c>
      <c r="L8" s="75">
        <f t="shared" si="1"/>
        <v>9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330</v>
      </c>
      <c r="E9" s="12" t="str">
        <f t="shared" si="0"/>
        <v>10-37-330</v>
      </c>
      <c r="F9" s="64" t="str">
        <f>IFERROR(VLOOKUP(E9,'LISTA ITEMS (2)'!$E$2:$G$910,2,FALSE)," ")</f>
        <v>SOPORTE EN L ALUMINIO GRIS</v>
      </c>
      <c r="G9" s="79" t="str">
        <f>IFERROR(VLOOKUP(E9,'LISTA ITEMS (2)'!$E$2:$G$910,3,FALSE)," ")</f>
        <v>UND</v>
      </c>
      <c r="H9" s="196">
        <v>36</v>
      </c>
      <c r="I9" s="12" t="s">
        <v>356</v>
      </c>
      <c r="J9" s="76">
        <v>46079</v>
      </c>
      <c r="K9" s="72">
        <v>15</v>
      </c>
      <c r="L9" s="75">
        <f t="shared" si="1"/>
        <v>21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37</v>
      </c>
      <c r="D10" s="12">
        <v>232</v>
      </c>
      <c r="E10" s="12" t="str">
        <f t="shared" si="0"/>
        <v>10-37-232</v>
      </c>
      <c r="F10" s="64" t="str">
        <f>IFERROR(VLOOKUP(E10,'LISTA ITEMS (2)'!$E$2:$G$910,2,FALSE)," ")</f>
        <v>SOPORTE CENTRAL NEGRO</v>
      </c>
      <c r="G10" s="79" t="str">
        <f>IFERROR(VLOOKUP(E10,'LISTA ITEMS (2)'!$E$2:$G$910,3,FALSE)," ")</f>
        <v>UND</v>
      </c>
      <c r="H10" s="196">
        <v>50</v>
      </c>
      <c r="I10" s="12" t="s">
        <v>356</v>
      </c>
      <c r="J10" s="76">
        <v>46079</v>
      </c>
      <c r="K10" s="72">
        <v>25</v>
      </c>
      <c r="L10" s="75">
        <f t="shared" si="1"/>
        <v>25</v>
      </c>
      <c r="M10" s="3"/>
    </row>
    <row r="11" spans="1:13" s="15" customFormat="1" ht="31.95" customHeight="1" x14ac:dyDescent="0.3">
      <c r="A11" s="12">
        <v>6</v>
      </c>
      <c r="B11" s="12">
        <v>10</v>
      </c>
      <c r="C11" s="12">
        <v>37</v>
      </c>
      <c r="D11" s="12">
        <v>315</v>
      </c>
      <c r="E11" s="12" t="str">
        <f t="shared" si="0"/>
        <v>10-37-315</v>
      </c>
      <c r="F11" s="64" t="str">
        <f>IFERROR(VLOOKUP(E11,'LISTA ITEMS (2)'!$E$2:$G$910,2,FALSE)," ")</f>
        <v>SOPORTE FINAL NEGRO</v>
      </c>
      <c r="G11" s="79" t="str">
        <f>IFERROR(VLOOKUP(E11,'LISTA ITEMS (2)'!$E$2:$G$910,3,FALSE)," ")</f>
        <v>UND</v>
      </c>
      <c r="H11" s="196">
        <v>40</v>
      </c>
      <c r="I11" s="12" t="s">
        <v>356</v>
      </c>
      <c r="J11" s="76">
        <v>46079</v>
      </c>
      <c r="K11" s="72">
        <v>15</v>
      </c>
      <c r="L11" s="75">
        <f t="shared" si="1"/>
        <v>25</v>
      </c>
      <c r="M11" s="12"/>
    </row>
    <row r="12" spans="1:13" s="15" customFormat="1" ht="31.95" customHeight="1" x14ac:dyDescent="0.3">
      <c r="A12" s="12">
        <v>7</v>
      </c>
      <c r="B12" s="12">
        <v>10</v>
      </c>
      <c r="C12" s="12">
        <v>43</v>
      </c>
      <c r="D12" s="12">
        <v>270</v>
      </c>
      <c r="E12" s="12" t="str">
        <f t="shared" si="0"/>
        <v>10-43-270</v>
      </c>
      <c r="F12" s="64" t="str">
        <f>IFERROR(VLOOKUP(E12,'LISTA ITEMS (2)'!$E$2:$G$910,2,FALSE)," ")</f>
        <v>EMPALME ALUMINIO P/BARRA</v>
      </c>
      <c r="G12" s="79" t="str">
        <f>IFERROR(VLOOKUP(E12,'LISTA ITEMS (2)'!$E$2:$G$910,3,FALSE)," ")</f>
        <v>UND</v>
      </c>
      <c r="H12" s="196">
        <v>8</v>
      </c>
      <c r="I12" s="12" t="s">
        <v>356</v>
      </c>
      <c r="J12" s="76">
        <v>46079</v>
      </c>
      <c r="K12" s="72">
        <v>2</v>
      </c>
      <c r="L12" s="75">
        <f t="shared" si="1"/>
        <v>6</v>
      </c>
      <c r="M12" s="12"/>
    </row>
    <row r="13" spans="1:13" s="15" customFormat="1" ht="31.95" customHeight="1" x14ac:dyDescent="0.3">
      <c r="A13" s="12">
        <v>8</v>
      </c>
      <c r="B13" s="12">
        <v>16</v>
      </c>
      <c r="C13" s="12">
        <v>45</v>
      </c>
      <c r="D13" s="12">
        <v>294</v>
      </c>
      <c r="E13" s="12" t="str">
        <f t="shared" si="0"/>
        <v>16-45-294</v>
      </c>
      <c r="F13" s="64" t="str">
        <f>IFERROR(VLOOKUP(E13,'LISTA ITEMS (2)'!$E$2:$G$910,2,FALSE)," ")</f>
        <v>CAJA DE ESTANCA 133X180X80 EV161 (IDE)</v>
      </c>
      <c r="G13" s="79" t="str">
        <f>IFERROR(VLOOKUP(E13,'LISTA ITEMS (2)'!$E$2:$G$910,3,FALSE)," ")</f>
        <v>UND</v>
      </c>
      <c r="H13" s="196">
        <v>1</v>
      </c>
      <c r="I13" s="12" t="s">
        <v>356</v>
      </c>
      <c r="J13" s="76"/>
      <c r="K13" s="72"/>
      <c r="L13" s="75">
        <f t="shared" si="1"/>
        <v>1</v>
      </c>
      <c r="M13" s="194"/>
    </row>
    <row r="14" spans="1:13" s="15" customFormat="1" ht="31.95" customHeight="1" x14ac:dyDescent="0.3">
      <c r="A14" s="12">
        <v>9</v>
      </c>
      <c r="B14" s="12">
        <v>17</v>
      </c>
      <c r="C14" s="12">
        <v>44</v>
      </c>
      <c r="D14" s="12">
        <v>271</v>
      </c>
      <c r="E14" s="12" t="str">
        <f t="shared" si="0"/>
        <v>17-44-271</v>
      </c>
      <c r="F14" s="64" t="str">
        <f>IFERROR(VLOOKUP(E14,'LISTA ITEMS (2)'!$E$2:$G$910,2,FALSE)," ")</f>
        <v>SELLANTE QUIMICO BLANCO</v>
      </c>
      <c r="G14" s="79" t="str">
        <f>IFERROR(VLOOKUP(E14,'LISTA ITEMS (2)'!$E$2:$G$910,3,FALSE)," ")</f>
        <v>UND</v>
      </c>
      <c r="H14" s="196">
        <v>1</v>
      </c>
      <c r="I14" s="12" t="s">
        <v>356</v>
      </c>
      <c r="J14" s="76"/>
      <c r="K14" s="72"/>
      <c r="L14" s="75">
        <f t="shared" si="1"/>
        <v>1</v>
      </c>
      <c r="M14" s="12"/>
    </row>
    <row r="15" spans="1:13" s="15" customFormat="1" ht="31.95" customHeight="1" x14ac:dyDescent="0.3">
      <c r="A15" s="12">
        <v>10</v>
      </c>
      <c r="B15" s="12">
        <v>17</v>
      </c>
      <c r="C15" s="12">
        <v>44</v>
      </c>
      <c r="D15" s="12">
        <v>272</v>
      </c>
      <c r="E15" s="12" t="str">
        <f t="shared" si="0"/>
        <v>17-44-272</v>
      </c>
      <c r="F15" s="64" t="str">
        <f>IFERROR(VLOOKUP(E15,'LISTA ITEMS (2)'!$E$2:$G$910,2,FALSE)," ")</f>
        <v>SELLANTE QUIMICO GRIS</v>
      </c>
      <c r="G15" s="79" t="str">
        <f>IFERROR(VLOOKUP(E15,'LISTA ITEMS (2)'!$E$2:$G$910,3,FALSE)," ")</f>
        <v>UND</v>
      </c>
      <c r="H15" s="196">
        <v>2</v>
      </c>
      <c r="I15" s="12" t="s">
        <v>356</v>
      </c>
      <c r="J15" s="76">
        <v>46079</v>
      </c>
      <c r="K15" s="72">
        <v>1</v>
      </c>
      <c r="L15" s="75">
        <f t="shared" si="1"/>
        <v>1</v>
      </c>
      <c r="M15" s="12"/>
    </row>
    <row r="16" spans="1:13" s="15" customFormat="1" ht="31.95" customHeight="1" x14ac:dyDescent="0.3">
      <c r="A16" s="12">
        <v>11</v>
      </c>
      <c r="B16" s="12">
        <v>13</v>
      </c>
      <c r="C16" s="12">
        <v>21</v>
      </c>
      <c r="D16" s="12">
        <v>181</v>
      </c>
      <c r="E16" s="12" t="str">
        <f t="shared" si="0"/>
        <v>13-21-181</v>
      </c>
      <c r="F16" s="64" t="str">
        <f>IFERROR(VLOOKUP(E16,'LISTA ITEMS (2)'!$E$2:$G$910,2,FALSE)," ")</f>
        <v>TACO P/BRIDA NEGRO</v>
      </c>
      <c r="G16" s="79" t="str">
        <f>IFERROR(VLOOKUP(E16,'LISTA ITEMS (2)'!$E$2:$G$910,3,FALSE)," ")</f>
        <v>UND</v>
      </c>
      <c r="H16" s="196">
        <v>100</v>
      </c>
      <c r="I16" s="12" t="s">
        <v>356</v>
      </c>
      <c r="J16" s="72"/>
      <c r="K16" s="72"/>
      <c r="L16" s="75">
        <f t="shared" si="1"/>
        <v>100</v>
      </c>
      <c r="M16" s="12"/>
    </row>
    <row r="17" spans="1:13" s="15" customFormat="1" ht="31.95" customHeight="1" x14ac:dyDescent="0.3">
      <c r="A17" s="12">
        <v>12</v>
      </c>
      <c r="B17" s="12">
        <v>13</v>
      </c>
      <c r="C17" s="12">
        <v>22</v>
      </c>
      <c r="D17" s="12">
        <v>184</v>
      </c>
      <c r="E17" s="12" t="str">
        <f t="shared" si="0"/>
        <v>13-22-184</v>
      </c>
      <c r="F17" s="64" t="str">
        <f>IFERROR(VLOOKUP(E17,'LISTA ITEMS (2)'!$E$2:$G$910,2,FALSE)," ")</f>
        <v>BRIDA P/EXTERIOR NEGRA</v>
      </c>
      <c r="G17" s="79" t="str">
        <f>IFERROR(VLOOKUP(E17,'LISTA ITEMS (2)'!$E$2:$G$910,3,FALSE)," ")</f>
        <v>UND</v>
      </c>
      <c r="H17" s="196">
        <v>100</v>
      </c>
      <c r="I17" s="12" t="s">
        <v>356</v>
      </c>
      <c r="J17" s="76"/>
      <c r="K17" s="72"/>
      <c r="L17" s="75">
        <f t="shared" si="1"/>
        <v>100</v>
      </c>
      <c r="M17" s="12"/>
    </row>
    <row r="18" spans="1:13" s="15" customFormat="1" ht="31.95" customHeight="1" x14ac:dyDescent="0.3">
      <c r="A18" s="12">
        <v>13</v>
      </c>
      <c r="B18" s="12">
        <v>6</v>
      </c>
      <c r="C18" s="12">
        <v>23</v>
      </c>
      <c r="D18" s="12">
        <v>192</v>
      </c>
      <c r="E18" s="12" t="str">
        <f t="shared" si="0"/>
        <v>6-23-192</v>
      </c>
      <c r="F18" s="64" t="str">
        <f>IFERROR(VLOOKUP(E18,'LISTA ITEMS (2)'!$E$2:$G$910,2,FALSE)," ")</f>
        <v xml:space="preserve">CINTA ACERO PERFORADA PARA MONTAJE </v>
      </c>
      <c r="G18" s="79" t="str">
        <f>IFERROR(VLOOKUP(E18,'LISTA ITEMS (2)'!$E$2:$G$910,3,FALSE)," ")</f>
        <v>UND</v>
      </c>
      <c r="H18" s="196">
        <v>1</v>
      </c>
      <c r="I18" s="12" t="s">
        <v>356</v>
      </c>
      <c r="J18" s="76"/>
      <c r="K18" s="72"/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>
        <v>16</v>
      </c>
      <c r="C19" s="12">
        <v>61</v>
      </c>
      <c r="D19" s="12">
        <v>331</v>
      </c>
      <c r="E19" s="12" t="str">
        <f t="shared" si="0"/>
        <v>16-61-331</v>
      </c>
      <c r="F19" s="64" t="str">
        <f>IFERROR(VLOOKUP(E19,'LISTA ITEMS (2)'!$E$2:$G$910,2,FALSE)," ")</f>
        <v>CONECTOR FOTOVOLTAICO HEMBRA M4 NEGRO</v>
      </c>
      <c r="G19" s="79" t="str">
        <f>IFERROR(VLOOKUP(E19,'LISTA ITEMS (2)'!$E$2:$G$910,3,FALSE)," ")</f>
        <v>UND</v>
      </c>
      <c r="H19" s="196">
        <v>10</v>
      </c>
      <c r="I19" s="12" t="s">
        <v>356</v>
      </c>
      <c r="J19" s="76">
        <v>46079</v>
      </c>
      <c r="K19" s="72">
        <v>3</v>
      </c>
      <c r="L19" s="75">
        <f t="shared" si="1"/>
        <v>7</v>
      </c>
      <c r="M19" s="12"/>
    </row>
    <row r="20" spans="1:13" s="15" customFormat="1" ht="31.95" customHeight="1" x14ac:dyDescent="0.3">
      <c r="A20" s="12">
        <v>15</v>
      </c>
      <c r="B20" s="12">
        <v>16</v>
      </c>
      <c r="C20" s="12">
        <v>61</v>
      </c>
      <c r="D20" s="12">
        <v>332</v>
      </c>
      <c r="E20" s="12" t="str">
        <f t="shared" si="0"/>
        <v>16-61-332</v>
      </c>
      <c r="F20" s="64" t="str">
        <f>IFERROR(VLOOKUP(E20,'LISTA ITEMS (2)'!$E$2:$G$910,2,FALSE)," ")</f>
        <v>CONECTOR FOTOVOLTAICO MACHO M4 NEGRO</v>
      </c>
      <c r="G20" s="79" t="str">
        <f>IFERROR(VLOOKUP(E20,'LISTA ITEMS (2)'!$E$2:$G$910,3,FALSE)," ")</f>
        <v>UND</v>
      </c>
      <c r="H20" s="196">
        <v>10</v>
      </c>
      <c r="I20" s="12" t="s">
        <v>356</v>
      </c>
      <c r="J20" s="76">
        <v>46079</v>
      </c>
      <c r="K20" s="72">
        <v>3</v>
      </c>
      <c r="L20" s="75">
        <f t="shared" si="1"/>
        <v>7</v>
      </c>
      <c r="M20" s="12"/>
    </row>
    <row r="21" spans="1:13" s="15" customFormat="1" ht="31.95" customHeight="1" x14ac:dyDescent="0.3">
      <c r="A21" s="12">
        <v>14</v>
      </c>
      <c r="B21" s="12">
        <v>14</v>
      </c>
      <c r="C21" s="12">
        <v>24</v>
      </c>
      <c r="D21" s="12">
        <v>193</v>
      </c>
      <c r="E21" s="12" t="str">
        <f t="shared" si="0"/>
        <v>14-24-193</v>
      </c>
      <c r="F21" s="64" t="str">
        <f>IFERROR(VLOOKUP(E21,'LISTA ITEMS (2)'!$E$2:$G$910,2,FALSE)," ")</f>
        <v>DISCO CORTE ACERO/INOX A1 2EN1</v>
      </c>
      <c r="G21" s="79" t="str">
        <f>IFERROR(VLOOKUP(E21,'LISTA ITEMS (2)'!$E$2:$G$910,3,FALSE)," ")</f>
        <v>UND</v>
      </c>
      <c r="H21" s="196">
        <v>3</v>
      </c>
      <c r="I21" s="12" t="s">
        <v>356</v>
      </c>
      <c r="J21" s="76"/>
      <c r="K21" s="72"/>
      <c r="L21" s="75">
        <f t="shared" si="1"/>
        <v>3</v>
      </c>
      <c r="M21" s="12"/>
    </row>
    <row r="22" spans="1:13" s="15" customFormat="1" ht="31.95" customHeight="1" x14ac:dyDescent="0.3">
      <c r="A22" s="12">
        <v>14</v>
      </c>
      <c r="B22" s="12">
        <v>10</v>
      </c>
      <c r="C22" s="12">
        <v>42</v>
      </c>
      <c r="D22" s="12">
        <v>268</v>
      </c>
      <c r="E22" s="12" t="str">
        <f t="shared" si="0"/>
        <v>10-42-268</v>
      </c>
      <c r="F22" s="64" t="str">
        <f>IFERROR(VLOOKUP(E22,'LISTA ITEMS (2)'!$E$2:$G$910,2,FALSE)," ")</f>
        <v>PATA ALUMINIO PARA ESTRUCTURA PLACA SOLAR ANGULO 30º</v>
      </c>
      <c r="G22" s="79" t="str">
        <f>IFERROR(VLOOKUP(E22,'LISTA ITEMS (2)'!$E$2:$G$910,3,FALSE)," ")</f>
        <v>UND</v>
      </c>
      <c r="H22" s="196">
        <v>12</v>
      </c>
      <c r="I22" s="12" t="s">
        <v>356</v>
      </c>
      <c r="J22" s="76">
        <v>46079</v>
      </c>
      <c r="K22" s="72">
        <v>2</v>
      </c>
      <c r="L22" s="75">
        <f t="shared" si="1"/>
        <v>10</v>
      </c>
      <c r="M22" s="12"/>
    </row>
    <row r="23" spans="1:13" s="15" customFormat="1" ht="31.95" customHeight="1" x14ac:dyDescent="0.3">
      <c r="A23" s="12">
        <v>15</v>
      </c>
      <c r="B23" s="12">
        <v>3</v>
      </c>
      <c r="C23" s="12">
        <v>31</v>
      </c>
      <c r="D23" s="12">
        <v>277</v>
      </c>
      <c r="E23" s="12" t="str">
        <f t="shared" si="0"/>
        <v>3-31-277</v>
      </c>
      <c r="F23" s="64" t="str">
        <f>IFERROR(VLOOKUP(E23,'LISTA ITEMS (2)'!$E$2:$G$910,2,FALSE)," ")</f>
        <v>CABLE Nª 6 P/PLACA SOLAR NEGRO</v>
      </c>
      <c r="G23" s="79" t="str">
        <f>IFERROR(VLOOKUP(E23,'LISTA ITEMS (2)'!$E$2:$G$910,3,FALSE)," ")</f>
        <v>MT</v>
      </c>
      <c r="H23" s="196">
        <v>25</v>
      </c>
      <c r="I23" s="12" t="s">
        <v>356</v>
      </c>
      <c r="J23" s="76"/>
      <c r="K23" s="72"/>
      <c r="L23" s="75">
        <f t="shared" si="1"/>
        <v>25</v>
      </c>
      <c r="M23" s="12"/>
    </row>
    <row r="24" spans="1:13" s="15" customFormat="1" ht="31.95" customHeight="1" x14ac:dyDescent="0.3">
      <c r="A24" s="12">
        <v>14</v>
      </c>
      <c r="B24" s="12">
        <v>3</v>
      </c>
      <c r="C24" s="12">
        <v>31</v>
      </c>
      <c r="D24" s="12">
        <v>278</v>
      </c>
      <c r="E24" s="12" t="str">
        <f t="shared" si="0"/>
        <v>3-31-278</v>
      </c>
      <c r="F24" s="64" t="str">
        <f>IFERROR(VLOOKUP(E24,'LISTA ITEMS (2)'!$E$2:$G$910,2,FALSE)," ")</f>
        <v>CABLE Nª 6 P/PLACA SOLAR ROJO</v>
      </c>
      <c r="G24" s="79" t="str">
        <f>IFERROR(VLOOKUP(E24,'LISTA ITEMS (2)'!$E$2:$G$910,3,FALSE)," ")</f>
        <v>MT</v>
      </c>
      <c r="H24" s="196">
        <v>25</v>
      </c>
      <c r="I24" s="12" t="s">
        <v>356</v>
      </c>
      <c r="J24" s="76"/>
      <c r="K24" s="72"/>
      <c r="L24" s="75">
        <f t="shared" si="1"/>
        <v>25</v>
      </c>
      <c r="M24" s="12"/>
    </row>
    <row r="25" spans="1:13" s="15" customFormat="1" ht="31.95" customHeight="1" x14ac:dyDescent="0.3">
      <c r="A25" s="12">
        <v>14</v>
      </c>
      <c r="B25" s="12">
        <v>9</v>
      </c>
      <c r="C25" s="12">
        <v>2</v>
      </c>
      <c r="D25" s="12">
        <v>291</v>
      </c>
      <c r="E25" s="12" t="str">
        <f t="shared" si="0"/>
        <v>9-2-291</v>
      </c>
      <c r="F25" s="64" t="str">
        <f>IFERROR(VLOOKUP(E25,'LISTA ITEMS (2)'!$E$2:$G$910,2,FALSE)," ")</f>
        <v>TUBO ELECTRICO PVC 25mm - 3mt(AISCAN)</v>
      </c>
      <c r="G25" s="79" t="str">
        <f>IFERROR(VLOOKUP(E25,'LISTA ITEMS (2)'!$E$2:$G$910,3,FALSE)," ")</f>
        <v>UND</v>
      </c>
      <c r="H25" s="196">
        <v>15</v>
      </c>
      <c r="I25" s="12" t="s">
        <v>356</v>
      </c>
      <c r="J25" s="76">
        <v>46079</v>
      </c>
      <c r="K25" s="72">
        <v>4</v>
      </c>
      <c r="L25" s="75">
        <f t="shared" si="1"/>
        <v>11</v>
      </c>
      <c r="M25" s="12"/>
    </row>
    <row r="26" spans="1:13" s="15" customFormat="1" ht="31.95" customHeight="1" x14ac:dyDescent="0.3">
      <c r="A26" s="12">
        <v>15</v>
      </c>
      <c r="B26" s="12">
        <v>4</v>
      </c>
      <c r="C26" s="12">
        <v>15</v>
      </c>
      <c r="D26" s="12">
        <v>267</v>
      </c>
      <c r="E26" s="12" t="str">
        <f t="shared" si="0"/>
        <v>4-15-267</v>
      </c>
      <c r="F26" s="64" t="str">
        <f>IFERROR(VLOOKUP(E26,'LISTA ITEMS (2)'!$E$2:$G$910,2,FALSE)," ")</f>
        <v>BARRA PERFORADA PARA REFUERZO 20X10X2MT GALV.</v>
      </c>
      <c r="G26" s="79" t="str">
        <f>IFERROR(VLOOKUP(E26,'LISTA ITEMS (2)'!$E$2:$G$910,3,FALSE)," ")</f>
        <v>UND</v>
      </c>
      <c r="H26" s="196">
        <v>9</v>
      </c>
      <c r="I26" s="12" t="s">
        <v>356</v>
      </c>
      <c r="J26" s="76">
        <v>46079</v>
      </c>
      <c r="K26" s="72">
        <v>3</v>
      </c>
      <c r="L26" s="75">
        <f t="shared" si="1"/>
        <v>6</v>
      </c>
      <c r="M26" s="12"/>
    </row>
    <row r="27" spans="1:13" s="15" customFormat="1" ht="31.95" customHeight="1" x14ac:dyDescent="0.3">
      <c r="A27" s="12">
        <v>14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196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14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196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31.95" customHeight="1" x14ac:dyDescent="0.3">
      <c r="A29" s="12">
        <v>15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196"/>
      <c r="I29" s="12" t="s">
        <v>356</v>
      </c>
      <c r="J29" s="76"/>
      <c r="K29" s="72"/>
      <c r="L29" s="75">
        <f t="shared" si="1"/>
        <v>0</v>
      </c>
      <c r="M29" s="12"/>
    </row>
    <row r="30" spans="1:13" s="15" customFormat="1" ht="31.95" customHeight="1" x14ac:dyDescent="0.3">
      <c r="A30" s="12">
        <v>14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196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14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196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customHeight="1" x14ac:dyDescent="0.3">
      <c r="A32" s="12">
        <v>15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196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customHeight="1" x14ac:dyDescent="0.3">
      <c r="A33" s="12">
        <v>14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196"/>
      <c r="I33" s="12" t="s">
        <v>356</v>
      </c>
      <c r="J33" s="76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14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196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15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196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14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15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16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17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s="15" customFormat="1" ht="31.95" customHeight="1" x14ac:dyDescent="0.3">
      <c r="A40" s="12">
        <v>18</v>
      </c>
      <c r="B40" s="12"/>
      <c r="C40" s="12"/>
      <c r="D40" s="12"/>
      <c r="E40" s="12" t="str">
        <f t="shared" si="0"/>
        <v>--</v>
      </c>
      <c r="F40" s="64">
        <f>IFERROR(VLOOKUP(E40,'LISTA ITEMS (2)'!$E$2:$G$910,2,FALSE)," ")</f>
        <v>0</v>
      </c>
      <c r="G40" s="79">
        <f>IFERROR(VLOOKUP(E40,'LISTA ITEMS (2)'!$E$2:$G$910,3,FALSE)," ")</f>
        <v>0</v>
      </c>
      <c r="H40" s="196"/>
      <c r="I40" s="12" t="s">
        <v>356</v>
      </c>
      <c r="J40" s="76"/>
      <c r="K40" s="72"/>
      <c r="L40" s="75">
        <f t="shared" si="1"/>
        <v>0</v>
      </c>
      <c r="M40" s="12"/>
    </row>
    <row r="41" spans="1:13" s="15" customFormat="1" ht="31.95" customHeight="1" x14ac:dyDescent="0.3">
      <c r="A41" s="12">
        <v>19</v>
      </c>
      <c r="B41" s="12"/>
      <c r="C41" s="12"/>
      <c r="D41" s="12"/>
      <c r="E41" s="12" t="str">
        <f t="shared" si="0"/>
        <v>--</v>
      </c>
      <c r="F41" s="64">
        <f>IFERROR(VLOOKUP(E41,'LISTA ITEMS (2)'!$E$2:$G$910,2,FALSE)," ")</f>
        <v>0</v>
      </c>
      <c r="G41" s="79">
        <f>IFERROR(VLOOKUP(E41,'LISTA ITEMS (2)'!$E$2:$G$910,3,FALSE)," ")</f>
        <v>0</v>
      </c>
      <c r="H41" s="196"/>
      <c r="I41" s="12" t="s">
        <v>356</v>
      </c>
      <c r="J41" s="76"/>
      <c r="K41" s="72"/>
      <c r="L41" s="75">
        <f t="shared" si="1"/>
        <v>0</v>
      </c>
      <c r="M41" s="12"/>
    </row>
    <row r="42" spans="1:13" s="15" customFormat="1" ht="31.95" customHeight="1" x14ac:dyDescent="0.3">
      <c r="A42" s="12">
        <v>20</v>
      </c>
      <c r="B42" s="12"/>
      <c r="C42" s="12"/>
      <c r="D42" s="12"/>
      <c r="E42" s="12" t="str">
        <f t="shared" si="0"/>
        <v>--</v>
      </c>
      <c r="F42" s="64">
        <f>IFERROR(VLOOKUP(E42,'LISTA ITEMS (2)'!$E$2:$G$910,2,FALSE)," ")</f>
        <v>0</v>
      </c>
      <c r="G42" s="79">
        <f>IFERROR(VLOOKUP(E42,'LISTA ITEMS (2)'!$E$2:$G$910,3,FALSE)," ")</f>
        <v>0</v>
      </c>
      <c r="H42" s="196"/>
      <c r="I42" s="12" t="s">
        <v>356</v>
      </c>
      <c r="J42" s="76"/>
      <c r="K42" s="72"/>
      <c r="L42" s="75">
        <f t="shared" si="1"/>
        <v>0</v>
      </c>
      <c r="M42" s="12"/>
    </row>
    <row r="43" spans="1:13" s="15" customFormat="1" ht="31.95" customHeight="1" x14ac:dyDescent="0.3">
      <c r="A43" s="12">
        <v>21</v>
      </c>
      <c r="B43" s="12"/>
      <c r="C43" s="12"/>
      <c r="D43" s="12"/>
      <c r="E43" s="12" t="str">
        <f t="shared" si="0"/>
        <v>--</v>
      </c>
      <c r="F43" s="64">
        <f>IFERROR(VLOOKUP(E43,'LISTA ITEMS (2)'!$E$2:$G$910,2,FALSE)," ")</f>
        <v>0</v>
      </c>
      <c r="G43" s="79">
        <f>IFERROR(VLOOKUP(E43,'LISTA ITEMS (2)'!$E$2:$G$910,3,FALSE)," ")</f>
        <v>0</v>
      </c>
      <c r="H43" s="196"/>
      <c r="I43" s="12" t="s">
        <v>356</v>
      </c>
      <c r="J43" s="76"/>
      <c r="K43" s="72"/>
      <c r="L43" s="75">
        <f t="shared" si="1"/>
        <v>0</v>
      </c>
      <c r="M43" s="12"/>
    </row>
    <row r="44" spans="1:13" s="15" customFormat="1" ht="31.95" customHeight="1" x14ac:dyDescent="0.3">
      <c r="A44" s="12">
        <v>22</v>
      </c>
      <c r="B44" s="12"/>
      <c r="C44" s="12"/>
      <c r="D44" s="12"/>
      <c r="E44" s="12" t="str">
        <f t="shared" si="0"/>
        <v>--</v>
      </c>
      <c r="F44" s="64">
        <f>IFERROR(VLOOKUP(E44,'LISTA ITEMS (2)'!$E$2:$G$910,2,FALSE)," ")</f>
        <v>0</v>
      </c>
      <c r="G44" s="79">
        <f>IFERROR(VLOOKUP(E44,'LISTA ITEMS (2)'!$E$2:$G$910,3,FALSE)," ")</f>
        <v>0</v>
      </c>
      <c r="H44" s="196"/>
      <c r="I44" s="12" t="s">
        <v>356</v>
      </c>
      <c r="J44" s="76"/>
      <c r="K44" s="72"/>
      <c r="L44" s="75">
        <f t="shared" si="1"/>
        <v>0</v>
      </c>
      <c r="M44" s="12"/>
    </row>
    <row r="45" spans="1:13" ht="2.4" customHeight="1" x14ac:dyDescent="0.3"/>
    <row r="46" spans="1:13" ht="69.599999999999994" customHeight="1" x14ac:dyDescent="0.3">
      <c r="A46" s="305" t="s">
        <v>686</v>
      </c>
      <c r="B46" s="306"/>
      <c r="C46" s="306"/>
      <c r="D46" s="306"/>
      <c r="E46" s="306"/>
      <c r="F46" s="306"/>
      <c r="G46" s="306"/>
      <c r="H46" s="306"/>
      <c r="I46" s="307"/>
    </row>
  </sheetData>
  <autoFilter ref="A5:M44" xr:uid="{85012F27-22EC-4E3F-926D-D1195CE4F62B}">
    <filterColumn colId="1" showButton="0"/>
    <filterColumn colId="2" showButton="0"/>
  </autoFilter>
  <mergeCells count="13">
    <mergeCell ref="A46:I4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1858-BCCE-43EA-98B6-DFF5DEDE1783}">
  <sheetPr>
    <tabColor rgb="FF92D050"/>
  </sheetPr>
  <dimension ref="A1:M26"/>
  <sheetViews>
    <sheetView zoomScale="85" zoomScaleNormal="85" workbookViewId="0">
      <pane ySplit="5" topLeftCell="A6" activePane="bottomLeft" state="frozen"/>
      <selection activeCell="A4" sqref="A4:D4"/>
      <selection pane="bottomLeft" activeCell="L9" sqref="L9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29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811</v>
      </c>
      <c r="D2" s="283"/>
      <c r="E2" s="283"/>
      <c r="F2" s="291"/>
      <c r="G2" s="292" t="s">
        <v>355</v>
      </c>
      <c r="H2" s="290"/>
      <c r="I2" s="62">
        <v>29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3" t="s">
        <v>836</v>
      </c>
      <c r="D3" s="314"/>
      <c r="E3" s="68"/>
      <c r="F3" s="61" t="s">
        <v>353</v>
      </c>
      <c r="G3" s="295" t="s">
        <v>369</v>
      </c>
      <c r="H3" s="296"/>
      <c r="I3" s="127">
        <v>46078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812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10</v>
      </c>
      <c r="C6" s="12">
        <v>37</v>
      </c>
      <c r="D6" s="12">
        <v>330</v>
      </c>
      <c r="E6" s="12" t="str">
        <f t="shared" ref="E6:E24" si="0">CONCATENATE(B6,"-",C6,"-",D6)</f>
        <v>10-37-330</v>
      </c>
      <c r="F6" s="64" t="str">
        <f>IFERROR(VLOOKUP(E6,'LISTA ITEMS (2)'!$E$2:$G$910,2,FALSE)," ")</f>
        <v>SOPORTE EN L ALUMINIO GRIS</v>
      </c>
      <c r="G6" s="79" t="str">
        <f>IFERROR(VLOOKUP(E6,'LISTA ITEMS (2)'!$E$2:$G$910,3,FALSE)," ")</f>
        <v>UND</v>
      </c>
      <c r="H6" s="196">
        <v>20</v>
      </c>
      <c r="I6" s="12" t="s">
        <v>356</v>
      </c>
      <c r="J6" s="76">
        <v>46079</v>
      </c>
      <c r="K6" s="72">
        <v>15</v>
      </c>
      <c r="L6" s="75">
        <f t="shared" ref="L6:L24" si="1">+H6-K6</f>
        <v>5</v>
      </c>
      <c r="M6" s="12"/>
    </row>
    <row r="7" spans="1:13" s="15" customFormat="1" ht="31.95" customHeight="1" x14ac:dyDescent="0.3">
      <c r="A7" s="12">
        <v>2</v>
      </c>
      <c r="B7" s="12">
        <v>17</v>
      </c>
      <c r="C7" s="12">
        <v>44</v>
      </c>
      <c r="D7" s="12">
        <v>273</v>
      </c>
      <c r="E7" s="12" t="str">
        <f t="shared" si="0"/>
        <v>17-44-273</v>
      </c>
      <c r="F7" s="64" t="str">
        <f>IFERROR(VLOOKUP(E7,'LISTA ITEMS (2)'!$E$2:$G$910,2,FALSE)," ")</f>
        <v>SELLANTE QUIMICO TACO</v>
      </c>
      <c r="G7" s="79" t="str">
        <f>IFERROR(VLOOKUP(E7,'LISTA ITEMS (2)'!$E$2:$G$910,3,FALSE)," ")</f>
        <v>UND</v>
      </c>
      <c r="H7" s="196">
        <v>6</v>
      </c>
      <c r="I7" s="12" t="s">
        <v>356</v>
      </c>
      <c r="J7" s="76">
        <v>46079</v>
      </c>
      <c r="K7" s="72">
        <v>4</v>
      </c>
      <c r="L7" s="75">
        <f t="shared" si="1"/>
        <v>2</v>
      </c>
      <c r="M7" s="12"/>
    </row>
    <row r="8" spans="1:13" s="15" customFormat="1" ht="31.95" customHeight="1" x14ac:dyDescent="0.3">
      <c r="A8" s="12">
        <v>3</v>
      </c>
      <c r="B8" s="12">
        <v>20</v>
      </c>
      <c r="C8" s="12">
        <v>83</v>
      </c>
      <c r="D8" s="12">
        <v>409</v>
      </c>
      <c r="E8" s="12" t="str">
        <f t="shared" si="0"/>
        <v>20-83-409</v>
      </c>
      <c r="F8" s="64" t="str">
        <f>IFERROR(VLOOKUP(E8,'LISTA ITEMS (2)'!$E$2:$G$910,2,FALSE)," ")</f>
        <v>TAMIZ NYLON 16X85</v>
      </c>
      <c r="G8" s="79" t="str">
        <f>IFERROR(VLOOKUP(E8,'LISTA ITEMS (2)'!$E$2:$G$910,3,FALSE)," ")</f>
        <v>UND</v>
      </c>
      <c r="H8" s="196">
        <v>40</v>
      </c>
      <c r="I8" s="12" t="s">
        <v>356</v>
      </c>
      <c r="J8" s="76">
        <v>46079</v>
      </c>
      <c r="K8" s="72">
        <v>25</v>
      </c>
      <c r="L8" s="75">
        <f t="shared" si="1"/>
        <v>15</v>
      </c>
      <c r="M8" s="12"/>
    </row>
    <row r="9" spans="1:13" s="15" customFormat="1" ht="31.95" customHeight="1" x14ac:dyDescent="0.3">
      <c r="A9" s="12">
        <v>4</v>
      </c>
      <c r="B9" s="12">
        <v>4</v>
      </c>
      <c r="C9" s="12">
        <v>15</v>
      </c>
      <c r="D9" s="12">
        <v>326</v>
      </c>
      <c r="E9" s="12" t="str">
        <f t="shared" si="0"/>
        <v>4-15-326</v>
      </c>
      <c r="F9" s="64" t="str">
        <f>IFERROR(VLOOKUP(E9,'LISTA ITEMS (2)'!$E$2:$G$910,2,FALSE)," ")</f>
        <v>BARRA PERFORADA PARA REFUERZO 27x18x2MT GALV.</v>
      </c>
      <c r="G9" s="79" t="str">
        <f>IFERROR(VLOOKUP(E9,'LISTA ITEMS (2)'!$E$2:$G$910,3,FALSE)," ")</f>
        <v>UND</v>
      </c>
      <c r="H9" s="196">
        <v>18</v>
      </c>
      <c r="I9" s="12" t="s">
        <v>356</v>
      </c>
      <c r="J9" s="76">
        <v>46079</v>
      </c>
      <c r="K9" s="72">
        <v>12</v>
      </c>
      <c r="L9" s="75">
        <f t="shared" si="1"/>
        <v>6</v>
      </c>
      <c r="M9" s="12"/>
    </row>
    <row r="10" spans="1:13" s="15" customFormat="1" ht="31.95" customHeight="1" x14ac:dyDescent="0.3">
      <c r="A10" s="12">
        <v>5</v>
      </c>
      <c r="B10" s="12">
        <v>8</v>
      </c>
      <c r="C10" s="12">
        <v>64</v>
      </c>
      <c r="D10" s="12">
        <v>358</v>
      </c>
      <c r="E10" s="12" t="str">
        <f t="shared" si="0"/>
        <v>8-64-358</v>
      </c>
      <c r="F10" s="64" t="str">
        <f>IFERROR(VLOOKUP(E10,'LISTA ITEMS (2)'!$E$2:$G$910,2,FALSE)," ")</f>
        <v>BARILLA ROSCADA M8 A/GALV X1000</v>
      </c>
      <c r="G10" s="79" t="str">
        <f>IFERROR(VLOOKUP(E10,'LISTA ITEMS (2)'!$E$2:$G$910,3,FALSE)," ")</f>
        <v>UND</v>
      </c>
      <c r="H10" s="196">
        <v>8</v>
      </c>
      <c r="I10" s="12" t="s">
        <v>356</v>
      </c>
      <c r="J10" s="76">
        <v>46079</v>
      </c>
      <c r="K10" s="72">
        <v>3</v>
      </c>
      <c r="L10" s="75">
        <f t="shared" si="1"/>
        <v>5</v>
      </c>
      <c r="M10" s="12"/>
    </row>
    <row r="11" spans="1:13" s="15" customFormat="1" ht="31.95" customHeight="1" x14ac:dyDescent="0.3">
      <c r="A11" s="12">
        <v>6</v>
      </c>
      <c r="B11" s="12"/>
      <c r="C11" s="12"/>
      <c r="D11" s="12"/>
      <c r="E11" s="12" t="str">
        <f t="shared" si="0"/>
        <v>--</v>
      </c>
      <c r="F11" s="64">
        <f>IFERROR(VLOOKUP(E11,'LISTA ITEMS (2)'!$E$2:$G$910,2,FALSE)," ")</f>
        <v>0</v>
      </c>
      <c r="G11" s="79">
        <f>IFERROR(VLOOKUP(E11,'LISTA ITEMS (2)'!$E$2:$G$910,3,FALSE)," ")</f>
        <v>0</v>
      </c>
      <c r="H11" s="196"/>
      <c r="I11" s="12" t="s">
        <v>356</v>
      </c>
      <c r="J11" s="76"/>
      <c r="K11" s="72"/>
      <c r="L11" s="75">
        <f t="shared" si="1"/>
        <v>0</v>
      </c>
      <c r="M11" s="12"/>
    </row>
    <row r="12" spans="1:13" s="15" customFormat="1" ht="31.95" customHeight="1" x14ac:dyDescent="0.3">
      <c r="A12" s="12">
        <v>7</v>
      </c>
      <c r="B12" s="12"/>
      <c r="C12" s="12"/>
      <c r="D12" s="12"/>
      <c r="E12" s="12" t="str">
        <f t="shared" si="0"/>
        <v>--</v>
      </c>
      <c r="F12" s="64">
        <f>IFERROR(VLOOKUP(E12,'LISTA ITEMS (2)'!$E$2:$G$910,2,FALSE)," ")</f>
        <v>0</v>
      </c>
      <c r="G12" s="79">
        <f>IFERROR(VLOOKUP(E12,'LISTA ITEMS (2)'!$E$2:$G$910,3,FALSE)," ")</f>
        <v>0</v>
      </c>
      <c r="H12" s="196"/>
      <c r="I12" s="12" t="s">
        <v>356</v>
      </c>
      <c r="J12" s="76"/>
      <c r="K12" s="72"/>
      <c r="L12" s="75">
        <f t="shared" si="1"/>
        <v>0</v>
      </c>
      <c r="M12" s="12"/>
    </row>
    <row r="13" spans="1:13" s="15" customFormat="1" ht="31.95" customHeight="1" x14ac:dyDescent="0.3">
      <c r="A13" s="12">
        <v>8</v>
      </c>
      <c r="B13" s="12"/>
      <c r="C13" s="12"/>
      <c r="D13" s="12"/>
      <c r="E13" s="12" t="str">
        <f t="shared" si="0"/>
        <v>--</v>
      </c>
      <c r="F13" s="64">
        <f>IFERROR(VLOOKUP(E13,'LISTA ITEMS (2)'!$E$2:$G$910,2,FALSE)," ")</f>
        <v>0</v>
      </c>
      <c r="G13" s="79">
        <f>IFERROR(VLOOKUP(E13,'LISTA ITEMS (2)'!$E$2:$G$910,3,FALSE)," ")</f>
        <v>0</v>
      </c>
      <c r="H13" s="196"/>
      <c r="I13" s="12" t="s">
        <v>356</v>
      </c>
      <c r="J13" s="76"/>
      <c r="K13" s="72"/>
      <c r="L13" s="75">
        <f t="shared" si="1"/>
        <v>0</v>
      </c>
      <c r="M13" s="12"/>
    </row>
    <row r="14" spans="1:13" s="15" customFormat="1" ht="31.95" customHeight="1" x14ac:dyDescent="0.3">
      <c r="A14" s="12">
        <v>9</v>
      </c>
      <c r="B14" s="12"/>
      <c r="C14" s="12"/>
      <c r="D14" s="12"/>
      <c r="E14" s="12" t="str">
        <f t="shared" si="0"/>
        <v>--</v>
      </c>
      <c r="F14" s="64">
        <f>IFERROR(VLOOKUP(E14,'LISTA ITEMS (2)'!$E$2:$G$910,2,FALSE)," ")</f>
        <v>0</v>
      </c>
      <c r="G14" s="79">
        <f>IFERROR(VLOOKUP(E14,'LISTA ITEMS (2)'!$E$2:$G$910,3,FALSE)," ")</f>
        <v>0</v>
      </c>
      <c r="H14" s="196"/>
      <c r="I14" s="12" t="s">
        <v>356</v>
      </c>
      <c r="J14" s="76"/>
      <c r="K14" s="72"/>
      <c r="L14" s="75">
        <f t="shared" si="1"/>
        <v>0</v>
      </c>
      <c r="M14" s="12"/>
    </row>
    <row r="15" spans="1:13" s="15" customFormat="1" ht="31.95" customHeight="1" x14ac:dyDescent="0.3">
      <c r="A15" s="12">
        <v>10</v>
      </c>
      <c r="B15" s="12"/>
      <c r="C15" s="12"/>
      <c r="D15" s="12"/>
      <c r="E15" s="12" t="str">
        <f t="shared" si="0"/>
        <v>--</v>
      </c>
      <c r="F15" s="64">
        <f>IFERROR(VLOOKUP(E15,'LISTA ITEMS (2)'!$E$2:$G$910,2,FALSE)," ")</f>
        <v>0</v>
      </c>
      <c r="G15" s="79">
        <f>IFERROR(VLOOKUP(E15,'LISTA ITEMS (2)'!$E$2:$G$910,3,FALSE)," ")</f>
        <v>0</v>
      </c>
      <c r="H15" s="196"/>
      <c r="I15" s="12" t="s">
        <v>356</v>
      </c>
      <c r="J15" s="76"/>
      <c r="K15" s="72"/>
      <c r="L15" s="75">
        <f t="shared" si="1"/>
        <v>0</v>
      </c>
      <c r="M15" s="12"/>
    </row>
    <row r="16" spans="1:13" s="15" customFormat="1" ht="31.95" customHeight="1" x14ac:dyDescent="0.3">
      <c r="A16" s="12">
        <v>11</v>
      </c>
      <c r="B16" s="12"/>
      <c r="C16" s="12"/>
      <c r="D16" s="12"/>
      <c r="E16" s="12" t="str">
        <f t="shared" si="0"/>
        <v>--</v>
      </c>
      <c r="F16" s="64">
        <f>IFERROR(VLOOKUP(E16,'LISTA ITEMS (2)'!$E$2:$G$910,2,FALSE)," ")</f>
        <v>0</v>
      </c>
      <c r="G16" s="79">
        <f>IFERROR(VLOOKUP(E16,'LISTA ITEMS (2)'!$E$2:$G$910,3,FALSE)," ")</f>
        <v>0</v>
      </c>
      <c r="H16" s="196"/>
      <c r="I16" s="12" t="s">
        <v>356</v>
      </c>
      <c r="J16" s="76"/>
      <c r="K16" s="72"/>
      <c r="L16" s="75">
        <f t="shared" si="1"/>
        <v>0</v>
      </c>
      <c r="M16" s="12"/>
    </row>
    <row r="17" spans="1:13" s="15" customFormat="1" ht="31.95" customHeight="1" x14ac:dyDescent="0.3">
      <c r="A17" s="12">
        <v>12</v>
      </c>
      <c r="B17" s="12"/>
      <c r="C17" s="12"/>
      <c r="D17" s="12"/>
      <c r="E17" s="12" t="str">
        <f t="shared" si="0"/>
        <v>--</v>
      </c>
      <c r="F17" s="64">
        <f>IFERROR(VLOOKUP(E17,'LISTA ITEMS (2)'!$E$2:$G$910,2,FALSE)," ")</f>
        <v>0</v>
      </c>
      <c r="G17" s="79">
        <f>IFERROR(VLOOKUP(E17,'LISTA ITEMS (2)'!$E$2:$G$910,3,FALSE)," ")</f>
        <v>0</v>
      </c>
      <c r="H17" s="196"/>
      <c r="I17" s="12" t="s">
        <v>356</v>
      </c>
      <c r="J17" s="76"/>
      <c r="K17" s="72"/>
      <c r="L17" s="75">
        <f t="shared" si="1"/>
        <v>0</v>
      </c>
      <c r="M17" s="12"/>
    </row>
    <row r="18" spans="1:13" s="15" customFormat="1" ht="31.95" customHeight="1" x14ac:dyDescent="0.3">
      <c r="A18" s="12">
        <v>13</v>
      </c>
      <c r="B18" s="12"/>
      <c r="C18" s="12"/>
      <c r="D18" s="12"/>
      <c r="E18" s="12" t="str">
        <f t="shared" si="0"/>
        <v>--</v>
      </c>
      <c r="F18" s="64">
        <f>IFERROR(VLOOKUP(E18,'LISTA ITEMS (2)'!$E$2:$G$910,2,FALSE)," ")</f>
        <v>0</v>
      </c>
      <c r="G18" s="79">
        <f>IFERROR(VLOOKUP(E18,'LISTA ITEMS (2)'!$E$2:$G$910,3,FALSE)," ")</f>
        <v>0</v>
      </c>
      <c r="H18" s="196"/>
      <c r="I18" s="12" t="s">
        <v>356</v>
      </c>
      <c r="J18" s="76"/>
      <c r="K18" s="72"/>
      <c r="L18" s="75">
        <f t="shared" si="1"/>
        <v>0</v>
      </c>
      <c r="M18" s="12"/>
    </row>
    <row r="19" spans="1:13" s="15" customFormat="1" ht="31.95" customHeight="1" x14ac:dyDescent="0.3">
      <c r="A19" s="12">
        <v>14</v>
      </c>
      <c r="B19" s="12"/>
      <c r="C19" s="12"/>
      <c r="D19" s="12"/>
      <c r="E19" s="12" t="str">
        <f t="shared" si="0"/>
        <v>--</v>
      </c>
      <c r="F19" s="64">
        <f>IFERROR(VLOOKUP(E19,'LISTA ITEMS (2)'!$E$2:$G$910,2,FALSE)," ")</f>
        <v>0</v>
      </c>
      <c r="G19" s="79">
        <f>IFERROR(VLOOKUP(E19,'LISTA ITEMS (2)'!$E$2:$G$910,3,FALSE)," ")</f>
        <v>0</v>
      </c>
      <c r="H19" s="196"/>
      <c r="I19" s="12" t="s">
        <v>356</v>
      </c>
      <c r="J19" s="76"/>
      <c r="K19" s="72"/>
      <c r="L19" s="75">
        <f t="shared" si="1"/>
        <v>0</v>
      </c>
      <c r="M19" s="12"/>
    </row>
    <row r="20" spans="1:13" s="15" customFormat="1" ht="31.95" customHeight="1" x14ac:dyDescent="0.3">
      <c r="A20" s="12">
        <v>15</v>
      </c>
      <c r="B20" s="12"/>
      <c r="C20" s="12"/>
      <c r="D20" s="12"/>
      <c r="E20" s="12" t="str">
        <f t="shared" si="0"/>
        <v>--</v>
      </c>
      <c r="F20" s="64">
        <f>IFERROR(VLOOKUP(E20,'LISTA ITEMS (2)'!$E$2:$G$910,2,FALSE)," ")</f>
        <v>0</v>
      </c>
      <c r="G20" s="79">
        <f>IFERROR(VLOOKUP(E20,'LISTA ITEMS (2)'!$E$2:$G$910,3,FALSE)," ")</f>
        <v>0</v>
      </c>
      <c r="H20" s="196"/>
      <c r="I20" s="12" t="s">
        <v>356</v>
      </c>
      <c r="J20" s="76"/>
      <c r="K20" s="72"/>
      <c r="L20" s="75">
        <f t="shared" si="1"/>
        <v>0</v>
      </c>
      <c r="M20" s="12"/>
    </row>
    <row r="21" spans="1:13" s="15" customFormat="1" ht="31.95" customHeight="1" x14ac:dyDescent="0.3">
      <c r="A21" s="12">
        <v>16</v>
      </c>
      <c r="B21" s="12"/>
      <c r="C21" s="12"/>
      <c r="D21" s="12"/>
      <c r="E21" s="12" t="str">
        <f t="shared" si="0"/>
        <v>--</v>
      </c>
      <c r="F21" s="64">
        <f>IFERROR(VLOOKUP(E21,'LISTA ITEMS (2)'!$E$2:$G$910,2,FALSE)," ")</f>
        <v>0</v>
      </c>
      <c r="G21" s="79">
        <f>IFERROR(VLOOKUP(E21,'LISTA ITEMS (2)'!$E$2:$G$910,3,FALSE)," ")</f>
        <v>0</v>
      </c>
      <c r="H21" s="196"/>
      <c r="I21" s="12" t="s">
        <v>356</v>
      </c>
      <c r="J21" s="76"/>
      <c r="K21" s="72"/>
      <c r="L21" s="75">
        <f t="shared" si="1"/>
        <v>0</v>
      </c>
      <c r="M21" s="12"/>
    </row>
    <row r="22" spans="1:13" s="15" customFormat="1" ht="31.95" customHeight="1" x14ac:dyDescent="0.3">
      <c r="A22" s="12">
        <v>17</v>
      </c>
      <c r="B22" s="12"/>
      <c r="C22" s="12"/>
      <c r="D22" s="12"/>
      <c r="E22" s="12" t="str">
        <f t="shared" si="0"/>
        <v>--</v>
      </c>
      <c r="F22" s="64">
        <f>IFERROR(VLOOKUP(E22,'LISTA ITEMS (2)'!$E$2:$G$910,2,FALSE)," ")</f>
        <v>0</v>
      </c>
      <c r="G22" s="79">
        <f>IFERROR(VLOOKUP(E22,'LISTA ITEMS (2)'!$E$2:$G$910,3,FALSE)," ")</f>
        <v>0</v>
      </c>
      <c r="H22" s="196"/>
      <c r="I22" s="12" t="s">
        <v>356</v>
      </c>
      <c r="J22" s="76"/>
      <c r="K22" s="72"/>
      <c r="L22" s="75">
        <f t="shared" si="1"/>
        <v>0</v>
      </c>
      <c r="M22" s="12"/>
    </row>
    <row r="23" spans="1:13" s="15" customFormat="1" ht="31.95" customHeight="1" x14ac:dyDescent="0.3">
      <c r="A23" s="12">
        <v>18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196"/>
      <c r="I23" s="12" t="s">
        <v>356</v>
      </c>
      <c r="J23" s="76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19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196"/>
      <c r="I24" s="12" t="s">
        <v>356</v>
      </c>
      <c r="J24" s="76"/>
      <c r="K24" s="72"/>
      <c r="L24" s="75">
        <f t="shared" si="1"/>
        <v>0</v>
      </c>
      <c r="M24" s="12"/>
    </row>
    <row r="25" spans="1:13" ht="2.4" customHeight="1" x14ac:dyDescent="0.3"/>
    <row r="26" spans="1:13" ht="69.599999999999994" customHeight="1" x14ac:dyDescent="0.3">
      <c r="A26" s="305" t="s">
        <v>686</v>
      </c>
      <c r="B26" s="306"/>
      <c r="C26" s="306"/>
      <c r="D26" s="306"/>
      <c r="E26" s="306"/>
      <c r="F26" s="306"/>
      <c r="G26" s="306"/>
      <c r="H26" s="306"/>
      <c r="I26" s="307"/>
    </row>
  </sheetData>
  <mergeCells count="13">
    <mergeCell ref="A26:I2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7B2-96EE-425B-95C2-EFC54FA63F45}">
  <sheetPr>
    <tabColor rgb="FF92D050"/>
  </sheetPr>
  <dimension ref="A1:M927"/>
  <sheetViews>
    <sheetView zoomScale="85" zoomScaleNormal="85" workbookViewId="0">
      <pane ySplit="5" topLeftCell="A6" activePane="bottomLeft" state="frozen"/>
      <selection activeCell="R483" sqref="R483"/>
      <selection pane="bottomLeft" activeCell="H10" sqref="H10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30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817</v>
      </c>
      <c r="D2" s="283"/>
      <c r="E2" s="283"/>
      <c r="F2" s="291"/>
      <c r="G2" s="292" t="s">
        <v>355</v>
      </c>
      <c r="H2" s="290"/>
      <c r="I2" s="62">
        <v>30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5" t="s">
        <v>818</v>
      </c>
      <c r="D3" s="316"/>
      <c r="E3" s="68"/>
      <c r="F3" s="61" t="s">
        <v>353</v>
      </c>
      <c r="G3" s="295" t="s">
        <v>369</v>
      </c>
      <c r="H3" s="296"/>
      <c r="I3" s="127">
        <v>46079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816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3</v>
      </c>
      <c r="B6" s="12">
        <v>10</v>
      </c>
      <c r="C6" s="12">
        <v>15</v>
      </c>
      <c r="D6" s="12">
        <v>269</v>
      </c>
      <c r="E6" s="12" t="str">
        <f t="shared" ref="E6:E39" si="0">CONCATENATE(B6,"-",C6,"-",D6)</f>
        <v>10-15-269</v>
      </c>
      <c r="F6" s="64" t="str">
        <f>IFERROR(VLOOKUP(E6,'LISTA ITEMS (2)'!$E$2:$G$910,2,FALSE)," ")</f>
        <v>BARRA ALUMINIO PARA ESTRUCTURA  3.60mt</v>
      </c>
      <c r="G6" s="79" t="str">
        <f>IFERROR(VLOOKUP(E6,'LISTA ITEMS (2)'!$E$2:$G$910,3,FALSE)," ")</f>
        <v>UND</v>
      </c>
      <c r="H6" s="196">
        <v>3</v>
      </c>
      <c r="I6" s="12" t="s">
        <v>356</v>
      </c>
      <c r="J6" s="76"/>
      <c r="K6" s="72"/>
      <c r="L6" s="75">
        <f t="shared" ref="L6:L39" si="1">+H6-K6</f>
        <v>3</v>
      </c>
      <c r="M6" s="12"/>
    </row>
    <row r="7" spans="1:13" s="15" customFormat="1" ht="31.95" customHeight="1" x14ac:dyDescent="0.3">
      <c r="A7" s="12">
        <v>4</v>
      </c>
      <c r="B7" s="12">
        <v>10</v>
      </c>
      <c r="C7" s="12">
        <v>37</v>
      </c>
      <c r="D7" s="12">
        <v>330</v>
      </c>
      <c r="E7" s="12" t="str">
        <f t="shared" si="0"/>
        <v>10-37-330</v>
      </c>
      <c r="F7" s="64" t="str">
        <f>IFERROR(VLOOKUP(E7,'LISTA ITEMS (2)'!$E$2:$G$910,2,FALSE)," ")</f>
        <v>SOPORTE EN L ALUMINIO GRIS</v>
      </c>
      <c r="G7" s="79" t="str">
        <f>IFERROR(VLOOKUP(E7,'LISTA ITEMS (2)'!$E$2:$G$910,3,FALSE)," ")</f>
        <v>UND</v>
      </c>
      <c r="H7" s="196">
        <v>24</v>
      </c>
      <c r="I7" s="12" t="s">
        <v>356</v>
      </c>
      <c r="J7" s="76">
        <v>46080</v>
      </c>
      <c r="K7" s="72">
        <v>2</v>
      </c>
      <c r="L7" s="75">
        <f t="shared" si="1"/>
        <v>22</v>
      </c>
      <c r="M7" s="12"/>
    </row>
    <row r="8" spans="1:13" s="15" customFormat="1" ht="31.95" customHeight="1" x14ac:dyDescent="0.3">
      <c r="A8" s="12">
        <v>5</v>
      </c>
      <c r="B8" s="12">
        <v>10</v>
      </c>
      <c r="C8" s="12">
        <v>37</v>
      </c>
      <c r="D8" s="12">
        <v>232</v>
      </c>
      <c r="E8" s="12" t="str">
        <f t="shared" si="0"/>
        <v>10-37-232</v>
      </c>
      <c r="F8" s="64" t="str">
        <f>IFERROR(VLOOKUP(E8,'LISTA ITEMS (2)'!$E$2:$G$910,2,FALSE)," ")</f>
        <v>SOPORTE CENTRAL NEGRO</v>
      </c>
      <c r="G8" s="79" t="str">
        <f>IFERROR(VLOOKUP(E8,'LISTA ITEMS (2)'!$E$2:$G$910,3,FALSE)," ")</f>
        <v>UND</v>
      </c>
      <c r="H8" s="196">
        <v>38</v>
      </c>
      <c r="I8" s="12" t="s">
        <v>356</v>
      </c>
      <c r="J8" s="76">
        <v>46080</v>
      </c>
      <c r="K8" s="72">
        <v>18</v>
      </c>
      <c r="L8" s="75">
        <f t="shared" si="1"/>
        <v>20</v>
      </c>
      <c r="M8" s="3"/>
    </row>
    <row r="9" spans="1:13" s="15" customFormat="1" ht="31.95" customHeight="1" x14ac:dyDescent="0.3">
      <c r="A9" s="12">
        <v>6</v>
      </c>
      <c r="B9" s="12">
        <v>10</v>
      </c>
      <c r="C9" s="12">
        <v>37</v>
      </c>
      <c r="D9" s="12">
        <v>315</v>
      </c>
      <c r="E9" s="12" t="str">
        <f t="shared" si="0"/>
        <v>10-37-315</v>
      </c>
      <c r="F9" s="64" t="str">
        <f>IFERROR(VLOOKUP(E9,'LISTA ITEMS (2)'!$E$2:$G$910,2,FALSE)," ")</f>
        <v>SOPORTE FINAL NEGRO</v>
      </c>
      <c r="G9" s="79" t="str">
        <f>IFERROR(VLOOKUP(E9,'LISTA ITEMS (2)'!$E$2:$G$910,3,FALSE)," ")</f>
        <v>UND</v>
      </c>
      <c r="H9" s="196">
        <v>20</v>
      </c>
      <c r="I9" s="12" t="s">
        <v>356</v>
      </c>
      <c r="J9" s="76">
        <v>46080</v>
      </c>
      <c r="K9" s="72">
        <v>2</v>
      </c>
      <c r="L9" s="75">
        <f t="shared" si="1"/>
        <v>18</v>
      </c>
      <c r="M9" s="12"/>
    </row>
    <row r="10" spans="1:13" s="15" customFormat="1" ht="31.95" customHeight="1" x14ac:dyDescent="0.3">
      <c r="A10" s="12">
        <v>7</v>
      </c>
      <c r="B10" s="12">
        <v>10</v>
      </c>
      <c r="C10" s="12">
        <v>43</v>
      </c>
      <c r="D10" s="12">
        <v>270</v>
      </c>
      <c r="E10" s="12" t="str">
        <f t="shared" si="0"/>
        <v>10-43-270</v>
      </c>
      <c r="F10" s="64" t="str">
        <f>IFERROR(VLOOKUP(E10,'LISTA ITEMS (2)'!$E$2:$G$910,2,FALSE)," ")</f>
        <v>EMPALME ALUMINIO P/BARRA</v>
      </c>
      <c r="G10" s="79" t="str">
        <f>IFERROR(VLOOKUP(E10,'LISTA ITEMS (2)'!$E$2:$G$910,3,FALSE)," ")</f>
        <v>UND</v>
      </c>
      <c r="H10" s="196">
        <v>8</v>
      </c>
      <c r="I10" s="12" t="s">
        <v>356</v>
      </c>
      <c r="J10" s="76">
        <v>46080</v>
      </c>
      <c r="K10" s="72">
        <v>2</v>
      </c>
      <c r="L10" s="75">
        <f t="shared" si="1"/>
        <v>6</v>
      </c>
      <c r="M10" s="12"/>
    </row>
    <row r="11" spans="1:13" s="15" customFormat="1" ht="31.95" customHeight="1" x14ac:dyDescent="0.3">
      <c r="A11" s="12">
        <v>8</v>
      </c>
      <c r="B11" s="12">
        <v>16</v>
      </c>
      <c r="C11" s="12">
        <v>45</v>
      </c>
      <c r="D11" s="12">
        <v>294</v>
      </c>
      <c r="E11" s="12" t="str">
        <f t="shared" si="0"/>
        <v>16-45-294</v>
      </c>
      <c r="F11" s="64" t="str">
        <f>IFERROR(VLOOKUP(E11,'LISTA ITEMS (2)'!$E$2:$G$910,2,FALSE)," ")</f>
        <v>CAJA DE ESTANCA 133X180X80 EV161 (IDE)</v>
      </c>
      <c r="G11" s="79" t="str">
        <f>IFERROR(VLOOKUP(E11,'LISTA ITEMS (2)'!$E$2:$G$910,3,FALSE)," ")</f>
        <v>UND</v>
      </c>
      <c r="H11" s="196">
        <v>2</v>
      </c>
      <c r="I11" s="12" t="s">
        <v>356</v>
      </c>
      <c r="J11" s="76"/>
      <c r="K11" s="72"/>
      <c r="L11" s="75">
        <f t="shared" si="1"/>
        <v>2</v>
      </c>
      <c r="M11" s="194"/>
    </row>
    <row r="12" spans="1:13" s="15" customFormat="1" ht="31.95" customHeight="1" x14ac:dyDescent="0.3">
      <c r="A12" s="12">
        <v>9</v>
      </c>
      <c r="B12" s="12">
        <v>17</v>
      </c>
      <c r="C12" s="12">
        <v>44</v>
      </c>
      <c r="D12" s="12">
        <v>271</v>
      </c>
      <c r="E12" s="12" t="str">
        <f t="shared" si="0"/>
        <v>17-44-271</v>
      </c>
      <c r="F12" s="64" t="str">
        <f>IFERROR(VLOOKUP(E12,'LISTA ITEMS (2)'!$E$2:$G$910,2,FALSE)," ")</f>
        <v>SELLANTE QUIMICO BLANCO</v>
      </c>
      <c r="G12" s="79" t="str">
        <f>IFERROR(VLOOKUP(E12,'LISTA ITEMS (2)'!$E$2:$G$910,3,FALSE)," ")</f>
        <v>UND</v>
      </c>
      <c r="H12" s="196">
        <v>2</v>
      </c>
      <c r="I12" s="12" t="s">
        <v>356</v>
      </c>
      <c r="J12" s="76"/>
      <c r="K12" s="72"/>
      <c r="L12" s="75">
        <f t="shared" si="1"/>
        <v>2</v>
      </c>
      <c r="M12" s="12"/>
    </row>
    <row r="13" spans="1:13" s="15" customFormat="1" ht="31.95" customHeight="1" x14ac:dyDescent="0.3">
      <c r="A13" s="12">
        <v>10</v>
      </c>
      <c r="B13" s="12">
        <v>17</v>
      </c>
      <c r="C13" s="12">
        <v>44</v>
      </c>
      <c r="D13" s="12">
        <v>272</v>
      </c>
      <c r="E13" s="12" t="str">
        <f t="shared" si="0"/>
        <v>17-44-272</v>
      </c>
      <c r="F13" s="64" t="str">
        <f>IFERROR(VLOOKUP(E13,'LISTA ITEMS (2)'!$E$2:$G$910,2,FALSE)," ")</f>
        <v>SELLANTE QUIMICO GRIS</v>
      </c>
      <c r="G13" s="79" t="str">
        <f>IFERROR(VLOOKUP(E13,'LISTA ITEMS (2)'!$E$2:$G$910,3,FALSE)," ")</f>
        <v>UND</v>
      </c>
      <c r="H13" s="196">
        <v>2</v>
      </c>
      <c r="I13" s="12" t="s">
        <v>356</v>
      </c>
      <c r="J13" s="76"/>
      <c r="K13" s="72"/>
      <c r="L13" s="75">
        <f t="shared" si="1"/>
        <v>2</v>
      </c>
      <c r="M13" s="12"/>
    </row>
    <row r="14" spans="1:13" s="15" customFormat="1" ht="31.95" customHeight="1" x14ac:dyDescent="0.3">
      <c r="A14" s="12">
        <v>11</v>
      </c>
      <c r="B14" s="12">
        <v>13</v>
      </c>
      <c r="C14" s="12">
        <v>21</v>
      </c>
      <c r="D14" s="12">
        <v>181</v>
      </c>
      <c r="E14" s="12" t="str">
        <f t="shared" si="0"/>
        <v>13-21-181</v>
      </c>
      <c r="F14" s="64" t="str">
        <f>IFERROR(VLOOKUP(E14,'LISTA ITEMS (2)'!$E$2:$G$910,2,FALSE)," ")</f>
        <v>TACO P/BRIDA NEGRO</v>
      </c>
      <c r="G14" s="79" t="str">
        <f>IFERROR(VLOOKUP(E14,'LISTA ITEMS (2)'!$E$2:$G$910,3,FALSE)," ")</f>
        <v>UND</v>
      </c>
      <c r="H14" s="196">
        <v>100</v>
      </c>
      <c r="I14" s="12" t="s">
        <v>356</v>
      </c>
      <c r="J14" s="76">
        <v>46080</v>
      </c>
      <c r="K14" s="72">
        <v>50</v>
      </c>
      <c r="L14" s="75">
        <f t="shared" si="1"/>
        <v>50</v>
      </c>
      <c r="M14" s="12"/>
    </row>
    <row r="15" spans="1:13" s="15" customFormat="1" ht="31.95" customHeight="1" x14ac:dyDescent="0.3">
      <c r="A15" s="12">
        <v>12</v>
      </c>
      <c r="B15" s="12">
        <v>13</v>
      </c>
      <c r="C15" s="12">
        <v>22</v>
      </c>
      <c r="D15" s="12">
        <v>184</v>
      </c>
      <c r="E15" s="12" t="str">
        <f t="shared" si="0"/>
        <v>13-22-184</v>
      </c>
      <c r="F15" s="64" t="str">
        <f>IFERROR(VLOOKUP(E15,'LISTA ITEMS (2)'!$E$2:$G$910,2,FALSE)," ")</f>
        <v>BRIDA P/EXTERIOR NEGRA</v>
      </c>
      <c r="G15" s="79" t="str">
        <f>IFERROR(VLOOKUP(E15,'LISTA ITEMS (2)'!$E$2:$G$910,3,FALSE)," ")</f>
        <v>UND</v>
      </c>
      <c r="H15" s="196">
        <v>100</v>
      </c>
      <c r="I15" s="12" t="s">
        <v>356</v>
      </c>
      <c r="J15" s="76">
        <v>46080</v>
      </c>
      <c r="K15" s="72">
        <v>50</v>
      </c>
      <c r="L15" s="75">
        <f t="shared" si="1"/>
        <v>50</v>
      </c>
      <c r="M15" s="12"/>
    </row>
    <row r="16" spans="1:13" s="15" customFormat="1" ht="31.95" customHeight="1" x14ac:dyDescent="0.3">
      <c r="A16" s="12">
        <v>13</v>
      </c>
      <c r="B16" s="12">
        <v>6</v>
      </c>
      <c r="C16" s="12">
        <v>23</v>
      </c>
      <c r="D16" s="12">
        <v>192</v>
      </c>
      <c r="E16" s="12" t="str">
        <f t="shared" si="0"/>
        <v>6-23-192</v>
      </c>
      <c r="F16" s="64" t="str">
        <f>IFERROR(VLOOKUP(E16,'LISTA ITEMS (2)'!$E$2:$G$910,2,FALSE)," ")</f>
        <v xml:space="preserve">CINTA ACERO PERFORADA PARA MONTAJE </v>
      </c>
      <c r="G16" s="79" t="str">
        <f>IFERROR(VLOOKUP(E16,'LISTA ITEMS (2)'!$E$2:$G$910,3,FALSE)," ")</f>
        <v>UND</v>
      </c>
      <c r="H16" s="196">
        <v>1</v>
      </c>
      <c r="I16" s="12" t="s">
        <v>356</v>
      </c>
      <c r="J16" s="76"/>
      <c r="K16" s="72"/>
      <c r="L16" s="75">
        <f t="shared" si="1"/>
        <v>1</v>
      </c>
      <c r="M16" s="85"/>
    </row>
    <row r="17" spans="1:13" s="15" customFormat="1" ht="31.95" customHeight="1" x14ac:dyDescent="0.3">
      <c r="A17" s="12">
        <v>14</v>
      </c>
      <c r="B17" s="12">
        <v>16</v>
      </c>
      <c r="C17" s="12">
        <v>61</v>
      </c>
      <c r="D17" s="12">
        <v>331</v>
      </c>
      <c r="E17" s="12" t="str">
        <f t="shared" si="0"/>
        <v>16-61-331</v>
      </c>
      <c r="F17" s="64" t="str">
        <f>IFERROR(VLOOKUP(E17,'LISTA ITEMS (2)'!$E$2:$G$910,2,FALSE)," ")</f>
        <v>CONECTOR FOTOVOLTAICO HEMBRA M4 NEGRO</v>
      </c>
      <c r="G17" s="79" t="str">
        <f>IFERROR(VLOOKUP(E17,'LISTA ITEMS (2)'!$E$2:$G$910,3,FALSE)," ")</f>
        <v>UND</v>
      </c>
      <c r="H17" s="196">
        <v>7</v>
      </c>
      <c r="I17" s="12" t="s">
        <v>356</v>
      </c>
      <c r="J17" s="76">
        <v>46080</v>
      </c>
      <c r="K17" s="72">
        <v>2</v>
      </c>
      <c r="L17" s="75">
        <f t="shared" si="1"/>
        <v>5</v>
      </c>
      <c r="M17" s="12"/>
    </row>
    <row r="18" spans="1:13" s="15" customFormat="1" ht="31.95" customHeight="1" x14ac:dyDescent="0.3">
      <c r="A18" s="12">
        <v>15</v>
      </c>
      <c r="B18" s="12">
        <v>16</v>
      </c>
      <c r="C18" s="12">
        <v>61</v>
      </c>
      <c r="D18" s="12">
        <v>332</v>
      </c>
      <c r="E18" s="12" t="str">
        <f t="shared" si="0"/>
        <v>16-61-332</v>
      </c>
      <c r="F18" s="64" t="str">
        <f>IFERROR(VLOOKUP(E18,'LISTA ITEMS (2)'!$E$2:$G$910,2,FALSE)," ")</f>
        <v>CONECTOR FOTOVOLTAICO MACHO M4 NEGRO</v>
      </c>
      <c r="G18" s="79" t="str">
        <f>IFERROR(VLOOKUP(E18,'LISTA ITEMS (2)'!$E$2:$G$910,3,FALSE)," ")</f>
        <v>UND</v>
      </c>
      <c r="H18" s="196">
        <v>7</v>
      </c>
      <c r="I18" s="12" t="s">
        <v>356</v>
      </c>
      <c r="J18" s="76">
        <v>46080</v>
      </c>
      <c r="K18" s="72">
        <v>2</v>
      </c>
      <c r="L18" s="75">
        <f t="shared" si="1"/>
        <v>5</v>
      </c>
      <c r="M18" s="12"/>
    </row>
    <row r="19" spans="1:13" s="15" customFormat="1" ht="31.95" customHeight="1" x14ac:dyDescent="0.3">
      <c r="A19" s="12">
        <v>14</v>
      </c>
      <c r="B19" s="12">
        <v>14</v>
      </c>
      <c r="C19" s="12">
        <v>24</v>
      </c>
      <c r="D19" s="12">
        <v>193</v>
      </c>
      <c r="E19" s="12" t="str">
        <f t="shared" si="0"/>
        <v>14-24-193</v>
      </c>
      <c r="F19" s="64" t="str">
        <f>IFERROR(VLOOKUP(E19,'LISTA ITEMS (2)'!$E$2:$G$910,2,FALSE)," ")</f>
        <v>DISCO CORTE ACERO/INOX A1 2EN1</v>
      </c>
      <c r="G19" s="79" t="str">
        <f>IFERROR(VLOOKUP(E19,'LISTA ITEMS (2)'!$E$2:$G$910,3,FALSE)," ")</f>
        <v>UND</v>
      </c>
      <c r="H19" s="196">
        <v>2</v>
      </c>
      <c r="I19" s="12" t="s">
        <v>356</v>
      </c>
      <c r="J19" s="76"/>
      <c r="K19" s="72"/>
      <c r="L19" s="75">
        <f t="shared" si="1"/>
        <v>2</v>
      </c>
      <c r="M19" s="12"/>
    </row>
    <row r="20" spans="1:13" s="15" customFormat="1" ht="31.95" customHeight="1" x14ac:dyDescent="0.3">
      <c r="A20" s="12">
        <v>14</v>
      </c>
      <c r="B20" s="12">
        <v>10</v>
      </c>
      <c r="C20" s="12">
        <v>42</v>
      </c>
      <c r="D20" s="12">
        <v>268</v>
      </c>
      <c r="E20" s="12" t="str">
        <f t="shared" si="0"/>
        <v>10-42-268</v>
      </c>
      <c r="F20" s="64" t="str">
        <f>IFERROR(VLOOKUP(E20,'LISTA ITEMS (2)'!$E$2:$G$910,2,FALSE)," ")</f>
        <v>PATA ALUMINIO PARA ESTRUCTURA PLACA SOLAR ANGULO 30º</v>
      </c>
      <c r="G20" s="79" t="str">
        <f>IFERROR(VLOOKUP(E20,'LISTA ITEMS (2)'!$E$2:$G$910,3,FALSE)," ")</f>
        <v>UND</v>
      </c>
      <c r="H20" s="196">
        <v>3</v>
      </c>
      <c r="I20" s="12" t="s">
        <v>356</v>
      </c>
      <c r="J20" s="76"/>
      <c r="K20" s="72"/>
      <c r="L20" s="75">
        <f t="shared" si="1"/>
        <v>3</v>
      </c>
      <c r="M20" s="12"/>
    </row>
    <row r="21" spans="1:13" s="15" customFormat="1" ht="31.95" customHeight="1" x14ac:dyDescent="0.3">
      <c r="A21" s="12">
        <v>15</v>
      </c>
      <c r="B21" s="12">
        <v>3</v>
      </c>
      <c r="C21" s="12">
        <v>31</v>
      </c>
      <c r="D21" s="12">
        <v>277</v>
      </c>
      <c r="E21" s="12" t="str">
        <f t="shared" si="0"/>
        <v>3-31-277</v>
      </c>
      <c r="F21" s="64" t="str">
        <f>IFERROR(VLOOKUP(E21,'LISTA ITEMS (2)'!$E$2:$G$910,2,FALSE)," ")</f>
        <v>CABLE Nª 6 P/PLACA SOLAR NEGRO</v>
      </c>
      <c r="G21" s="79" t="str">
        <f>IFERROR(VLOOKUP(E21,'LISTA ITEMS (2)'!$E$2:$G$910,3,FALSE)," ")</f>
        <v>MT</v>
      </c>
      <c r="H21" s="196">
        <v>20</v>
      </c>
      <c r="I21" s="12" t="s">
        <v>356</v>
      </c>
      <c r="J21" s="76"/>
      <c r="K21" s="72"/>
      <c r="L21" s="75">
        <f t="shared" si="1"/>
        <v>20</v>
      </c>
      <c r="M21" s="12"/>
    </row>
    <row r="22" spans="1:13" s="15" customFormat="1" ht="31.95" customHeight="1" x14ac:dyDescent="0.3">
      <c r="A22" s="12">
        <v>14</v>
      </c>
      <c r="B22" s="12">
        <v>3</v>
      </c>
      <c r="C22" s="12">
        <v>31</v>
      </c>
      <c r="D22" s="12">
        <v>278</v>
      </c>
      <c r="E22" s="12" t="str">
        <f t="shared" si="0"/>
        <v>3-31-278</v>
      </c>
      <c r="F22" s="64" t="str">
        <f>IFERROR(VLOOKUP(E22,'LISTA ITEMS (2)'!$E$2:$G$910,2,FALSE)," ")</f>
        <v>CABLE Nª 6 P/PLACA SOLAR ROJO</v>
      </c>
      <c r="G22" s="79" t="str">
        <f>IFERROR(VLOOKUP(E22,'LISTA ITEMS (2)'!$E$2:$G$910,3,FALSE)," ")</f>
        <v>MT</v>
      </c>
      <c r="H22" s="196">
        <v>20</v>
      </c>
      <c r="I22" s="12" t="s">
        <v>356</v>
      </c>
      <c r="J22" s="76"/>
      <c r="K22" s="72"/>
      <c r="L22" s="75">
        <f t="shared" si="1"/>
        <v>20</v>
      </c>
      <c r="M22" s="12"/>
    </row>
    <row r="23" spans="1:13" s="15" customFormat="1" ht="31.95" customHeight="1" x14ac:dyDescent="0.3">
      <c r="A23" s="12">
        <v>14</v>
      </c>
      <c r="B23" s="12">
        <v>9</v>
      </c>
      <c r="C23" s="12">
        <v>2</v>
      </c>
      <c r="D23" s="12">
        <v>291</v>
      </c>
      <c r="E23" s="12" t="str">
        <f t="shared" si="0"/>
        <v>9-2-291</v>
      </c>
      <c r="F23" s="64" t="str">
        <f>IFERROR(VLOOKUP(E23,'LISTA ITEMS (2)'!$E$2:$G$910,2,FALSE)," ")</f>
        <v>TUBO ELECTRICO PVC 25mm - 3mt(AISCAN)</v>
      </c>
      <c r="G23" s="79" t="str">
        <f>IFERROR(VLOOKUP(E23,'LISTA ITEMS (2)'!$E$2:$G$910,3,FALSE)," ")</f>
        <v>UND</v>
      </c>
      <c r="H23" s="196">
        <v>5</v>
      </c>
      <c r="I23" s="12" t="s">
        <v>356</v>
      </c>
      <c r="J23" s="76"/>
      <c r="K23" s="72"/>
      <c r="L23" s="75">
        <f t="shared" si="1"/>
        <v>5</v>
      </c>
      <c r="M23" s="12"/>
    </row>
    <row r="24" spans="1:13" s="15" customFormat="1" ht="31.95" customHeight="1" x14ac:dyDescent="0.3">
      <c r="A24" s="12">
        <v>15</v>
      </c>
      <c r="B24" s="12">
        <v>4</v>
      </c>
      <c r="C24" s="12">
        <v>15</v>
      </c>
      <c r="D24" s="12">
        <v>326</v>
      </c>
      <c r="E24" s="12" t="str">
        <f t="shared" si="0"/>
        <v>4-15-326</v>
      </c>
      <c r="F24" s="64" t="str">
        <f>IFERROR(VLOOKUP(E24,'LISTA ITEMS (2)'!$E$2:$G$910,2,FALSE)," ")</f>
        <v>BARRA PERFORADA PARA REFUERZO 27x18x2MT GALV.</v>
      </c>
      <c r="G24" s="79" t="str">
        <f>IFERROR(VLOOKUP(E24,'LISTA ITEMS (2)'!$E$2:$G$910,3,FALSE)," ")</f>
        <v>UND</v>
      </c>
      <c r="H24" s="196">
        <v>24</v>
      </c>
      <c r="I24" s="12" t="s">
        <v>356</v>
      </c>
      <c r="J24" s="76">
        <v>46080</v>
      </c>
      <c r="K24" s="72">
        <v>6</v>
      </c>
      <c r="L24" s="75">
        <f t="shared" si="1"/>
        <v>18</v>
      </c>
      <c r="M24" s="12"/>
    </row>
    <row r="25" spans="1:13" s="15" customFormat="1" ht="31.95" customHeight="1" x14ac:dyDescent="0.3">
      <c r="A25" s="12">
        <v>14</v>
      </c>
      <c r="B25" s="12">
        <v>8</v>
      </c>
      <c r="C25" s="12">
        <v>64</v>
      </c>
      <c r="D25" s="12">
        <v>358</v>
      </c>
      <c r="E25" s="12" t="str">
        <f t="shared" si="0"/>
        <v>8-64-358</v>
      </c>
      <c r="F25" s="64" t="str">
        <f>IFERROR(VLOOKUP(E25,'LISTA ITEMS (2)'!$E$2:$G$910,2,FALSE)," ")</f>
        <v>BARILLA ROSCADA M8 A/GALV X1000</v>
      </c>
      <c r="G25" s="79" t="str">
        <f>IFERROR(VLOOKUP(E25,'LISTA ITEMS (2)'!$E$2:$G$910,3,FALSE)," ")</f>
        <v>UND</v>
      </c>
      <c r="H25" s="196">
        <v>6</v>
      </c>
      <c r="I25" s="12" t="s">
        <v>356</v>
      </c>
      <c r="J25" s="76">
        <v>46080</v>
      </c>
      <c r="K25" s="72">
        <v>2</v>
      </c>
      <c r="L25" s="75">
        <f t="shared" si="1"/>
        <v>4</v>
      </c>
      <c r="M25" s="12"/>
    </row>
    <row r="26" spans="1:13" s="15" customFormat="1" ht="31.95" customHeight="1" x14ac:dyDescent="0.3">
      <c r="A26" s="12">
        <v>14</v>
      </c>
      <c r="B26" s="12">
        <v>9</v>
      </c>
      <c r="C26" s="12">
        <v>32</v>
      </c>
      <c r="D26" s="12">
        <v>224</v>
      </c>
      <c r="E26" s="12" t="str">
        <f t="shared" si="0"/>
        <v>9-32-224</v>
      </c>
      <c r="F26" s="64" t="str">
        <f>IFERROR(VLOOKUP(E26,'LISTA ITEMS (2)'!$E$2:$G$910,2,FALSE)," ")</f>
        <v>CURVA PVC M-25 GRIS TIPO B</v>
      </c>
      <c r="G26" s="79" t="str">
        <f>IFERROR(VLOOKUP(E26,'LISTA ITEMS (2)'!$E$2:$G$910,3,FALSE)," ")</f>
        <v>UND</v>
      </c>
      <c r="H26" s="196">
        <v>20</v>
      </c>
      <c r="I26" s="12" t="s">
        <v>356</v>
      </c>
      <c r="J26" s="76">
        <v>46080</v>
      </c>
      <c r="K26" s="72">
        <v>10</v>
      </c>
      <c r="L26" s="75">
        <f t="shared" si="1"/>
        <v>10</v>
      </c>
      <c r="M26" s="12"/>
    </row>
    <row r="27" spans="1:13" s="15" customFormat="1" ht="31.95" customHeight="1" x14ac:dyDescent="0.3">
      <c r="A27" s="12">
        <v>15</v>
      </c>
      <c r="B27" s="12">
        <v>16</v>
      </c>
      <c r="C27" s="12">
        <v>48</v>
      </c>
      <c r="D27" s="12">
        <v>281</v>
      </c>
      <c r="E27" s="12" t="str">
        <f t="shared" si="0"/>
        <v>16-48-281</v>
      </c>
      <c r="F27" s="64" t="str">
        <f>IFERROR(VLOOKUP(E27,'LISTA ITEMS (2)'!$E$2:$G$910,2,FALSE)," ")</f>
        <v>PORTA FUSIBLE SGF-32-DC (MAXGE)</v>
      </c>
      <c r="G27" s="79" t="str">
        <f>IFERROR(VLOOKUP(E27,'LISTA ITEMS (2)'!$E$2:$G$910,3,FALSE)," ")</f>
        <v>UND</v>
      </c>
      <c r="H27" s="196">
        <v>2</v>
      </c>
      <c r="I27" s="12" t="s">
        <v>356</v>
      </c>
      <c r="J27" s="76"/>
      <c r="K27" s="72"/>
      <c r="L27" s="75">
        <f t="shared" si="1"/>
        <v>2</v>
      </c>
      <c r="M27" s="12"/>
    </row>
    <row r="28" spans="1:13" s="15" customFormat="1" ht="31.95" customHeight="1" x14ac:dyDescent="0.3">
      <c r="A28" s="12">
        <v>14</v>
      </c>
      <c r="B28" s="12">
        <v>16</v>
      </c>
      <c r="C28" s="12">
        <v>47</v>
      </c>
      <c r="D28" s="12">
        <v>318</v>
      </c>
      <c r="E28" s="12" t="str">
        <f t="shared" si="0"/>
        <v>16-47-318</v>
      </c>
      <c r="F28" s="64" t="str">
        <f>IFERROR(VLOOKUP(E28,'LISTA ITEMS (2)'!$E$2:$G$910,2,FALSE)," ")</f>
        <v>DIFERENCIAL EPR2A040030 2P-40A-30mA (MAXGE)</v>
      </c>
      <c r="G28" s="79" t="str">
        <f>IFERROR(VLOOKUP(E28,'LISTA ITEMS (2)'!$E$2:$G$910,3,FALSE)," ")</f>
        <v>UND</v>
      </c>
      <c r="H28" s="196">
        <v>1</v>
      </c>
      <c r="I28" s="12" t="s">
        <v>356</v>
      </c>
      <c r="J28" s="76"/>
      <c r="K28" s="72"/>
      <c r="L28" s="75">
        <f t="shared" si="1"/>
        <v>1</v>
      </c>
      <c r="M28" s="12"/>
    </row>
    <row r="29" spans="1:13" s="15" customFormat="1" ht="31.95" customHeight="1" x14ac:dyDescent="0.3">
      <c r="A29" s="12">
        <v>14</v>
      </c>
      <c r="B29" s="12">
        <v>16</v>
      </c>
      <c r="C29" s="12">
        <v>52</v>
      </c>
      <c r="D29" s="12">
        <v>319</v>
      </c>
      <c r="E29" s="12" t="str">
        <f t="shared" si="0"/>
        <v>16-52-319</v>
      </c>
      <c r="F29" s="64" t="str">
        <f>IFERROR(VLOOKUP(E29,'LISTA ITEMS (2)'!$E$2:$G$910,2,FALSE)," ")</f>
        <v>TERMICO EPBE63M1NC25 1P+N C25 (MAXGE)</v>
      </c>
      <c r="G29" s="79" t="str">
        <f>IFERROR(VLOOKUP(E29,'LISTA ITEMS (2)'!$E$2:$G$910,3,FALSE)," ")</f>
        <v>UND</v>
      </c>
      <c r="H29" s="196">
        <v>1</v>
      </c>
      <c r="I29" s="12" t="s">
        <v>356</v>
      </c>
      <c r="J29" s="76"/>
      <c r="K29" s="72"/>
      <c r="L29" s="75">
        <f t="shared" si="1"/>
        <v>1</v>
      </c>
      <c r="M29" s="12"/>
    </row>
    <row r="30" spans="1:13" s="15" customFormat="1" ht="31.95" customHeight="1" x14ac:dyDescent="0.3">
      <c r="A30" s="12">
        <v>15</v>
      </c>
      <c r="B30" s="12">
        <v>16</v>
      </c>
      <c r="C30" s="12">
        <v>51</v>
      </c>
      <c r="D30" s="12">
        <v>309</v>
      </c>
      <c r="E30" s="12" t="str">
        <f t="shared" si="0"/>
        <v>16-51-309</v>
      </c>
      <c r="F30" s="64" t="str">
        <f>IFERROR(VLOOKUP(E30,'LISTA ITEMS (2)'!$E$2:$G$910,2,FALSE)," ")</f>
        <v>LIMITADOR MONOFASICO EPS1 C/2 - 275-40 (MAXGE)</v>
      </c>
      <c r="G30" s="79" t="str">
        <f>IFERROR(VLOOKUP(E30,'LISTA ITEMS (2)'!$E$2:$G$910,3,FALSE)," ")</f>
        <v>UND</v>
      </c>
      <c r="H30" s="196">
        <v>1</v>
      </c>
      <c r="I30" s="12" t="s">
        <v>356</v>
      </c>
      <c r="J30" s="76"/>
      <c r="K30" s="72"/>
      <c r="L30" s="75">
        <f t="shared" si="1"/>
        <v>1</v>
      </c>
      <c r="M30" s="12"/>
    </row>
    <row r="31" spans="1:13" s="15" customFormat="1" ht="31.95" customHeight="1" x14ac:dyDescent="0.3">
      <c r="A31" s="12">
        <v>14</v>
      </c>
      <c r="B31" s="12">
        <v>16</v>
      </c>
      <c r="C31" s="12">
        <v>45</v>
      </c>
      <c r="D31" s="12">
        <v>275</v>
      </c>
      <c r="E31" s="12" t="str">
        <f t="shared" si="0"/>
        <v>16-45-275</v>
      </c>
      <c r="F31" s="64" t="str">
        <f>IFERROR(VLOOKUP(E31,'LISTA ITEMS (2)'!$E$2:$G$910,2,FALSE)," ")</f>
        <v>CAJA DISTRIBUCION INTERIOR 18 ELEM. (SOLERA)</v>
      </c>
      <c r="G31" s="79" t="str">
        <f>IFERROR(VLOOKUP(E31,'LISTA ITEMS (2)'!$E$2:$G$910,3,FALSE)," ")</f>
        <v>UND</v>
      </c>
      <c r="H31" s="196">
        <v>1</v>
      </c>
      <c r="I31" s="12" t="s">
        <v>356</v>
      </c>
      <c r="J31" s="76"/>
      <c r="K31" s="72"/>
      <c r="L31" s="75">
        <f t="shared" si="1"/>
        <v>1</v>
      </c>
      <c r="M31" s="12"/>
    </row>
    <row r="32" spans="1:13" s="15" customFormat="1" ht="31.95" customHeight="1" x14ac:dyDescent="0.3">
      <c r="A32" s="12">
        <v>15</v>
      </c>
      <c r="B32" s="12">
        <v>16</v>
      </c>
      <c r="C32" s="12">
        <v>51</v>
      </c>
      <c r="D32" s="12">
        <v>284</v>
      </c>
      <c r="E32" s="12" t="str">
        <f t="shared" si="0"/>
        <v>16-51-284</v>
      </c>
      <c r="F32" s="64" t="str">
        <f>IFERROR(VLOOKUP(E32,'LISTA ITEMS (2)'!$E$2:$G$910,2,FALSE)," ")</f>
        <v>LIMITADOR MONOFASICO 3SU1 15/30kA-275V (SASSIN)</v>
      </c>
      <c r="G32" s="79" t="str">
        <f>IFERROR(VLOOKUP(E32,'LISTA ITEMS (2)'!$E$2:$G$910,3,FALSE)," ")</f>
        <v>UND</v>
      </c>
      <c r="H32" s="196">
        <v>1</v>
      </c>
      <c r="I32" s="12" t="s">
        <v>356</v>
      </c>
      <c r="J32" s="76"/>
      <c r="K32" s="72"/>
      <c r="L32" s="75">
        <f t="shared" si="1"/>
        <v>1</v>
      </c>
      <c r="M32" s="12"/>
    </row>
    <row r="33" spans="1:13" s="15" customFormat="1" ht="31.95" customHeight="1" x14ac:dyDescent="0.3">
      <c r="A33" s="12">
        <v>16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196"/>
      <c r="I33" s="12" t="s">
        <v>356</v>
      </c>
      <c r="J33" s="76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17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196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18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196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19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20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21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22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ht="2.4" customHeight="1" x14ac:dyDescent="0.3"/>
    <row r="41" spans="1:13" ht="69.599999999999994" customHeight="1" x14ac:dyDescent="0.3">
      <c r="A41" s="305" t="s">
        <v>686</v>
      </c>
      <c r="B41" s="306"/>
      <c r="C41" s="306"/>
      <c r="D41" s="306"/>
      <c r="E41" s="306"/>
      <c r="F41" s="306"/>
      <c r="G41" s="306"/>
      <c r="H41" s="306"/>
      <c r="I41" s="307"/>
    </row>
    <row r="510" spans="1:1" x14ac:dyDescent="0.3">
      <c r="A510" s="55">
        <v>1</v>
      </c>
    </row>
    <row r="511" spans="1:1" x14ac:dyDescent="0.3">
      <c r="A511" s="55">
        <v>2</v>
      </c>
    </row>
    <row r="512" spans="1:1" x14ac:dyDescent="0.3">
      <c r="A512" s="55">
        <v>3</v>
      </c>
    </row>
    <row r="513" spans="1:1" x14ac:dyDescent="0.3">
      <c r="A513" s="55">
        <v>4</v>
      </c>
    </row>
    <row r="514" spans="1:1" x14ac:dyDescent="0.3">
      <c r="A514" s="55">
        <v>5</v>
      </c>
    </row>
    <row r="515" spans="1:1" x14ac:dyDescent="0.3">
      <c r="A515" s="55">
        <v>6</v>
      </c>
    </row>
    <row r="516" spans="1:1" x14ac:dyDescent="0.3">
      <c r="A516" s="55">
        <v>7</v>
      </c>
    </row>
    <row r="517" spans="1:1" x14ac:dyDescent="0.3">
      <c r="A517" s="55">
        <v>8</v>
      </c>
    </row>
    <row r="518" spans="1:1" x14ac:dyDescent="0.3">
      <c r="A518" s="55">
        <v>9</v>
      </c>
    </row>
    <row r="519" spans="1:1" x14ac:dyDescent="0.3">
      <c r="A519" s="55">
        <v>10</v>
      </c>
    </row>
    <row r="520" spans="1:1" x14ac:dyDescent="0.3">
      <c r="A520" s="55">
        <v>11</v>
      </c>
    </row>
    <row r="521" spans="1:1" x14ac:dyDescent="0.3">
      <c r="A521" s="55">
        <v>12</v>
      </c>
    </row>
    <row r="522" spans="1:1" x14ac:dyDescent="0.3">
      <c r="A522" s="55">
        <v>13</v>
      </c>
    </row>
    <row r="523" spans="1:1" x14ac:dyDescent="0.3">
      <c r="A523" s="55">
        <v>14</v>
      </c>
    </row>
    <row r="524" spans="1:1" x14ac:dyDescent="0.3">
      <c r="A524" s="55">
        <v>15</v>
      </c>
    </row>
    <row r="525" spans="1:1" x14ac:dyDescent="0.3">
      <c r="A525" s="55">
        <v>16</v>
      </c>
    </row>
    <row r="526" spans="1:1" x14ac:dyDescent="0.3">
      <c r="A526" s="55">
        <v>17</v>
      </c>
    </row>
    <row r="527" spans="1:1" x14ac:dyDescent="0.3">
      <c r="A527" s="55">
        <v>18</v>
      </c>
    </row>
    <row r="528" spans="1:1" x14ac:dyDescent="0.3">
      <c r="A528" s="55">
        <v>19</v>
      </c>
    </row>
    <row r="529" spans="1:1" x14ac:dyDescent="0.3">
      <c r="A529" s="55">
        <v>20</v>
      </c>
    </row>
    <row r="530" spans="1:1" x14ac:dyDescent="0.3">
      <c r="A530" s="55">
        <v>21</v>
      </c>
    </row>
    <row r="531" spans="1:1" x14ac:dyDescent="0.3">
      <c r="A531" s="55">
        <v>22</v>
      </c>
    </row>
    <row r="532" spans="1:1" x14ac:dyDescent="0.3">
      <c r="A532" s="55">
        <v>23</v>
      </c>
    </row>
    <row r="533" spans="1:1" x14ac:dyDescent="0.3">
      <c r="A533" s="55">
        <v>24</v>
      </c>
    </row>
    <row r="534" spans="1:1" x14ac:dyDescent="0.3">
      <c r="A534" s="55">
        <v>25</v>
      </c>
    </row>
    <row r="535" spans="1:1" x14ac:dyDescent="0.3">
      <c r="A535" s="55">
        <v>26</v>
      </c>
    </row>
    <row r="536" spans="1:1" x14ac:dyDescent="0.3">
      <c r="A536" s="55">
        <v>27</v>
      </c>
    </row>
    <row r="537" spans="1:1" x14ac:dyDescent="0.3">
      <c r="A537" s="55">
        <v>28</v>
      </c>
    </row>
    <row r="538" spans="1:1" x14ac:dyDescent="0.3">
      <c r="A538" s="55">
        <v>29</v>
      </c>
    </row>
    <row r="539" spans="1:1" x14ac:dyDescent="0.3">
      <c r="A539" s="55">
        <v>30</v>
      </c>
    </row>
    <row r="540" spans="1:1" x14ac:dyDescent="0.3">
      <c r="A540" s="55">
        <v>31</v>
      </c>
    </row>
    <row r="541" spans="1:1" x14ac:dyDescent="0.3">
      <c r="A541" s="55">
        <v>32</v>
      </c>
    </row>
    <row r="542" spans="1:1" x14ac:dyDescent="0.3">
      <c r="A542" s="55">
        <v>33</v>
      </c>
    </row>
    <row r="543" spans="1:1" x14ac:dyDescent="0.3">
      <c r="A543" s="55">
        <v>34</v>
      </c>
    </row>
    <row r="544" spans="1:1" x14ac:dyDescent="0.3">
      <c r="A544" s="55">
        <v>35</v>
      </c>
    </row>
    <row r="545" spans="1:1" x14ac:dyDescent="0.3">
      <c r="A545" s="55">
        <v>36</v>
      </c>
    </row>
    <row r="546" spans="1:1" x14ac:dyDescent="0.3">
      <c r="A546" s="55">
        <v>37</v>
      </c>
    </row>
    <row r="547" spans="1:1" x14ac:dyDescent="0.3">
      <c r="A547" s="55">
        <v>38</v>
      </c>
    </row>
    <row r="548" spans="1:1" x14ac:dyDescent="0.3">
      <c r="A548" s="55">
        <v>39</v>
      </c>
    </row>
    <row r="549" spans="1:1" x14ac:dyDescent="0.3">
      <c r="A549" s="55">
        <v>40</v>
      </c>
    </row>
    <row r="550" spans="1:1" x14ac:dyDescent="0.3">
      <c r="A550" s="55">
        <v>41</v>
      </c>
    </row>
    <row r="551" spans="1:1" x14ac:dyDescent="0.3">
      <c r="A551" s="55">
        <v>42</v>
      </c>
    </row>
    <row r="552" spans="1:1" x14ac:dyDescent="0.3">
      <c r="A552" s="55">
        <v>43</v>
      </c>
    </row>
    <row r="553" spans="1:1" x14ac:dyDescent="0.3">
      <c r="A553" s="55">
        <v>44</v>
      </c>
    </row>
    <row r="554" spans="1:1" x14ac:dyDescent="0.3">
      <c r="A554" s="55">
        <v>45</v>
      </c>
    </row>
    <row r="555" spans="1:1" x14ac:dyDescent="0.3">
      <c r="A555" s="55">
        <v>46</v>
      </c>
    </row>
    <row r="556" spans="1:1" x14ac:dyDescent="0.3">
      <c r="A556" s="55">
        <v>47</v>
      </c>
    </row>
    <row r="557" spans="1:1" x14ac:dyDescent="0.3">
      <c r="A557" s="55">
        <v>48</v>
      </c>
    </row>
    <row r="558" spans="1:1" x14ac:dyDescent="0.3">
      <c r="A558" s="55">
        <v>49</v>
      </c>
    </row>
    <row r="559" spans="1:1" x14ac:dyDescent="0.3">
      <c r="A559" s="55">
        <v>50</v>
      </c>
    </row>
    <row r="560" spans="1:1" x14ac:dyDescent="0.3">
      <c r="A560" s="55">
        <v>51</v>
      </c>
    </row>
    <row r="561" spans="1:1" x14ac:dyDescent="0.3">
      <c r="A561" s="55">
        <v>52</v>
      </c>
    </row>
    <row r="562" spans="1:1" x14ac:dyDescent="0.3">
      <c r="A562" s="55">
        <v>53</v>
      </c>
    </row>
    <row r="563" spans="1:1" x14ac:dyDescent="0.3">
      <c r="A563" s="55">
        <v>54</v>
      </c>
    </row>
    <row r="564" spans="1:1" x14ac:dyDescent="0.3">
      <c r="A564" s="55">
        <v>55</v>
      </c>
    </row>
    <row r="565" spans="1:1" x14ac:dyDescent="0.3">
      <c r="A565" s="55">
        <v>56</v>
      </c>
    </row>
    <row r="566" spans="1:1" x14ac:dyDescent="0.3">
      <c r="A566" s="55">
        <v>57</v>
      </c>
    </row>
    <row r="567" spans="1:1" x14ac:dyDescent="0.3">
      <c r="A567" s="55">
        <v>58</v>
      </c>
    </row>
    <row r="568" spans="1:1" x14ac:dyDescent="0.3">
      <c r="A568" s="55">
        <v>59</v>
      </c>
    </row>
    <row r="569" spans="1:1" x14ac:dyDescent="0.3">
      <c r="A569" s="55">
        <v>60</v>
      </c>
    </row>
    <row r="570" spans="1:1" x14ac:dyDescent="0.3">
      <c r="A570" s="55">
        <v>61</v>
      </c>
    </row>
    <row r="571" spans="1:1" x14ac:dyDescent="0.3">
      <c r="A571" s="55">
        <v>62</v>
      </c>
    </row>
    <row r="572" spans="1:1" x14ac:dyDescent="0.3">
      <c r="A572" s="55">
        <v>63</v>
      </c>
    </row>
    <row r="573" spans="1:1" x14ac:dyDescent="0.3">
      <c r="A573" s="55">
        <v>64</v>
      </c>
    </row>
    <row r="574" spans="1:1" x14ac:dyDescent="0.3">
      <c r="A574" s="55">
        <v>65</v>
      </c>
    </row>
    <row r="575" spans="1:1" x14ac:dyDescent="0.3">
      <c r="A575" s="55">
        <v>66</v>
      </c>
    </row>
    <row r="576" spans="1:1" x14ac:dyDescent="0.3">
      <c r="A576" s="55">
        <v>67</v>
      </c>
    </row>
    <row r="577" spans="1:1" x14ac:dyDescent="0.3">
      <c r="A577" s="55">
        <v>68</v>
      </c>
    </row>
    <row r="578" spans="1:1" x14ac:dyDescent="0.3">
      <c r="A578" s="55">
        <v>69</v>
      </c>
    </row>
    <row r="579" spans="1:1" x14ac:dyDescent="0.3">
      <c r="A579" s="55">
        <v>70</v>
      </c>
    </row>
    <row r="580" spans="1:1" x14ac:dyDescent="0.3">
      <c r="A580" s="55">
        <v>71</v>
      </c>
    </row>
    <row r="581" spans="1:1" x14ac:dyDescent="0.3">
      <c r="A581" s="55">
        <v>72</v>
      </c>
    </row>
    <row r="582" spans="1:1" x14ac:dyDescent="0.3">
      <c r="A582" s="55">
        <v>73</v>
      </c>
    </row>
    <row r="583" spans="1:1" x14ac:dyDescent="0.3">
      <c r="A583" s="55">
        <v>74</v>
      </c>
    </row>
    <row r="584" spans="1:1" x14ac:dyDescent="0.3">
      <c r="A584" s="55">
        <v>75</v>
      </c>
    </row>
    <row r="585" spans="1:1" x14ac:dyDescent="0.3">
      <c r="A585" s="55">
        <v>76</v>
      </c>
    </row>
    <row r="586" spans="1:1" x14ac:dyDescent="0.3">
      <c r="A586" s="55">
        <v>77</v>
      </c>
    </row>
    <row r="587" spans="1:1" x14ac:dyDescent="0.3">
      <c r="A587" s="55">
        <v>78</v>
      </c>
    </row>
    <row r="588" spans="1:1" x14ac:dyDescent="0.3">
      <c r="A588" s="55">
        <v>79</v>
      </c>
    </row>
    <row r="589" spans="1:1" x14ac:dyDescent="0.3">
      <c r="A589" s="55">
        <v>80</v>
      </c>
    </row>
    <row r="590" spans="1:1" x14ac:dyDescent="0.3">
      <c r="A590" s="55">
        <v>81</v>
      </c>
    </row>
    <row r="591" spans="1:1" x14ac:dyDescent="0.3">
      <c r="A591" s="55">
        <v>82</v>
      </c>
    </row>
    <row r="592" spans="1:1" x14ac:dyDescent="0.3">
      <c r="A592" s="55">
        <v>83</v>
      </c>
    </row>
    <row r="593" spans="1:1" x14ac:dyDescent="0.3">
      <c r="A593" s="55">
        <v>84</v>
      </c>
    </row>
    <row r="594" spans="1:1" x14ac:dyDescent="0.3">
      <c r="A594" s="55">
        <v>85</v>
      </c>
    </row>
    <row r="595" spans="1:1" x14ac:dyDescent="0.3">
      <c r="A595" s="55">
        <v>86</v>
      </c>
    </row>
    <row r="596" spans="1:1" x14ac:dyDescent="0.3">
      <c r="A596" s="55">
        <v>87</v>
      </c>
    </row>
    <row r="597" spans="1:1" x14ac:dyDescent="0.3">
      <c r="A597" s="55">
        <v>88</v>
      </c>
    </row>
    <row r="598" spans="1:1" x14ac:dyDescent="0.3">
      <c r="A598" s="55">
        <v>89</v>
      </c>
    </row>
    <row r="599" spans="1:1" x14ac:dyDescent="0.3">
      <c r="A599" s="55">
        <v>90</v>
      </c>
    </row>
    <row r="600" spans="1:1" x14ac:dyDescent="0.3">
      <c r="A600" s="55">
        <v>91</v>
      </c>
    </row>
    <row r="601" spans="1:1" x14ac:dyDescent="0.3">
      <c r="A601" s="55">
        <v>92</v>
      </c>
    </row>
    <row r="602" spans="1:1" x14ac:dyDescent="0.3">
      <c r="A602" s="55">
        <v>93</v>
      </c>
    </row>
    <row r="603" spans="1:1" x14ac:dyDescent="0.3">
      <c r="A603" s="55">
        <v>94</v>
      </c>
    </row>
    <row r="604" spans="1:1" x14ac:dyDescent="0.3">
      <c r="A604" s="55">
        <v>95</v>
      </c>
    </row>
    <row r="605" spans="1:1" x14ac:dyDescent="0.3">
      <c r="A605" s="55">
        <v>96</v>
      </c>
    </row>
    <row r="606" spans="1:1" x14ac:dyDescent="0.3">
      <c r="A606" s="55">
        <v>97</v>
      </c>
    </row>
    <row r="607" spans="1:1" x14ac:dyDescent="0.3">
      <c r="A607" s="55">
        <v>98</v>
      </c>
    </row>
    <row r="608" spans="1:1" x14ac:dyDescent="0.3">
      <c r="A608" s="55">
        <v>99</v>
      </c>
    </row>
    <row r="609" spans="1:1" x14ac:dyDescent="0.3">
      <c r="A609" s="55">
        <v>100</v>
      </c>
    </row>
    <row r="610" spans="1:1" x14ac:dyDescent="0.3">
      <c r="A610" s="55">
        <v>101</v>
      </c>
    </row>
    <row r="611" spans="1:1" x14ac:dyDescent="0.3">
      <c r="A611" s="55">
        <v>102</v>
      </c>
    </row>
    <row r="612" spans="1:1" x14ac:dyDescent="0.3">
      <c r="A612" s="55">
        <v>103</v>
      </c>
    </row>
    <row r="613" spans="1:1" x14ac:dyDescent="0.3">
      <c r="A613" s="55">
        <v>104</v>
      </c>
    </row>
    <row r="614" spans="1:1" x14ac:dyDescent="0.3">
      <c r="A614" s="55">
        <v>105</v>
      </c>
    </row>
    <row r="615" spans="1:1" x14ac:dyDescent="0.3">
      <c r="A615" s="55">
        <v>106</v>
      </c>
    </row>
    <row r="616" spans="1:1" x14ac:dyDescent="0.3">
      <c r="A616" s="55">
        <v>107</v>
      </c>
    </row>
    <row r="617" spans="1:1" x14ac:dyDescent="0.3">
      <c r="A617" s="55">
        <v>108</v>
      </c>
    </row>
    <row r="618" spans="1:1" x14ac:dyDescent="0.3">
      <c r="A618" s="55">
        <v>109</v>
      </c>
    </row>
    <row r="619" spans="1:1" x14ac:dyDescent="0.3">
      <c r="A619" s="55">
        <v>110</v>
      </c>
    </row>
    <row r="620" spans="1:1" x14ac:dyDescent="0.3">
      <c r="A620" s="55">
        <v>111</v>
      </c>
    </row>
    <row r="621" spans="1:1" x14ac:dyDescent="0.3">
      <c r="A621" s="55">
        <v>112</v>
      </c>
    </row>
    <row r="622" spans="1:1" x14ac:dyDescent="0.3">
      <c r="A622" s="55">
        <v>113</v>
      </c>
    </row>
    <row r="623" spans="1:1" x14ac:dyDescent="0.3">
      <c r="A623" s="55">
        <v>114</v>
      </c>
    </row>
    <row r="624" spans="1:1" x14ac:dyDescent="0.3">
      <c r="A624" s="55">
        <v>115</v>
      </c>
    </row>
    <row r="625" spans="1:1" x14ac:dyDescent="0.3">
      <c r="A625" s="55">
        <v>116</v>
      </c>
    </row>
    <row r="626" spans="1:1" x14ac:dyDescent="0.3">
      <c r="A626" s="55">
        <v>117</v>
      </c>
    </row>
    <row r="627" spans="1:1" x14ac:dyDescent="0.3">
      <c r="A627" s="55">
        <v>118</v>
      </c>
    </row>
    <row r="628" spans="1:1" x14ac:dyDescent="0.3">
      <c r="A628" s="55">
        <v>119</v>
      </c>
    </row>
    <row r="629" spans="1:1" x14ac:dyDescent="0.3">
      <c r="A629" s="55">
        <v>120</v>
      </c>
    </row>
    <row r="630" spans="1:1" x14ac:dyDescent="0.3">
      <c r="A630" s="55">
        <v>121</v>
      </c>
    </row>
    <row r="631" spans="1:1" x14ac:dyDescent="0.3">
      <c r="A631" s="55">
        <v>122</v>
      </c>
    </row>
    <row r="632" spans="1:1" x14ac:dyDescent="0.3">
      <c r="A632" s="55">
        <v>123</v>
      </c>
    </row>
    <row r="633" spans="1:1" x14ac:dyDescent="0.3">
      <c r="A633" s="55">
        <v>124</v>
      </c>
    </row>
    <row r="634" spans="1:1" x14ac:dyDescent="0.3">
      <c r="A634" s="55">
        <v>125</v>
      </c>
    </row>
    <row r="635" spans="1:1" x14ac:dyDescent="0.3">
      <c r="A635" s="55">
        <v>126</v>
      </c>
    </row>
    <row r="636" spans="1:1" x14ac:dyDescent="0.3">
      <c r="A636" s="55">
        <v>127</v>
      </c>
    </row>
    <row r="637" spans="1:1" x14ac:dyDescent="0.3">
      <c r="A637" s="55">
        <v>128</v>
      </c>
    </row>
    <row r="638" spans="1:1" x14ac:dyDescent="0.3">
      <c r="A638" s="55">
        <v>129</v>
      </c>
    </row>
    <row r="639" spans="1:1" x14ac:dyDescent="0.3">
      <c r="A639" s="55">
        <v>130</v>
      </c>
    </row>
    <row r="640" spans="1:1" x14ac:dyDescent="0.3">
      <c r="A640" s="55">
        <v>131</v>
      </c>
    </row>
    <row r="641" spans="1:1" x14ac:dyDescent="0.3">
      <c r="A641" s="55">
        <v>132</v>
      </c>
    </row>
    <row r="642" spans="1:1" x14ac:dyDescent="0.3">
      <c r="A642" s="55">
        <v>133</v>
      </c>
    </row>
    <row r="643" spans="1:1" x14ac:dyDescent="0.3">
      <c r="A643" s="55">
        <v>134</v>
      </c>
    </row>
    <row r="644" spans="1:1" x14ac:dyDescent="0.3">
      <c r="A644" s="55">
        <v>135</v>
      </c>
    </row>
    <row r="645" spans="1:1" x14ac:dyDescent="0.3">
      <c r="A645" s="55">
        <v>136</v>
      </c>
    </row>
    <row r="646" spans="1:1" x14ac:dyDescent="0.3">
      <c r="A646" s="55">
        <v>137</v>
      </c>
    </row>
    <row r="647" spans="1:1" x14ac:dyDescent="0.3">
      <c r="A647" s="55">
        <v>138</v>
      </c>
    </row>
    <row r="648" spans="1:1" x14ac:dyDescent="0.3">
      <c r="A648" s="55">
        <v>139</v>
      </c>
    </row>
    <row r="649" spans="1:1" x14ac:dyDescent="0.3">
      <c r="A649" s="55">
        <v>140</v>
      </c>
    </row>
    <row r="650" spans="1:1" x14ac:dyDescent="0.3">
      <c r="A650" s="55">
        <v>141</v>
      </c>
    </row>
    <row r="651" spans="1:1" x14ac:dyDescent="0.3">
      <c r="A651" s="55">
        <v>142</v>
      </c>
    </row>
    <row r="652" spans="1:1" x14ac:dyDescent="0.3">
      <c r="A652" s="55">
        <v>143</v>
      </c>
    </row>
    <row r="653" spans="1:1" x14ac:dyDescent="0.3">
      <c r="A653" s="55">
        <v>144</v>
      </c>
    </row>
    <row r="654" spans="1:1" x14ac:dyDescent="0.3">
      <c r="A654" s="55">
        <v>145</v>
      </c>
    </row>
    <row r="655" spans="1:1" x14ac:dyDescent="0.3">
      <c r="A655" s="55">
        <v>146</v>
      </c>
    </row>
    <row r="656" spans="1:1" x14ac:dyDescent="0.3">
      <c r="A656" s="55">
        <v>147</v>
      </c>
    </row>
    <row r="657" spans="1:1" x14ac:dyDescent="0.3">
      <c r="A657" s="55">
        <v>148</v>
      </c>
    </row>
    <row r="658" spans="1:1" x14ac:dyDescent="0.3">
      <c r="A658" s="55">
        <v>149</v>
      </c>
    </row>
    <row r="659" spans="1:1" x14ac:dyDescent="0.3">
      <c r="A659" s="55">
        <v>150</v>
      </c>
    </row>
    <row r="660" spans="1:1" x14ac:dyDescent="0.3">
      <c r="A660" s="55">
        <v>151</v>
      </c>
    </row>
    <row r="661" spans="1:1" x14ac:dyDescent="0.3">
      <c r="A661" s="55">
        <v>152</v>
      </c>
    </row>
    <row r="662" spans="1:1" x14ac:dyDescent="0.3">
      <c r="A662" s="55">
        <v>153</v>
      </c>
    </row>
    <row r="663" spans="1:1" x14ac:dyDescent="0.3">
      <c r="A663" s="55">
        <v>154</v>
      </c>
    </row>
    <row r="664" spans="1:1" x14ac:dyDescent="0.3">
      <c r="A664" s="55">
        <v>155</v>
      </c>
    </row>
    <row r="665" spans="1:1" x14ac:dyDescent="0.3">
      <c r="A665" s="55">
        <v>156</v>
      </c>
    </row>
    <row r="666" spans="1:1" x14ac:dyDescent="0.3">
      <c r="A666" s="55">
        <v>157</v>
      </c>
    </row>
    <row r="667" spans="1:1" x14ac:dyDescent="0.3">
      <c r="A667" s="55">
        <v>158</v>
      </c>
    </row>
    <row r="668" spans="1:1" x14ac:dyDescent="0.3">
      <c r="A668" s="55">
        <v>159</v>
      </c>
    </row>
    <row r="669" spans="1:1" x14ac:dyDescent="0.3">
      <c r="A669" s="55">
        <v>160</v>
      </c>
    </row>
    <row r="670" spans="1:1" x14ac:dyDescent="0.3">
      <c r="A670" s="55">
        <v>161</v>
      </c>
    </row>
    <row r="671" spans="1:1" x14ac:dyDescent="0.3">
      <c r="A671" s="55">
        <v>162</v>
      </c>
    </row>
    <row r="672" spans="1:1" x14ac:dyDescent="0.3">
      <c r="A672" s="55">
        <v>163</v>
      </c>
    </row>
    <row r="673" spans="1:1" x14ac:dyDescent="0.3">
      <c r="A673" s="55">
        <v>164</v>
      </c>
    </row>
    <row r="674" spans="1:1" x14ac:dyDescent="0.3">
      <c r="A674" s="55">
        <v>165</v>
      </c>
    </row>
    <row r="675" spans="1:1" x14ac:dyDescent="0.3">
      <c r="A675" s="55">
        <v>166</v>
      </c>
    </row>
    <row r="676" spans="1:1" x14ac:dyDescent="0.3">
      <c r="A676" s="55">
        <v>167</v>
      </c>
    </row>
    <row r="677" spans="1:1" x14ac:dyDescent="0.3">
      <c r="A677" s="55">
        <v>168</v>
      </c>
    </row>
    <row r="678" spans="1:1" x14ac:dyDescent="0.3">
      <c r="A678" s="55">
        <v>169</v>
      </c>
    </row>
    <row r="679" spans="1:1" x14ac:dyDescent="0.3">
      <c r="A679" s="55">
        <v>170</v>
      </c>
    </row>
    <row r="680" spans="1:1" x14ac:dyDescent="0.3">
      <c r="A680" s="55">
        <v>171</v>
      </c>
    </row>
    <row r="681" spans="1:1" x14ac:dyDescent="0.3">
      <c r="A681" s="55">
        <v>172</v>
      </c>
    </row>
    <row r="682" spans="1:1" x14ac:dyDescent="0.3">
      <c r="A682" s="55">
        <v>173</v>
      </c>
    </row>
    <row r="683" spans="1:1" x14ac:dyDescent="0.3">
      <c r="A683" s="55">
        <v>174</v>
      </c>
    </row>
    <row r="684" spans="1:1" x14ac:dyDescent="0.3">
      <c r="A684" s="55">
        <v>175</v>
      </c>
    </row>
    <row r="685" spans="1:1" x14ac:dyDescent="0.3">
      <c r="A685" s="55">
        <v>176</v>
      </c>
    </row>
    <row r="686" spans="1:1" x14ac:dyDescent="0.3">
      <c r="A686" s="55">
        <v>177</v>
      </c>
    </row>
    <row r="687" spans="1:1" x14ac:dyDescent="0.3">
      <c r="A687" s="55">
        <v>178</v>
      </c>
    </row>
    <row r="688" spans="1:1" x14ac:dyDescent="0.3">
      <c r="A688" s="55">
        <v>179</v>
      </c>
    </row>
    <row r="689" spans="1:1" x14ac:dyDescent="0.3">
      <c r="A689" s="55">
        <v>180</v>
      </c>
    </row>
    <row r="690" spans="1:1" x14ac:dyDescent="0.3">
      <c r="A690" s="55">
        <v>181</v>
      </c>
    </row>
    <row r="691" spans="1:1" x14ac:dyDescent="0.3">
      <c r="A691" s="55">
        <v>182</v>
      </c>
    </row>
    <row r="692" spans="1:1" x14ac:dyDescent="0.3">
      <c r="A692" s="55">
        <v>183</v>
      </c>
    </row>
    <row r="693" spans="1:1" x14ac:dyDescent="0.3">
      <c r="A693" s="55">
        <v>184</v>
      </c>
    </row>
    <row r="694" spans="1:1" x14ac:dyDescent="0.3">
      <c r="A694" s="55">
        <v>185</v>
      </c>
    </row>
    <row r="695" spans="1:1" x14ac:dyDescent="0.3">
      <c r="A695" s="55">
        <v>186</v>
      </c>
    </row>
    <row r="696" spans="1:1" x14ac:dyDescent="0.3">
      <c r="A696" s="55">
        <v>187</v>
      </c>
    </row>
    <row r="697" spans="1:1" x14ac:dyDescent="0.3">
      <c r="A697" s="55">
        <v>188</v>
      </c>
    </row>
    <row r="698" spans="1:1" x14ac:dyDescent="0.3">
      <c r="A698" s="55">
        <v>189</v>
      </c>
    </row>
    <row r="699" spans="1:1" x14ac:dyDescent="0.3">
      <c r="A699" s="55">
        <v>190</v>
      </c>
    </row>
    <row r="700" spans="1:1" x14ac:dyDescent="0.3">
      <c r="A700" s="55">
        <v>191</v>
      </c>
    </row>
    <row r="701" spans="1:1" x14ac:dyDescent="0.3">
      <c r="A701" s="55">
        <v>192</v>
      </c>
    </row>
    <row r="702" spans="1:1" x14ac:dyDescent="0.3">
      <c r="A702" s="55">
        <v>193</v>
      </c>
    </row>
    <row r="703" spans="1:1" x14ac:dyDescent="0.3">
      <c r="A703" s="55">
        <v>194</v>
      </c>
    </row>
    <row r="704" spans="1:1" x14ac:dyDescent="0.3">
      <c r="A704" s="55">
        <v>195</v>
      </c>
    </row>
    <row r="705" spans="1:1" x14ac:dyDescent="0.3">
      <c r="A705" s="55">
        <v>196</v>
      </c>
    </row>
    <row r="706" spans="1:1" x14ac:dyDescent="0.3">
      <c r="A706" s="55">
        <v>197</v>
      </c>
    </row>
    <row r="707" spans="1:1" x14ac:dyDescent="0.3">
      <c r="A707" s="55">
        <v>198</v>
      </c>
    </row>
    <row r="708" spans="1:1" x14ac:dyDescent="0.3">
      <c r="A708" s="55">
        <v>199</v>
      </c>
    </row>
    <row r="709" spans="1:1" x14ac:dyDescent="0.3">
      <c r="A709" s="55">
        <v>200</v>
      </c>
    </row>
    <row r="710" spans="1:1" x14ac:dyDescent="0.3">
      <c r="A710" s="55">
        <v>201</v>
      </c>
    </row>
    <row r="711" spans="1:1" x14ac:dyDescent="0.3">
      <c r="A711" s="55">
        <v>202</v>
      </c>
    </row>
    <row r="712" spans="1:1" x14ac:dyDescent="0.3">
      <c r="A712" s="55">
        <v>203</v>
      </c>
    </row>
    <row r="713" spans="1:1" x14ac:dyDescent="0.3">
      <c r="A713" s="55">
        <v>204</v>
      </c>
    </row>
    <row r="714" spans="1:1" x14ac:dyDescent="0.3">
      <c r="A714" s="55">
        <v>205</v>
      </c>
    </row>
    <row r="715" spans="1:1" x14ac:dyDescent="0.3">
      <c r="A715" s="55">
        <v>206</v>
      </c>
    </row>
    <row r="716" spans="1:1" x14ac:dyDescent="0.3">
      <c r="A716" s="55">
        <v>207</v>
      </c>
    </row>
    <row r="717" spans="1:1" x14ac:dyDescent="0.3">
      <c r="A717" s="55">
        <v>208</v>
      </c>
    </row>
    <row r="718" spans="1:1" x14ac:dyDescent="0.3">
      <c r="A718" s="55">
        <v>209</v>
      </c>
    </row>
    <row r="719" spans="1:1" x14ac:dyDescent="0.3">
      <c r="A719" s="55">
        <v>210</v>
      </c>
    </row>
    <row r="720" spans="1:1" x14ac:dyDescent="0.3">
      <c r="A720" s="55">
        <v>211</v>
      </c>
    </row>
    <row r="721" spans="1:1" x14ac:dyDescent="0.3">
      <c r="A721" s="55">
        <v>212</v>
      </c>
    </row>
    <row r="722" spans="1:1" x14ac:dyDescent="0.3">
      <c r="A722" s="55">
        <v>213</v>
      </c>
    </row>
    <row r="723" spans="1:1" x14ac:dyDescent="0.3">
      <c r="A723" s="55">
        <v>214</v>
      </c>
    </row>
    <row r="724" spans="1:1" x14ac:dyDescent="0.3">
      <c r="A724" s="55">
        <v>215</v>
      </c>
    </row>
    <row r="725" spans="1:1" x14ac:dyDescent="0.3">
      <c r="A725" s="55">
        <v>216</v>
      </c>
    </row>
    <row r="726" spans="1:1" x14ac:dyDescent="0.3">
      <c r="A726" s="55">
        <v>217</v>
      </c>
    </row>
    <row r="727" spans="1:1" x14ac:dyDescent="0.3">
      <c r="A727" s="55">
        <v>218</v>
      </c>
    </row>
    <row r="728" spans="1:1" x14ac:dyDescent="0.3">
      <c r="A728" s="55">
        <v>219</v>
      </c>
    </row>
    <row r="729" spans="1:1" x14ac:dyDescent="0.3">
      <c r="A729" s="55">
        <v>220</v>
      </c>
    </row>
    <row r="730" spans="1:1" x14ac:dyDescent="0.3">
      <c r="A730" s="55">
        <v>221</v>
      </c>
    </row>
    <row r="731" spans="1:1" x14ac:dyDescent="0.3">
      <c r="A731" s="55">
        <v>222</v>
      </c>
    </row>
    <row r="732" spans="1:1" x14ac:dyDescent="0.3">
      <c r="A732" s="55">
        <v>223</v>
      </c>
    </row>
    <row r="733" spans="1:1" x14ac:dyDescent="0.3">
      <c r="A733" s="55">
        <v>224</v>
      </c>
    </row>
    <row r="734" spans="1:1" x14ac:dyDescent="0.3">
      <c r="A734" s="55">
        <v>225</v>
      </c>
    </row>
    <row r="735" spans="1:1" x14ac:dyDescent="0.3">
      <c r="A735" s="55">
        <v>226</v>
      </c>
    </row>
    <row r="736" spans="1:1" x14ac:dyDescent="0.3">
      <c r="A736" s="55">
        <v>227</v>
      </c>
    </row>
    <row r="737" spans="1:1" x14ac:dyDescent="0.3">
      <c r="A737" s="55">
        <v>228</v>
      </c>
    </row>
    <row r="738" spans="1:1" x14ac:dyDescent="0.3">
      <c r="A738" s="55">
        <v>229</v>
      </c>
    </row>
    <row r="739" spans="1:1" x14ac:dyDescent="0.3">
      <c r="A739" s="55">
        <v>230</v>
      </c>
    </row>
    <row r="740" spans="1:1" x14ac:dyDescent="0.3">
      <c r="A740" s="55">
        <v>231</v>
      </c>
    </row>
    <row r="741" spans="1:1" x14ac:dyDescent="0.3">
      <c r="A741" s="55">
        <v>232</v>
      </c>
    </row>
    <row r="742" spans="1:1" x14ac:dyDescent="0.3">
      <c r="A742" s="55">
        <v>233</v>
      </c>
    </row>
    <row r="743" spans="1:1" x14ac:dyDescent="0.3">
      <c r="A743" s="55">
        <v>234</v>
      </c>
    </row>
    <row r="744" spans="1:1" x14ac:dyDescent="0.3">
      <c r="A744" s="55">
        <v>235</v>
      </c>
    </row>
    <row r="745" spans="1:1" x14ac:dyDescent="0.3">
      <c r="A745" s="55">
        <v>236</v>
      </c>
    </row>
    <row r="746" spans="1:1" x14ac:dyDescent="0.3">
      <c r="A746" s="55">
        <v>237</v>
      </c>
    </row>
    <row r="747" spans="1:1" x14ac:dyDescent="0.3">
      <c r="A747" s="55">
        <v>238</v>
      </c>
    </row>
    <row r="748" spans="1:1" x14ac:dyDescent="0.3">
      <c r="A748" s="55">
        <v>239</v>
      </c>
    </row>
    <row r="749" spans="1:1" x14ac:dyDescent="0.3">
      <c r="A749" s="55">
        <v>240</v>
      </c>
    </row>
    <row r="750" spans="1:1" x14ac:dyDescent="0.3">
      <c r="A750" s="55">
        <v>241</v>
      </c>
    </row>
    <row r="751" spans="1:1" x14ac:dyDescent="0.3">
      <c r="A751" s="55">
        <v>242</v>
      </c>
    </row>
    <row r="752" spans="1:1" x14ac:dyDescent="0.3">
      <c r="A752" s="55">
        <v>243</v>
      </c>
    </row>
    <row r="753" spans="1:1" x14ac:dyDescent="0.3">
      <c r="A753" s="55">
        <v>244</v>
      </c>
    </row>
    <row r="754" spans="1:1" x14ac:dyDescent="0.3">
      <c r="A754" s="55">
        <v>245</v>
      </c>
    </row>
    <row r="755" spans="1:1" x14ac:dyDescent="0.3">
      <c r="A755" s="55">
        <v>246</v>
      </c>
    </row>
    <row r="756" spans="1:1" x14ac:dyDescent="0.3">
      <c r="A756" s="55">
        <v>247</v>
      </c>
    </row>
    <row r="757" spans="1:1" x14ac:dyDescent="0.3">
      <c r="A757" s="55">
        <v>248</v>
      </c>
    </row>
    <row r="758" spans="1:1" x14ac:dyDescent="0.3">
      <c r="A758" s="55">
        <v>249</v>
      </c>
    </row>
    <row r="759" spans="1:1" x14ac:dyDescent="0.3">
      <c r="A759" s="55">
        <v>250</v>
      </c>
    </row>
    <row r="760" spans="1:1" x14ac:dyDescent="0.3">
      <c r="A760" s="55">
        <v>251</v>
      </c>
    </row>
    <row r="761" spans="1:1" x14ac:dyDescent="0.3">
      <c r="A761" s="55">
        <v>252</v>
      </c>
    </row>
    <row r="762" spans="1:1" x14ac:dyDescent="0.3">
      <c r="A762" s="55">
        <v>253</v>
      </c>
    </row>
    <row r="763" spans="1:1" x14ac:dyDescent="0.3">
      <c r="A763" s="55">
        <v>254</v>
      </c>
    </row>
    <row r="764" spans="1:1" x14ac:dyDescent="0.3">
      <c r="A764" s="55">
        <v>255</v>
      </c>
    </row>
    <row r="765" spans="1:1" x14ac:dyDescent="0.3">
      <c r="A765" s="55">
        <v>256</v>
      </c>
    </row>
    <row r="766" spans="1:1" x14ac:dyDescent="0.3">
      <c r="A766" s="55">
        <v>257</v>
      </c>
    </row>
    <row r="767" spans="1:1" x14ac:dyDescent="0.3">
      <c r="A767" s="55">
        <v>258</v>
      </c>
    </row>
    <row r="768" spans="1:1" x14ac:dyDescent="0.3">
      <c r="A768" s="55">
        <v>259</v>
      </c>
    </row>
    <row r="769" spans="1:1" x14ac:dyDescent="0.3">
      <c r="A769" s="55">
        <v>260</v>
      </c>
    </row>
    <row r="770" spans="1:1" x14ac:dyDescent="0.3">
      <c r="A770" s="55">
        <v>261</v>
      </c>
    </row>
    <row r="771" spans="1:1" x14ac:dyDescent="0.3">
      <c r="A771" s="55">
        <v>262</v>
      </c>
    </row>
    <row r="772" spans="1:1" x14ac:dyDescent="0.3">
      <c r="A772" s="55">
        <v>263</v>
      </c>
    </row>
    <row r="773" spans="1:1" x14ac:dyDescent="0.3">
      <c r="A773" s="55">
        <v>264</v>
      </c>
    </row>
    <row r="774" spans="1:1" x14ac:dyDescent="0.3">
      <c r="A774" s="55">
        <v>265</v>
      </c>
    </row>
    <row r="775" spans="1:1" x14ac:dyDescent="0.3">
      <c r="A775" s="55">
        <v>266</v>
      </c>
    </row>
    <row r="776" spans="1:1" x14ac:dyDescent="0.3">
      <c r="A776" s="55">
        <v>267</v>
      </c>
    </row>
    <row r="777" spans="1:1" x14ac:dyDescent="0.3">
      <c r="A777" s="55">
        <v>268</v>
      </c>
    </row>
    <row r="778" spans="1:1" x14ac:dyDescent="0.3">
      <c r="A778" s="55">
        <v>269</v>
      </c>
    </row>
    <row r="779" spans="1:1" x14ac:dyDescent="0.3">
      <c r="A779" s="55">
        <v>270</v>
      </c>
    </row>
    <row r="780" spans="1:1" x14ac:dyDescent="0.3">
      <c r="A780" s="55">
        <v>271</v>
      </c>
    </row>
    <row r="781" spans="1:1" x14ac:dyDescent="0.3">
      <c r="A781" s="55">
        <v>272</v>
      </c>
    </row>
    <row r="782" spans="1:1" x14ac:dyDescent="0.3">
      <c r="A782" s="55">
        <v>273</v>
      </c>
    </row>
    <row r="783" spans="1:1" x14ac:dyDescent="0.3">
      <c r="A783" s="55">
        <v>274</v>
      </c>
    </row>
    <row r="784" spans="1:1" x14ac:dyDescent="0.3">
      <c r="A784" s="55">
        <v>275</v>
      </c>
    </row>
    <row r="785" spans="1:1" x14ac:dyDescent="0.3">
      <c r="A785" s="55">
        <v>276</v>
      </c>
    </row>
    <row r="786" spans="1:1" x14ac:dyDescent="0.3">
      <c r="A786" s="55">
        <v>277</v>
      </c>
    </row>
    <row r="787" spans="1:1" x14ac:dyDescent="0.3">
      <c r="A787" s="55">
        <v>278</v>
      </c>
    </row>
    <row r="788" spans="1:1" x14ac:dyDescent="0.3">
      <c r="A788" s="55">
        <v>279</v>
      </c>
    </row>
    <row r="789" spans="1:1" x14ac:dyDescent="0.3">
      <c r="A789" s="55">
        <v>280</v>
      </c>
    </row>
    <row r="790" spans="1:1" x14ac:dyDescent="0.3">
      <c r="A790" s="55">
        <v>281</v>
      </c>
    </row>
    <row r="791" spans="1:1" x14ac:dyDescent="0.3">
      <c r="A791" s="55">
        <v>282</v>
      </c>
    </row>
    <row r="792" spans="1:1" x14ac:dyDescent="0.3">
      <c r="A792" s="55">
        <v>283</v>
      </c>
    </row>
    <row r="793" spans="1:1" x14ac:dyDescent="0.3">
      <c r="A793" s="55">
        <v>284</v>
      </c>
    </row>
    <row r="794" spans="1:1" x14ac:dyDescent="0.3">
      <c r="A794" s="55">
        <v>285</v>
      </c>
    </row>
    <row r="795" spans="1:1" x14ac:dyDescent="0.3">
      <c r="A795" s="55">
        <v>286</v>
      </c>
    </row>
    <row r="796" spans="1:1" x14ac:dyDescent="0.3">
      <c r="A796" s="55">
        <v>287</v>
      </c>
    </row>
    <row r="797" spans="1:1" x14ac:dyDescent="0.3">
      <c r="A797" s="55">
        <v>288</v>
      </c>
    </row>
    <row r="798" spans="1:1" x14ac:dyDescent="0.3">
      <c r="A798" s="55">
        <v>289</v>
      </c>
    </row>
    <row r="799" spans="1:1" x14ac:dyDescent="0.3">
      <c r="A799" s="55">
        <v>290</v>
      </c>
    </row>
    <row r="800" spans="1:1" x14ac:dyDescent="0.3">
      <c r="A800" s="55">
        <v>291</v>
      </c>
    </row>
    <row r="801" spans="1:1" x14ac:dyDescent="0.3">
      <c r="A801" s="55">
        <v>292</v>
      </c>
    </row>
    <row r="802" spans="1:1" x14ac:dyDescent="0.3">
      <c r="A802" s="55">
        <v>293</v>
      </c>
    </row>
    <row r="803" spans="1:1" x14ac:dyDescent="0.3">
      <c r="A803" s="55">
        <v>294</v>
      </c>
    </row>
    <row r="804" spans="1:1" x14ac:dyDescent="0.3">
      <c r="A804" s="55">
        <v>295</v>
      </c>
    </row>
    <row r="805" spans="1:1" x14ac:dyDescent="0.3">
      <c r="A805" s="55">
        <v>296</v>
      </c>
    </row>
    <row r="806" spans="1:1" x14ac:dyDescent="0.3">
      <c r="A806" s="55">
        <v>297</v>
      </c>
    </row>
    <row r="807" spans="1:1" x14ac:dyDescent="0.3">
      <c r="A807" s="55">
        <v>298</v>
      </c>
    </row>
    <row r="808" spans="1:1" x14ac:dyDescent="0.3">
      <c r="A808" s="55">
        <v>299</v>
      </c>
    </row>
    <row r="809" spans="1:1" x14ac:dyDescent="0.3">
      <c r="A809" s="55">
        <v>300</v>
      </c>
    </row>
    <row r="810" spans="1:1" x14ac:dyDescent="0.3">
      <c r="A810" s="55">
        <v>301</v>
      </c>
    </row>
    <row r="811" spans="1:1" x14ac:dyDescent="0.3">
      <c r="A811" s="55">
        <v>302</v>
      </c>
    </row>
    <row r="812" spans="1:1" x14ac:dyDescent="0.3">
      <c r="A812" s="55">
        <v>303</v>
      </c>
    </row>
    <row r="813" spans="1:1" x14ac:dyDescent="0.3">
      <c r="A813" s="55">
        <v>304</v>
      </c>
    </row>
    <row r="814" spans="1:1" x14ac:dyDescent="0.3">
      <c r="A814" s="55">
        <v>305</v>
      </c>
    </row>
    <row r="815" spans="1:1" x14ac:dyDescent="0.3">
      <c r="A815" s="55">
        <v>306</v>
      </c>
    </row>
    <row r="816" spans="1:1" x14ac:dyDescent="0.3">
      <c r="A816" s="55">
        <v>307</v>
      </c>
    </row>
    <row r="817" spans="1:1" x14ac:dyDescent="0.3">
      <c r="A817" s="55">
        <v>308</v>
      </c>
    </row>
    <row r="818" spans="1:1" x14ac:dyDescent="0.3">
      <c r="A818" s="55">
        <v>309</v>
      </c>
    </row>
    <row r="819" spans="1:1" x14ac:dyDescent="0.3">
      <c r="A819" s="55">
        <v>310</v>
      </c>
    </row>
    <row r="820" spans="1:1" x14ac:dyDescent="0.3">
      <c r="A820" s="55">
        <v>311</v>
      </c>
    </row>
    <row r="821" spans="1:1" x14ac:dyDescent="0.3">
      <c r="A821" s="55">
        <v>312</v>
      </c>
    </row>
    <row r="822" spans="1:1" x14ac:dyDescent="0.3">
      <c r="A822" s="55">
        <v>313</v>
      </c>
    </row>
    <row r="823" spans="1:1" x14ac:dyDescent="0.3">
      <c r="A823" s="55">
        <v>314</v>
      </c>
    </row>
    <row r="824" spans="1:1" x14ac:dyDescent="0.3">
      <c r="A824" s="55">
        <v>315</v>
      </c>
    </row>
    <row r="825" spans="1:1" x14ac:dyDescent="0.3">
      <c r="A825" s="55">
        <v>316</v>
      </c>
    </row>
    <row r="826" spans="1:1" x14ac:dyDescent="0.3">
      <c r="A826" s="55">
        <v>317</v>
      </c>
    </row>
    <row r="827" spans="1:1" x14ac:dyDescent="0.3">
      <c r="A827" s="55">
        <v>318</v>
      </c>
    </row>
    <row r="828" spans="1:1" x14ac:dyDescent="0.3">
      <c r="A828" s="55">
        <v>319</v>
      </c>
    </row>
    <row r="829" spans="1:1" x14ac:dyDescent="0.3">
      <c r="A829" s="55">
        <v>320</v>
      </c>
    </row>
    <row r="830" spans="1:1" x14ac:dyDescent="0.3">
      <c r="A830" s="55">
        <v>321</v>
      </c>
    </row>
    <row r="831" spans="1:1" x14ac:dyDescent="0.3">
      <c r="A831" s="55">
        <v>322</v>
      </c>
    </row>
    <row r="832" spans="1:1" x14ac:dyDescent="0.3">
      <c r="A832" s="55">
        <v>323</v>
      </c>
    </row>
    <row r="833" spans="1:1" x14ac:dyDescent="0.3">
      <c r="A833" s="55">
        <v>324</v>
      </c>
    </row>
    <row r="834" spans="1:1" x14ac:dyDescent="0.3">
      <c r="A834" s="55">
        <v>325</v>
      </c>
    </row>
    <row r="835" spans="1:1" x14ac:dyDescent="0.3">
      <c r="A835" s="55">
        <v>326</v>
      </c>
    </row>
    <row r="836" spans="1:1" x14ac:dyDescent="0.3">
      <c r="A836" s="55">
        <v>327</v>
      </c>
    </row>
    <row r="837" spans="1:1" x14ac:dyDescent="0.3">
      <c r="A837" s="55">
        <v>328</v>
      </c>
    </row>
    <row r="838" spans="1:1" x14ac:dyDescent="0.3">
      <c r="A838" s="55">
        <v>329</v>
      </c>
    </row>
    <row r="839" spans="1:1" x14ac:dyDescent="0.3">
      <c r="A839" s="55">
        <v>330</v>
      </c>
    </row>
    <row r="840" spans="1:1" x14ac:dyDescent="0.3">
      <c r="A840" s="55">
        <v>331</v>
      </c>
    </row>
    <row r="841" spans="1:1" x14ac:dyDescent="0.3">
      <c r="A841" s="55">
        <v>332</v>
      </c>
    </row>
    <row r="842" spans="1:1" x14ac:dyDescent="0.3">
      <c r="A842" s="55">
        <v>333</v>
      </c>
    </row>
    <row r="843" spans="1:1" x14ac:dyDescent="0.3">
      <c r="A843" s="55">
        <v>334</v>
      </c>
    </row>
    <row r="844" spans="1:1" x14ac:dyDescent="0.3">
      <c r="A844" s="55">
        <v>335</v>
      </c>
    </row>
    <row r="845" spans="1:1" x14ac:dyDescent="0.3">
      <c r="A845" s="55">
        <v>336</v>
      </c>
    </row>
    <row r="846" spans="1:1" x14ac:dyDescent="0.3">
      <c r="A846" s="55">
        <v>337</v>
      </c>
    </row>
    <row r="847" spans="1:1" x14ac:dyDescent="0.3">
      <c r="A847" s="55">
        <v>338</v>
      </c>
    </row>
    <row r="848" spans="1:1" x14ac:dyDescent="0.3">
      <c r="A848" s="55">
        <v>339</v>
      </c>
    </row>
    <row r="849" spans="1:1" x14ac:dyDescent="0.3">
      <c r="A849" s="55">
        <v>340</v>
      </c>
    </row>
    <row r="850" spans="1:1" x14ac:dyDescent="0.3">
      <c r="A850" s="55">
        <v>341</v>
      </c>
    </row>
    <row r="851" spans="1:1" x14ac:dyDescent="0.3">
      <c r="A851" s="55">
        <v>342</v>
      </c>
    </row>
    <row r="852" spans="1:1" x14ac:dyDescent="0.3">
      <c r="A852" s="55">
        <v>343</v>
      </c>
    </row>
    <row r="853" spans="1:1" x14ac:dyDescent="0.3">
      <c r="A853" s="55">
        <v>344</v>
      </c>
    </row>
    <row r="854" spans="1:1" x14ac:dyDescent="0.3">
      <c r="A854" s="55">
        <v>345</v>
      </c>
    </row>
    <row r="855" spans="1:1" x14ac:dyDescent="0.3">
      <c r="A855" s="55">
        <v>346</v>
      </c>
    </row>
    <row r="856" spans="1:1" x14ac:dyDescent="0.3">
      <c r="A856" s="55">
        <v>347</v>
      </c>
    </row>
    <row r="857" spans="1:1" x14ac:dyDescent="0.3">
      <c r="A857" s="55">
        <v>348</v>
      </c>
    </row>
    <row r="858" spans="1:1" x14ac:dyDescent="0.3">
      <c r="A858" s="55">
        <v>349</v>
      </c>
    </row>
    <row r="859" spans="1:1" x14ac:dyDescent="0.3">
      <c r="A859" s="55">
        <v>350</v>
      </c>
    </row>
    <row r="860" spans="1:1" x14ac:dyDescent="0.3">
      <c r="A860" s="55">
        <v>351</v>
      </c>
    </row>
    <row r="861" spans="1:1" x14ac:dyDescent="0.3">
      <c r="A861" s="55">
        <v>352</v>
      </c>
    </row>
    <row r="862" spans="1:1" x14ac:dyDescent="0.3">
      <c r="A862" s="55">
        <v>353</v>
      </c>
    </row>
    <row r="863" spans="1:1" x14ac:dyDescent="0.3">
      <c r="A863" s="55">
        <v>354</v>
      </c>
    </row>
    <row r="864" spans="1:1" x14ac:dyDescent="0.3">
      <c r="A864" s="55">
        <v>355</v>
      </c>
    </row>
    <row r="865" spans="1:1" x14ac:dyDescent="0.3">
      <c r="A865" s="55">
        <v>356</v>
      </c>
    </row>
    <row r="866" spans="1:1" x14ac:dyDescent="0.3">
      <c r="A866" s="55">
        <v>357</v>
      </c>
    </row>
    <row r="867" spans="1:1" x14ac:dyDescent="0.3">
      <c r="A867" s="55">
        <v>358</v>
      </c>
    </row>
    <row r="868" spans="1:1" x14ac:dyDescent="0.3">
      <c r="A868" s="55">
        <v>359</v>
      </c>
    </row>
    <row r="869" spans="1:1" x14ac:dyDescent="0.3">
      <c r="A869" s="55">
        <v>360</v>
      </c>
    </row>
    <row r="870" spans="1:1" x14ac:dyDescent="0.3">
      <c r="A870" s="55">
        <v>361</v>
      </c>
    </row>
    <row r="871" spans="1:1" x14ac:dyDescent="0.3">
      <c r="A871" s="55">
        <v>362</v>
      </c>
    </row>
    <row r="872" spans="1:1" x14ac:dyDescent="0.3">
      <c r="A872" s="55">
        <v>363</v>
      </c>
    </row>
    <row r="873" spans="1:1" x14ac:dyDescent="0.3">
      <c r="A873" s="55">
        <v>364</v>
      </c>
    </row>
    <row r="874" spans="1:1" x14ac:dyDescent="0.3">
      <c r="A874" s="55">
        <v>365</v>
      </c>
    </row>
    <row r="875" spans="1:1" x14ac:dyDescent="0.3">
      <c r="A875" s="55">
        <v>366</v>
      </c>
    </row>
    <row r="876" spans="1:1" x14ac:dyDescent="0.3">
      <c r="A876" s="55">
        <v>367</v>
      </c>
    </row>
    <row r="877" spans="1:1" x14ac:dyDescent="0.3">
      <c r="A877" s="55">
        <v>368</v>
      </c>
    </row>
    <row r="878" spans="1:1" x14ac:dyDescent="0.3">
      <c r="A878" s="55">
        <v>369</v>
      </c>
    </row>
    <row r="879" spans="1:1" x14ac:dyDescent="0.3">
      <c r="A879" s="55">
        <v>370</v>
      </c>
    </row>
    <row r="880" spans="1:1" x14ac:dyDescent="0.3">
      <c r="A880" s="55">
        <v>371</v>
      </c>
    </row>
    <row r="881" spans="1:1" x14ac:dyDescent="0.3">
      <c r="A881" s="55">
        <v>372</v>
      </c>
    </row>
    <row r="882" spans="1:1" x14ac:dyDescent="0.3">
      <c r="A882" s="55">
        <v>373</v>
      </c>
    </row>
    <row r="883" spans="1:1" x14ac:dyDescent="0.3">
      <c r="A883" s="55">
        <v>374</v>
      </c>
    </row>
    <row r="884" spans="1:1" x14ac:dyDescent="0.3">
      <c r="A884" s="55">
        <v>375</v>
      </c>
    </row>
    <row r="885" spans="1:1" x14ac:dyDescent="0.3">
      <c r="A885" s="55">
        <v>376</v>
      </c>
    </row>
    <row r="886" spans="1:1" x14ac:dyDescent="0.3">
      <c r="A886" s="55">
        <v>377</v>
      </c>
    </row>
    <row r="887" spans="1:1" x14ac:dyDescent="0.3">
      <c r="A887" s="55">
        <v>378</v>
      </c>
    </row>
    <row r="888" spans="1:1" x14ac:dyDescent="0.3">
      <c r="A888" s="55">
        <v>379</v>
      </c>
    </row>
    <row r="889" spans="1:1" x14ac:dyDescent="0.3">
      <c r="A889" s="55">
        <v>380</v>
      </c>
    </row>
    <row r="890" spans="1:1" x14ac:dyDescent="0.3">
      <c r="A890" s="55">
        <v>381</v>
      </c>
    </row>
    <row r="891" spans="1:1" x14ac:dyDescent="0.3">
      <c r="A891" s="55">
        <v>382</v>
      </c>
    </row>
    <row r="892" spans="1:1" x14ac:dyDescent="0.3">
      <c r="A892" s="55">
        <v>383</v>
      </c>
    </row>
    <row r="893" spans="1:1" x14ac:dyDescent="0.3">
      <c r="A893" s="55">
        <v>384</v>
      </c>
    </row>
    <row r="894" spans="1:1" x14ac:dyDescent="0.3">
      <c r="A894" s="55">
        <v>385</v>
      </c>
    </row>
    <row r="895" spans="1:1" x14ac:dyDescent="0.3">
      <c r="A895" s="55">
        <v>386</v>
      </c>
    </row>
    <row r="896" spans="1:1" x14ac:dyDescent="0.3">
      <c r="A896" s="55">
        <v>387</v>
      </c>
    </row>
    <row r="897" spans="1:1" x14ac:dyDescent="0.3">
      <c r="A897" s="55">
        <v>388</v>
      </c>
    </row>
    <row r="898" spans="1:1" x14ac:dyDescent="0.3">
      <c r="A898" s="55">
        <v>389</v>
      </c>
    </row>
    <row r="899" spans="1:1" x14ac:dyDescent="0.3">
      <c r="A899" s="55">
        <v>390</v>
      </c>
    </row>
    <row r="900" spans="1:1" x14ac:dyDescent="0.3">
      <c r="A900" s="55">
        <v>391</v>
      </c>
    </row>
    <row r="901" spans="1:1" x14ac:dyDescent="0.3">
      <c r="A901" s="55">
        <v>392</v>
      </c>
    </row>
    <row r="902" spans="1:1" x14ac:dyDescent="0.3">
      <c r="A902" s="55">
        <v>393</v>
      </c>
    </row>
    <row r="903" spans="1:1" x14ac:dyDescent="0.3">
      <c r="A903" s="55">
        <v>394</v>
      </c>
    </row>
    <row r="904" spans="1:1" x14ac:dyDescent="0.3">
      <c r="A904" s="55">
        <v>395</v>
      </c>
    </row>
    <row r="905" spans="1:1" x14ac:dyDescent="0.3">
      <c r="A905" s="55">
        <v>396</v>
      </c>
    </row>
    <row r="906" spans="1:1" x14ac:dyDescent="0.3">
      <c r="A906" s="55">
        <v>397</v>
      </c>
    </row>
    <row r="907" spans="1:1" x14ac:dyDescent="0.3">
      <c r="A907" s="55">
        <v>398</v>
      </c>
    </row>
    <row r="908" spans="1:1" x14ac:dyDescent="0.3">
      <c r="A908" s="55">
        <v>399</v>
      </c>
    </row>
    <row r="909" spans="1:1" x14ac:dyDescent="0.3">
      <c r="A909" s="55">
        <v>400</v>
      </c>
    </row>
    <row r="910" spans="1:1" x14ac:dyDescent="0.3">
      <c r="A910" s="55">
        <v>401</v>
      </c>
    </row>
    <row r="911" spans="1:1" x14ac:dyDescent="0.3">
      <c r="A911" s="55">
        <v>402</v>
      </c>
    </row>
    <row r="912" spans="1:1" x14ac:dyDescent="0.3">
      <c r="A912" s="55">
        <v>403</v>
      </c>
    </row>
    <row r="913" spans="1:1" x14ac:dyDescent="0.3">
      <c r="A913" s="55">
        <v>404</v>
      </c>
    </row>
    <row r="914" spans="1:1" x14ac:dyDescent="0.3">
      <c r="A914" s="55">
        <v>405</v>
      </c>
    </row>
    <row r="915" spans="1:1" x14ac:dyDescent="0.3">
      <c r="A915" s="55">
        <v>406</v>
      </c>
    </row>
    <row r="916" spans="1:1" x14ac:dyDescent="0.3">
      <c r="A916" s="55">
        <v>407</v>
      </c>
    </row>
    <row r="917" spans="1:1" x14ac:dyDescent="0.3">
      <c r="A917" s="55">
        <v>408</v>
      </c>
    </row>
    <row r="918" spans="1:1" x14ac:dyDescent="0.3">
      <c r="A918" s="55">
        <v>409</v>
      </c>
    </row>
    <row r="919" spans="1:1" x14ac:dyDescent="0.3">
      <c r="A919" s="55">
        <v>410</v>
      </c>
    </row>
    <row r="920" spans="1:1" x14ac:dyDescent="0.3">
      <c r="A920" s="55">
        <v>411</v>
      </c>
    </row>
    <row r="921" spans="1:1" x14ac:dyDescent="0.3">
      <c r="A921" s="55">
        <v>412</v>
      </c>
    </row>
    <row r="922" spans="1:1" x14ac:dyDescent="0.3">
      <c r="A922" s="55">
        <v>413</v>
      </c>
    </row>
    <row r="923" spans="1:1" x14ac:dyDescent="0.3">
      <c r="A923" s="55">
        <v>414</v>
      </c>
    </row>
    <row r="924" spans="1:1" x14ac:dyDescent="0.3">
      <c r="A924" s="55">
        <v>415</v>
      </c>
    </row>
    <row r="925" spans="1:1" x14ac:dyDescent="0.3">
      <c r="A925" s="55">
        <v>416</v>
      </c>
    </row>
    <row r="926" spans="1:1" x14ac:dyDescent="0.3">
      <c r="A926" s="55">
        <v>417</v>
      </c>
    </row>
    <row r="927" spans="1:1" x14ac:dyDescent="0.3">
      <c r="A927" s="55">
        <v>418</v>
      </c>
    </row>
  </sheetData>
  <autoFilter ref="A5:M39" xr:uid="{01A117B2-96EE-425B-95C2-EFC54FA63F45}">
    <filterColumn colId="1" showButton="0"/>
    <filterColumn colId="2" showButton="0"/>
  </autoFilter>
  <mergeCells count="13">
    <mergeCell ref="A41:I41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3DED-38E2-42BC-81E5-88D3F21067DE}">
  <sheetPr>
    <tabColor rgb="FF92D050"/>
  </sheetPr>
  <dimension ref="A1:M46"/>
  <sheetViews>
    <sheetView zoomScale="85" zoomScaleNormal="85" workbookViewId="0">
      <pane ySplit="5" topLeftCell="A6" activePane="bottomLeft" state="frozen"/>
      <selection activeCell="K13" sqref="K13"/>
      <selection pane="bottomLeft" activeCell="H10" sqref="H10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31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820</v>
      </c>
      <c r="D2" s="283"/>
      <c r="E2" s="283"/>
      <c r="F2" s="291"/>
      <c r="G2" s="292" t="s">
        <v>355</v>
      </c>
      <c r="H2" s="290"/>
      <c r="I2" s="62">
        <v>31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15" t="s">
        <v>821</v>
      </c>
      <c r="D3" s="316"/>
      <c r="E3" s="68"/>
      <c r="F3" s="61" t="s">
        <v>353</v>
      </c>
      <c r="G3" s="295" t="s">
        <v>369</v>
      </c>
      <c r="H3" s="296"/>
      <c r="I3" s="127">
        <v>46080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819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16</v>
      </c>
      <c r="C6" s="12">
        <v>48</v>
      </c>
      <c r="D6" s="12">
        <v>281</v>
      </c>
      <c r="E6" s="12" t="str">
        <f>CONCATENATE(B6,"-",C6,"-",D6)</f>
        <v>16-48-281</v>
      </c>
      <c r="F6" s="64" t="str">
        <f>IFERROR(VLOOKUP(E6,'LISTA ITEMS (2)'!$E$2:$G$910,2,FALSE)," ")</f>
        <v>PORTA FUSIBLE SGF-32-DC (MAXGE)</v>
      </c>
      <c r="G6" s="79" t="str">
        <f>IFERROR(VLOOKUP(E6,'LISTA ITEMS (2)'!$E$2:$G$910,3,FALSE)," ")</f>
        <v>UND</v>
      </c>
      <c r="H6" s="196">
        <v>2</v>
      </c>
      <c r="I6" s="12" t="s">
        <v>356</v>
      </c>
      <c r="J6" s="76"/>
      <c r="K6" s="72"/>
      <c r="L6" s="75">
        <f>+H6-K6</f>
        <v>2</v>
      </c>
      <c r="M6" s="194"/>
    </row>
    <row r="7" spans="1:13" s="15" customFormat="1" ht="31.95" customHeight="1" x14ac:dyDescent="0.3">
      <c r="A7" s="12">
        <v>2</v>
      </c>
      <c r="B7" s="12">
        <v>16</v>
      </c>
      <c r="C7" s="12">
        <v>50</v>
      </c>
      <c r="D7" s="12">
        <v>283</v>
      </c>
      <c r="E7" s="12" t="str">
        <f t="shared" ref="E7:E44" si="0">CONCATENATE(B7,"-",C7,"-",D7)</f>
        <v>16-50-283</v>
      </c>
      <c r="F7" s="64" t="str">
        <f>IFERROR(VLOOKUP(E7,'LISTA ITEMS (2)'!$E$2:$G$910,2,FALSE)," ")</f>
        <v>FUSIBLE 32A-1000VDC (SASSIN)</v>
      </c>
      <c r="G7" s="79" t="str">
        <f>IFERROR(VLOOKUP(E7,'LISTA ITEMS (2)'!$E$2:$G$910,3,FALSE)," ")</f>
        <v>UND</v>
      </c>
      <c r="H7" s="196">
        <v>2</v>
      </c>
      <c r="I7" s="12" t="s">
        <v>356</v>
      </c>
      <c r="J7" s="76"/>
      <c r="K7" s="72"/>
      <c r="L7" s="75">
        <f t="shared" ref="L7:L44" si="1">+H7-K7</f>
        <v>2</v>
      </c>
      <c r="M7" s="194"/>
    </row>
    <row r="8" spans="1:13" s="15" customFormat="1" ht="31.95" customHeight="1" x14ac:dyDescent="0.3">
      <c r="A8" s="12">
        <v>3</v>
      </c>
      <c r="B8" s="12">
        <v>10</v>
      </c>
      <c r="C8" s="12">
        <v>37</v>
      </c>
      <c r="D8" s="12">
        <v>232</v>
      </c>
      <c r="E8" s="12" t="str">
        <f t="shared" si="0"/>
        <v>10-37-232</v>
      </c>
      <c r="F8" s="64" t="str">
        <f>IFERROR(VLOOKUP(E8,'LISTA ITEMS (2)'!$E$2:$G$910,2,FALSE)," ")</f>
        <v>SOPORTE CENTRAL NEGRO</v>
      </c>
      <c r="G8" s="79" t="str">
        <f>IFERROR(VLOOKUP(E8,'LISTA ITEMS (2)'!$E$2:$G$910,3,FALSE)," ")</f>
        <v>UND</v>
      </c>
      <c r="H8" s="196">
        <v>50</v>
      </c>
      <c r="I8" s="12" t="s">
        <v>356</v>
      </c>
      <c r="J8" s="76">
        <v>46083</v>
      </c>
      <c r="K8" s="72">
        <v>25</v>
      </c>
      <c r="L8" s="75">
        <f t="shared" si="1"/>
        <v>25</v>
      </c>
      <c r="M8" s="12"/>
    </row>
    <row r="9" spans="1:13" s="15" customFormat="1" ht="31.95" customHeight="1" x14ac:dyDescent="0.3">
      <c r="A9" s="12">
        <v>4</v>
      </c>
      <c r="B9" s="12">
        <v>10</v>
      </c>
      <c r="C9" s="12">
        <v>37</v>
      </c>
      <c r="D9" s="12">
        <v>315</v>
      </c>
      <c r="E9" s="12" t="str">
        <f t="shared" si="0"/>
        <v>10-37-315</v>
      </c>
      <c r="F9" s="64" t="str">
        <f>IFERROR(VLOOKUP(E9,'LISTA ITEMS (2)'!$E$2:$G$910,2,FALSE)," ")</f>
        <v>SOPORTE FINAL NEGRO</v>
      </c>
      <c r="G9" s="79" t="str">
        <f>IFERROR(VLOOKUP(E9,'LISTA ITEMS (2)'!$E$2:$G$910,3,FALSE)," ")</f>
        <v>UND</v>
      </c>
      <c r="H9" s="196">
        <v>40</v>
      </c>
      <c r="I9" s="12" t="s">
        <v>356</v>
      </c>
      <c r="J9" s="76">
        <v>46083</v>
      </c>
      <c r="K9" s="72">
        <v>20</v>
      </c>
      <c r="L9" s="75">
        <f t="shared" si="1"/>
        <v>20</v>
      </c>
      <c r="M9" s="12"/>
    </row>
    <row r="10" spans="1:13" s="15" customFormat="1" ht="31.95" customHeight="1" x14ac:dyDescent="0.3">
      <c r="A10" s="12">
        <v>5</v>
      </c>
      <c r="B10" s="12">
        <v>10</v>
      </c>
      <c r="C10" s="12">
        <v>43</v>
      </c>
      <c r="D10" s="12">
        <v>270</v>
      </c>
      <c r="E10" s="12" t="str">
        <f t="shared" si="0"/>
        <v>10-43-270</v>
      </c>
      <c r="F10" s="64" t="str">
        <f>IFERROR(VLOOKUP(E10,'LISTA ITEMS (2)'!$E$2:$G$910,2,FALSE)," ")</f>
        <v>EMPALME ALUMINIO P/BARRA</v>
      </c>
      <c r="G10" s="79" t="str">
        <f>IFERROR(VLOOKUP(E10,'LISTA ITEMS (2)'!$E$2:$G$910,3,FALSE)," ")</f>
        <v>UND</v>
      </c>
      <c r="H10" s="196">
        <v>10</v>
      </c>
      <c r="I10" s="12" t="s">
        <v>356</v>
      </c>
      <c r="J10" s="76">
        <v>46083</v>
      </c>
      <c r="K10" s="72">
        <v>6</v>
      </c>
      <c r="L10" s="75">
        <f t="shared" si="1"/>
        <v>4</v>
      </c>
      <c r="M10" s="3"/>
    </row>
    <row r="11" spans="1:13" s="15" customFormat="1" ht="31.95" customHeight="1" x14ac:dyDescent="0.3">
      <c r="A11" s="12">
        <v>6</v>
      </c>
      <c r="B11" s="12">
        <v>16</v>
      </c>
      <c r="C11" s="12">
        <v>45</v>
      </c>
      <c r="D11" s="12">
        <v>294</v>
      </c>
      <c r="E11" s="12" t="str">
        <f t="shared" si="0"/>
        <v>16-45-294</v>
      </c>
      <c r="F11" s="64" t="str">
        <f>IFERROR(VLOOKUP(E11,'LISTA ITEMS (2)'!$E$2:$G$910,2,FALSE)," ")</f>
        <v>CAJA DE ESTANCA 133X180X80 EV161 (IDE)</v>
      </c>
      <c r="G11" s="79" t="str">
        <f>IFERROR(VLOOKUP(E11,'LISTA ITEMS (2)'!$E$2:$G$910,3,FALSE)," ")</f>
        <v>UND</v>
      </c>
      <c r="H11" s="196">
        <v>1</v>
      </c>
      <c r="I11" s="12" t="s">
        <v>356</v>
      </c>
      <c r="J11" s="76"/>
      <c r="K11" s="72"/>
      <c r="L11" s="75">
        <f t="shared" si="1"/>
        <v>1</v>
      </c>
      <c r="M11" s="12"/>
    </row>
    <row r="12" spans="1:13" s="15" customFormat="1" ht="31.95" customHeight="1" x14ac:dyDescent="0.3">
      <c r="A12" s="12">
        <v>7</v>
      </c>
      <c r="B12" s="12">
        <v>17</v>
      </c>
      <c r="C12" s="12">
        <v>44</v>
      </c>
      <c r="D12" s="12">
        <v>271</v>
      </c>
      <c r="E12" s="12" t="str">
        <f t="shared" si="0"/>
        <v>17-44-271</v>
      </c>
      <c r="F12" s="64" t="str">
        <f>IFERROR(VLOOKUP(E12,'LISTA ITEMS (2)'!$E$2:$G$910,2,FALSE)," ")</f>
        <v>SELLANTE QUIMICO BLANCO</v>
      </c>
      <c r="G12" s="79" t="str">
        <f>IFERROR(VLOOKUP(E12,'LISTA ITEMS (2)'!$E$2:$G$910,3,FALSE)," ")</f>
        <v>UND</v>
      </c>
      <c r="H12" s="196">
        <v>1</v>
      </c>
      <c r="I12" s="12" t="s">
        <v>356</v>
      </c>
      <c r="J12" s="76"/>
      <c r="K12" s="72"/>
      <c r="L12" s="75">
        <f t="shared" si="1"/>
        <v>1</v>
      </c>
      <c r="M12" s="12"/>
    </row>
    <row r="13" spans="1:13" s="15" customFormat="1" ht="31.95" customHeight="1" x14ac:dyDescent="0.3">
      <c r="A13" s="12">
        <v>8</v>
      </c>
      <c r="B13" s="12">
        <v>17</v>
      </c>
      <c r="C13" s="12">
        <v>44</v>
      </c>
      <c r="D13" s="12">
        <v>272</v>
      </c>
      <c r="E13" s="12" t="str">
        <f t="shared" si="0"/>
        <v>17-44-272</v>
      </c>
      <c r="F13" s="64" t="str">
        <f>IFERROR(VLOOKUP(E13,'LISTA ITEMS (2)'!$E$2:$G$910,2,FALSE)," ")</f>
        <v>SELLANTE QUIMICO GRIS</v>
      </c>
      <c r="G13" s="79" t="str">
        <f>IFERROR(VLOOKUP(E13,'LISTA ITEMS (2)'!$E$2:$G$910,3,FALSE)," ")</f>
        <v>UND</v>
      </c>
      <c r="H13" s="196">
        <v>1</v>
      </c>
      <c r="I13" s="12" t="s">
        <v>356</v>
      </c>
      <c r="J13" s="76"/>
      <c r="K13" s="72"/>
      <c r="L13" s="75">
        <f t="shared" si="1"/>
        <v>1</v>
      </c>
      <c r="M13" s="194"/>
    </row>
    <row r="14" spans="1:13" s="15" customFormat="1" ht="31.95" customHeight="1" x14ac:dyDescent="0.3">
      <c r="A14" s="12">
        <v>9</v>
      </c>
      <c r="B14" s="12">
        <v>13</v>
      </c>
      <c r="C14" s="12">
        <v>22</v>
      </c>
      <c r="D14" s="12">
        <v>184</v>
      </c>
      <c r="E14" s="12" t="str">
        <f t="shared" si="0"/>
        <v>13-22-184</v>
      </c>
      <c r="F14" s="64" t="str">
        <f>IFERROR(VLOOKUP(E14,'LISTA ITEMS (2)'!$E$2:$G$910,2,FALSE)," ")</f>
        <v>BRIDA P/EXTERIOR NEGRA</v>
      </c>
      <c r="G14" s="79" t="str">
        <f>IFERROR(VLOOKUP(E14,'LISTA ITEMS (2)'!$E$2:$G$910,3,FALSE)," ")</f>
        <v>UND</v>
      </c>
      <c r="H14" s="196">
        <v>200</v>
      </c>
      <c r="I14" s="12" t="s">
        <v>356</v>
      </c>
      <c r="J14" s="76">
        <v>46083</v>
      </c>
      <c r="K14" s="72">
        <v>100</v>
      </c>
      <c r="L14" s="75">
        <f t="shared" si="1"/>
        <v>100</v>
      </c>
      <c r="M14" s="12"/>
    </row>
    <row r="15" spans="1:13" s="15" customFormat="1" ht="31.95" customHeight="1" x14ac:dyDescent="0.3">
      <c r="A15" s="12">
        <v>10</v>
      </c>
      <c r="B15" s="12">
        <v>3</v>
      </c>
      <c r="C15" s="12">
        <v>31</v>
      </c>
      <c r="D15" s="12">
        <v>277</v>
      </c>
      <c r="E15" s="12" t="str">
        <f t="shared" si="0"/>
        <v>3-31-277</v>
      </c>
      <c r="F15" s="64" t="str">
        <f>IFERROR(VLOOKUP(E15,'LISTA ITEMS (2)'!$E$2:$G$910,2,FALSE)," ")</f>
        <v>CABLE Nª 6 P/PLACA SOLAR NEGRO</v>
      </c>
      <c r="G15" s="79" t="str">
        <f>IFERROR(VLOOKUP(E15,'LISTA ITEMS (2)'!$E$2:$G$910,3,FALSE)," ")</f>
        <v>MT</v>
      </c>
      <c r="H15" s="196">
        <v>25</v>
      </c>
      <c r="I15" s="12" t="s">
        <v>356</v>
      </c>
      <c r="J15" s="76"/>
      <c r="K15" s="72"/>
      <c r="L15" s="75">
        <f t="shared" si="1"/>
        <v>25</v>
      </c>
      <c r="M15" s="12"/>
    </row>
    <row r="16" spans="1:13" s="15" customFormat="1" ht="31.95" customHeight="1" x14ac:dyDescent="0.3">
      <c r="A16" s="12">
        <v>11</v>
      </c>
      <c r="B16" s="12">
        <v>3</v>
      </c>
      <c r="C16" s="12">
        <v>31</v>
      </c>
      <c r="D16" s="12">
        <v>278</v>
      </c>
      <c r="E16" s="12" t="str">
        <f t="shared" si="0"/>
        <v>3-31-278</v>
      </c>
      <c r="F16" s="64" t="str">
        <f>IFERROR(VLOOKUP(E16,'LISTA ITEMS (2)'!$E$2:$G$910,2,FALSE)," ")</f>
        <v>CABLE Nª 6 P/PLACA SOLAR ROJO</v>
      </c>
      <c r="G16" s="79" t="str">
        <f>IFERROR(VLOOKUP(E16,'LISTA ITEMS (2)'!$E$2:$G$910,3,FALSE)," ")</f>
        <v>MT</v>
      </c>
      <c r="H16" s="196">
        <v>25</v>
      </c>
      <c r="I16" s="12" t="s">
        <v>356</v>
      </c>
      <c r="J16" s="72"/>
      <c r="K16" s="72"/>
      <c r="L16" s="75">
        <f t="shared" si="1"/>
        <v>25</v>
      </c>
      <c r="M16" s="12"/>
    </row>
    <row r="17" spans="1:13" s="15" customFormat="1" ht="31.95" customHeight="1" x14ac:dyDescent="0.3">
      <c r="A17" s="12">
        <v>12</v>
      </c>
      <c r="B17" s="12">
        <v>14</v>
      </c>
      <c r="C17" s="12">
        <v>24</v>
      </c>
      <c r="D17" s="12">
        <v>193</v>
      </c>
      <c r="E17" s="12" t="str">
        <f t="shared" si="0"/>
        <v>14-24-193</v>
      </c>
      <c r="F17" s="64" t="str">
        <f>IFERROR(VLOOKUP(E17,'LISTA ITEMS (2)'!$E$2:$G$910,2,FALSE)," ")</f>
        <v>DISCO CORTE ACERO/INOX A1 2EN1</v>
      </c>
      <c r="G17" s="79" t="str">
        <f>IFERROR(VLOOKUP(E17,'LISTA ITEMS (2)'!$E$2:$G$910,3,FALSE)," ")</f>
        <v>UND</v>
      </c>
      <c r="H17" s="196">
        <v>4</v>
      </c>
      <c r="I17" s="12" t="s">
        <v>356</v>
      </c>
      <c r="J17" s="76">
        <v>46083</v>
      </c>
      <c r="K17" s="72">
        <v>2</v>
      </c>
      <c r="L17" s="75">
        <f t="shared" si="1"/>
        <v>2</v>
      </c>
      <c r="M17" s="12"/>
    </row>
    <row r="18" spans="1:13" s="15" customFormat="1" ht="31.95" customHeight="1" x14ac:dyDescent="0.3">
      <c r="A18" s="12">
        <v>13</v>
      </c>
      <c r="B18" s="12">
        <v>13</v>
      </c>
      <c r="C18" s="12">
        <v>23</v>
      </c>
      <c r="D18" s="12">
        <v>186</v>
      </c>
      <c r="E18" s="12" t="str">
        <f t="shared" si="0"/>
        <v>13-23-186</v>
      </c>
      <c r="F18" s="64" t="str">
        <f>IFERROR(VLOOKUP(E18,'LISTA ITEMS (2)'!$E$2:$G$910,2,FALSE)," ")</f>
        <v>CINTA NEGRA AISLANTE PVC 50MM</v>
      </c>
      <c r="G18" s="79" t="str">
        <f>IFERROR(VLOOKUP(E18,'LISTA ITEMS (2)'!$E$2:$G$910,3,FALSE)," ")</f>
        <v>UND</v>
      </c>
      <c r="H18" s="196">
        <v>1</v>
      </c>
      <c r="I18" s="12" t="s">
        <v>356</v>
      </c>
      <c r="J18" s="76"/>
      <c r="K18" s="72"/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>
        <v>10</v>
      </c>
      <c r="C19" s="12">
        <v>15</v>
      </c>
      <c r="D19" s="12">
        <v>269</v>
      </c>
      <c r="E19" s="12" t="str">
        <f t="shared" si="0"/>
        <v>10-15-269</v>
      </c>
      <c r="F19" s="64" t="str">
        <f>IFERROR(VLOOKUP(E19,'LISTA ITEMS (2)'!$E$2:$G$910,2,FALSE)," ")</f>
        <v>BARRA ALUMINIO PARA ESTRUCTURA  3.60mt</v>
      </c>
      <c r="G19" s="79" t="str">
        <f>IFERROR(VLOOKUP(E19,'LISTA ITEMS (2)'!$E$2:$G$910,3,FALSE)," ")</f>
        <v>UND</v>
      </c>
      <c r="H19" s="196">
        <v>19</v>
      </c>
      <c r="I19" s="12" t="s">
        <v>356</v>
      </c>
      <c r="J19" s="76">
        <v>46083</v>
      </c>
      <c r="K19" s="72">
        <v>12</v>
      </c>
      <c r="L19" s="75">
        <f t="shared" si="1"/>
        <v>7</v>
      </c>
      <c r="M19" s="12"/>
    </row>
    <row r="20" spans="1:13" s="15" customFormat="1" ht="31.95" customHeight="1" x14ac:dyDescent="0.3">
      <c r="A20" s="12">
        <v>15</v>
      </c>
      <c r="B20" s="12">
        <v>3</v>
      </c>
      <c r="C20" s="12">
        <v>31</v>
      </c>
      <c r="D20" s="12">
        <v>277</v>
      </c>
      <c r="E20" s="12" t="str">
        <f t="shared" si="0"/>
        <v>3-31-277</v>
      </c>
      <c r="F20" s="64" t="str">
        <f>IFERROR(VLOOKUP(E20,'LISTA ITEMS (2)'!$E$2:$G$910,2,FALSE)," ")</f>
        <v>CABLE Nª 6 P/PLACA SOLAR NEGRO</v>
      </c>
      <c r="G20" s="79" t="str">
        <f>IFERROR(VLOOKUP(E20,'LISTA ITEMS (2)'!$E$2:$G$910,3,FALSE)," ")</f>
        <v>MT</v>
      </c>
      <c r="H20" s="196">
        <v>12</v>
      </c>
      <c r="I20" s="12" t="s">
        <v>356</v>
      </c>
      <c r="J20" s="76"/>
      <c r="K20" s="72"/>
      <c r="L20" s="75">
        <f t="shared" si="1"/>
        <v>12</v>
      </c>
      <c r="M20" s="12"/>
    </row>
    <row r="21" spans="1:13" s="15" customFormat="1" ht="31.95" customHeight="1" x14ac:dyDescent="0.3">
      <c r="A21" s="12">
        <v>14</v>
      </c>
      <c r="B21" s="12">
        <v>3</v>
      </c>
      <c r="C21" s="12">
        <v>31</v>
      </c>
      <c r="D21" s="12">
        <v>278</v>
      </c>
      <c r="E21" s="12" t="str">
        <f t="shared" si="0"/>
        <v>3-31-278</v>
      </c>
      <c r="F21" s="64" t="str">
        <f>IFERROR(VLOOKUP(E21,'LISTA ITEMS (2)'!$E$2:$G$910,2,FALSE)," ")</f>
        <v>CABLE Nª 6 P/PLACA SOLAR ROJO</v>
      </c>
      <c r="G21" s="79" t="str">
        <f>IFERROR(VLOOKUP(E21,'LISTA ITEMS (2)'!$E$2:$G$910,3,FALSE)," ")</f>
        <v>MT</v>
      </c>
      <c r="H21" s="196">
        <v>20</v>
      </c>
      <c r="I21" s="12" t="s">
        <v>356</v>
      </c>
      <c r="J21" s="76"/>
      <c r="K21" s="72"/>
      <c r="L21" s="75">
        <f t="shared" si="1"/>
        <v>20</v>
      </c>
      <c r="M21" s="12"/>
    </row>
    <row r="22" spans="1:13" s="15" customFormat="1" ht="31.95" customHeight="1" x14ac:dyDescent="0.3">
      <c r="A22" s="12">
        <v>14</v>
      </c>
      <c r="B22" s="12">
        <v>3</v>
      </c>
      <c r="C22" s="12">
        <v>31</v>
      </c>
      <c r="D22" s="12">
        <v>220</v>
      </c>
      <c r="E22" s="12" t="str">
        <f t="shared" si="0"/>
        <v>3-31-220</v>
      </c>
      <c r="F22" s="64" t="str">
        <f>IFERROR(VLOOKUP(E22,'LISTA ITEMS (2)'!$E$2:$G$910,2,FALSE)," ")</f>
        <v>CABLE Nª 10 C/ALTERNA GRIS</v>
      </c>
      <c r="G22" s="79" t="str">
        <f>IFERROR(VLOOKUP(E22,'LISTA ITEMS (2)'!$E$2:$G$910,3,FALSE)," ")</f>
        <v>MT</v>
      </c>
      <c r="H22" s="196">
        <v>20</v>
      </c>
      <c r="I22" s="12" t="s">
        <v>356</v>
      </c>
      <c r="J22" s="76"/>
      <c r="K22" s="72"/>
      <c r="L22" s="75">
        <f t="shared" si="1"/>
        <v>20</v>
      </c>
      <c r="M22" s="12"/>
    </row>
    <row r="23" spans="1:13" s="15" customFormat="1" ht="31.95" customHeight="1" x14ac:dyDescent="0.3">
      <c r="A23" s="12">
        <v>15</v>
      </c>
      <c r="B23" s="12"/>
      <c r="C23" s="12"/>
      <c r="D23" s="12"/>
      <c r="E23" s="12" t="str">
        <f t="shared" si="0"/>
        <v>--</v>
      </c>
      <c r="F23" s="64">
        <f>IFERROR(VLOOKUP(E23,'LISTA ITEMS (2)'!$E$2:$G$910,2,FALSE)," ")</f>
        <v>0</v>
      </c>
      <c r="G23" s="79">
        <f>IFERROR(VLOOKUP(E23,'LISTA ITEMS (2)'!$E$2:$G$910,3,FALSE)," ")</f>
        <v>0</v>
      </c>
      <c r="H23" s="196"/>
      <c r="I23" s="12" t="s">
        <v>356</v>
      </c>
      <c r="J23" s="76"/>
      <c r="K23" s="72"/>
      <c r="L23" s="75">
        <f t="shared" si="1"/>
        <v>0</v>
      </c>
      <c r="M23" s="12"/>
    </row>
    <row r="24" spans="1:13" s="15" customFormat="1" ht="31.95" customHeight="1" x14ac:dyDescent="0.3">
      <c r="A24" s="12">
        <v>14</v>
      </c>
      <c r="B24" s="12"/>
      <c r="C24" s="12"/>
      <c r="D24" s="12"/>
      <c r="E24" s="12" t="str">
        <f t="shared" si="0"/>
        <v>--</v>
      </c>
      <c r="F24" s="64">
        <f>IFERROR(VLOOKUP(E24,'LISTA ITEMS (2)'!$E$2:$G$910,2,FALSE)," ")</f>
        <v>0</v>
      </c>
      <c r="G24" s="79">
        <f>IFERROR(VLOOKUP(E24,'LISTA ITEMS (2)'!$E$2:$G$910,3,FALSE)," ")</f>
        <v>0</v>
      </c>
      <c r="H24" s="196"/>
      <c r="I24" s="12" t="s">
        <v>356</v>
      </c>
      <c r="J24" s="76"/>
      <c r="K24" s="72"/>
      <c r="L24" s="75">
        <f t="shared" si="1"/>
        <v>0</v>
      </c>
      <c r="M24" s="12"/>
    </row>
    <row r="25" spans="1:13" s="15" customFormat="1" ht="31.95" customHeight="1" x14ac:dyDescent="0.3">
      <c r="A25" s="12">
        <v>14</v>
      </c>
      <c r="B25" s="12"/>
      <c r="C25" s="12"/>
      <c r="D25" s="12"/>
      <c r="E25" s="12" t="str">
        <f t="shared" si="0"/>
        <v>--</v>
      </c>
      <c r="F25" s="64">
        <f>IFERROR(VLOOKUP(E25,'LISTA ITEMS (2)'!$E$2:$G$910,2,FALSE)," ")</f>
        <v>0</v>
      </c>
      <c r="G25" s="79">
        <f>IFERROR(VLOOKUP(E25,'LISTA ITEMS (2)'!$E$2:$G$910,3,FALSE)," ")</f>
        <v>0</v>
      </c>
      <c r="H25" s="196"/>
      <c r="I25" s="12" t="s">
        <v>356</v>
      </c>
      <c r="J25" s="76"/>
      <c r="K25" s="72"/>
      <c r="L25" s="75">
        <f t="shared" si="1"/>
        <v>0</v>
      </c>
      <c r="M25" s="12"/>
    </row>
    <row r="26" spans="1:13" s="15" customFormat="1" ht="31.95" customHeight="1" x14ac:dyDescent="0.3">
      <c r="A26" s="12">
        <v>15</v>
      </c>
      <c r="B26" s="12"/>
      <c r="C26" s="12"/>
      <c r="D26" s="12"/>
      <c r="E26" s="12" t="str">
        <f t="shared" si="0"/>
        <v>--</v>
      </c>
      <c r="F26" s="64">
        <f>IFERROR(VLOOKUP(E26,'LISTA ITEMS (2)'!$E$2:$G$910,2,FALSE)," ")</f>
        <v>0</v>
      </c>
      <c r="G26" s="79">
        <f>IFERROR(VLOOKUP(E26,'LISTA ITEMS (2)'!$E$2:$G$910,3,FALSE)," ")</f>
        <v>0</v>
      </c>
      <c r="H26" s="196"/>
      <c r="I26" s="12" t="s">
        <v>356</v>
      </c>
      <c r="J26" s="76"/>
      <c r="K26" s="72"/>
      <c r="L26" s="75">
        <f t="shared" si="1"/>
        <v>0</v>
      </c>
      <c r="M26" s="12"/>
    </row>
    <row r="27" spans="1:13" s="15" customFormat="1" ht="31.95" customHeight="1" x14ac:dyDescent="0.3">
      <c r="A27" s="12">
        <v>14</v>
      </c>
      <c r="B27" s="12"/>
      <c r="C27" s="12"/>
      <c r="D27" s="12"/>
      <c r="E27" s="12" t="str">
        <f t="shared" si="0"/>
        <v>--</v>
      </c>
      <c r="F27" s="64">
        <f>IFERROR(VLOOKUP(E27,'LISTA ITEMS (2)'!$E$2:$G$910,2,FALSE)," ")</f>
        <v>0</v>
      </c>
      <c r="G27" s="79">
        <f>IFERROR(VLOOKUP(E27,'LISTA ITEMS (2)'!$E$2:$G$910,3,FALSE)," ")</f>
        <v>0</v>
      </c>
      <c r="H27" s="196"/>
      <c r="I27" s="12" t="s">
        <v>356</v>
      </c>
      <c r="J27" s="76"/>
      <c r="K27" s="72"/>
      <c r="L27" s="75">
        <f t="shared" si="1"/>
        <v>0</v>
      </c>
      <c r="M27" s="12"/>
    </row>
    <row r="28" spans="1:13" s="15" customFormat="1" ht="31.95" customHeight="1" x14ac:dyDescent="0.3">
      <c r="A28" s="12">
        <v>14</v>
      </c>
      <c r="B28" s="12"/>
      <c r="C28" s="12"/>
      <c r="D28" s="12"/>
      <c r="E28" s="12" t="str">
        <f t="shared" si="0"/>
        <v>--</v>
      </c>
      <c r="F28" s="64">
        <f>IFERROR(VLOOKUP(E28,'LISTA ITEMS (2)'!$E$2:$G$910,2,FALSE)," ")</f>
        <v>0</v>
      </c>
      <c r="G28" s="79">
        <f>IFERROR(VLOOKUP(E28,'LISTA ITEMS (2)'!$E$2:$G$910,3,FALSE)," ")</f>
        <v>0</v>
      </c>
      <c r="H28" s="196"/>
      <c r="I28" s="12" t="s">
        <v>356</v>
      </c>
      <c r="J28" s="76"/>
      <c r="K28" s="72"/>
      <c r="L28" s="75">
        <f t="shared" si="1"/>
        <v>0</v>
      </c>
      <c r="M28" s="12"/>
    </row>
    <row r="29" spans="1:13" s="15" customFormat="1" ht="31.95" customHeight="1" x14ac:dyDescent="0.3">
      <c r="A29" s="12">
        <v>15</v>
      </c>
      <c r="B29" s="12"/>
      <c r="C29" s="12"/>
      <c r="D29" s="12"/>
      <c r="E29" s="12" t="str">
        <f t="shared" si="0"/>
        <v>--</v>
      </c>
      <c r="F29" s="64">
        <f>IFERROR(VLOOKUP(E29,'LISTA ITEMS (2)'!$E$2:$G$910,2,FALSE)," ")</f>
        <v>0</v>
      </c>
      <c r="G29" s="79">
        <f>IFERROR(VLOOKUP(E29,'LISTA ITEMS (2)'!$E$2:$G$910,3,FALSE)," ")</f>
        <v>0</v>
      </c>
      <c r="H29" s="196"/>
      <c r="I29" s="12" t="s">
        <v>356</v>
      </c>
      <c r="J29" s="76"/>
      <c r="K29" s="72"/>
      <c r="L29" s="75">
        <f t="shared" si="1"/>
        <v>0</v>
      </c>
      <c r="M29" s="12"/>
    </row>
    <row r="30" spans="1:13" s="15" customFormat="1" ht="31.95" customHeight="1" x14ac:dyDescent="0.3">
      <c r="A30" s="12">
        <v>14</v>
      </c>
      <c r="B30" s="12"/>
      <c r="C30" s="12"/>
      <c r="D30" s="12"/>
      <c r="E30" s="12" t="str">
        <f t="shared" si="0"/>
        <v>--</v>
      </c>
      <c r="F30" s="64">
        <f>IFERROR(VLOOKUP(E30,'LISTA ITEMS (2)'!$E$2:$G$910,2,FALSE)," ")</f>
        <v>0</v>
      </c>
      <c r="G30" s="79">
        <f>IFERROR(VLOOKUP(E30,'LISTA ITEMS (2)'!$E$2:$G$910,3,FALSE)," ")</f>
        <v>0</v>
      </c>
      <c r="H30" s="196"/>
      <c r="I30" s="12" t="s">
        <v>356</v>
      </c>
      <c r="J30" s="76"/>
      <c r="K30" s="72"/>
      <c r="L30" s="75">
        <f t="shared" si="1"/>
        <v>0</v>
      </c>
      <c r="M30" s="12"/>
    </row>
    <row r="31" spans="1:13" s="15" customFormat="1" ht="31.95" customHeight="1" x14ac:dyDescent="0.3">
      <c r="A31" s="12">
        <v>14</v>
      </c>
      <c r="B31" s="12"/>
      <c r="C31" s="12"/>
      <c r="D31" s="12"/>
      <c r="E31" s="12" t="str">
        <f t="shared" si="0"/>
        <v>--</v>
      </c>
      <c r="F31" s="64">
        <f>IFERROR(VLOOKUP(E31,'LISTA ITEMS (2)'!$E$2:$G$910,2,FALSE)," ")</f>
        <v>0</v>
      </c>
      <c r="G31" s="79">
        <f>IFERROR(VLOOKUP(E31,'LISTA ITEMS (2)'!$E$2:$G$910,3,FALSE)," ")</f>
        <v>0</v>
      </c>
      <c r="H31" s="196"/>
      <c r="I31" s="12" t="s">
        <v>356</v>
      </c>
      <c r="J31" s="76"/>
      <c r="K31" s="72"/>
      <c r="L31" s="75">
        <f t="shared" si="1"/>
        <v>0</v>
      </c>
      <c r="M31" s="12"/>
    </row>
    <row r="32" spans="1:13" s="15" customFormat="1" ht="31.95" customHeight="1" x14ac:dyDescent="0.3">
      <c r="A32" s="12">
        <v>15</v>
      </c>
      <c r="B32" s="12"/>
      <c r="C32" s="12"/>
      <c r="D32" s="12"/>
      <c r="E32" s="12" t="str">
        <f t="shared" si="0"/>
        <v>--</v>
      </c>
      <c r="F32" s="64">
        <f>IFERROR(VLOOKUP(E32,'LISTA ITEMS (2)'!$E$2:$G$910,2,FALSE)," ")</f>
        <v>0</v>
      </c>
      <c r="G32" s="79">
        <f>IFERROR(VLOOKUP(E32,'LISTA ITEMS (2)'!$E$2:$G$910,3,FALSE)," ")</f>
        <v>0</v>
      </c>
      <c r="H32" s="196"/>
      <c r="I32" s="12" t="s">
        <v>356</v>
      </c>
      <c r="J32" s="76"/>
      <c r="K32" s="72"/>
      <c r="L32" s="75">
        <f t="shared" si="1"/>
        <v>0</v>
      </c>
      <c r="M32" s="12"/>
    </row>
    <row r="33" spans="1:13" s="15" customFormat="1" ht="31.95" customHeight="1" x14ac:dyDescent="0.3">
      <c r="A33" s="12">
        <v>14</v>
      </c>
      <c r="B33" s="12"/>
      <c r="C33" s="12"/>
      <c r="D33" s="12"/>
      <c r="E33" s="12" t="str">
        <f t="shared" si="0"/>
        <v>--</v>
      </c>
      <c r="F33" s="64">
        <f>IFERROR(VLOOKUP(E33,'LISTA ITEMS (2)'!$E$2:$G$910,2,FALSE)," ")</f>
        <v>0</v>
      </c>
      <c r="G33" s="79">
        <f>IFERROR(VLOOKUP(E33,'LISTA ITEMS (2)'!$E$2:$G$910,3,FALSE)," ")</f>
        <v>0</v>
      </c>
      <c r="H33" s="196"/>
      <c r="I33" s="12" t="s">
        <v>356</v>
      </c>
      <c r="J33" s="76"/>
      <c r="K33" s="72"/>
      <c r="L33" s="75">
        <f t="shared" si="1"/>
        <v>0</v>
      </c>
      <c r="M33" s="12"/>
    </row>
    <row r="34" spans="1:13" s="15" customFormat="1" ht="31.95" customHeight="1" x14ac:dyDescent="0.3">
      <c r="A34" s="12">
        <v>14</v>
      </c>
      <c r="B34" s="12"/>
      <c r="C34" s="12"/>
      <c r="D34" s="12"/>
      <c r="E34" s="12" t="str">
        <f t="shared" si="0"/>
        <v>--</v>
      </c>
      <c r="F34" s="64">
        <f>IFERROR(VLOOKUP(E34,'LISTA ITEMS (2)'!$E$2:$G$910,2,FALSE)," ")</f>
        <v>0</v>
      </c>
      <c r="G34" s="79">
        <f>IFERROR(VLOOKUP(E34,'LISTA ITEMS (2)'!$E$2:$G$910,3,FALSE)," ")</f>
        <v>0</v>
      </c>
      <c r="H34" s="196"/>
      <c r="I34" s="12" t="s">
        <v>356</v>
      </c>
      <c r="J34" s="76"/>
      <c r="K34" s="72"/>
      <c r="L34" s="75">
        <f t="shared" si="1"/>
        <v>0</v>
      </c>
      <c r="M34" s="12"/>
    </row>
    <row r="35" spans="1:13" s="15" customFormat="1" ht="31.95" customHeight="1" x14ac:dyDescent="0.3">
      <c r="A35" s="12">
        <v>15</v>
      </c>
      <c r="B35" s="12"/>
      <c r="C35" s="12"/>
      <c r="D35" s="12"/>
      <c r="E35" s="12" t="str">
        <f t="shared" si="0"/>
        <v>--</v>
      </c>
      <c r="F35" s="64">
        <f>IFERROR(VLOOKUP(E35,'LISTA ITEMS (2)'!$E$2:$G$910,2,FALSE)," ")</f>
        <v>0</v>
      </c>
      <c r="G35" s="79">
        <f>IFERROR(VLOOKUP(E35,'LISTA ITEMS (2)'!$E$2:$G$910,3,FALSE)," ")</f>
        <v>0</v>
      </c>
      <c r="H35" s="196"/>
      <c r="I35" s="12" t="s">
        <v>356</v>
      </c>
      <c r="J35" s="76"/>
      <c r="K35" s="72"/>
      <c r="L35" s="75">
        <f t="shared" si="1"/>
        <v>0</v>
      </c>
      <c r="M35" s="12"/>
    </row>
    <row r="36" spans="1:13" s="15" customFormat="1" ht="31.95" customHeight="1" x14ac:dyDescent="0.3">
      <c r="A36" s="12">
        <v>14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15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16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17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s="15" customFormat="1" ht="31.95" customHeight="1" x14ac:dyDescent="0.3">
      <c r="A40" s="12">
        <v>18</v>
      </c>
      <c r="B40" s="12"/>
      <c r="C40" s="12"/>
      <c r="D40" s="12"/>
      <c r="E40" s="12" t="str">
        <f t="shared" si="0"/>
        <v>--</v>
      </c>
      <c r="F40" s="64">
        <f>IFERROR(VLOOKUP(E40,'LISTA ITEMS (2)'!$E$2:$G$910,2,FALSE)," ")</f>
        <v>0</v>
      </c>
      <c r="G40" s="79">
        <f>IFERROR(VLOOKUP(E40,'LISTA ITEMS (2)'!$E$2:$G$910,3,FALSE)," ")</f>
        <v>0</v>
      </c>
      <c r="H40" s="196"/>
      <c r="I40" s="12" t="s">
        <v>356</v>
      </c>
      <c r="J40" s="76"/>
      <c r="K40" s="72"/>
      <c r="L40" s="75">
        <f t="shared" si="1"/>
        <v>0</v>
      </c>
      <c r="M40" s="12"/>
    </row>
    <row r="41" spans="1:13" s="15" customFormat="1" ht="31.95" customHeight="1" x14ac:dyDescent="0.3">
      <c r="A41" s="12">
        <v>19</v>
      </c>
      <c r="B41" s="12"/>
      <c r="C41" s="12"/>
      <c r="D41" s="12"/>
      <c r="E41" s="12" t="str">
        <f t="shared" si="0"/>
        <v>--</v>
      </c>
      <c r="F41" s="64">
        <f>IFERROR(VLOOKUP(E41,'LISTA ITEMS (2)'!$E$2:$G$910,2,FALSE)," ")</f>
        <v>0</v>
      </c>
      <c r="G41" s="79">
        <f>IFERROR(VLOOKUP(E41,'LISTA ITEMS (2)'!$E$2:$G$910,3,FALSE)," ")</f>
        <v>0</v>
      </c>
      <c r="H41" s="196"/>
      <c r="I41" s="12" t="s">
        <v>356</v>
      </c>
      <c r="J41" s="76"/>
      <c r="K41" s="72"/>
      <c r="L41" s="75">
        <f t="shared" si="1"/>
        <v>0</v>
      </c>
      <c r="M41" s="12"/>
    </row>
    <row r="42" spans="1:13" s="15" customFormat="1" ht="31.95" customHeight="1" x14ac:dyDescent="0.3">
      <c r="A42" s="12">
        <v>20</v>
      </c>
      <c r="B42" s="12"/>
      <c r="C42" s="12"/>
      <c r="D42" s="12"/>
      <c r="E42" s="12" t="str">
        <f t="shared" si="0"/>
        <v>--</v>
      </c>
      <c r="F42" s="64">
        <f>IFERROR(VLOOKUP(E42,'LISTA ITEMS (2)'!$E$2:$G$910,2,FALSE)," ")</f>
        <v>0</v>
      </c>
      <c r="G42" s="79">
        <f>IFERROR(VLOOKUP(E42,'LISTA ITEMS (2)'!$E$2:$G$910,3,FALSE)," ")</f>
        <v>0</v>
      </c>
      <c r="H42" s="196"/>
      <c r="I42" s="12" t="s">
        <v>356</v>
      </c>
      <c r="J42" s="76"/>
      <c r="K42" s="72"/>
      <c r="L42" s="75">
        <f t="shared" si="1"/>
        <v>0</v>
      </c>
      <c r="M42" s="12"/>
    </row>
    <row r="43" spans="1:13" s="15" customFormat="1" ht="31.95" customHeight="1" x14ac:dyDescent="0.3">
      <c r="A43" s="12">
        <v>21</v>
      </c>
      <c r="B43" s="12"/>
      <c r="C43" s="12"/>
      <c r="D43" s="12"/>
      <c r="E43" s="12" t="str">
        <f t="shared" si="0"/>
        <v>--</v>
      </c>
      <c r="F43" s="64">
        <f>IFERROR(VLOOKUP(E43,'LISTA ITEMS (2)'!$E$2:$G$910,2,FALSE)," ")</f>
        <v>0</v>
      </c>
      <c r="G43" s="79">
        <f>IFERROR(VLOOKUP(E43,'LISTA ITEMS (2)'!$E$2:$G$910,3,FALSE)," ")</f>
        <v>0</v>
      </c>
      <c r="H43" s="196"/>
      <c r="I43" s="12" t="s">
        <v>356</v>
      </c>
      <c r="J43" s="76"/>
      <c r="K43" s="72"/>
      <c r="L43" s="75">
        <f t="shared" si="1"/>
        <v>0</v>
      </c>
      <c r="M43" s="12"/>
    </row>
    <row r="44" spans="1:13" s="15" customFormat="1" ht="31.95" customHeight="1" x14ac:dyDescent="0.3">
      <c r="A44" s="12">
        <v>22</v>
      </c>
      <c r="B44" s="12"/>
      <c r="C44" s="12"/>
      <c r="D44" s="12"/>
      <c r="E44" s="12" t="str">
        <f t="shared" si="0"/>
        <v>--</v>
      </c>
      <c r="F44" s="64">
        <f>IFERROR(VLOOKUP(E44,'LISTA ITEMS (2)'!$E$2:$G$910,2,FALSE)," ")</f>
        <v>0</v>
      </c>
      <c r="G44" s="79">
        <f>IFERROR(VLOOKUP(E44,'LISTA ITEMS (2)'!$E$2:$G$910,3,FALSE)," ")</f>
        <v>0</v>
      </c>
      <c r="H44" s="196"/>
      <c r="I44" s="12" t="s">
        <v>356</v>
      </c>
      <c r="J44" s="76"/>
      <c r="K44" s="72"/>
      <c r="L44" s="75">
        <f t="shared" si="1"/>
        <v>0</v>
      </c>
      <c r="M44" s="12"/>
    </row>
    <row r="45" spans="1:13" ht="2.4" customHeight="1" x14ac:dyDescent="0.3"/>
    <row r="46" spans="1:13" ht="69.599999999999994" customHeight="1" x14ac:dyDescent="0.3">
      <c r="A46" s="305" t="s">
        <v>686</v>
      </c>
      <c r="B46" s="306"/>
      <c r="C46" s="306"/>
      <c r="D46" s="306"/>
      <c r="E46" s="306"/>
      <c r="F46" s="306"/>
      <c r="G46" s="306"/>
      <c r="H46" s="306"/>
      <c r="I46" s="307"/>
    </row>
  </sheetData>
  <mergeCells count="13">
    <mergeCell ref="A46:I4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0694-D40C-4BE6-9BAA-275656527970}">
  <sheetPr>
    <tabColor rgb="FF92D050"/>
  </sheetPr>
  <dimension ref="A1:M46"/>
  <sheetViews>
    <sheetView tabSelected="1" zoomScale="85" zoomScaleNormal="85" workbookViewId="0">
      <pane ySplit="5" topLeftCell="A8" activePane="bottomLeft" state="frozen"/>
      <selection activeCell="B19" sqref="B19:D19"/>
      <selection pane="bottomLeft" activeCell="I11" sqref="I11"/>
    </sheetView>
  </sheetViews>
  <sheetFormatPr baseColWidth="10" defaultColWidth="11.5546875" defaultRowHeight="14.4" x14ac:dyDescent="0.3"/>
  <cols>
    <col min="1" max="1" width="4.5546875" style="55" customWidth="1"/>
    <col min="2" max="4" width="8.109375" style="55" customWidth="1"/>
    <col min="5" max="5" width="9.5546875" style="55" hidden="1" customWidth="1"/>
    <col min="6" max="6" width="45.109375" style="55" customWidth="1"/>
    <col min="7" max="7" width="7.6640625" style="56" bestFit="1" customWidth="1"/>
    <col min="8" max="8" width="8.88671875" style="55" customWidth="1"/>
    <col min="9" max="9" width="13" style="57" customWidth="1"/>
    <col min="10" max="10" width="11.5546875" style="57"/>
    <col min="11" max="11" width="12.5546875" style="55" bestFit="1" customWidth="1"/>
    <col min="12" max="12" width="11.5546875" style="55"/>
    <col min="13" max="13" width="23.109375" style="55" customWidth="1"/>
    <col min="14" max="16384" width="11.5546875" style="57"/>
  </cols>
  <sheetData>
    <row r="1" spans="1:13" s="51" customFormat="1" ht="39.6" customHeight="1" x14ac:dyDescent="0.3">
      <c r="A1" s="285" t="s">
        <v>347</v>
      </c>
      <c r="B1" s="286"/>
      <c r="C1" s="287" t="s">
        <v>346</v>
      </c>
      <c r="D1" s="288"/>
      <c r="E1" s="288"/>
      <c r="F1" s="289"/>
      <c r="G1" s="290" t="s">
        <v>354</v>
      </c>
      <c r="H1" s="290"/>
      <c r="I1" s="62">
        <v>32</v>
      </c>
      <c r="J1" s="69"/>
      <c r="K1" s="87" t="s">
        <v>468</v>
      </c>
      <c r="L1" s="87" t="s">
        <v>469</v>
      </c>
      <c r="M1" s="74"/>
    </row>
    <row r="2" spans="1:13" s="51" customFormat="1" ht="39.6" customHeight="1" x14ac:dyDescent="0.3">
      <c r="A2" s="278" t="s">
        <v>349</v>
      </c>
      <c r="B2" s="280"/>
      <c r="C2" s="282" t="s">
        <v>840</v>
      </c>
      <c r="D2" s="283"/>
      <c r="E2" s="283"/>
      <c r="F2" s="291"/>
      <c r="G2" s="292" t="s">
        <v>355</v>
      </c>
      <c r="H2" s="290"/>
      <c r="I2" s="62">
        <v>32</v>
      </c>
      <c r="J2" s="69"/>
      <c r="K2" s="110" t="s">
        <v>554</v>
      </c>
      <c r="L2" s="110" t="s">
        <v>469</v>
      </c>
      <c r="M2" s="74"/>
    </row>
    <row r="3" spans="1:13" s="51" customFormat="1" ht="39.6" customHeight="1" x14ac:dyDescent="0.3">
      <c r="A3" s="278" t="s">
        <v>258</v>
      </c>
      <c r="B3" s="280"/>
      <c r="C3" s="308" t="s">
        <v>700</v>
      </c>
      <c r="D3" s="309"/>
      <c r="E3" s="68"/>
      <c r="F3" s="61" t="s">
        <v>353</v>
      </c>
      <c r="G3" s="295" t="s">
        <v>369</v>
      </c>
      <c r="H3" s="296"/>
      <c r="I3" s="127">
        <v>46080</v>
      </c>
      <c r="J3" s="70"/>
      <c r="K3" s="74"/>
      <c r="L3" s="74"/>
      <c r="M3" s="74"/>
    </row>
    <row r="4" spans="1:13" s="51" customFormat="1" ht="39.6" customHeight="1" x14ac:dyDescent="0.3">
      <c r="A4" s="298" t="s">
        <v>540</v>
      </c>
      <c r="B4" s="299"/>
      <c r="C4" s="299"/>
      <c r="D4" s="299"/>
      <c r="E4" s="68"/>
      <c r="F4" s="300" t="s">
        <v>839</v>
      </c>
      <c r="G4" s="288"/>
      <c r="H4" s="288"/>
      <c r="I4" s="289"/>
      <c r="J4" s="70"/>
      <c r="K4" s="74"/>
      <c r="L4" s="74"/>
      <c r="M4" s="74"/>
    </row>
    <row r="5" spans="1:13" s="54" customFormat="1" ht="37.950000000000003" customHeight="1" x14ac:dyDescent="0.3">
      <c r="A5" s="63" t="s">
        <v>9</v>
      </c>
      <c r="B5" s="281" t="s">
        <v>348</v>
      </c>
      <c r="C5" s="281"/>
      <c r="D5" s="281"/>
      <c r="E5" s="52"/>
      <c r="F5" s="52" t="s">
        <v>4</v>
      </c>
      <c r="G5" s="53" t="s">
        <v>351</v>
      </c>
      <c r="H5" s="52" t="s">
        <v>265</v>
      </c>
      <c r="I5" s="58" t="s">
        <v>352</v>
      </c>
      <c r="J5" s="71" t="s">
        <v>365</v>
      </c>
      <c r="K5" s="65" t="s">
        <v>367</v>
      </c>
      <c r="L5" s="73" t="s">
        <v>366</v>
      </c>
      <c r="M5" s="52" t="s">
        <v>375</v>
      </c>
    </row>
    <row r="6" spans="1:13" s="15" customFormat="1" ht="31.95" customHeight="1" x14ac:dyDescent="0.3">
      <c r="A6" s="12">
        <v>1</v>
      </c>
      <c r="B6" s="12">
        <v>9</v>
      </c>
      <c r="C6" s="12">
        <v>32</v>
      </c>
      <c r="D6" s="12">
        <v>224</v>
      </c>
      <c r="E6" s="12" t="str">
        <f>CONCATENATE(B6,"-",C6,"-",D6)</f>
        <v>9-32-224</v>
      </c>
      <c r="F6" s="64" t="str">
        <f>IFERROR(VLOOKUP(E6,'LISTA ITEMS (2)'!$E$2:$G$910,2,FALSE)," ")</f>
        <v>CURVA PVC M-25 GRIS TIPO B</v>
      </c>
      <c r="G6" s="79" t="str">
        <f>IFERROR(VLOOKUP(E6,'LISTA ITEMS (2)'!$E$2:$G$910,3,FALSE)," ")</f>
        <v>UND</v>
      </c>
      <c r="H6" s="196">
        <v>10</v>
      </c>
      <c r="I6" s="12" t="s">
        <v>356</v>
      </c>
      <c r="J6" s="76">
        <v>46082</v>
      </c>
      <c r="K6" s="72">
        <v>3</v>
      </c>
      <c r="L6" s="75">
        <f>+H6-K6</f>
        <v>7</v>
      </c>
      <c r="M6" s="194"/>
    </row>
    <row r="7" spans="1:13" s="15" customFormat="1" ht="31.95" customHeight="1" x14ac:dyDescent="0.3">
      <c r="A7" s="12">
        <v>2</v>
      </c>
      <c r="B7" s="12">
        <v>13</v>
      </c>
      <c r="C7" s="12">
        <v>21</v>
      </c>
      <c r="D7" s="12">
        <v>181</v>
      </c>
      <c r="E7" s="12" t="str">
        <f t="shared" ref="E7:E44" si="0">CONCATENATE(B7,"-",C7,"-",D7)</f>
        <v>13-21-181</v>
      </c>
      <c r="F7" s="64" t="str">
        <f>IFERROR(VLOOKUP(E7,'LISTA ITEMS (2)'!$E$2:$G$910,2,FALSE)," ")</f>
        <v>TACO P/BRIDA NEGRO</v>
      </c>
      <c r="G7" s="79" t="str">
        <f>IFERROR(VLOOKUP(E7,'LISTA ITEMS (2)'!$E$2:$G$910,3,FALSE)," ")</f>
        <v>UND</v>
      </c>
      <c r="H7" s="196">
        <v>100</v>
      </c>
      <c r="I7" s="12" t="s">
        <v>356</v>
      </c>
      <c r="J7" s="76"/>
      <c r="K7" s="72"/>
      <c r="L7" s="75">
        <f t="shared" ref="L7:L44" si="1">+H7-K7</f>
        <v>100</v>
      </c>
      <c r="M7" s="194"/>
    </row>
    <row r="8" spans="1:13" s="15" customFormat="1" ht="31.95" customHeight="1" x14ac:dyDescent="0.3">
      <c r="A8" s="12">
        <v>3</v>
      </c>
      <c r="B8" s="12">
        <v>13</v>
      </c>
      <c r="C8" s="12">
        <v>22</v>
      </c>
      <c r="D8" s="12">
        <v>184</v>
      </c>
      <c r="E8" s="12" t="str">
        <f t="shared" si="0"/>
        <v>13-22-184</v>
      </c>
      <c r="F8" s="64" t="str">
        <f>IFERROR(VLOOKUP(E8,'LISTA ITEMS (2)'!$E$2:$G$910,2,FALSE)," ")</f>
        <v>BRIDA P/EXTERIOR NEGRA</v>
      </c>
      <c r="G8" s="79" t="str">
        <f>IFERROR(VLOOKUP(E8,'LISTA ITEMS (2)'!$E$2:$G$910,3,FALSE)," ")</f>
        <v>UND</v>
      </c>
      <c r="H8" s="196">
        <v>100</v>
      </c>
      <c r="I8" s="12" t="s">
        <v>356</v>
      </c>
      <c r="J8" s="76"/>
      <c r="K8" s="72"/>
      <c r="L8" s="75">
        <f t="shared" si="1"/>
        <v>100</v>
      </c>
      <c r="M8" s="12"/>
    </row>
    <row r="9" spans="1:13" s="15" customFormat="1" ht="31.95" customHeight="1" x14ac:dyDescent="0.3">
      <c r="A9" s="12">
        <v>4</v>
      </c>
      <c r="B9" s="12">
        <v>17</v>
      </c>
      <c r="C9" s="12">
        <v>44</v>
      </c>
      <c r="D9" s="12">
        <v>271</v>
      </c>
      <c r="E9" s="12" t="str">
        <f t="shared" si="0"/>
        <v>17-44-271</v>
      </c>
      <c r="F9" s="64" t="str">
        <f>IFERROR(VLOOKUP(E9,'LISTA ITEMS (2)'!$E$2:$G$910,2,FALSE)," ")</f>
        <v>SELLANTE QUIMICO BLANCO</v>
      </c>
      <c r="G9" s="79" t="str">
        <f>IFERROR(VLOOKUP(E9,'LISTA ITEMS (2)'!$E$2:$G$910,3,FALSE)," ")</f>
        <v>UND</v>
      </c>
      <c r="H9" s="196">
        <v>1</v>
      </c>
      <c r="I9" s="12" t="s">
        <v>356</v>
      </c>
      <c r="J9" s="76"/>
      <c r="K9" s="72"/>
      <c r="L9" s="75">
        <f t="shared" si="1"/>
        <v>1</v>
      </c>
      <c r="M9" s="12"/>
    </row>
    <row r="10" spans="1:13" s="15" customFormat="1" ht="31.95" customHeight="1" x14ac:dyDescent="0.3">
      <c r="A10" s="12">
        <v>5</v>
      </c>
      <c r="B10" s="12">
        <v>17</v>
      </c>
      <c r="C10" s="12">
        <v>44</v>
      </c>
      <c r="D10" s="12">
        <v>272</v>
      </c>
      <c r="E10" s="12" t="str">
        <f t="shared" si="0"/>
        <v>17-44-272</v>
      </c>
      <c r="F10" s="64" t="str">
        <f>IFERROR(VLOOKUP(E10,'LISTA ITEMS (2)'!$E$2:$G$910,2,FALSE)," ")</f>
        <v>SELLANTE QUIMICO GRIS</v>
      </c>
      <c r="G10" s="79" t="str">
        <f>IFERROR(VLOOKUP(E10,'LISTA ITEMS (2)'!$E$2:$G$910,3,FALSE)," ")</f>
        <v>UND</v>
      </c>
      <c r="H10" s="196">
        <v>1</v>
      </c>
      <c r="I10" s="12" t="s">
        <v>356</v>
      </c>
      <c r="J10" s="76"/>
      <c r="K10" s="72"/>
      <c r="L10" s="75">
        <f t="shared" si="1"/>
        <v>1</v>
      </c>
      <c r="M10" s="3"/>
    </row>
    <row r="11" spans="1:13" s="15" customFormat="1" ht="31.95" customHeight="1" x14ac:dyDescent="0.3">
      <c r="A11" s="12">
        <v>6</v>
      </c>
      <c r="B11" s="12">
        <v>10</v>
      </c>
      <c r="C11" s="12">
        <v>37</v>
      </c>
      <c r="D11" s="12">
        <v>330</v>
      </c>
      <c r="E11" s="12" t="str">
        <f t="shared" si="0"/>
        <v>10-37-330</v>
      </c>
      <c r="F11" s="64" t="str">
        <f>IFERROR(VLOOKUP(E11,'LISTA ITEMS (2)'!$E$2:$G$910,2,FALSE)," ")</f>
        <v>SOPORTE EN L ALUMINIO GRIS</v>
      </c>
      <c r="G11" s="79" t="str">
        <f>IFERROR(VLOOKUP(E11,'LISTA ITEMS (2)'!$E$2:$G$910,3,FALSE)," ")</f>
        <v>UND</v>
      </c>
      <c r="H11" s="196">
        <v>30</v>
      </c>
      <c r="I11" s="12" t="s">
        <v>356</v>
      </c>
      <c r="J11" s="76">
        <v>46082</v>
      </c>
      <c r="K11" s="72">
        <v>12</v>
      </c>
      <c r="L11" s="75">
        <f t="shared" si="1"/>
        <v>18</v>
      </c>
      <c r="M11" s="12"/>
    </row>
    <row r="12" spans="1:13" s="15" customFormat="1" ht="31.95" customHeight="1" x14ac:dyDescent="0.3">
      <c r="A12" s="12">
        <v>7</v>
      </c>
      <c r="B12" s="12">
        <v>10</v>
      </c>
      <c r="C12" s="12">
        <v>37</v>
      </c>
      <c r="D12" s="12">
        <v>232</v>
      </c>
      <c r="E12" s="12" t="str">
        <f t="shared" si="0"/>
        <v>10-37-232</v>
      </c>
      <c r="F12" s="64" t="str">
        <f>IFERROR(VLOOKUP(E12,'LISTA ITEMS (2)'!$E$2:$G$910,2,FALSE)," ")</f>
        <v>SOPORTE CENTRAL NEGRO</v>
      </c>
      <c r="G12" s="79" t="str">
        <f>IFERROR(VLOOKUP(E12,'LISTA ITEMS (2)'!$E$2:$G$910,3,FALSE)," ")</f>
        <v>UND</v>
      </c>
      <c r="H12" s="196">
        <v>30</v>
      </c>
      <c r="I12" s="12" t="s">
        <v>356</v>
      </c>
      <c r="J12" s="76">
        <v>46082</v>
      </c>
      <c r="K12" s="72">
        <v>20</v>
      </c>
      <c r="L12" s="75">
        <f t="shared" si="1"/>
        <v>10</v>
      </c>
      <c r="M12" s="12"/>
    </row>
    <row r="13" spans="1:13" s="15" customFormat="1" ht="31.95" customHeight="1" x14ac:dyDescent="0.3">
      <c r="A13" s="12">
        <v>8</v>
      </c>
      <c r="B13" s="12">
        <v>10</v>
      </c>
      <c r="C13" s="12">
        <v>37</v>
      </c>
      <c r="D13" s="12">
        <v>315</v>
      </c>
      <c r="E13" s="12" t="str">
        <f t="shared" si="0"/>
        <v>10-37-315</v>
      </c>
      <c r="F13" s="64" t="str">
        <f>IFERROR(VLOOKUP(E13,'LISTA ITEMS (2)'!$E$2:$G$910,2,FALSE)," ")</f>
        <v>SOPORTE FINAL NEGRO</v>
      </c>
      <c r="G13" s="79" t="str">
        <f>IFERROR(VLOOKUP(E13,'LISTA ITEMS (2)'!$E$2:$G$910,3,FALSE)," ")</f>
        <v>UND</v>
      </c>
      <c r="H13" s="196">
        <v>20</v>
      </c>
      <c r="I13" s="12" t="s">
        <v>356</v>
      </c>
      <c r="J13" s="76">
        <v>46082</v>
      </c>
      <c r="K13" s="72">
        <v>15</v>
      </c>
      <c r="L13" s="75">
        <f t="shared" si="1"/>
        <v>5</v>
      </c>
      <c r="M13" s="194"/>
    </row>
    <row r="14" spans="1:13" s="15" customFormat="1" ht="31.95" customHeight="1" x14ac:dyDescent="0.3">
      <c r="A14" s="12">
        <v>9</v>
      </c>
      <c r="B14" s="12">
        <v>10</v>
      </c>
      <c r="C14" s="12">
        <v>42</v>
      </c>
      <c r="D14" s="12">
        <v>268</v>
      </c>
      <c r="E14" s="12" t="str">
        <f t="shared" si="0"/>
        <v>10-42-268</v>
      </c>
      <c r="F14" s="64" t="str">
        <f>IFERROR(VLOOKUP(E14,'LISTA ITEMS (2)'!$E$2:$G$910,2,FALSE)," ")</f>
        <v>PATA ALUMINIO PARA ESTRUCTURA PLACA SOLAR ANGULO 30º</v>
      </c>
      <c r="G14" s="79" t="str">
        <f>IFERROR(VLOOKUP(E14,'LISTA ITEMS (2)'!$E$2:$G$910,3,FALSE)," ")</f>
        <v>UND</v>
      </c>
      <c r="H14" s="196">
        <v>7</v>
      </c>
      <c r="I14" s="12" t="s">
        <v>356</v>
      </c>
      <c r="J14" s="76">
        <v>46082</v>
      </c>
      <c r="K14" s="72">
        <v>2</v>
      </c>
      <c r="L14" s="75">
        <f t="shared" si="1"/>
        <v>5</v>
      </c>
      <c r="M14" s="12"/>
    </row>
    <row r="15" spans="1:13" s="15" customFormat="1" ht="31.95" customHeight="1" x14ac:dyDescent="0.3">
      <c r="A15" s="12">
        <v>10</v>
      </c>
      <c r="B15" s="12">
        <v>14</v>
      </c>
      <c r="C15" s="12">
        <v>24</v>
      </c>
      <c r="D15" s="12">
        <v>193</v>
      </c>
      <c r="E15" s="12" t="str">
        <f t="shared" si="0"/>
        <v>14-24-193</v>
      </c>
      <c r="F15" s="64" t="str">
        <f>IFERROR(VLOOKUP(E15,'LISTA ITEMS (2)'!$E$2:$G$910,2,FALSE)," ")</f>
        <v>DISCO CORTE ACERO/INOX A1 2EN1</v>
      </c>
      <c r="G15" s="79" t="str">
        <f>IFERROR(VLOOKUP(E15,'LISTA ITEMS (2)'!$E$2:$G$910,3,FALSE)," ")</f>
        <v>UND</v>
      </c>
      <c r="H15" s="196">
        <v>7</v>
      </c>
      <c r="I15" s="12" t="s">
        <v>356</v>
      </c>
      <c r="J15" s="76">
        <v>46082</v>
      </c>
      <c r="K15" s="72">
        <v>4</v>
      </c>
      <c r="L15" s="75">
        <f t="shared" si="1"/>
        <v>3</v>
      </c>
      <c r="M15" s="12"/>
    </row>
    <row r="16" spans="1:13" s="15" customFormat="1" ht="31.95" customHeight="1" x14ac:dyDescent="0.3">
      <c r="A16" s="12">
        <v>11</v>
      </c>
      <c r="B16" s="12">
        <v>16</v>
      </c>
      <c r="C16" s="12">
        <v>45</v>
      </c>
      <c r="D16" s="12">
        <v>276</v>
      </c>
      <c r="E16" s="12" t="str">
        <f t="shared" si="0"/>
        <v>16-45-276</v>
      </c>
      <c r="F16" s="64" t="str">
        <f>IFERROR(VLOOKUP(E16,'LISTA ITEMS (2)'!$E$2:$G$910,2,FALSE)," ")</f>
        <v>CAJA ESTANCA (COCHERA) EXTERIOR 18PT (IDE)</v>
      </c>
      <c r="G16" s="79" t="str">
        <f>IFERROR(VLOOKUP(E16,'LISTA ITEMS (2)'!$E$2:$G$910,3,FALSE)," ")</f>
        <v>UND</v>
      </c>
      <c r="H16" s="196">
        <v>1</v>
      </c>
      <c r="I16" s="12" t="s">
        <v>356</v>
      </c>
      <c r="J16" s="72"/>
      <c r="K16" s="72"/>
      <c r="L16" s="75">
        <f t="shared" si="1"/>
        <v>1</v>
      </c>
      <c r="M16" s="12"/>
    </row>
    <row r="17" spans="1:13" s="15" customFormat="1" ht="31.95" customHeight="1" x14ac:dyDescent="0.3">
      <c r="A17" s="12">
        <v>12</v>
      </c>
      <c r="B17" s="12">
        <v>16</v>
      </c>
      <c r="C17" s="12">
        <v>45</v>
      </c>
      <c r="D17" s="12">
        <v>275</v>
      </c>
      <c r="E17" s="12" t="str">
        <f t="shared" si="0"/>
        <v>16-45-275</v>
      </c>
      <c r="F17" s="64" t="str">
        <f>IFERROR(VLOOKUP(E17,'LISTA ITEMS (2)'!$E$2:$G$910,2,FALSE)," ")</f>
        <v>CAJA DISTRIBUCION INTERIOR 18 ELEM. (SOLERA)</v>
      </c>
      <c r="G17" s="79" t="str">
        <f>IFERROR(VLOOKUP(E17,'LISTA ITEMS (2)'!$E$2:$G$910,3,FALSE)," ")</f>
        <v>UND</v>
      </c>
      <c r="H17" s="196">
        <v>1</v>
      </c>
      <c r="I17" s="12" t="s">
        <v>356</v>
      </c>
      <c r="J17" s="76"/>
      <c r="K17" s="72"/>
      <c r="L17" s="75">
        <f t="shared" si="1"/>
        <v>1</v>
      </c>
      <c r="M17" s="12"/>
    </row>
    <row r="18" spans="1:13" s="15" customFormat="1" ht="31.95" customHeight="1" x14ac:dyDescent="0.3">
      <c r="A18" s="12">
        <v>13</v>
      </c>
      <c r="B18" s="12">
        <v>16</v>
      </c>
      <c r="C18" s="12">
        <v>53</v>
      </c>
      <c r="D18" s="12">
        <v>290</v>
      </c>
      <c r="E18" s="12" t="str">
        <f t="shared" si="0"/>
        <v>16-53-290</v>
      </c>
      <c r="F18" s="64" t="str">
        <f>IFERROR(VLOOKUP(E18,'LISTA ITEMS (2)'!$E$2:$G$910,2,FALSE)," ")</f>
        <v>PINCHO DE COMUNICACIÓN WIFI SHINEWILAN X2 (GROWATT)</v>
      </c>
      <c r="G18" s="79" t="str">
        <f>IFERROR(VLOOKUP(E18,'LISTA ITEMS (2)'!$E$2:$G$910,3,FALSE)," ")</f>
        <v>UND</v>
      </c>
      <c r="H18" s="196">
        <v>1</v>
      </c>
      <c r="I18" s="12" t="s">
        <v>356</v>
      </c>
      <c r="J18" s="76"/>
      <c r="K18" s="72"/>
      <c r="L18" s="75">
        <f t="shared" si="1"/>
        <v>1</v>
      </c>
      <c r="M18" s="85"/>
    </row>
    <row r="19" spans="1:13" s="15" customFormat="1" ht="31.95" customHeight="1" x14ac:dyDescent="0.3">
      <c r="A19" s="12">
        <v>14</v>
      </c>
      <c r="B19" s="12">
        <v>16</v>
      </c>
      <c r="C19" s="12">
        <v>51</v>
      </c>
      <c r="D19" s="12">
        <v>309</v>
      </c>
      <c r="E19" s="12" t="str">
        <f t="shared" si="0"/>
        <v>16-51-309</v>
      </c>
      <c r="F19" s="64" t="str">
        <f>IFERROR(VLOOKUP(E19,'LISTA ITEMS (2)'!$E$2:$G$910,2,FALSE)," ")</f>
        <v>LIMITADOR MONOFASICO EPS1 C/2 - 275-40 (MAXGE)</v>
      </c>
      <c r="G19" s="79" t="str">
        <f>IFERROR(VLOOKUP(E19,'LISTA ITEMS (2)'!$E$2:$G$910,3,FALSE)," ")</f>
        <v>UND</v>
      </c>
      <c r="H19" s="196">
        <v>1</v>
      </c>
      <c r="I19" s="12" t="s">
        <v>356</v>
      </c>
      <c r="J19" s="76"/>
      <c r="K19" s="72"/>
      <c r="L19" s="75">
        <f t="shared" si="1"/>
        <v>1</v>
      </c>
      <c r="M19" s="12"/>
    </row>
    <row r="20" spans="1:13" s="15" customFormat="1" ht="31.95" customHeight="1" x14ac:dyDescent="0.3">
      <c r="A20" s="12">
        <v>15</v>
      </c>
      <c r="B20" s="12">
        <v>16</v>
      </c>
      <c r="C20" s="12">
        <v>49</v>
      </c>
      <c r="D20" s="12">
        <v>288</v>
      </c>
      <c r="E20" s="12" t="str">
        <f t="shared" si="0"/>
        <v>16-49-288</v>
      </c>
      <c r="F20" s="64" t="str">
        <f>IFERROR(VLOOKUP(E20,'LISTA ITEMS (2)'!$E$2:$G$910,2,FALSE)," ")</f>
        <v>CONTACTOR MODULAR EPC1-6322-P7 (MAXGE)</v>
      </c>
      <c r="G20" s="79" t="str">
        <f>IFERROR(VLOOKUP(E20,'LISTA ITEMS (2)'!$E$2:$G$910,3,FALSE)," ")</f>
        <v>UND</v>
      </c>
      <c r="H20" s="196">
        <v>1</v>
      </c>
      <c r="I20" s="12" t="s">
        <v>356</v>
      </c>
      <c r="J20" s="76"/>
      <c r="K20" s="72"/>
      <c r="L20" s="75">
        <f t="shared" si="1"/>
        <v>1</v>
      </c>
      <c r="M20" s="12"/>
    </row>
    <row r="21" spans="1:13" s="15" customFormat="1" ht="31.95" customHeight="1" x14ac:dyDescent="0.3">
      <c r="A21" s="12">
        <v>14</v>
      </c>
      <c r="B21" s="12">
        <v>16</v>
      </c>
      <c r="C21" s="12">
        <v>48</v>
      </c>
      <c r="D21" s="12">
        <v>281</v>
      </c>
      <c r="E21" s="12" t="str">
        <f t="shared" si="0"/>
        <v>16-48-281</v>
      </c>
      <c r="F21" s="64" t="str">
        <f>IFERROR(VLOOKUP(E21,'LISTA ITEMS (2)'!$E$2:$G$910,2,FALSE)," ")</f>
        <v>PORTA FUSIBLE SGF-32-DC (MAXGE)</v>
      </c>
      <c r="G21" s="79" t="str">
        <f>IFERROR(VLOOKUP(E21,'LISTA ITEMS (2)'!$E$2:$G$910,3,FALSE)," ")</f>
        <v>UND</v>
      </c>
      <c r="H21" s="196">
        <v>2</v>
      </c>
      <c r="I21" s="12" t="s">
        <v>356</v>
      </c>
      <c r="J21" s="76"/>
      <c r="K21" s="72"/>
      <c r="L21" s="75">
        <f t="shared" si="1"/>
        <v>2</v>
      </c>
      <c r="M21" s="12"/>
    </row>
    <row r="22" spans="1:13" s="15" customFormat="1" ht="31.95" customHeight="1" x14ac:dyDescent="0.3">
      <c r="A22" s="12">
        <v>14</v>
      </c>
      <c r="B22" s="12">
        <v>16</v>
      </c>
      <c r="C22" s="12">
        <v>50</v>
      </c>
      <c r="D22" s="12">
        <v>283</v>
      </c>
      <c r="E22" s="12" t="str">
        <f t="shared" si="0"/>
        <v>16-50-283</v>
      </c>
      <c r="F22" s="64" t="str">
        <f>IFERROR(VLOOKUP(E22,'LISTA ITEMS (2)'!$E$2:$G$910,2,FALSE)," ")</f>
        <v>FUSIBLE 32A-1000VDC (SASSIN)</v>
      </c>
      <c r="G22" s="79" t="str">
        <f>IFERROR(VLOOKUP(E22,'LISTA ITEMS (2)'!$E$2:$G$910,3,FALSE)," ")</f>
        <v>UND</v>
      </c>
      <c r="H22" s="196">
        <v>2</v>
      </c>
      <c r="I22" s="12" t="s">
        <v>356</v>
      </c>
      <c r="J22" s="76"/>
      <c r="K22" s="72"/>
      <c r="L22" s="75">
        <f t="shared" si="1"/>
        <v>2</v>
      </c>
      <c r="M22" s="12"/>
    </row>
    <row r="23" spans="1:13" s="15" customFormat="1" ht="31.95" customHeight="1" x14ac:dyDescent="0.3">
      <c r="A23" s="12">
        <v>15</v>
      </c>
      <c r="B23" s="12">
        <v>16</v>
      </c>
      <c r="C23" s="12">
        <v>52</v>
      </c>
      <c r="D23" s="12">
        <v>292</v>
      </c>
      <c r="E23" s="12" t="str">
        <f t="shared" si="0"/>
        <v>16-52-292</v>
      </c>
      <c r="F23" s="64" t="str">
        <f>IFERROR(VLOOKUP(E23,'LISTA ITEMS (2)'!$E$2:$G$910,2,FALSE)," ")</f>
        <v>TERMICO EPBE63M1NC63M1NC40 1P+N C40 (MAXGE)</v>
      </c>
      <c r="G23" s="79" t="str">
        <f>IFERROR(VLOOKUP(E23,'LISTA ITEMS (2)'!$E$2:$G$910,3,FALSE)," ")</f>
        <v>UND</v>
      </c>
      <c r="H23" s="196">
        <v>1</v>
      </c>
      <c r="I23" s="12" t="s">
        <v>356</v>
      </c>
      <c r="J23" s="76"/>
      <c r="K23" s="72"/>
      <c r="L23" s="75">
        <f t="shared" si="1"/>
        <v>1</v>
      </c>
      <c r="M23" s="12"/>
    </row>
    <row r="24" spans="1:13" s="15" customFormat="1" ht="31.95" customHeight="1" x14ac:dyDescent="0.3">
      <c r="A24" s="12">
        <v>14</v>
      </c>
      <c r="B24" s="12">
        <v>16</v>
      </c>
      <c r="C24" s="12">
        <v>47</v>
      </c>
      <c r="D24" s="12">
        <v>318</v>
      </c>
      <c r="E24" s="12" t="str">
        <f t="shared" si="0"/>
        <v>16-47-318</v>
      </c>
      <c r="F24" s="64" t="str">
        <f>IFERROR(VLOOKUP(E24,'LISTA ITEMS (2)'!$E$2:$G$910,2,FALSE)," ")</f>
        <v>DIFERENCIAL EPR2A040030 2P-40A-30mA (MAXGE)</v>
      </c>
      <c r="G24" s="79" t="str">
        <f>IFERROR(VLOOKUP(E24,'LISTA ITEMS (2)'!$E$2:$G$910,3,FALSE)," ")</f>
        <v>UND</v>
      </c>
      <c r="H24" s="196">
        <v>1</v>
      </c>
      <c r="I24" s="12" t="s">
        <v>356</v>
      </c>
      <c r="J24" s="76"/>
      <c r="K24" s="72"/>
      <c r="L24" s="75">
        <f t="shared" si="1"/>
        <v>1</v>
      </c>
      <c r="M24" s="12"/>
    </row>
    <row r="25" spans="1:13" s="15" customFormat="1" ht="31.95" customHeight="1" x14ac:dyDescent="0.3">
      <c r="A25" s="12">
        <v>14</v>
      </c>
      <c r="B25" s="12">
        <v>9</v>
      </c>
      <c r="C25" s="12">
        <v>2</v>
      </c>
      <c r="D25" s="12">
        <v>291</v>
      </c>
      <c r="E25" s="12" t="str">
        <f t="shared" si="0"/>
        <v>9-2-291</v>
      </c>
      <c r="F25" s="64" t="str">
        <f>IFERROR(VLOOKUP(E25,'LISTA ITEMS (2)'!$E$2:$G$910,2,FALSE)," ")</f>
        <v>TUBO ELECTRICO PVC 25mm - 3mt(AISCAN)</v>
      </c>
      <c r="G25" s="79" t="str">
        <f>IFERROR(VLOOKUP(E25,'LISTA ITEMS (2)'!$E$2:$G$910,3,FALSE)," ")</f>
        <v>UND</v>
      </c>
      <c r="H25" s="196">
        <v>13</v>
      </c>
      <c r="I25" s="12" t="s">
        <v>356</v>
      </c>
      <c r="J25" s="76">
        <v>46082</v>
      </c>
      <c r="K25" s="72">
        <v>7</v>
      </c>
      <c r="L25" s="75">
        <f t="shared" si="1"/>
        <v>6</v>
      </c>
      <c r="M25" s="12"/>
    </row>
    <row r="26" spans="1:13" s="15" customFormat="1" ht="31.95" customHeight="1" x14ac:dyDescent="0.3">
      <c r="A26" s="12">
        <v>15</v>
      </c>
      <c r="B26" s="12">
        <v>9</v>
      </c>
      <c r="C26" s="12">
        <v>32</v>
      </c>
      <c r="D26" s="12">
        <v>223</v>
      </c>
      <c r="E26" s="12" t="str">
        <f t="shared" si="0"/>
        <v>9-32-223</v>
      </c>
      <c r="F26" s="64" t="str">
        <f>IFERROR(VLOOKUP(E26,'LISTA ITEMS (2)'!$E$2:$G$910,2,FALSE)," ")</f>
        <v>CURVA PVC M-25 GRIS TIPO A</v>
      </c>
      <c r="G26" s="79" t="str">
        <f>IFERROR(VLOOKUP(E26,'LISTA ITEMS (2)'!$E$2:$G$910,3,FALSE)," ")</f>
        <v>UND</v>
      </c>
      <c r="H26" s="196">
        <v>10</v>
      </c>
      <c r="I26" s="12" t="s">
        <v>356</v>
      </c>
      <c r="J26" s="76">
        <v>46082</v>
      </c>
      <c r="K26" s="72">
        <v>3</v>
      </c>
      <c r="L26" s="75">
        <f t="shared" si="1"/>
        <v>7</v>
      </c>
      <c r="M26" s="12"/>
    </row>
    <row r="27" spans="1:13" s="15" customFormat="1" ht="31.95" customHeight="1" x14ac:dyDescent="0.3">
      <c r="A27" s="12">
        <v>14</v>
      </c>
      <c r="B27" s="12">
        <v>16</v>
      </c>
      <c r="C27" s="12">
        <v>61</v>
      </c>
      <c r="D27" s="12">
        <v>331</v>
      </c>
      <c r="E27" s="12" t="str">
        <f t="shared" si="0"/>
        <v>16-61-331</v>
      </c>
      <c r="F27" s="64" t="str">
        <f>IFERROR(VLOOKUP(E27,'LISTA ITEMS (2)'!$E$2:$G$910,2,FALSE)," ")</f>
        <v>CONECTOR FOTOVOLTAICO HEMBRA M4 NEGRO</v>
      </c>
      <c r="G27" s="79" t="str">
        <f>IFERROR(VLOOKUP(E27,'LISTA ITEMS (2)'!$E$2:$G$910,3,FALSE)," ")</f>
        <v>UND</v>
      </c>
      <c r="H27" s="196">
        <v>10</v>
      </c>
      <c r="I27" s="12" t="s">
        <v>356</v>
      </c>
      <c r="J27" s="76">
        <v>46082</v>
      </c>
      <c r="K27" s="72">
        <v>4</v>
      </c>
      <c r="L27" s="75">
        <f t="shared" si="1"/>
        <v>6</v>
      </c>
      <c r="M27" s="12"/>
    </row>
    <row r="28" spans="1:13" s="15" customFormat="1" ht="31.95" customHeight="1" x14ac:dyDescent="0.3">
      <c r="A28" s="12">
        <v>14</v>
      </c>
      <c r="B28" s="12">
        <v>16</v>
      </c>
      <c r="C28" s="12">
        <v>61</v>
      </c>
      <c r="D28" s="12">
        <v>332</v>
      </c>
      <c r="E28" s="12" t="str">
        <f t="shared" si="0"/>
        <v>16-61-332</v>
      </c>
      <c r="F28" s="64" t="str">
        <f>IFERROR(VLOOKUP(E28,'LISTA ITEMS (2)'!$E$2:$G$910,2,FALSE)," ")</f>
        <v>CONECTOR FOTOVOLTAICO MACHO M4 NEGRO</v>
      </c>
      <c r="G28" s="79" t="str">
        <f>IFERROR(VLOOKUP(E28,'LISTA ITEMS (2)'!$E$2:$G$910,3,FALSE)," ")</f>
        <v>UND</v>
      </c>
      <c r="H28" s="196">
        <v>10</v>
      </c>
      <c r="I28" s="12" t="s">
        <v>356</v>
      </c>
      <c r="J28" s="76">
        <v>46082</v>
      </c>
      <c r="K28" s="72">
        <v>4</v>
      </c>
      <c r="L28" s="75">
        <f t="shared" si="1"/>
        <v>6</v>
      </c>
      <c r="M28" s="12"/>
    </row>
    <row r="29" spans="1:13" s="15" customFormat="1" ht="31.95" customHeight="1" x14ac:dyDescent="0.3">
      <c r="A29" s="12">
        <v>15</v>
      </c>
      <c r="B29" s="12">
        <v>3</v>
      </c>
      <c r="C29" s="12">
        <v>31</v>
      </c>
      <c r="D29" s="12">
        <v>277</v>
      </c>
      <c r="E29" s="12" t="str">
        <f t="shared" si="0"/>
        <v>3-31-277</v>
      </c>
      <c r="F29" s="64" t="str">
        <f>IFERROR(VLOOKUP(E29,'LISTA ITEMS (2)'!$E$2:$G$910,2,FALSE)," ")</f>
        <v>CABLE Nª 6 P/PLACA SOLAR NEGRO</v>
      </c>
      <c r="G29" s="79" t="str">
        <f>IFERROR(VLOOKUP(E29,'LISTA ITEMS (2)'!$E$2:$G$910,3,FALSE)," ")</f>
        <v>MT</v>
      </c>
      <c r="H29" s="196">
        <v>24</v>
      </c>
      <c r="I29" s="12" t="s">
        <v>356</v>
      </c>
      <c r="J29" s="76"/>
      <c r="K29" s="72"/>
      <c r="L29" s="75">
        <f t="shared" si="1"/>
        <v>24</v>
      </c>
      <c r="M29" s="12"/>
    </row>
    <row r="30" spans="1:13" s="15" customFormat="1" ht="31.95" customHeight="1" x14ac:dyDescent="0.3">
      <c r="A30" s="12">
        <v>14</v>
      </c>
      <c r="B30" s="12">
        <v>3</v>
      </c>
      <c r="C30" s="12">
        <v>31</v>
      </c>
      <c r="D30" s="12">
        <v>278</v>
      </c>
      <c r="E30" s="12" t="str">
        <f t="shared" si="0"/>
        <v>3-31-278</v>
      </c>
      <c r="F30" s="64" t="str">
        <f>IFERROR(VLOOKUP(E30,'LISTA ITEMS (2)'!$E$2:$G$910,2,FALSE)," ")</f>
        <v>CABLE Nª 6 P/PLACA SOLAR ROJO</v>
      </c>
      <c r="G30" s="79" t="str">
        <f>IFERROR(VLOOKUP(E30,'LISTA ITEMS (2)'!$E$2:$G$910,3,FALSE)," ")</f>
        <v>MT</v>
      </c>
      <c r="H30" s="196">
        <v>20</v>
      </c>
      <c r="I30" s="12" t="s">
        <v>356</v>
      </c>
      <c r="J30" s="76"/>
      <c r="K30" s="72"/>
      <c r="L30" s="75">
        <f t="shared" si="1"/>
        <v>20</v>
      </c>
      <c r="M30" s="12"/>
    </row>
    <row r="31" spans="1:13" s="15" customFormat="1" ht="31.95" customHeight="1" x14ac:dyDescent="0.3">
      <c r="A31" s="12">
        <v>14</v>
      </c>
      <c r="B31" s="12">
        <v>10</v>
      </c>
      <c r="C31" s="12">
        <v>43</v>
      </c>
      <c r="D31" s="12">
        <v>270</v>
      </c>
      <c r="E31" s="12" t="str">
        <f t="shared" si="0"/>
        <v>10-43-270</v>
      </c>
      <c r="F31" s="64" t="str">
        <f>IFERROR(VLOOKUP(E31,'LISTA ITEMS (2)'!$E$2:$G$910,2,FALSE)," ")</f>
        <v>EMPALME ALUMINIO P/BARRA</v>
      </c>
      <c r="G31" s="79" t="str">
        <f>IFERROR(VLOOKUP(E31,'LISTA ITEMS (2)'!$E$2:$G$910,3,FALSE)," ")</f>
        <v>UND</v>
      </c>
      <c r="H31" s="196">
        <v>8</v>
      </c>
      <c r="I31" s="12" t="s">
        <v>356</v>
      </c>
      <c r="J31" s="76">
        <v>46082</v>
      </c>
      <c r="K31" s="72">
        <v>4</v>
      </c>
      <c r="L31" s="75">
        <f t="shared" si="1"/>
        <v>4</v>
      </c>
      <c r="M31" s="12"/>
    </row>
    <row r="32" spans="1:13" s="15" customFormat="1" ht="31.95" customHeight="1" x14ac:dyDescent="0.3">
      <c r="A32" s="12">
        <v>15</v>
      </c>
      <c r="B32" s="12">
        <v>13</v>
      </c>
      <c r="C32" s="12">
        <v>22</v>
      </c>
      <c r="D32" s="12">
        <v>184</v>
      </c>
      <c r="E32" s="12" t="str">
        <f t="shared" si="0"/>
        <v>13-22-184</v>
      </c>
      <c r="F32" s="64" t="str">
        <f>IFERROR(VLOOKUP(E32,'LISTA ITEMS (2)'!$E$2:$G$910,2,FALSE)," ")</f>
        <v>BRIDA P/EXTERIOR NEGRA</v>
      </c>
      <c r="G32" s="79" t="str">
        <f>IFERROR(VLOOKUP(E32,'LISTA ITEMS (2)'!$E$2:$G$910,3,FALSE)," ")</f>
        <v>UND</v>
      </c>
      <c r="H32" s="196">
        <v>100</v>
      </c>
      <c r="I32" s="12" t="s">
        <v>356</v>
      </c>
      <c r="J32" s="76"/>
      <c r="K32" s="72"/>
      <c r="L32" s="75">
        <f t="shared" si="1"/>
        <v>100</v>
      </c>
      <c r="M32" s="12"/>
    </row>
    <row r="33" spans="1:13" s="15" customFormat="1" ht="31.95" customHeight="1" x14ac:dyDescent="0.3">
      <c r="A33" s="12">
        <v>14</v>
      </c>
      <c r="B33" s="12">
        <v>17</v>
      </c>
      <c r="C33" s="12">
        <v>44</v>
      </c>
      <c r="D33" s="12">
        <v>271</v>
      </c>
      <c r="E33" s="12" t="str">
        <f t="shared" si="0"/>
        <v>17-44-271</v>
      </c>
      <c r="F33" s="64" t="str">
        <f>IFERROR(VLOOKUP(E33,'LISTA ITEMS (2)'!$E$2:$G$910,2,FALSE)," ")</f>
        <v>SELLANTE QUIMICO BLANCO</v>
      </c>
      <c r="G33" s="79" t="str">
        <f>IFERROR(VLOOKUP(E33,'LISTA ITEMS (2)'!$E$2:$G$910,3,FALSE)," ")</f>
        <v>UND</v>
      </c>
      <c r="H33" s="196">
        <v>1</v>
      </c>
      <c r="I33" s="12" t="s">
        <v>356</v>
      </c>
      <c r="J33" s="76"/>
      <c r="K33" s="72"/>
      <c r="L33" s="75">
        <f t="shared" si="1"/>
        <v>1</v>
      </c>
      <c r="M33" s="12"/>
    </row>
    <row r="34" spans="1:13" s="15" customFormat="1" ht="31.95" customHeight="1" x14ac:dyDescent="0.3">
      <c r="A34" s="12">
        <v>14</v>
      </c>
      <c r="B34" s="12">
        <v>17</v>
      </c>
      <c r="C34" s="12">
        <v>44</v>
      </c>
      <c r="D34" s="12">
        <v>272</v>
      </c>
      <c r="E34" s="12" t="str">
        <f t="shared" si="0"/>
        <v>17-44-272</v>
      </c>
      <c r="F34" s="64" t="str">
        <f>IFERROR(VLOOKUP(E34,'LISTA ITEMS (2)'!$E$2:$G$910,2,FALSE)," ")</f>
        <v>SELLANTE QUIMICO GRIS</v>
      </c>
      <c r="G34" s="79" t="str">
        <f>IFERROR(VLOOKUP(E34,'LISTA ITEMS (2)'!$E$2:$G$910,3,FALSE)," ")</f>
        <v>UND</v>
      </c>
      <c r="H34" s="196">
        <v>1</v>
      </c>
      <c r="I34" s="12" t="s">
        <v>356</v>
      </c>
      <c r="J34" s="76"/>
      <c r="K34" s="72"/>
      <c r="L34" s="75">
        <f t="shared" si="1"/>
        <v>1</v>
      </c>
      <c r="M34" s="12"/>
    </row>
    <row r="35" spans="1:13" s="15" customFormat="1" ht="31.95" customHeight="1" x14ac:dyDescent="0.3">
      <c r="A35" s="12">
        <v>15</v>
      </c>
      <c r="B35" s="12">
        <v>10</v>
      </c>
      <c r="C35" s="12">
        <v>15</v>
      </c>
      <c r="D35" s="12">
        <v>269</v>
      </c>
      <c r="E35" s="12" t="str">
        <f t="shared" si="0"/>
        <v>10-15-269</v>
      </c>
      <c r="F35" s="64" t="str">
        <f>IFERROR(VLOOKUP(E35,'LISTA ITEMS (2)'!$E$2:$G$910,2,FALSE)," ")</f>
        <v>BARRA ALUMINIO PARA ESTRUCTURA  3.60mt</v>
      </c>
      <c r="G35" s="79" t="str">
        <f>IFERROR(VLOOKUP(E35,'LISTA ITEMS (2)'!$E$2:$G$910,3,FALSE)," ")</f>
        <v>UND</v>
      </c>
      <c r="H35" s="196">
        <v>7</v>
      </c>
      <c r="I35" s="12" t="s">
        <v>356</v>
      </c>
      <c r="J35" s="76">
        <v>46082</v>
      </c>
      <c r="K35" s="72">
        <v>4</v>
      </c>
      <c r="L35" s="75">
        <f t="shared" si="1"/>
        <v>3</v>
      </c>
      <c r="M35" s="12"/>
    </row>
    <row r="36" spans="1:13" s="15" customFormat="1" ht="31.95" customHeight="1" x14ac:dyDescent="0.3">
      <c r="A36" s="12">
        <v>14</v>
      </c>
      <c r="B36" s="12"/>
      <c r="C36" s="12"/>
      <c r="D36" s="12"/>
      <c r="E36" s="12" t="str">
        <f t="shared" si="0"/>
        <v>--</v>
      </c>
      <c r="F36" s="64">
        <f>IFERROR(VLOOKUP(E36,'LISTA ITEMS (2)'!$E$2:$G$910,2,FALSE)," ")</f>
        <v>0</v>
      </c>
      <c r="G36" s="79">
        <f>IFERROR(VLOOKUP(E36,'LISTA ITEMS (2)'!$E$2:$G$910,3,FALSE)," ")</f>
        <v>0</v>
      </c>
      <c r="H36" s="196"/>
      <c r="I36" s="12" t="s">
        <v>356</v>
      </c>
      <c r="J36" s="76"/>
      <c r="K36" s="72"/>
      <c r="L36" s="75">
        <f t="shared" si="1"/>
        <v>0</v>
      </c>
      <c r="M36" s="12"/>
    </row>
    <row r="37" spans="1:13" s="15" customFormat="1" ht="31.95" customHeight="1" x14ac:dyDescent="0.3">
      <c r="A37" s="12">
        <v>15</v>
      </c>
      <c r="B37" s="12"/>
      <c r="C37" s="12"/>
      <c r="D37" s="12"/>
      <c r="E37" s="12" t="str">
        <f t="shared" si="0"/>
        <v>--</v>
      </c>
      <c r="F37" s="64">
        <f>IFERROR(VLOOKUP(E37,'LISTA ITEMS (2)'!$E$2:$G$910,2,FALSE)," ")</f>
        <v>0</v>
      </c>
      <c r="G37" s="79">
        <f>IFERROR(VLOOKUP(E37,'LISTA ITEMS (2)'!$E$2:$G$910,3,FALSE)," ")</f>
        <v>0</v>
      </c>
      <c r="H37" s="196"/>
      <c r="I37" s="12" t="s">
        <v>356</v>
      </c>
      <c r="J37" s="76"/>
      <c r="K37" s="72"/>
      <c r="L37" s="75">
        <f t="shared" si="1"/>
        <v>0</v>
      </c>
      <c r="M37" s="12"/>
    </row>
    <row r="38" spans="1:13" s="15" customFormat="1" ht="31.95" customHeight="1" x14ac:dyDescent="0.3">
      <c r="A38" s="12">
        <v>16</v>
      </c>
      <c r="B38" s="12"/>
      <c r="C38" s="12"/>
      <c r="D38" s="12"/>
      <c r="E38" s="12" t="str">
        <f t="shared" si="0"/>
        <v>--</v>
      </c>
      <c r="F38" s="64">
        <f>IFERROR(VLOOKUP(E38,'LISTA ITEMS (2)'!$E$2:$G$910,2,FALSE)," ")</f>
        <v>0</v>
      </c>
      <c r="G38" s="79">
        <f>IFERROR(VLOOKUP(E38,'LISTA ITEMS (2)'!$E$2:$G$910,3,FALSE)," ")</f>
        <v>0</v>
      </c>
      <c r="H38" s="196"/>
      <c r="I38" s="12" t="s">
        <v>356</v>
      </c>
      <c r="J38" s="76"/>
      <c r="K38" s="72"/>
      <c r="L38" s="75">
        <f t="shared" si="1"/>
        <v>0</v>
      </c>
      <c r="M38" s="12"/>
    </row>
    <row r="39" spans="1:13" s="15" customFormat="1" ht="31.95" customHeight="1" x14ac:dyDescent="0.3">
      <c r="A39" s="12">
        <v>17</v>
      </c>
      <c r="B39" s="12"/>
      <c r="C39" s="12"/>
      <c r="D39" s="12"/>
      <c r="E39" s="12" t="str">
        <f t="shared" si="0"/>
        <v>--</v>
      </c>
      <c r="F39" s="64">
        <f>IFERROR(VLOOKUP(E39,'LISTA ITEMS (2)'!$E$2:$G$910,2,FALSE)," ")</f>
        <v>0</v>
      </c>
      <c r="G39" s="79">
        <f>IFERROR(VLOOKUP(E39,'LISTA ITEMS (2)'!$E$2:$G$910,3,FALSE)," ")</f>
        <v>0</v>
      </c>
      <c r="H39" s="196"/>
      <c r="I39" s="12" t="s">
        <v>356</v>
      </c>
      <c r="J39" s="76"/>
      <c r="K39" s="72"/>
      <c r="L39" s="75">
        <f t="shared" si="1"/>
        <v>0</v>
      </c>
      <c r="M39" s="12"/>
    </row>
    <row r="40" spans="1:13" s="15" customFormat="1" ht="31.95" customHeight="1" x14ac:dyDescent="0.3">
      <c r="A40" s="12">
        <v>18</v>
      </c>
      <c r="B40" s="12"/>
      <c r="C40" s="12"/>
      <c r="D40" s="12"/>
      <c r="E40" s="12" t="str">
        <f t="shared" si="0"/>
        <v>--</v>
      </c>
      <c r="F40" s="64">
        <f>IFERROR(VLOOKUP(E40,'LISTA ITEMS (2)'!$E$2:$G$910,2,FALSE)," ")</f>
        <v>0</v>
      </c>
      <c r="G40" s="79">
        <f>IFERROR(VLOOKUP(E40,'LISTA ITEMS (2)'!$E$2:$G$910,3,FALSE)," ")</f>
        <v>0</v>
      </c>
      <c r="H40" s="196"/>
      <c r="I40" s="12" t="s">
        <v>356</v>
      </c>
      <c r="J40" s="76"/>
      <c r="K40" s="72"/>
      <c r="L40" s="75">
        <f t="shared" si="1"/>
        <v>0</v>
      </c>
      <c r="M40" s="12"/>
    </row>
    <row r="41" spans="1:13" s="15" customFormat="1" ht="31.95" customHeight="1" x14ac:dyDescent="0.3">
      <c r="A41" s="12">
        <v>19</v>
      </c>
      <c r="B41" s="12"/>
      <c r="C41" s="12"/>
      <c r="D41" s="12"/>
      <c r="E41" s="12" t="str">
        <f t="shared" si="0"/>
        <v>--</v>
      </c>
      <c r="F41" s="64">
        <f>IFERROR(VLOOKUP(E41,'LISTA ITEMS (2)'!$E$2:$G$910,2,FALSE)," ")</f>
        <v>0</v>
      </c>
      <c r="G41" s="79">
        <f>IFERROR(VLOOKUP(E41,'LISTA ITEMS (2)'!$E$2:$G$910,3,FALSE)," ")</f>
        <v>0</v>
      </c>
      <c r="H41" s="196"/>
      <c r="I41" s="12" t="s">
        <v>356</v>
      </c>
      <c r="J41" s="76"/>
      <c r="K41" s="72"/>
      <c r="L41" s="75">
        <f t="shared" si="1"/>
        <v>0</v>
      </c>
      <c r="M41" s="12"/>
    </row>
    <row r="42" spans="1:13" s="15" customFormat="1" ht="31.95" customHeight="1" x14ac:dyDescent="0.3">
      <c r="A42" s="12">
        <v>20</v>
      </c>
      <c r="B42" s="12"/>
      <c r="C42" s="12"/>
      <c r="D42" s="12"/>
      <c r="E42" s="12" t="str">
        <f t="shared" si="0"/>
        <v>--</v>
      </c>
      <c r="F42" s="64">
        <f>IFERROR(VLOOKUP(E42,'LISTA ITEMS (2)'!$E$2:$G$910,2,FALSE)," ")</f>
        <v>0</v>
      </c>
      <c r="G42" s="79">
        <f>IFERROR(VLOOKUP(E42,'LISTA ITEMS (2)'!$E$2:$G$910,3,FALSE)," ")</f>
        <v>0</v>
      </c>
      <c r="H42" s="196"/>
      <c r="I42" s="12" t="s">
        <v>356</v>
      </c>
      <c r="J42" s="76"/>
      <c r="K42" s="72"/>
      <c r="L42" s="75">
        <f t="shared" si="1"/>
        <v>0</v>
      </c>
      <c r="M42" s="12"/>
    </row>
    <row r="43" spans="1:13" s="15" customFormat="1" ht="31.95" customHeight="1" x14ac:dyDescent="0.3">
      <c r="A43" s="12">
        <v>21</v>
      </c>
      <c r="B43" s="12"/>
      <c r="C43" s="12"/>
      <c r="D43" s="12"/>
      <c r="E43" s="12" t="str">
        <f t="shared" si="0"/>
        <v>--</v>
      </c>
      <c r="F43" s="64">
        <f>IFERROR(VLOOKUP(E43,'LISTA ITEMS (2)'!$E$2:$G$910,2,FALSE)," ")</f>
        <v>0</v>
      </c>
      <c r="G43" s="79">
        <f>IFERROR(VLOOKUP(E43,'LISTA ITEMS (2)'!$E$2:$G$910,3,FALSE)," ")</f>
        <v>0</v>
      </c>
      <c r="H43" s="196"/>
      <c r="I43" s="12" t="s">
        <v>356</v>
      </c>
      <c r="J43" s="76"/>
      <c r="K43" s="72"/>
      <c r="L43" s="75">
        <f t="shared" si="1"/>
        <v>0</v>
      </c>
      <c r="M43" s="12"/>
    </row>
    <row r="44" spans="1:13" s="15" customFormat="1" ht="31.95" customHeight="1" x14ac:dyDescent="0.3">
      <c r="A44" s="12">
        <v>22</v>
      </c>
      <c r="B44" s="12"/>
      <c r="C44" s="12"/>
      <c r="D44" s="12"/>
      <c r="E44" s="12" t="str">
        <f t="shared" si="0"/>
        <v>--</v>
      </c>
      <c r="F44" s="64">
        <f>IFERROR(VLOOKUP(E44,'LISTA ITEMS (2)'!$E$2:$G$910,2,FALSE)," ")</f>
        <v>0</v>
      </c>
      <c r="G44" s="79">
        <f>IFERROR(VLOOKUP(E44,'LISTA ITEMS (2)'!$E$2:$G$910,3,FALSE)," ")</f>
        <v>0</v>
      </c>
      <c r="H44" s="196"/>
      <c r="I44" s="12" t="s">
        <v>356</v>
      </c>
      <c r="J44" s="76"/>
      <c r="K44" s="72"/>
      <c r="L44" s="75">
        <f t="shared" si="1"/>
        <v>0</v>
      </c>
      <c r="M44" s="12"/>
    </row>
    <row r="45" spans="1:13" ht="2.4" customHeight="1" x14ac:dyDescent="0.3"/>
    <row r="46" spans="1:13" ht="69.599999999999994" customHeight="1" x14ac:dyDescent="0.3">
      <c r="A46" s="305" t="s">
        <v>686</v>
      </c>
      <c r="B46" s="306"/>
      <c r="C46" s="306"/>
      <c r="D46" s="306"/>
      <c r="E46" s="306"/>
      <c r="F46" s="306"/>
      <c r="G46" s="306"/>
      <c r="H46" s="306"/>
      <c r="I46" s="307"/>
    </row>
  </sheetData>
  <mergeCells count="13">
    <mergeCell ref="A46:I4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23F3-3D1A-4F27-86F6-5894E7E8B595}">
  <dimension ref="A1:T462"/>
  <sheetViews>
    <sheetView topLeftCell="A259" zoomScale="85" zoomScaleNormal="85" workbookViewId="0">
      <selection activeCell="E270" sqref="E270:G270"/>
    </sheetView>
  </sheetViews>
  <sheetFormatPr baseColWidth="10" defaultColWidth="11.5546875" defaultRowHeight="14.4" x14ac:dyDescent="0.3"/>
  <cols>
    <col min="1" max="1" width="5.88671875" style="33" bestFit="1" customWidth="1"/>
    <col min="2" max="2" width="18.6640625" style="33" bestFit="1" customWidth="1"/>
    <col min="3" max="3" width="20.109375" style="33" bestFit="1" customWidth="1"/>
    <col min="4" max="4" width="36" style="34" customWidth="1"/>
    <col min="5" max="7" width="8" style="33" customWidth="1"/>
    <col min="8" max="8" width="13" style="33" customWidth="1"/>
    <col min="9" max="9" width="38.88671875" style="2" customWidth="1"/>
    <col min="10" max="10" width="11.5546875" style="35"/>
    <col min="11" max="11" width="11.5546875" style="37"/>
    <col min="12" max="12" width="15.44140625" style="15" bestFit="1" customWidth="1"/>
    <col min="13" max="16384" width="11.5546875" style="15"/>
  </cols>
  <sheetData>
    <row r="1" spans="1:12" s="2" customFormat="1" ht="28.8" x14ac:dyDescent="0.3">
      <c r="A1" s="6" t="s">
        <v>9</v>
      </c>
      <c r="B1" s="6" t="s">
        <v>0</v>
      </c>
      <c r="C1" s="6" t="s">
        <v>1</v>
      </c>
      <c r="D1" s="6" t="s">
        <v>2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</v>
      </c>
      <c r="J1" s="4" t="s">
        <v>5</v>
      </c>
      <c r="K1" s="10" t="s">
        <v>47</v>
      </c>
      <c r="L1" s="5" t="s">
        <v>48</v>
      </c>
    </row>
    <row r="2" spans="1:12" x14ac:dyDescent="0.3">
      <c r="A2" s="8">
        <v>1</v>
      </c>
      <c r="B2" s="8" t="s">
        <v>98</v>
      </c>
      <c r="C2" s="8" t="s">
        <v>19</v>
      </c>
      <c r="D2" s="11"/>
      <c r="E2" s="12"/>
      <c r="F2" s="12"/>
      <c r="G2" s="12">
        <v>1</v>
      </c>
      <c r="H2" s="12" t="str">
        <f>CONCATENATE(E2,"-",F2,"-",G2)</f>
        <v>--1</v>
      </c>
      <c r="I2" s="18"/>
      <c r="J2" s="14"/>
      <c r="K2" s="36"/>
      <c r="L2" s="13"/>
    </row>
    <row r="3" spans="1:12" x14ac:dyDescent="0.3">
      <c r="A3" s="8">
        <v>2</v>
      </c>
      <c r="B3" s="8" t="s">
        <v>10</v>
      </c>
      <c r="C3" s="8" t="s">
        <v>20</v>
      </c>
      <c r="D3" s="11"/>
      <c r="E3" s="12"/>
      <c r="F3" s="12"/>
      <c r="G3" s="12">
        <v>2</v>
      </c>
      <c r="H3" s="12" t="str">
        <f t="shared" ref="H3:H66" si="0">CONCATENATE(E3,"-",F3,"-",G3)</f>
        <v>--2</v>
      </c>
      <c r="I3" s="18"/>
      <c r="J3" s="14"/>
      <c r="K3" s="36"/>
      <c r="L3" s="13"/>
    </row>
    <row r="4" spans="1:12" x14ac:dyDescent="0.3">
      <c r="A4" s="8">
        <v>3</v>
      </c>
      <c r="B4" s="8" t="s">
        <v>11</v>
      </c>
      <c r="C4" s="8" t="s">
        <v>21</v>
      </c>
      <c r="D4" s="11"/>
      <c r="E4" s="12"/>
      <c r="F4" s="12"/>
      <c r="G4" s="12">
        <v>3</v>
      </c>
      <c r="H4" s="12" t="str">
        <f t="shared" si="0"/>
        <v>--3</v>
      </c>
      <c r="I4" s="18"/>
      <c r="J4" s="14"/>
      <c r="K4" s="36"/>
      <c r="L4" s="13"/>
    </row>
    <row r="5" spans="1:12" x14ac:dyDescent="0.3">
      <c r="A5" s="8">
        <v>4</v>
      </c>
      <c r="B5" s="8" t="s">
        <v>12</v>
      </c>
      <c r="C5" s="8" t="s">
        <v>23</v>
      </c>
      <c r="D5" s="11"/>
      <c r="E5" s="12"/>
      <c r="F5" s="12"/>
      <c r="G5" s="12">
        <v>4</v>
      </c>
      <c r="H5" s="12" t="str">
        <f t="shared" si="0"/>
        <v>--4</v>
      </c>
      <c r="I5" s="18"/>
      <c r="J5" s="14"/>
      <c r="K5" s="36"/>
      <c r="L5" s="13"/>
    </row>
    <row r="6" spans="1:12" x14ac:dyDescent="0.3">
      <c r="A6" s="8">
        <v>5</v>
      </c>
      <c r="B6" s="8" t="s">
        <v>13</v>
      </c>
      <c r="C6" s="8" t="s">
        <v>24</v>
      </c>
      <c r="D6" s="11"/>
      <c r="E6" s="12"/>
      <c r="F6" s="12"/>
      <c r="G6" s="12">
        <v>5</v>
      </c>
      <c r="H6" s="12" t="str">
        <f t="shared" si="0"/>
        <v>--5</v>
      </c>
      <c r="I6" s="18"/>
      <c r="J6" s="14"/>
      <c r="K6" s="36"/>
      <c r="L6" s="13"/>
    </row>
    <row r="7" spans="1:12" x14ac:dyDescent="0.3">
      <c r="A7" s="8">
        <v>6</v>
      </c>
      <c r="B7" s="8" t="s">
        <v>14</v>
      </c>
      <c r="C7" s="8" t="s">
        <v>25</v>
      </c>
      <c r="D7" s="11"/>
      <c r="E7" s="12"/>
      <c r="F7" s="12"/>
      <c r="G7" s="12">
        <v>6</v>
      </c>
      <c r="H7" s="12" t="str">
        <f t="shared" si="0"/>
        <v>--6</v>
      </c>
      <c r="I7" s="18"/>
      <c r="J7" s="14"/>
      <c r="K7" s="36"/>
      <c r="L7" s="13"/>
    </row>
    <row r="8" spans="1:12" x14ac:dyDescent="0.3">
      <c r="A8" s="8">
        <v>7</v>
      </c>
      <c r="B8" s="8" t="s">
        <v>15</v>
      </c>
      <c r="C8" s="8" t="s">
        <v>26</v>
      </c>
      <c r="D8" s="11"/>
      <c r="E8" s="12"/>
      <c r="F8" s="12"/>
      <c r="G8" s="12">
        <v>7</v>
      </c>
      <c r="H8" s="12" t="str">
        <f t="shared" si="0"/>
        <v>--7</v>
      </c>
      <c r="I8" s="18"/>
      <c r="J8" s="14"/>
      <c r="K8" s="36"/>
      <c r="L8" s="13"/>
    </row>
    <row r="9" spans="1:12" x14ac:dyDescent="0.3">
      <c r="A9" s="8">
        <v>8</v>
      </c>
      <c r="B9" s="8" t="s">
        <v>16</v>
      </c>
      <c r="C9" s="8" t="s">
        <v>27</v>
      </c>
      <c r="D9" s="11"/>
      <c r="E9" s="12"/>
      <c r="F9" s="12"/>
      <c r="G9" s="12">
        <v>8</v>
      </c>
      <c r="H9" s="12" t="str">
        <f t="shared" si="0"/>
        <v>--8</v>
      </c>
      <c r="I9" s="18"/>
      <c r="J9" s="14"/>
      <c r="K9" s="36"/>
      <c r="L9" s="13"/>
    </row>
    <row r="10" spans="1:12" x14ac:dyDescent="0.3">
      <c r="A10" s="8">
        <v>9</v>
      </c>
      <c r="B10" s="8" t="s">
        <v>22</v>
      </c>
      <c r="C10" s="8" t="s">
        <v>28</v>
      </c>
      <c r="D10" s="11"/>
      <c r="E10" s="12"/>
      <c r="F10" s="12"/>
      <c r="G10" s="12">
        <v>9</v>
      </c>
      <c r="H10" s="12" t="str">
        <f t="shared" si="0"/>
        <v>--9</v>
      </c>
      <c r="I10" s="18"/>
      <c r="J10" s="14"/>
      <c r="K10" s="36"/>
      <c r="L10" s="13"/>
    </row>
    <row r="11" spans="1:12" x14ac:dyDescent="0.3">
      <c r="A11" s="8">
        <v>10</v>
      </c>
      <c r="B11" s="8" t="s">
        <v>17</v>
      </c>
      <c r="C11" s="8" t="s">
        <v>29</v>
      </c>
      <c r="D11" s="11"/>
      <c r="E11" s="12"/>
      <c r="F11" s="12"/>
      <c r="G11" s="12">
        <v>10</v>
      </c>
      <c r="H11" s="12" t="str">
        <f t="shared" si="0"/>
        <v>--10</v>
      </c>
      <c r="I11" s="18"/>
      <c r="J11" s="14"/>
      <c r="K11" s="36"/>
      <c r="L11" s="13"/>
    </row>
    <row r="12" spans="1:12" x14ac:dyDescent="0.3">
      <c r="A12" s="8">
        <v>11</v>
      </c>
      <c r="B12" s="8" t="s">
        <v>18</v>
      </c>
      <c r="C12" s="8" t="s">
        <v>30</v>
      </c>
      <c r="D12" s="11"/>
      <c r="E12" s="12"/>
      <c r="F12" s="12"/>
      <c r="G12" s="12">
        <v>11</v>
      </c>
      <c r="H12" s="12" t="str">
        <f t="shared" si="0"/>
        <v>--11</v>
      </c>
      <c r="I12" s="18"/>
      <c r="J12" s="14"/>
      <c r="K12" s="36"/>
      <c r="L12" s="13"/>
    </row>
    <row r="13" spans="1:12" x14ac:dyDescent="0.3">
      <c r="A13" s="8">
        <v>12</v>
      </c>
      <c r="B13" s="8" t="s">
        <v>46</v>
      </c>
      <c r="C13" s="8" t="s">
        <v>31</v>
      </c>
      <c r="D13" s="11"/>
      <c r="E13" s="12"/>
      <c r="F13" s="12"/>
      <c r="G13" s="12">
        <v>12</v>
      </c>
      <c r="H13" s="12" t="str">
        <f t="shared" si="0"/>
        <v>--12</v>
      </c>
      <c r="I13" s="18"/>
      <c r="J13" s="14"/>
      <c r="K13" s="36"/>
      <c r="L13" s="13"/>
    </row>
    <row r="14" spans="1:12" x14ac:dyDescent="0.3">
      <c r="A14" s="8">
        <v>13</v>
      </c>
      <c r="B14" s="8" t="s">
        <v>50</v>
      </c>
      <c r="C14" s="8" t="s">
        <v>32</v>
      </c>
      <c r="D14" s="11"/>
      <c r="E14" s="12"/>
      <c r="F14" s="12"/>
      <c r="G14" s="12">
        <v>13</v>
      </c>
      <c r="H14" s="12" t="str">
        <f t="shared" si="0"/>
        <v>--13</v>
      </c>
      <c r="I14" s="18"/>
      <c r="J14" s="14"/>
      <c r="K14" s="36"/>
      <c r="L14" s="13"/>
    </row>
    <row r="15" spans="1:12" x14ac:dyDescent="0.3">
      <c r="A15" s="8">
        <v>14</v>
      </c>
      <c r="B15" s="8" t="s">
        <v>70</v>
      </c>
      <c r="C15" s="8" t="s">
        <v>33</v>
      </c>
      <c r="D15" s="11"/>
      <c r="E15" s="12"/>
      <c r="F15" s="12"/>
      <c r="G15" s="12">
        <v>14</v>
      </c>
      <c r="H15" s="12" t="str">
        <f t="shared" si="0"/>
        <v>--14</v>
      </c>
      <c r="I15" s="18"/>
      <c r="J15" s="14"/>
      <c r="K15" s="36"/>
      <c r="L15" s="13"/>
    </row>
    <row r="16" spans="1:12" x14ac:dyDescent="0.3">
      <c r="A16" s="8">
        <v>15</v>
      </c>
      <c r="B16" s="8" t="s">
        <v>75</v>
      </c>
      <c r="C16" s="8" t="s">
        <v>34</v>
      </c>
      <c r="D16" s="11"/>
      <c r="E16" s="12"/>
      <c r="F16" s="12"/>
      <c r="G16" s="12">
        <v>15</v>
      </c>
      <c r="H16" s="12" t="str">
        <f t="shared" si="0"/>
        <v>--15</v>
      </c>
      <c r="I16" s="18"/>
      <c r="J16" s="14"/>
      <c r="K16" s="36"/>
      <c r="L16" s="13"/>
    </row>
    <row r="17" spans="1:12" x14ac:dyDescent="0.3">
      <c r="A17" s="8">
        <v>16</v>
      </c>
      <c r="B17" s="8" t="s">
        <v>125</v>
      </c>
      <c r="C17" s="8" t="s">
        <v>35</v>
      </c>
      <c r="D17" s="11"/>
      <c r="E17" s="12"/>
      <c r="F17" s="12"/>
      <c r="G17" s="12">
        <v>16</v>
      </c>
      <c r="H17" s="12" t="str">
        <f t="shared" si="0"/>
        <v>--16</v>
      </c>
      <c r="I17" s="18"/>
      <c r="J17" s="14"/>
      <c r="K17" s="36"/>
      <c r="L17" s="13"/>
    </row>
    <row r="18" spans="1:12" x14ac:dyDescent="0.3">
      <c r="A18" s="8">
        <v>17</v>
      </c>
      <c r="B18" s="8"/>
      <c r="C18" s="8" t="s">
        <v>36</v>
      </c>
      <c r="D18" s="11"/>
      <c r="E18" s="12"/>
      <c r="F18" s="12"/>
      <c r="G18" s="12">
        <v>17</v>
      </c>
      <c r="H18" s="12" t="str">
        <f t="shared" si="0"/>
        <v>--17</v>
      </c>
      <c r="I18" s="18"/>
      <c r="J18" s="14"/>
      <c r="K18" s="36"/>
      <c r="L18" s="13"/>
    </row>
    <row r="19" spans="1:12" x14ac:dyDescent="0.3">
      <c r="A19" s="8">
        <v>18</v>
      </c>
      <c r="B19" s="8"/>
      <c r="C19" s="8" t="s">
        <v>37</v>
      </c>
      <c r="D19" s="11"/>
      <c r="E19" s="12"/>
      <c r="F19" s="12"/>
      <c r="G19" s="12">
        <v>18</v>
      </c>
      <c r="H19" s="12" t="str">
        <f t="shared" si="0"/>
        <v>--18</v>
      </c>
      <c r="I19" s="18"/>
      <c r="J19" s="14"/>
      <c r="K19" s="36"/>
      <c r="L19" s="13"/>
    </row>
    <row r="20" spans="1:12" x14ac:dyDescent="0.3">
      <c r="A20" s="8">
        <v>19</v>
      </c>
      <c r="B20" s="8"/>
      <c r="C20" s="8" t="s">
        <v>38</v>
      </c>
      <c r="D20" s="11"/>
      <c r="E20" s="12"/>
      <c r="F20" s="12"/>
      <c r="G20" s="12">
        <v>19</v>
      </c>
      <c r="H20" s="12" t="str">
        <f t="shared" si="0"/>
        <v>--19</v>
      </c>
      <c r="I20" s="18"/>
      <c r="J20" s="14"/>
      <c r="K20" s="36"/>
      <c r="L20" s="13"/>
    </row>
    <row r="21" spans="1:12" x14ac:dyDescent="0.3">
      <c r="A21" s="8">
        <v>20</v>
      </c>
      <c r="B21" s="8"/>
      <c r="C21" s="8" t="s">
        <v>39</v>
      </c>
      <c r="D21" s="11"/>
      <c r="E21" s="12"/>
      <c r="F21" s="12"/>
      <c r="G21" s="12">
        <v>20</v>
      </c>
      <c r="H21" s="12" t="str">
        <f t="shared" si="0"/>
        <v>--20</v>
      </c>
      <c r="I21" s="18"/>
      <c r="J21" s="14"/>
      <c r="K21" s="36"/>
      <c r="L21" s="13"/>
    </row>
    <row r="22" spans="1:12" x14ac:dyDescent="0.3">
      <c r="A22" s="8">
        <v>21</v>
      </c>
      <c r="B22" s="8"/>
      <c r="C22" s="8" t="s">
        <v>51</v>
      </c>
      <c r="D22" s="11"/>
      <c r="E22" s="12"/>
      <c r="F22" s="12"/>
      <c r="G22" s="12">
        <v>21</v>
      </c>
      <c r="H22" s="12" t="str">
        <f t="shared" si="0"/>
        <v>--21</v>
      </c>
      <c r="I22" s="18"/>
      <c r="J22" s="14"/>
      <c r="K22" s="36"/>
      <c r="L22" s="13"/>
    </row>
    <row r="23" spans="1:12" x14ac:dyDescent="0.3">
      <c r="A23" s="8">
        <v>22</v>
      </c>
      <c r="B23" s="8"/>
      <c r="C23" s="8" t="s">
        <v>57</v>
      </c>
      <c r="D23" s="11"/>
      <c r="E23" s="12"/>
      <c r="F23" s="12"/>
      <c r="G23" s="12">
        <v>22</v>
      </c>
      <c r="H23" s="12" t="str">
        <f t="shared" si="0"/>
        <v>--22</v>
      </c>
      <c r="I23" s="18"/>
      <c r="J23" s="14"/>
      <c r="K23" s="36"/>
      <c r="L23" s="13"/>
    </row>
    <row r="24" spans="1:12" x14ac:dyDescent="0.3">
      <c r="A24" s="8">
        <v>23</v>
      </c>
      <c r="B24" s="8"/>
      <c r="C24" s="8" t="s">
        <v>61</v>
      </c>
      <c r="D24" s="11"/>
      <c r="E24" s="12"/>
      <c r="F24" s="12"/>
      <c r="G24" s="12">
        <v>23</v>
      </c>
      <c r="H24" s="12" t="str">
        <f t="shared" si="0"/>
        <v>--23</v>
      </c>
      <c r="I24" s="18"/>
      <c r="J24" s="14"/>
      <c r="K24" s="36"/>
      <c r="L24" s="13"/>
    </row>
    <row r="25" spans="1:12" x14ac:dyDescent="0.3">
      <c r="A25" s="8">
        <v>24</v>
      </c>
      <c r="B25" s="8"/>
      <c r="C25" s="8" t="s">
        <v>71</v>
      </c>
      <c r="D25" s="11"/>
      <c r="E25" s="12"/>
      <c r="F25" s="12"/>
      <c r="G25" s="12">
        <v>24</v>
      </c>
      <c r="H25" s="12" t="str">
        <f t="shared" si="0"/>
        <v>--24</v>
      </c>
      <c r="I25" s="18"/>
      <c r="J25" s="14"/>
      <c r="K25" s="36"/>
      <c r="L25" s="13"/>
    </row>
    <row r="26" spans="1:12" x14ac:dyDescent="0.3">
      <c r="A26" s="8">
        <v>25</v>
      </c>
      <c r="B26" s="8"/>
      <c r="C26" s="8" t="s">
        <v>73</v>
      </c>
      <c r="D26" s="11"/>
      <c r="E26" s="12"/>
      <c r="F26" s="12"/>
      <c r="G26" s="12">
        <v>25</v>
      </c>
      <c r="H26" s="12" t="str">
        <f t="shared" si="0"/>
        <v>--25</v>
      </c>
      <c r="I26" s="18"/>
      <c r="J26" s="14"/>
      <c r="K26" s="36"/>
      <c r="L26" s="13"/>
    </row>
    <row r="27" spans="1:12" x14ac:dyDescent="0.3">
      <c r="A27" s="8">
        <v>26</v>
      </c>
      <c r="B27" s="8"/>
      <c r="C27" s="8" t="s">
        <v>78</v>
      </c>
      <c r="D27" s="11"/>
      <c r="E27" s="12"/>
      <c r="F27" s="12"/>
      <c r="G27" s="12">
        <v>26</v>
      </c>
      <c r="H27" s="12" t="str">
        <f t="shared" si="0"/>
        <v>--26</v>
      </c>
      <c r="I27" s="18"/>
      <c r="J27" s="14"/>
      <c r="K27" s="36"/>
      <c r="L27" s="13"/>
    </row>
    <row r="28" spans="1:12" x14ac:dyDescent="0.3">
      <c r="A28" s="8">
        <v>27</v>
      </c>
      <c r="B28" s="8"/>
      <c r="C28" s="8" t="s">
        <v>81</v>
      </c>
      <c r="D28" s="11"/>
      <c r="E28" s="12"/>
      <c r="F28" s="12"/>
      <c r="G28" s="12">
        <v>27</v>
      </c>
      <c r="H28" s="12" t="str">
        <f t="shared" si="0"/>
        <v>--27</v>
      </c>
      <c r="I28" s="18"/>
      <c r="J28" s="14"/>
      <c r="K28" s="36"/>
      <c r="L28" s="13"/>
    </row>
    <row r="29" spans="1:12" x14ac:dyDescent="0.3">
      <c r="A29" s="8">
        <v>28</v>
      </c>
      <c r="B29" s="8"/>
      <c r="C29" s="8" t="s">
        <v>85</v>
      </c>
      <c r="D29" s="11"/>
      <c r="E29" s="12"/>
      <c r="F29" s="12"/>
      <c r="G29" s="12">
        <v>28</v>
      </c>
      <c r="H29" s="12" t="str">
        <f t="shared" si="0"/>
        <v>--28</v>
      </c>
      <c r="I29" s="18"/>
      <c r="J29" s="14"/>
      <c r="K29" s="36"/>
      <c r="L29" s="13"/>
    </row>
    <row r="30" spans="1:12" x14ac:dyDescent="0.3">
      <c r="A30" s="8">
        <v>29</v>
      </c>
      <c r="B30" s="8"/>
      <c r="C30" s="8" t="s">
        <v>90</v>
      </c>
      <c r="D30" s="11"/>
      <c r="E30" s="12"/>
      <c r="F30" s="12"/>
      <c r="G30" s="12">
        <v>29</v>
      </c>
      <c r="H30" s="12" t="str">
        <f t="shared" si="0"/>
        <v>--29</v>
      </c>
      <c r="I30" s="18"/>
      <c r="J30" s="14"/>
      <c r="K30" s="36"/>
      <c r="L30" s="13"/>
    </row>
    <row r="31" spans="1:12" x14ac:dyDescent="0.3">
      <c r="A31" s="8">
        <v>30</v>
      </c>
      <c r="B31" s="8"/>
      <c r="C31" s="8" t="s">
        <v>96</v>
      </c>
      <c r="D31" s="11"/>
      <c r="E31" s="12"/>
      <c r="F31" s="12"/>
      <c r="G31" s="12">
        <v>30</v>
      </c>
      <c r="H31" s="12" t="str">
        <f t="shared" si="0"/>
        <v>--30</v>
      </c>
      <c r="I31" s="18"/>
      <c r="J31" s="14"/>
      <c r="K31" s="36"/>
      <c r="L31" s="13"/>
    </row>
    <row r="32" spans="1:12" x14ac:dyDescent="0.3">
      <c r="A32" s="8">
        <v>31</v>
      </c>
      <c r="B32" s="8"/>
      <c r="C32" s="8" t="s">
        <v>102</v>
      </c>
      <c r="D32" s="11"/>
      <c r="E32" s="12"/>
      <c r="F32" s="12"/>
      <c r="G32" s="12">
        <v>31</v>
      </c>
      <c r="H32" s="12" t="str">
        <f t="shared" si="0"/>
        <v>--31</v>
      </c>
      <c r="I32" s="18"/>
      <c r="J32" s="14"/>
      <c r="K32" s="36"/>
      <c r="L32" s="13"/>
    </row>
    <row r="33" spans="1:12" x14ac:dyDescent="0.3">
      <c r="A33" s="8">
        <v>32</v>
      </c>
      <c r="B33" s="8"/>
      <c r="C33" s="8" t="s">
        <v>121</v>
      </c>
      <c r="D33" s="11"/>
      <c r="E33" s="12"/>
      <c r="F33" s="12"/>
      <c r="G33" s="12">
        <v>32</v>
      </c>
      <c r="H33" s="12" t="str">
        <f t="shared" si="0"/>
        <v>--32</v>
      </c>
      <c r="I33" s="18"/>
      <c r="J33" s="14"/>
      <c r="K33" s="36"/>
      <c r="L33" s="13"/>
    </row>
    <row r="34" spans="1:12" x14ac:dyDescent="0.3">
      <c r="A34" s="8">
        <v>33</v>
      </c>
      <c r="B34" s="8"/>
      <c r="C34" s="8" t="s">
        <v>123</v>
      </c>
      <c r="D34" s="11"/>
      <c r="E34" s="12"/>
      <c r="F34" s="12"/>
      <c r="G34" s="12">
        <v>33</v>
      </c>
      <c r="H34" s="12" t="str">
        <f t="shared" si="0"/>
        <v>--33</v>
      </c>
      <c r="I34" s="18"/>
      <c r="J34" s="14"/>
      <c r="K34" s="36"/>
      <c r="L34" s="13"/>
    </row>
    <row r="35" spans="1:12" x14ac:dyDescent="0.3">
      <c r="A35" s="8">
        <v>34</v>
      </c>
      <c r="B35" s="8"/>
      <c r="C35" s="8" t="s">
        <v>127</v>
      </c>
      <c r="D35" s="11"/>
      <c r="E35" s="12"/>
      <c r="F35" s="12"/>
      <c r="G35" s="12">
        <v>34</v>
      </c>
      <c r="H35" s="12" t="str">
        <f t="shared" si="0"/>
        <v>--34</v>
      </c>
      <c r="I35" s="18"/>
      <c r="J35" s="14"/>
      <c r="K35" s="36"/>
      <c r="L35" s="13"/>
    </row>
    <row r="36" spans="1:12" x14ac:dyDescent="0.3">
      <c r="A36" s="8">
        <v>35</v>
      </c>
      <c r="B36" s="8"/>
      <c r="C36" s="8" t="s">
        <v>130</v>
      </c>
      <c r="D36" s="11"/>
      <c r="E36" s="12"/>
      <c r="F36" s="12"/>
      <c r="G36" s="12">
        <v>35</v>
      </c>
      <c r="H36" s="12" t="str">
        <f t="shared" si="0"/>
        <v>--35</v>
      </c>
      <c r="I36" s="18"/>
      <c r="J36" s="14"/>
      <c r="K36" s="36"/>
      <c r="L36" s="13"/>
    </row>
    <row r="37" spans="1:12" x14ac:dyDescent="0.3">
      <c r="A37" s="8">
        <v>36</v>
      </c>
      <c r="B37" s="8"/>
      <c r="C37" s="8" t="s">
        <v>135</v>
      </c>
      <c r="D37" s="11"/>
      <c r="E37" s="12"/>
      <c r="F37" s="12"/>
      <c r="G37" s="12">
        <v>36</v>
      </c>
      <c r="H37" s="12" t="str">
        <f t="shared" si="0"/>
        <v>--36</v>
      </c>
      <c r="I37" s="18"/>
      <c r="J37" s="14"/>
      <c r="K37" s="36"/>
      <c r="L37" s="13"/>
    </row>
    <row r="38" spans="1:12" x14ac:dyDescent="0.3">
      <c r="A38" s="8">
        <v>37</v>
      </c>
      <c r="B38" s="8"/>
      <c r="C38" s="8" t="s">
        <v>138</v>
      </c>
      <c r="D38" s="11"/>
      <c r="E38" s="12"/>
      <c r="F38" s="12"/>
      <c r="G38" s="12">
        <v>37</v>
      </c>
      <c r="H38" s="12" t="str">
        <f t="shared" si="0"/>
        <v>--37</v>
      </c>
      <c r="I38" s="18"/>
      <c r="J38" s="14"/>
      <c r="K38" s="36"/>
      <c r="L38" s="13"/>
    </row>
    <row r="39" spans="1:12" x14ac:dyDescent="0.3">
      <c r="A39" s="8">
        <v>38</v>
      </c>
      <c r="B39" s="8"/>
      <c r="C39" s="8" t="s">
        <v>139</v>
      </c>
      <c r="D39" s="11"/>
      <c r="E39" s="12"/>
      <c r="F39" s="12"/>
      <c r="G39" s="12">
        <v>38</v>
      </c>
      <c r="H39" s="12" t="str">
        <f t="shared" si="0"/>
        <v>--38</v>
      </c>
      <c r="I39" s="18"/>
      <c r="J39" s="14"/>
      <c r="K39" s="36"/>
      <c r="L39" s="13"/>
    </row>
    <row r="40" spans="1:12" x14ac:dyDescent="0.3">
      <c r="A40" s="8">
        <v>39</v>
      </c>
      <c r="B40" s="8"/>
      <c r="C40" s="8" t="s">
        <v>270</v>
      </c>
      <c r="D40" s="11"/>
      <c r="E40" s="12"/>
      <c r="F40" s="12"/>
      <c r="G40" s="12">
        <v>39</v>
      </c>
      <c r="H40" s="12" t="str">
        <f t="shared" si="0"/>
        <v>--39</v>
      </c>
      <c r="I40" s="18"/>
      <c r="J40" s="14"/>
      <c r="K40" s="36"/>
      <c r="L40" s="13"/>
    </row>
    <row r="41" spans="1:12" x14ac:dyDescent="0.3">
      <c r="A41" s="8">
        <v>40</v>
      </c>
      <c r="B41" s="8"/>
      <c r="C41" s="8" t="s">
        <v>271</v>
      </c>
      <c r="D41" s="11"/>
      <c r="E41" s="12"/>
      <c r="F41" s="12"/>
      <c r="G41" s="12">
        <v>40</v>
      </c>
      <c r="H41" s="12" t="str">
        <f t="shared" si="0"/>
        <v>--40</v>
      </c>
      <c r="I41" s="18"/>
      <c r="J41" s="14"/>
      <c r="K41" s="36"/>
      <c r="L41" s="13"/>
    </row>
    <row r="42" spans="1:12" x14ac:dyDescent="0.3">
      <c r="A42" s="8">
        <v>41</v>
      </c>
      <c r="B42" s="8"/>
      <c r="C42" s="8" t="s">
        <v>272</v>
      </c>
      <c r="D42" s="11"/>
      <c r="E42" s="12"/>
      <c r="F42" s="12"/>
      <c r="G42" s="12">
        <v>41</v>
      </c>
      <c r="H42" s="12" t="str">
        <f t="shared" si="0"/>
        <v>--41</v>
      </c>
      <c r="I42" s="18"/>
      <c r="J42" s="14"/>
      <c r="K42" s="36"/>
      <c r="L42" s="13"/>
    </row>
    <row r="43" spans="1:12" x14ac:dyDescent="0.3">
      <c r="A43" s="8">
        <v>42</v>
      </c>
      <c r="B43" s="8"/>
      <c r="C43" s="8" t="s">
        <v>273</v>
      </c>
      <c r="D43" s="11"/>
      <c r="E43" s="12"/>
      <c r="F43" s="12"/>
      <c r="G43" s="12">
        <v>42</v>
      </c>
      <c r="H43" s="12" t="str">
        <f t="shared" si="0"/>
        <v>--42</v>
      </c>
      <c r="I43" s="18"/>
      <c r="J43" s="14"/>
      <c r="K43" s="36"/>
      <c r="L43" s="13"/>
    </row>
    <row r="44" spans="1:12" x14ac:dyDescent="0.3">
      <c r="A44" s="8">
        <v>43</v>
      </c>
      <c r="B44" s="8"/>
      <c r="C44" s="8"/>
      <c r="D44" s="11"/>
      <c r="E44" s="12"/>
      <c r="F44" s="12"/>
      <c r="G44" s="12">
        <v>43</v>
      </c>
      <c r="H44" s="12" t="str">
        <f t="shared" si="0"/>
        <v>--43</v>
      </c>
      <c r="I44" s="18"/>
      <c r="J44" s="14"/>
      <c r="K44" s="36"/>
      <c r="L44" s="13"/>
    </row>
    <row r="45" spans="1:12" x14ac:dyDescent="0.3">
      <c r="A45" s="8">
        <v>44</v>
      </c>
      <c r="B45" s="8"/>
      <c r="C45" s="8"/>
      <c r="D45" s="11"/>
      <c r="E45" s="12"/>
      <c r="F45" s="12"/>
      <c r="G45" s="12">
        <v>44</v>
      </c>
      <c r="H45" s="12" t="str">
        <f t="shared" si="0"/>
        <v>--44</v>
      </c>
      <c r="I45" s="18"/>
      <c r="J45" s="14"/>
      <c r="K45" s="36"/>
      <c r="L45" s="13"/>
    </row>
    <row r="46" spans="1:12" x14ac:dyDescent="0.3">
      <c r="A46" s="8">
        <v>45</v>
      </c>
      <c r="B46" s="8"/>
      <c r="C46" s="8"/>
      <c r="D46" s="11"/>
      <c r="E46" s="12"/>
      <c r="F46" s="12"/>
      <c r="G46" s="12">
        <v>45</v>
      </c>
      <c r="H46" s="12" t="str">
        <f t="shared" si="0"/>
        <v>--45</v>
      </c>
      <c r="I46" s="18"/>
      <c r="J46" s="14"/>
      <c r="K46" s="36"/>
      <c r="L46" s="13"/>
    </row>
    <row r="47" spans="1:12" x14ac:dyDescent="0.3">
      <c r="A47" s="8">
        <v>46</v>
      </c>
      <c r="B47" s="8"/>
      <c r="C47" s="8"/>
      <c r="D47" s="11"/>
      <c r="E47" s="12"/>
      <c r="F47" s="12"/>
      <c r="G47" s="12">
        <v>46</v>
      </c>
      <c r="H47" s="12" t="str">
        <f t="shared" si="0"/>
        <v>--46</v>
      </c>
      <c r="I47" s="18"/>
      <c r="J47" s="14"/>
      <c r="K47" s="36"/>
      <c r="L47" s="13"/>
    </row>
    <row r="48" spans="1:12" x14ac:dyDescent="0.3">
      <c r="A48" s="8">
        <v>47</v>
      </c>
      <c r="B48" s="8"/>
      <c r="C48" s="8"/>
      <c r="D48" s="11"/>
      <c r="E48" s="12"/>
      <c r="F48" s="12"/>
      <c r="G48" s="12">
        <v>47</v>
      </c>
      <c r="H48" s="12" t="str">
        <f t="shared" si="0"/>
        <v>--47</v>
      </c>
      <c r="I48" s="18"/>
      <c r="J48" s="14"/>
      <c r="K48" s="36"/>
      <c r="L48" s="13"/>
    </row>
    <row r="49" spans="1:12" x14ac:dyDescent="0.3">
      <c r="A49" s="8">
        <v>48</v>
      </c>
      <c r="B49" s="8"/>
      <c r="C49" s="8"/>
      <c r="D49" s="11"/>
      <c r="E49" s="12"/>
      <c r="F49" s="12"/>
      <c r="G49" s="12">
        <v>48</v>
      </c>
      <c r="H49" s="12" t="str">
        <f t="shared" si="0"/>
        <v>--48</v>
      </c>
      <c r="I49" s="18"/>
      <c r="J49" s="14"/>
      <c r="K49" s="36"/>
      <c r="L49" s="13"/>
    </row>
    <row r="50" spans="1:12" x14ac:dyDescent="0.3">
      <c r="A50" s="8">
        <v>49</v>
      </c>
      <c r="B50" s="8"/>
      <c r="C50" s="8"/>
      <c r="D50" s="11"/>
      <c r="E50" s="12"/>
      <c r="F50" s="12"/>
      <c r="G50" s="12">
        <v>49</v>
      </c>
      <c r="H50" s="12" t="str">
        <f t="shared" si="0"/>
        <v>--49</v>
      </c>
      <c r="I50" s="18"/>
      <c r="J50" s="14"/>
      <c r="K50" s="36"/>
      <c r="L50" s="13"/>
    </row>
    <row r="51" spans="1:12" x14ac:dyDescent="0.3">
      <c r="A51" s="8">
        <v>50</v>
      </c>
      <c r="B51" s="8"/>
      <c r="C51" s="8"/>
      <c r="D51" s="11"/>
      <c r="E51" s="12"/>
      <c r="F51" s="12"/>
      <c r="G51" s="12">
        <v>50</v>
      </c>
      <c r="H51" s="12" t="str">
        <f t="shared" si="0"/>
        <v>--50</v>
      </c>
      <c r="I51" s="18"/>
      <c r="J51" s="14"/>
      <c r="K51" s="36"/>
      <c r="L51" s="13"/>
    </row>
    <row r="52" spans="1:12" x14ac:dyDescent="0.3">
      <c r="A52" s="8">
        <v>51</v>
      </c>
      <c r="B52" s="8"/>
      <c r="C52" s="8"/>
      <c r="D52" s="11"/>
      <c r="E52" s="12"/>
      <c r="F52" s="12"/>
      <c r="G52" s="12">
        <v>51</v>
      </c>
      <c r="H52" s="12" t="str">
        <f t="shared" si="0"/>
        <v>--51</v>
      </c>
      <c r="I52" s="18"/>
      <c r="J52" s="14"/>
      <c r="K52" s="36"/>
      <c r="L52" s="13"/>
    </row>
    <row r="53" spans="1:12" x14ac:dyDescent="0.3">
      <c r="A53" s="8">
        <v>52</v>
      </c>
      <c r="B53" s="8"/>
      <c r="C53" s="8"/>
      <c r="D53" s="11"/>
      <c r="E53" s="12"/>
      <c r="F53" s="12"/>
      <c r="G53" s="12">
        <v>52</v>
      </c>
      <c r="H53" s="12" t="str">
        <f t="shared" si="0"/>
        <v>--52</v>
      </c>
      <c r="I53" s="18"/>
      <c r="J53" s="14"/>
      <c r="K53" s="36"/>
      <c r="L53" s="13"/>
    </row>
    <row r="54" spans="1:12" x14ac:dyDescent="0.3">
      <c r="A54" s="8">
        <v>53</v>
      </c>
      <c r="B54" s="8"/>
      <c r="C54" s="8"/>
      <c r="D54" s="11"/>
      <c r="E54" s="12"/>
      <c r="F54" s="12"/>
      <c r="G54" s="12">
        <v>53</v>
      </c>
      <c r="H54" s="12" t="str">
        <f t="shared" si="0"/>
        <v>--53</v>
      </c>
      <c r="I54" s="18"/>
      <c r="J54" s="14"/>
      <c r="K54" s="36"/>
      <c r="L54" s="13"/>
    </row>
    <row r="55" spans="1:12" x14ac:dyDescent="0.3">
      <c r="A55" s="8">
        <v>54</v>
      </c>
      <c r="B55" s="8"/>
      <c r="C55" s="8"/>
      <c r="D55" s="11"/>
      <c r="E55" s="12"/>
      <c r="F55" s="12"/>
      <c r="G55" s="12">
        <v>54</v>
      </c>
      <c r="H55" s="12" t="str">
        <f t="shared" si="0"/>
        <v>--54</v>
      </c>
      <c r="I55" s="18"/>
      <c r="J55" s="14"/>
      <c r="K55" s="36"/>
      <c r="L55" s="13"/>
    </row>
    <row r="56" spans="1:12" x14ac:dyDescent="0.3">
      <c r="A56" s="8">
        <v>55</v>
      </c>
      <c r="B56" s="8"/>
      <c r="C56" s="8"/>
      <c r="D56" s="11"/>
      <c r="E56" s="12"/>
      <c r="F56" s="12"/>
      <c r="G56" s="12">
        <v>55</v>
      </c>
      <c r="H56" s="12" t="str">
        <f t="shared" si="0"/>
        <v>--55</v>
      </c>
      <c r="I56" s="18"/>
      <c r="J56" s="14"/>
      <c r="K56" s="36"/>
      <c r="L56" s="13"/>
    </row>
    <row r="57" spans="1:12" x14ac:dyDescent="0.3">
      <c r="A57" s="8">
        <v>56</v>
      </c>
      <c r="B57" s="8"/>
      <c r="C57" s="8"/>
      <c r="D57" s="11"/>
      <c r="E57" s="12"/>
      <c r="F57" s="12"/>
      <c r="G57" s="12">
        <v>56</v>
      </c>
      <c r="H57" s="12" t="str">
        <f t="shared" si="0"/>
        <v>--56</v>
      </c>
      <c r="I57" s="18"/>
      <c r="J57" s="14"/>
      <c r="K57" s="36"/>
      <c r="L57" s="13"/>
    </row>
    <row r="58" spans="1:12" x14ac:dyDescent="0.3">
      <c r="A58" s="8">
        <v>57</v>
      </c>
      <c r="B58" s="8"/>
      <c r="C58" s="8"/>
      <c r="D58" s="11"/>
      <c r="E58" s="12"/>
      <c r="F58" s="12"/>
      <c r="G58" s="12">
        <v>57</v>
      </c>
      <c r="H58" s="12" t="str">
        <f t="shared" si="0"/>
        <v>--57</v>
      </c>
      <c r="I58" s="18"/>
      <c r="J58" s="14"/>
      <c r="K58" s="36"/>
      <c r="L58" s="13"/>
    </row>
    <row r="59" spans="1:12" x14ac:dyDescent="0.3">
      <c r="A59" s="8">
        <v>58</v>
      </c>
      <c r="B59" s="8"/>
      <c r="C59" s="8"/>
      <c r="D59" s="11"/>
      <c r="E59" s="12"/>
      <c r="F59" s="12"/>
      <c r="G59" s="12">
        <v>58</v>
      </c>
      <c r="H59" s="12" t="str">
        <f t="shared" si="0"/>
        <v>--58</v>
      </c>
      <c r="I59" s="18"/>
      <c r="J59" s="14"/>
      <c r="K59" s="36"/>
      <c r="L59" s="13"/>
    </row>
    <row r="60" spans="1:12" x14ac:dyDescent="0.3">
      <c r="A60" s="8">
        <v>59</v>
      </c>
      <c r="B60" s="8"/>
      <c r="C60" s="8"/>
      <c r="D60" s="11"/>
      <c r="E60" s="12"/>
      <c r="F60" s="12"/>
      <c r="G60" s="12">
        <v>59</v>
      </c>
      <c r="H60" s="12" t="str">
        <f t="shared" si="0"/>
        <v>--59</v>
      </c>
      <c r="I60" s="18"/>
      <c r="J60" s="14"/>
      <c r="K60" s="36"/>
      <c r="L60" s="13"/>
    </row>
    <row r="61" spans="1:12" x14ac:dyDescent="0.3">
      <c r="A61" s="8">
        <v>60</v>
      </c>
      <c r="B61" s="8"/>
      <c r="C61" s="8"/>
      <c r="D61" s="11"/>
      <c r="E61" s="12"/>
      <c r="F61" s="12"/>
      <c r="G61" s="12">
        <v>60</v>
      </c>
      <c r="H61" s="12" t="str">
        <f t="shared" si="0"/>
        <v>--60</v>
      </c>
      <c r="I61" s="18"/>
      <c r="J61" s="14"/>
      <c r="K61" s="36"/>
      <c r="L61" s="13"/>
    </row>
    <row r="62" spans="1:12" x14ac:dyDescent="0.3">
      <c r="A62" s="8">
        <v>61</v>
      </c>
      <c r="B62" s="8"/>
      <c r="C62" s="8"/>
      <c r="D62" s="11"/>
      <c r="E62" s="12"/>
      <c r="F62" s="12"/>
      <c r="G62" s="12">
        <v>61</v>
      </c>
      <c r="H62" s="12" t="str">
        <f t="shared" si="0"/>
        <v>--61</v>
      </c>
      <c r="I62" s="18"/>
      <c r="J62" s="14"/>
      <c r="K62" s="36"/>
      <c r="L62" s="13"/>
    </row>
    <row r="63" spans="1:12" x14ac:dyDescent="0.3">
      <c r="A63" s="8">
        <v>62</v>
      </c>
      <c r="B63" s="8"/>
      <c r="C63" s="8"/>
      <c r="D63" s="11"/>
      <c r="E63" s="12"/>
      <c r="F63" s="12"/>
      <c r="G63" s="12">
        <v>62</v>
      </c>
      <c r="H63" s="12" t="str">
        <f t="shared" si="0"/>
        <v>--62</v>
      </c>
      <c r="I63" s="18"/>
      <c r="J63" s="14"/>
      <c r="K63" s="36"/>
      <c r="L63" s="13"/>
    </row>
    <row r="64" spans="1:12" x14ac:dyDescent="0.3">
      <c r="A64" s="8">
        <v>63</v>
      </c>
      <c r="B64" s="8"/>
      <c r="C64" s="8"/>
      <c r="D64" s="11"/>
      <c r="E64" s="12"/>
      <c r="F64" s="12"/>
      <c r="G64" s="12">
        <v>63</v>
      </c>
      <c r="H64" s="12" t="str">
        <f t="shared" si="0"/>
        <v>--63</v>
      </c>
      <c r="I64" s="18"/>
      <c r="J64" s="14"/>
      <c r="K64" s="36"/>
      <c r="L64" s="13"/>
    </row>
    <row r="65" spans="1:12" x14ac:dyDescent="0.3">
      <c r="A65" s="8">
        <v>64</v>
      </c>
      <c r="B65" s="8"/>
      <c r="C65" s="8"/>
      <c r="D65" s="11"/>
      <c r="E65" s="12"/>
      <c r="F65" s="12"/>
      <c r="G65" s="12">
        <v>64</v>
      </c>
      <c r="H65" s="12" t="str">
        <f t="shared" si="0"/>
        <v>--64</v>
      </c>
      <c r="I65" s="18"/>
      <c r="J65" s="14"/>
      <c r="K65" s="36"/>
      <c r="L65" s="13"/>
    </row>
    <row r="66" spans="1:12" x14ac:dyDescent="0.3">
      <c r="A66" s="8">
        <v>65</v>
      </c>
      <c r="B66" s="8"/>
      <c r="C66" s="8"/>
      <c r="D66" s="11"/>
      <c r="E66" s="12"/>
      <c r="F66" s="12"/>
      <c r="G66" s="12">
        <v>65</v>
      </c>
      <c r="H66" s="12" t="str">
        <f t="shared" si="0"/>
        <v>--65</v>
      </c>
      <c r="I66" s="18"/>
      <c r="J66" s="14"/>
      <c r="K66" s="36"/>
      <c r="L66" s="13"/>
    </row>
    <row r="67" spans="1:12" x14ac:dyDescent="0.3">
      <c r="A67" s="8">
        <v>66</v>
      </c>
      <c r="B67" s="8"/>
      <c r="C67" s="8"/>
      <c r="D67" s="11"/>
      <c r="E67" s="12"/>
      <c r="F67" s="12"/>
      <c r="G67" s="12">
        <v>66</v>
      </c>
      <c r="H67" s="12" t="str">
        <f t="shared" ref="H67:H130" si="1">CONCATENATE(E67,"-",F67,"-",G67)</f>
        <v>--66</v>
      </c>
      <c r="I67" s="18"/>
      <c r="J67" s="14"/>
      <c r="K67" s="36"/>
      <c r="L67" s="13"/>
    </row>
    <row r="68" spans="1:12" x14ac:dyDescent="0.3">
      <c r="A68" s="8">
        <v>67</v>
      </c>
      <c r="B68" s="8"/>
      <c r="C68" s="8"/>
      <c r="D68" s="11"/>
      <c r="E68" s="12"/>
      <c r="F68" s="12"/>
      <c r="G68" s="12">
        <v>67</v>
      </c>
      <c r="H68" s="12" t="str">
        <f t="shared" si="1"/>
        <v>--67</v>
      </c>
      <c r="I68" s="18"/>
      <c r="J68" s="14"/>
      <c r="K68" s="36"/>
      <c r="L68" s="13"/>
    </row>
    <row r="69" spans="1:12" x14ac:dyDescent="0.3">
      <c r="A69" s="8">
        <v>68</v>
      </c>
      <c r="B69" s="8"/>
      <c r="C69" s="8"/>
      <c r="D69" s="11"/>
      <c r="E69" s="12"/>
      <c r="F69" s="12"/>
      <c r="G69" s="12">
        <v>68</v>
      </c>
      <c r="H69" s="12" t="str">
        <f t="shared" si="1"/>
        <v>--68</v>
      </c>
      <c r="I69" s="18"/>
      <c r="J69" s="14"/>
      <c r="K69" s="36"/>
      <c r="L69" s="13"/>
    </row>
    <row r="70" spans="1:12" x14ac:dyDescent="0.3">
      <c r="A70" s="8">
        <v>69</v>
      </c>
      <c r="B70" s="8"/>
      <c r="C70" s="8"/>
      <c r="D70" s="11"/>
      <c r="E70" s="12"/>
      <c r="F70" s="12"/>
      <c r="G70" s="12">
        <v>69</v>
      </c>
      <c r="H70" s="12" t="str">
        <f t="shared" si="1"/>
        <v>--69</v>
      </c>
      <c r="I70" s="18"/>
      <c r="J70" s="14"/>
      <c r="K70" s="36"/>
      <c r="L70" s="13"/>
    </row>
    <row r="71" spans="1:12" x14ac:dyDescent="0.3">
      <c r="A71" s="8">
        <v>70</v>
      </c>
      <c r="B71" s="8"/>
      <c r="C71" s="8"/>
      <c r="D71" s="11"/>
      <c r="E71" s="12"/>
      <c r="F71" s="12"/>
      <c r="G71" s="12">
        <v>70</v>
      </c>
      <c r="H71" s="12" t="str">
        <f t="shared" si="1"/>
        <v>--70</v>
      </c>
      <c r="I71" s="18"/>
      <c r="J71" s="14"/>
      <c r="K71" s="36"/>
      <c r="L71" s="13"/>
    </row>
    <row r="72" spans="1:12" x14ac:dyDescent="0.3">
      <c r="A72" s="8">
        <v>71</v>
      </c>
      <c r="B72" s="8"/>
      <c r="C72" s="8"/>
      <c r="D72" s="11"/>
      <c r="E72" s="12"/>
      <c r="F72" s="12"/>
      <c r="G72" s="12">
        <v>71</v>
      </c>
      <c r="H72" s="12" t="str">
        <f t="shared" si="1"/>
        <v>--71</v>
      </c>
      <c r="I72" s="18"/>
      <c r="J72" s="14"/>
      <c r="K72" s="36"/>
      <c r="L72" s="13"/>
    </row>
    <row r="73" spans="1:12" x14ac:dyDescent="0.3">
      <c r="A73" s="8">
        <v>72</v>
      </c>
      <c r="B73" s="8"/>
      <c r="C73" s="8"/>
      <c r="D73" s="11"/>
      <c r="E73" s="12"/>
      <c r="F73" s="12"/>
      <c r="G73" s="12">
        <v>72</v>
      </c>
      <c r="H73" s="12" t="str">
        <f t="shared" si="1"/>
        <v>--72</v>
      </c>
      <c r="I73" s="18"/>
      <c r="J73" s="14"/>
      <c r="K73" s="36"/>
      <c r="L73" s="13"/>
    </row>
    <row r="74" spans="1:12" x14ac:dyDescent="0.3">
      <c r="A74" s="8">
        <v>73</v>
      </c>
      <c r="B74" s="8"/>
      <c r="C74" s="8"/>
      <c r="D74" s="11"/>
      <c r="E74" s="12"/>
      <c r="F74" s="12"/>
      <c r="G74" s="12">
        <v>73</v>
      </c>
      <c r="H74" s="12" t="str">
        <f t="shared" si="1"/>
        <v>--73</v>
      </c>
      <c r="I74" s="18"/>
      <c r="J74" s="14"/>
      <c r="K74" s="36"/>
      <c r="L74" s="13"/>
    </row>
    <row r="75" spans="1:12" x14ac:dyDescent="0.3">
      <c r="A75" s="8">
        <v>74</v>
      </c>
      <c r="B75" s="8"/>
      <c r="C75" s="8"/>
      <c r="D75" s="11"/>
      <c r="E75" s="12"/>
      <c r="F75" s="12"/>
      <c r="G75" s="12">
        <v>74</v>
      </c>
      <c r="H75" s="12" t="str">
        <f t="shared" si="1"/>
        <v>--74</v>
      </c>
      <c r="I75" s="18"/>
      <c r="J75" s="14"/>
      <c r="K75" s="36"/>
      <c r="L75" s="13"/>
    </row>
    <row r="76" spans="1:12" x14ac:dyDescent="0.3">
      <c r="A76" s="8">
        <v>75</v>
      </c>
      <c r="B76" s="8"/>
      <c r="C76" s="8"/>
      <c r="D76" s="11"/>
      <c r="E76" s="12"/>
      <c r="F76" s="12"/>
      <c r="G76" s="12">
        <v>75</v>
      </c>
      <c r="H76" s="12" t="str">
        <f t="shared" si="1"/>
        <v>--75</v>
      </c>
      <c r="I76" s="18"/>
      <c r="J76" s="14"/>
      <c r="K76" s="36"/>
      <c r="L76" s="13"/>
    </row>
    <row r="77" spans="1:12" x14ac:dyDescent="0.3">
      <c r="A77" s="8">
        <v>76</v>
      </c>
      <c r="B77" s="8"/>
      <c r="C77" s="8"/>
      <c r="D77" s="11"/>
      <c r="E77" s="12"/>
      <c r="F77" s="12"/>
      <c r="G77" s="12">
        <v>76</v>
      </c>
      <c r="H77" s="12" t="str">
        <f t="shared" si="1"/>
        <v>--76</v>
      </c>
      <c r="I77" s="18"/>
      <c r="J77" s="14"/>
      <c r="K77" s="36"/>
      <c r="L77" s="13"/>
    </row>
    <row r="78" spans="1:12" x14ac:dyDescent="0.3">
      <c r="A78" s="8">
        <v>77</v>
      </c>
      <c r="B78" s="8"/>
      <c r="C78" s="8"/>
      <c r="D78" s="11"/>
      <c r="E78" s="12"/>
      <c r="F78" s="12"/>
      <c r="G78" s="12">
        <v>77</v>
      </c>
      <c r="H78" s="12" t="str">
        <f t="shared" si="1"/>
        <v>--77</v>
      </c>
      <c r="I78" s="18"/>
      <c r="J78" s="14"/>
      <c r="K78" s="36"/>
      <c r="L78" s="13"/>
    </row>
    <row r="79" spans="1:12" x14ac:dyDescent="0.3">
      <c r="A79" s="8">
        <v>78</v>
      </c>
      <c r="B79" s="8"/>
      <c r="C79" s="8"/>
      <c r="D79" s="11"/>
      <c r="E79" s="12"/>
      <c r="F79" s="12"/>
      <c r="G79" s="12">
        <v>78</v>
      </c>
      <c r="H79" s="12" t="str">
        <f t="shared" si="1"/>
        <v>--78</v>
      </c>
      <c r="I79" s="18"/>
      <c r="J79" s="14"/>
      <c r="K79" s="36"/>
      <c r="L79" s="13"/>
    </row>
    <row r="80" spans="1:12" x14ac:dyDescent="0.3">
      <c r="A80" s="8">
        <v>79</v>
      </c>
      <c r="B80" s="8"/>
      <c r="C80" s="8"/>
      <c r="D80" s="11"/>
      <c r="E80" s="12"/>
      <c r="F80" s="12"/>
      <c r="G80" s="12">
        <v>79</v>
      </c>
      <c r="H80" s="12" t="str">
        <f t="shared" si="1"/>
        <v>--79</v>
      </c>
      <c r="I80" s="18"/>
      <c r="J80" s="14"/>
      <c r="K80" s="36"/>
      <c r="L80" s="13"/>
    </row>
    <row r="81" spans="1:12" x14ac:dyDescent="0.3">
      <c r="A81" s="8">
        <v>80</v>
      </c>
      <c r="B81" s="8"/>
      <c r="C81" s="8"/>
      <c r="D81" s="11"/>
      <c r="E81" s="12"/>
      <c r="F81" s="12"/>
      <c r="G81" s="12">
        <v>80</v>
      </c>
      <c r="H81" s="12" t="str">
        <f t="shared" si="1"/>
        <v>--80</v>
      </c>
      <c r="I81" s="18"/>
      <c r="J81" s="14"/>
      <c r="K81" s="36"/>
      <c r="L81" s="13"/>
    </row>
    <row r="82" spans="1:12" x14ac:dyDescent="0.3">
      <c r="A82" s="8">
        <v>81</v>
      </c>
      <c r="B82" s="8"/>
      <c r="C82" s="8"/>
      <c r="D82" s="11"/>
      <c r="E82" s="12"/>
      <c r="F82" s="12"/>
      <c r="G82" s="12">
        <v>81</v>
      </c>
      <c r="H82" s="12" t="str">
        <f t="shared" si="1"/>
        <v>--81</v>
      </c>
      <c r="I82" s="18"/>
      <c r="J82" s="14"/>
      <c r="K82" s="36"/>
      <c r="L82" s="13"/>
    </row>
    <row r="83" spans="1:12" x14ac:dyDescent="0.3">
      <c r="A83" s="8">
        <v>82</v>
      </c>
      <c r="B83" s="8"/>
      <c r="C83" s="8"/>
      <c r="D83" s="11"/>
      <c r="E83" s="12"/>
      <c r="F83" s="12"/>
      <c r="G83" s="12">
        <v>82</v>
      </c>
      <c r="H83" s="12" t="str">
        <f t="shared" si="1"/>
        <v>--82</v>
      </c>
      <c r="I83" s="18"/>
      <c r="J83" s="14"/>
      <c r="K83" s="36"/>
      <c r="L83" s="13"/>
    </row>
    <row r="84" spans="1:12" x14ac:dyDescent="0.3">
      <c r="A84" s="8">
        <v>83</v>
      </c>
      <c r="B84" s="8"/>
      <c r="C84" s="8"/>
      <c r="D84" s="11"/>
      <c r="E84" s="12"/>
      <c r="F84" s="12"/>
      <c r="G84" s="12">
        <v>83</v>
      </c>
      <c r="H84" s="12" t="str">
        <f t="shared" si="1"/>
        <v>--83</v>
      </c>
      <c r="I84" s="18"/>
      <c r="J84" s="14"/>
      <c r="K84" s="36"/>
      <c r="L84" s="13"/>
    </row>
    <row r="85" spans="1:12" x14ac:dyDescent="0.3">
      <c r="A85" s="8">
        <v>84</v>
      </c>
      <c r="B85" s="8"/>
      <c r="C85" s="8"/>
      <c r="D85" s="11"/>
      <c r="E85" s="12"/>
      <c r="F85" s="12"/>
      <c r="G85" s="12">
        <v>84</v>
      </c>
      <c r="H85" s="12" t="str">
        <f t="shared" si="1"/>
        <v>--84</v>
      </c>
      <c r="I85" s="18"/>
      <c r="J85" s="14"/>
      <c r="K85" s="36"/>
      <c r="L85" s="13"/>
    </row>
    <row r="86" spans="1:12" x14ac:dyDescent="0.3">
      <c r="A86" s="8">
        <v>85</v>
      </c>
      <c r="B86" s="8"/>
      <c r="C86" s="8"/>
      <c r="D86" s="11"/>
      <c r="E86" s="12"/>
      <c r="F86" s="12"/>
      <c r="G86" s="12">
        <v>85</v>
      </c>
      <c r="H86" s="12" t="str">
        <f t="shared" si="1"/>
        <v>--85</v>
      </c>
      <c r="I86" s="18"/>
      <c r="J86" s="14"/>
      <c r="K86" s="36"/>
      <c r="L86" s="13"/>
    </row>
    <row r="87" spans="1:12" x14ac:dyDescent="0.3">
      <c r="A87" s="8">
        <v>86</v>
      </c>
      <c r="B87" s="8"/>
      <c r="C87" s="8"/>
      <c r="D87" s="11"/>
      <c r="E87" s="12"/>
      <c r="F87" s="12"/>
      <c r="G87" s="12">
        <v>86</v>
      </c>
      <c r="H87" s="12" t="str">
        <f t="shared" si="1"/>
        <v>--86</v>
      </c>
      <c r="I87" s="18"/>
      <c r="J87" s="14"/>
      <c r="K87" s="36"/>
      <c r="L87" s="13"/>
    </row>
    <row r="88" spans="1:12" x14ac:dyDescent="0.3">
      <c r="A88" s="8">
        <v>87</v>
      </c>
      <c r="B88" s="8"/>
      <c r="C88" s="8"/>
      <c r="D88" s="11"/>
      <c r="E88" s="12"/>
      <c r="F88" s="12"/>
      <c r="G88" s="12">
        <v>87</v>
      </c>
      <c r="H88" s="12" t="str">
        <f t="shared" si="1"/>
        <v>--87</v>
      </c>
      <c r="I88" s="18"/>
      <c r="J88" s="14"/>
      <c r="K88" s="36"/>
      <c r="L88" s="13"/>
    </row>
    <row r="89" spans="1:12" x14ac:dyDescent="0.3">
      <c r="A89" s="8">
        <v>88</v>
      </c>
      <c r="B89" s="8"/>
      <c r="C89" s="8"/>
      <c r="D89" s="11"/>
      <c r="E89" s="12"/>
      <c r="F89" s="12"/>
      <c r="G89" s="12">
        <v>88</v>
      </c>
      <c r="H89" s="12" t="str">
        <f t="shared" si="1"/>
        <v>--88</v>
      </c>
      <c r="I89" s="18"/>
      <c r="J89" s="14"/>
      <c r="K89" s="36"/>
      <c r="L89" s="13"/>
    </row>
    <row r="90" spans="1:12" x14ac:dyDescent="0.3">
      <c r="A90" s="8">
        <v>89</v>
      </c>
      <c r="B90" s="8"/>
      <c r="C90" s="8"/>
      <c r="D90" s="11"/>
      <c r="E90" s="12"/>
      <c r="F90" s="12"/>
      <c r="G90" s="12">
        <v>89</v>
      </c>
      <c r="H90" s="12" t="str">
        <f t="shared" si="1"/>
        <v>--89</v>
      </c>
      <c r="I90" s="18"/>
      <c r="J90" s="14"/>
      <c r="K90" s="36"/>
      <c r="L90" s="13"/>
    </row>
    <row r="91" spans="1:12" x14ac:dyDescent="0.3">
      <c r="A91" s="8">
        <v>90</v>
      </c>
      <c r="B91" s="8"/>
      <c r="C91" s="8"/>
      <c r="D91" s="11"/>
      <c r="E91" s="12"/>
      <c r="F91" s="12"/>
      <c r="G91" s="12">
        <v>90</v>
      </c>
      <c r="H91" s="12" t="str">
        <f t="shared" si="1"/>
        <v>--90</v>
      </c>
      <c r="I91" s="18"/>
      <c r="J91" s="14"/>
      <c r="K91" s="36"/>
      <c r="L91" s="13"/>
    </row>
    <row r="92" spans="1:12" x14ac:dyDescent="0.3">
      <c r="A92" s="8">
        <v>91</v>
      </c>
      <c r="B92" s="8"/>
      <c r="C92" s="8"/>
      <c r="D92" s="11"/>
      <c r="E92" s="12"/>
      <c r="F92" s="12"/>
      <c r="G92" s="12">
        <v>91</v>
      </c>
      <c r="H92" s="12" t="str">
        <f t="shared" si="1"/>
        <v>--91</v>
      </c>
      <c r="I92" s="18"/>
      <c r="J92" s="14"/>
      <c r="K92" s="36"/>
      <c r="L92" s="13"/>
    </row>
    <row r="93" spans="1:12" x14ac:dyDescent="0.3">
      <c r="A93" s="8">
        <v>92</v>
      </c>
      <c r="B93" s="8"/>
      <c r="C93" s="8"/>
      <c r="D93" s="11"/>
      <c r="E93" s="12"/>
      <c r="F93" s="12"/>
      <c r="G93" s="12">
        <v>92</v>
      </c>
      <c r="H93" s="12" t="str">
        <f t="shared" si="1"/>
        <v>--92</v>
      </c>
      <c r="I93" s="18"/>
      <c r="J93" s="14"/>
      <c r="K93" s="36"/>
      <c r="L93" s="13"/>
    </row>
    <row r="94" spans="1:12" x14ac:dyDescent="0.3">
      <c r="A94" s="8">
        <v>93</v>
      </c>
      <c r="B94" s="8"/>
      <c r="C94" s="8"/>
      <c r="D94" s="11"/>
      <c r="E94" s="12"/>
      <c r="F94" s="12"/>
      <c r="G94" s="12">
        <v>93</v>
      </c>
      <c r="H94" s="12" t="str">
        <f t="shared" si="1"/>
        <v>--93</v>
      </c>
      <c r="I94" s="18"/>
      <c r="J94" s="14"/>
      <c r="K94" s="36"/>
      <c r="L94" s="13"/>
    </row>
    <row r="95" spans="1:12" x14ac:dyDescent="0.3">
      <c r="A95" s="8">
        <v>94</v>
      </c>
      <c r="B95" s="8"/>
      <c r="C95" s="8"/>
      <c r="D95" s="11"/>
      <c r="E95" s="12"/>
      <c r="F95" s="12"/>
      <c r="G95" s="12">
        <v>94</v>
      </c>
      <c r="H95" s="12" t="str">
        <f t="shared" si="1"/>
        <v>--94</v>
      </c>
      <c r="I95" s="18"/>
      <c r="J95" s="14"/>
      <c r="K95" s="36"/>
      <c r="L95" s="13"/>
    </row>
    <row r="96" spans="1:12" x14ac:dyDescent="0.3">
      <c r="A96" s="8">
        <v>95</v>
      </c>
      <c r="B96" s="8"/>
      <c r="C96" s="8"/>
      <c r="D96" s="11"/>
      <c r="E96" s="12"/>
      <c r="F96" s="12"/>
      <c r="G96" s="12">
        <v>95</v>
      </c>
      <c r="H96" s="12" t="str">
        <f t="shared" si="1"/>
        <v>--95</v>
      </c>
      <c r="I96" s="18"/>
      <c r="J96" s="14"/>
      <c r="K96" s="36"/>
      <c r="L96" s="13"/>
    </row>
    <row r="97" spans="1:12" x14ac:dyDescent="0.3">
      <c r="A97" s="8">
        <v>96</v>
      </c>
      <c r="B97" s="8"/>
      <c r="C97" s="8"/>
      <c r="D97" s="11"/>
      <c r="E97" s="12"/>
      <c r="F97" s="12"/>
      <c r="G97" s="12">
        <v>96</v>
      </c>
      <c r="H97" s="12" t="str">
        <f t="shared" si="1"/>
        <v>--96</v>
      </c>
      <c r="I97" s="18"/>
      <c r="J97" s="14"/>
      <c r="K97" s="36"/>
      <c r="L97" s="13"/>
    </row>
    <row r="98" spans="1:12" x14ac:dyDescent="0.3">
      <c r="A98" s="8">
        <v>97</v>
      </c>
      <c r="B98" s="8"/>
      <c r="C98" s="8"/>
      <c r="D98" s="11"/>
      <c r="E98" s="12"/>
      <c r="F98" s="12"/>
      <c r="G98" s="12">
        <v>97</v>
      </c>
      <c r="H98" s="12" t="str">
        <f t="shared" si="1"/>
        <v>--97</v>
      </c>
      <c r="I98" s="18"/>
      <c r="J98" s="14"/>
      <c r="K98" s="36"/>
      <c r="L98" s="13"/>
    </row>
    <row r="99" spans="1:12" x14ac:dyDescent="0.3">
      <c r="A99" s="8">
        <v>98</v>
      </c>
      <c r="B99" s="8"/>
      <c r="C99" s="8"/>
      <c r="D99" s="11"/>
      <c r="E99" s="12"/>
      <c r="F99" s="12"/>
      <c r="G99" s="12">
        <v>98</v>
      </c>
      <c r="H99" s="12" t="str">
        <f t="shared" si="1"/>
        <v>--98</v>
      </c>
      <c r="I99" s="18"/>
      <c r="J99" s="14"/>
      <c r="K99" s="36"/>
      <c r="L99" s="13"/>
    </row>
    <row r="100" spans="1:12" x14ac:dyDescent="0.3">
      <c r="A100" s="8">
        <v>99</v>
      </c>
      <c r="B100" s="8"/>
      <c r="C100" s="8"/>
      <c r="D100" s="11"/>
      <c r="E100" s="12"/>
      <c r="F100" s="12"/>
      <c r="G100" s="12">
        <v>99</v>
      </c>
      <c r="H100" s="12" t="str">
        <f t="shared" si="1"/>
        <v>--99</v>
      </c>
      <c r="I100" s="18"/>
      <c r="J100" s="14"/>
      <c r="K100" s="36"/>
      <c r="L100" s="13"/>
    </row>
    <row r="101" spans="1:12" x14ac:dyDescent="0.3">
      <c r="A101" s="8">
        <v>100</v>
      </c>
      <c r="B101" s="8"/>
      <c r="C101" s="8"/>
      <c r="D101" s="11"/>
      <c r="E101" s="12"/>
      <c r="F101" s="12"/>
      <c r="G101" s="12">
        <v>100</v>
      </c>
      <c r="H101" s="12" t="str">
        <f t="shared" si="1"/>
        <v>--100</v>
      </c>
      <c r="I101" s="18"/>
      <c r="J101" s="14"/>
      <c r="K101" s="36"/>
      <c r="L101" s="13"/>
    </row>
    <row r="102" spans="1:12" x14ac:dyDescent="0.3">
      <c r="A102" s="8">
        <v>101</v>
      </c>
      <c r="B102" s="8"/>
      <c r="C102" s="8"/>
      <c r="D102" s="11"/>
      <c r="E102" s="12"/>
      <c r="F102" s="12"/>
      <c r="G102" s="12">
        <v>101</v>
      </c>
      <c r="H102" s="12" t="str">
        <f t="shared" si="1"/>
        <v>--101</v>
      </c>
      <c r="I102" s="18"/>
      <c r="J102" s="14"/>
      <c r="K102" s="36"/>
      <c r="L102" s="13"/>
    </row>
    <row r="103" spans="1:12" x14ac:dyDescent="0.3">
      <c r="A103" s="8">
        <v>102</v>
      </c>
      <c r="B103" s="8"/>
      <c r="C103" s="8"/>
      <c r="D103" s="11"/>
      <c r="E103" s="12"/>
      <c r="F103" s="12"/>
      <c r="G103" s="12">
        <v>102</v>
      </c>
      <c r="H103" s="12" t="str">
        <f t="shared" si="1"/>
        <v>--102</v>
      </c>
      <c r="I103" s="18"/>
      <c r="J103" s="14"/>
      <c r="K103" s="36"/>
      <c r="L103" s="13"/>
    </row>
    <row r="104" spans="1:12" x14ac:dyDescent="0.3">
      <c r="A104" s="8">
        <v>103</v>
      </c>
      <c r="B104" s="8"/>
      <c r="C104" s="8"/>
      <c r="D104" s="11"/>
      <c r="E104" s="12"/>
      <c r="F104" s="12"/>
      <c r="G104" s="12">
        <v>103</v>
      </c>
      <c r="H104" s="12" t="str">
        <f t="shared" si="1"/>
        <v>--103</v>
      </c>
      <c r="I104" s="18"/>
      <c r="J104" s="14"/>
      <c r="K104" s="36"/>
      <c r="L104" s="13"/>
    </row>
    <row r="105" spans="1:12" x14ac:dyDescent="0.3">
      <c r="A105" s="8">
        <v>104</v>
      </c>
      <c r="B105" s="8"/>
      <c r="C105" s="8"/>
      <c r="D105" s="11"/>
      <c r="E105" s="12"/>
      <c r="F105" s="12"/>
      <c r="G105" s="12">
        <v>104</v>
      </c>
      <c r="H105" s="12" t="str">
        <f t="shared" si="1"/>
        <v>--104</v>
      </c>
      <c r="I105" s="18"/>
      <c r="J105" s="14"/>
      <c r="K105" s="36"/>
      <c r="L105" s="13"/>
    </row>
    <row r="106" spans="1:12" x14ac:dyDescent="0.3">
      <c r="A106" s="8">
        <v>105</v>
      </c>
      <c r="B106" s="8"/>
      <c r="C106" s="8"/>
      <c r="D106" s="11"/>
      <c r="E106" s="12"/>
      <c r="F106" s="12"/>
      <c r="G106" s="12">
        <v>105</v>
      </c>
      <c r="H106" s="12" t="str">
        <f t="shared" si="1"/>
        <v>--105</v>
      </c>
      <c r="I106" s="18"/>
      <c r="J106" s="14"/>
      <c r="K106" s="36"/>
      <c r="L106" s="13"/>
    </row>
    <row r="107" spans="1:12" x14ac:dyDescent="0.3">
      <c r="A107" s="8">
        <v>106</v>
      </c>
      <c r="B107" s="8"/>
      <c r="C107" s="8"/>
      <c r="D107" s="11"/>
      <c r="E107" s="12"/>
      <c r="F107" s="12"/>
      <c r="G107" s="12">
        <v>106</v>
      </c>
      <c r="H107" s="12" t="str">
        <f t="shared" si="1"/>
        <v>--106</v>
      </c>
      <c r="I107" s="18"/>
      <c r="J107" s="14"/>
      <c r="K107" s="36"/>
      <c r="L107" s="13"/>
    </row>
    <row r="108" spans="1:12" x14ac:dyDescent="0.3">
      <c r="A108" s="8">
        <v>107</v>
      </c>
      <c r="B108" s="8"/>
      <c r="C108" s="8"/>
      <c r="D108" s="11"/>
      <c r="E108" s="12"/>
      <c r="F108" s="12"/>
      <c r="G108" s="12">
        <v>107</v>
      </c>
      <c r="H108" s="12" t="str">
        <f t="shared" si="1"/>
        <v>--107</v>
      </c>
      <c r="I108" s="18"/>
      <c r="J108" s="14"/>
      <c r="K108" s="36"/>
      <c r="L108" s="13"/>
    </row>
    <row r="109" spans="1:12" x14ac:dyDescent="0.3">
      <c r="A109" s="8">
        <v>108</v>
      </c>
      <c r="B109" s="8"/>
      <c r="C109" s="8"/>
      <c r="D109" s="11"/>
      <c r="E109" s="12"/>
      <c r="F109" s="12"/>
      <c r="G109" s="12">
        <v>108</v>
      </c>
      <c r="H109" s="12" t="str">
        <f t="shared" si="1"/>
        <v>--108</v>
      </c>
      <c r="I109" s="18"/>
      <c r="J109" s="14"/>
      <c r="K109" s="36"/>
      <c r="L109" s="13"/>
    </row>
    <row r="110" spans="1:12" x14ac:dyDescent="0.3">
      <c r="A110" s="8">
        <v>109</v>
      </c>
      <c r="B110" s="8"/>
      <c r="C110" s="8"/>
      <c r="D110" s="11"/>
      <c r="E110" s="12"/>
      <c r="F110" s="12"/>
      <c r="G110" s="12">
        <v>109</v>
      </c>
      <c r="H110" s="12" t="str">
        <f t="shared" si="1"/>
        <v>--109</v>
      </c>
      <c r="I110" s="18"/>
      <c r="J110" s="14"/>
      <c r="K110" s="36"/>
      <c r="L110" s="13"/>
    </row>
    <row r="111" spans="1:12" x14ac:dyDescent="0.3">
      <c r="A111" s="8">
        <v>110</v>
      </c>
      <c r="B111" s="8"/>
      <c r="C111" s="8"/>
      <c r="D111" s="11"/>
      <c r="E111" s="12"/>
      <c r="F111" s="12"/>
      <c r="G111" s="12">
        <v>110</v>
      </c>
      <c r="H111" s="12" t="str">
        <f t="shared" si="1"/>
        <v>--110</v>
      </c>
      <c r="I111" s="18"/>
      <c r="J111" s="14"/>
      <c r="K111" s="36"/>
      <c r="L111" s="13"/>
    </row>
    <row r="112" spans="1:12" x14ac:dyDescent="0.3">
      <c r="A112" s="8">
        <v>111</v>
      </c>
      <c r="B112" s="8"/>
      <c r="C112" s="8"/>
      <c r="D112" s="11"/>
      <c r="E112" s="12"/>
      <c r="F112" s="12"/>
      <c r="G112" s="12">
        <v>111</v>
      </c>
      <c r="H112" s="12" t="str">
        <f t="shared" si="1"/>
        <v>--111</v>
      </c>
      <c r="I112" s="18"/>
      <c r="J112" s="14"/>
      <c r="K112" s="36"/>
      <c r="L112" s="13"/>
    </row>
    <row r="113" spans="1:12" x14ac:dyDescent="0.3">
      <c r="A113" s="8">
        <v>112</v>
      </c>
      <c r="B113" s="8"/>
      <c r="C113" s="8"/>
      <c r="D113" s="11"/>
      <c r="E113" s="12"/>
      <c r="F113" s="12"/>
      <c r="G113" s="12">
        <v>112</v>
      </c>
      <c r="H113" s="12" t="str">
        <f t="shared" si="1"/>
        <v>--112</v>
      </c>
      <c r="I113" s="18"/>
      <c r="J113" s="14"/>
      <c r="K113" s="36"/>
      <c r="L113" s="13"/>
    </row>
    <row r="114" spans="1:12" x14ac:dyDescent="0.3">
      <c r="A114" s="8">
        <v>113</v>
      </c>
      <c r="B114" s="8"/>
      <c r="C114" s="8"/>
      <c r="D114" s="11"/>
      <c r="E114" s="12"/>
      <c r="F114" s="12"/>
      <c r="G114" s="12">
        <v>113</v>
      </c>
      <c r="H114" s="12" t="str">
        <f t="shared" si="1"/>
        <v>--113</v>
      </c>
      <c r="I114" s="18"/>
      <c r="J114" s="14"/>
      <c r="K114" s="36"/>
      <c r="L114" s="13"/>
    </row>
    <row r="115" spans="1:12" x14ac:dyDescent="0.3">
      <c r="A115" s="8">
        <v>114</v>
      </c>
      <c r="B115" s="8"/>
      <c r="C115" s="8"/>
      <c r="D115" s="11"/>
      <c r="E115" s="12"/>
      <c r="F115" s="12"/>
      <c r="G115" s="12">
        <v>114</v>
      </c>
      <c r="H115" s="12" t="str">
        <f t="shared" si="1"/>
        <v>--114</v>
      </c>
      <c r="I115" s="18"/>
      <c r="J115" s="14"/>
      <c r="K115" s="36"/>
      <c r="L115" s="13"/>
    </row>
    <row r="116" spans="1:12" x14ac:dyDescent="0.3">
      <c r="A116" s="8">
        <v>115</v>
      </c>
      <c r="B116" s="8"/>
      <c r="C116" s="8"/>
      <c r="D116" s="11"/>
      <c r="E116" s="12"/>
      <c r="F116" s="12"/>
      <c r="G116" s="12">
        <v>115</v>
      </c>
      <c r="H116" s="12" t="str">
        <f t="shared" si="1"/>
        <v>--115</v>
      </c>
      <c r="I116" s="18"/>
      <c r="J116" s="14"/>
      <c r="K116" s="36"/>
      <c r="L116" s="13"/>
    </row>
    <row r="117" spans="1:12" x14ac:dyDescent="0.3">
      <c r="A117" s="8">
        <v>116</v>
      </c>
      <c r="B117" s="8"/>
      <c r="C117" s="8"/>
      <c r="D117" s="11"/>
      <c r="E117" s="12"/>
      <c r="F117" s="12"/>
      <c r="G117" s="12">
        <v>116</v>
      </c>
      <c r="H117" s="12" t="str">
        <f t="shared" si="1"/>
        <v>--116</v>
      </c>
      <c r="I117" s="18"/>
      <c r="J117" s="14"/>
      <c r="K117" s="36"/>
      <c r="L117" s="13"/>
    </row>
    <row r="118" spans="1:12" x14ac:dyDescent="0.3">
      <c r="A118" s="8">
        <v>117</v>
      </c>
      <c r="B118" s="8"/>
      <c r="C118" s="8"/>
      <c r="D118" s="11"/>
      <c r="E118" s="12"/>
      <c r="F118" s="12"/>
      <c r="G118" s="12">
        <v>117</v>
      </c>
      <c r="H118" s="12" t="str">
        <f t="shared" si="1"/>
        <v>--117</v>
      </c>
      <c r="I118" s="18"/>
      <c r="J118" s="14"/>
      <c r="K118" s="36"/>
      <c r="L118" s="13"/>
    </row>
    <row r="119" spans="1:12" x14ac:dyDescent="0.3">
      <c r="A119" s="8">
        <v>118</v>
      </c>
      <c r="B119" s="8"/>
      <c r="C119" s="8"/>
      <c r="D119" s="11"/>
      <c r="E119" s="12"/>
      <c r="F119" s="12"/>
      <c r="G119" s="12">
        <v>118</v>
      </c>
      <c r="H119" s="12" t="str">
        <f t="shared" si="1"/>
        <v>--118</v>
      </c>
      <c r="I119" s="18"/>
      <c r="J119" s="14"/>
      <c r="K119" s="36"/>
      <c r="L119" s="13"/>
    </row>
    <row r="120" spans="1:12" x14ac:dyDescent="0.3">
      <c r="A120" s="8">
        <v>119</v>
      </c>
      <c r="B120" s="8"/>
      <c r="C120" s="8"/>
      <c r="D120" s="11"/>
      <c r="E120" s="12"/>
      <c r="F120" s="12"/>
      <c r="G120" s="12">
        <v>119</v>
      </c>
      <c r="H120" s="12" t="str">
        <f t="shared" si="1"/>
        <v>--119</v>
      </c>
      <c r="I120" s="18"/>
      <c r="J120" s="14"/>
      <c r="K120" s="36"/>
      <c r="L120" s="13"/>
    </row>
    <row r="121" spans="1:12" x14ac:dyDescent="0.3">
      <c r="A121" s="8">
        <v>120</v>
      </c>
      <c r="B121" s="8"/>
      <c r="C121" s="8"/>
      <c r="D121" s="11"/>
      <c r="E121" s="12"/>
      <c r="F121" s="12"/>
      <c r="G121" s="12">
        <v>120</v>
      </c>
      <c r="H121" s="12" t="str">
        <f t="shared" si="1"/>
        <v>--120</v>
      </c>
      <c r="I121" s="18"/>
      <c r="J121" s="14"/>
      <c r="K121" s="36"/>
      <c r="L121" s="13"/>
    </row>
    <row r="122" spans="1:12" x14ac:dyDescent="0.3">
      <c r="A122" s="8">
        <v>121</v>
      </c>
      <c r="B122" s="8"/>
      <c r="C122" s="8"/>
      <c r="D122" s="11"/>
      <c r="E122" s="12"/>
      <c r="F122" s="12"/>
      <c r="G122" s="12">
        <v>121</v>
      </c>
      <c r="H122" s="12" t="str">
        <f t="shared" si="1"/>
        <v>--121</v>
      </c>
      <c r="I122" s="18"/>
      <c r="J122" s="14"/>
      <c r="K122" s="36"/>
      <c r="L122" s="13"/>
    </row>
    <row r="123" spans="1:12" x14ac:dyDescent="0.3">
      <c r="A123" s="8">
        <v>122</v>
      </c>
      <c r="B123" s="8"/>
      <c r="C123" s="8"/>
      <c r="D123" s="11"/>
      <c r="E123" s="12"/>
      <c r="F123" s="12"/>
      <c r="G123" s="12">
        <v>122</v>
      </c>
      <c r="H123" s="12" t="str">
        <f t="shared" si="1"/>
        <v>--122</v>
      </c>
      <c r="I123" s="18"/>
      <c r="J123" s="14"/>
      <c r="K123" s="36"/>
      <c r="L123" s="13"/>
    </row>
    <row r="124" spans="1:12" x14ac:dyDescent="0.3">
      <c r="A124" s="8">
        <v>123</v>
      </c>
      <c r="B124" s="8"/>
      <c r="C124" s="8"/>
      <c r="D124" s="11"/>
      <c r="E124" s="12"/>
      <c r="F124" s="12"/>
      <c r="G124" s="12">
        <v>123</v>
      </c>
      <c r="H124" s="12" t="str">
        <f t="shared" si="1"/>
        <v>--123</v>
      </c>
      <c r="I124" s="18"/>
      <c r="J124" s="14"/>
      <c r="K124" s="36"/>
      <c r="L124" s="13"/>
    </row>
    <row r="125" spans="1:12" x14ac:dyDescent="0.3">
      <c r="A125" s="8">
        <v>124</v>
      </c>
      <c r="B125" s="8"/>
      <c r="C125" s="8"/>
      <c r="D125" s="11"/>
      <c r="E125" s="12"/>
      <c r="F125" s="12"/>
      <c r="G125" s="12">
        <v>124</v>
      </c>
      <c r="H125" s="12" t="str">
        <f t="shared" si="1"/>
        <v>--124</v>
      </c>
      <c r="I125" s="18"/>
      <c r="J125" s="14"/>
      <c r="K125" s="36"/>
      <c r="L125" s="13"/>
    </row>
    <row r="126" spans="1:12" x14ac:dyDescent="0.3">
      <c r="A126" s="8">
        <v>125</v>
      </c>
      <c r="B126" s="8"/>
      <c r="C126" s="8"/>
      <c r="D126" s="11"/>
      <c r="E126" s="12"/>
      <c r="F126" s="12"/>
      <c r="G126" s="12">
        <v>125</v>
      </c>
      <c r="H126" s="12" t="str">
        <f t="shared" si="1"/>
        <v>--125</v>
      </c>
      <c r="I126" s="18"/>
      <c r="J126" s="14"/>
      <c r="K126" s="36"/>
      <c r="L126" s="13"/>
    </row>
    <row r="127" spans="1:12" x14ac:dyDescent="0.3">
      <c r="A127" s="8">
        <v>126</v>
      </c>
      <c r="B127" s="8"/>
      <c r="C127" s="8"/>
      <c r="D127" s="11"/>
      <c r="E127" s="12"/>
      <c r="F127" s="12"/>
      <c r="G127" s="12">
        <v>126</v>
      </c>
      <c r="H127" s="12" t="str">
        <f t="shared" si="1"/>
        <v>--126</v>
      </c>
      <c r="I127" s="18"/>
      <c r="J127" s="14"/>
      <c r="K127" s="36"/>
      <c r="L127" s="13"/>
    </row>
    <row r="128" spans="1:12" x14ac:dyDescent="0.3">
      <c r="A128" s="8">
        <v>127</v>
      </c>
      <c r="B128" s="8"/>
      <c r="C128" s="8"/>
      <c r="D128" s="11"/>
      <c r="E128" s="12"/>
      <c r="F128" s="12"/>
      <c r="G128" s="12">
        <v>127</v>
      </c>
      <c r="H128" s="12" t="str">
        <f t="shared" si="1"/>
        <v>--127</v>
      </c>
      <c r="I128" s="18"/>
      <c r="J128" s="14"/>
      <c r="K128" s="36"/>
      <c r="L128" s="13"/>
    </row>
    <row r="129" spans="1:12" x14ac:dyDescent="0.3">
      <c r="A129" s="8">
        <v>128</v>
      </c>
      <c r="B129" s="8"/>
      <c r="C129" s="8"/>
      <c r="D129" s="11"/>
      <c r="E129" s="12"/>
      <c r="F129" s="12"/>
      <c r="G129" s="12">
        <v>128</v>
      </c>
      <c r="H129" s="12" t="str">
        <f t="shared" si="1"/>
        <v>--128</v>
      </c>
      <c r="I129" s="18"/>
      <c r="J129" s="14"/>
      <c r="K129" s="36"/>
      <c r="L129" s="13"/>
    </row>
    <row r="130" spans="1:12" x14ac:dyDescent="0.3">
      <c r="A130" s="8">
        <v>129</v>
      </c>
      <c r="B130" s="8"/>
      <c r="C130" s="8"/>
      <c r="D130" s="11"/>
      <c r="E130" s="12"/>
      <c r="F130" s="12"/>
      <c r="G130" s="12">
        <v>129</v>
      </c>
      <c r="H130" s="12" t="str">
        <f t="shared" si="1"/>
        <v>--129</v>
      </c>
      <c r="I130" s="18"/>
      <c r="J130" s="14"/>
      <c r="K130" s="36"/>
      <c r="L130" s="13"/>
    </row>
    <row r="131" spans="1:12" x14ac:dyDescent="0.3">
      <c r="A131" s="8">
        <v>130</v>
      </c>
      <c r="B131" s="8"/>
      <c r="C131" s="8"/>
      <c r="D131" s="11"/>
      <c r="E131" s="12"/>
      <c r="F131" s="12"/>
      <c r="G131" s="12">
        <v>130</v>
      </c>
      <c r="H131" s="12" t="str">
        <f t="shared" ref="H131:H194" si="2">CONCATENATE(E131,"-",F131,"-",G131)</f>
        <v>--130</v>
      </c>
      <c r="I131" s="18"/>
      <c r="J131" s="14"/>
      <c r="K131" s="36"/>
      <c r="L131" s="13"/>
    </row>
    <row r="132" spans="1:12" x14ac:dyDescent="0.3">
      <c r="A132" s="8">
        <v>131</v>
      </c>
      <c r="B132" s="8"/>
      <c r="C132" s="8"/>
      <c r="D132" s="11"/>
      <c r="E132" s="12"/>
      <c r="F132" s="12"/>
      <c r="G132" s="12">
        <v>131</v>
      </c>
      <c r="H132" s="12" t="str">
        <f t="shared" si="2"/>
        <v>--131</v>
      </c>
      <c r="I132" s="18"/>
      <c r="J132" s="14"/>
      <c r="K132" s="36"/>
      <c r="L132" s="13"/>
    </row>
    <row r="133" spans="1:12" x14ac:dyDescent="0.3">
      <c r="A133" s="8">
        <v>132</v>
      </c>
      <c r="B133" s="8"/>
      <c r="C133" s="8"/>
      <c r="D133" s="11"/>
      <c r="E133" s="12"/>
      <c r="F133" s="12"/>
      <c r="G133" s="12">
        <v>132</v>
      </c>
      <c r="H133" s="12" t="str">
        <f t="shared" si="2"/>
        <v>--132</v>
      </c>
      <c r="I133" s="18"/>
      <c r="J133" s="14"/>
      <c r="K133" s="36"/>
      <c r="L133" s="13"/>
    </row>
    <row r="134" spans="1:12" x14ac:dyDescent="0.3">
      <c r="A134" s="8">
        <v>133</v>
      </c>
      <c r="B134" s="8"/>
      <c r="C134" s="8"/>
      <c r="D134" s="11"/>
      <c r="E134" s="12"/>
      <c r="F134" s="12"/>
      <c r="G134" s="12">
        <v>133</v>
      </c>
      <c r="H134" s="12" t="str">
        <f t="shared" si="2"/>
        <v>--133</v>
      </c>
      <c r="I134" s="18"/>
      <c r="J134" s="14"/>
      <c r="K134" s="36"/>
      <c r="L134" s="13"/>
    </row>
    <row r="135" spans="1:12" x14ac:dyDescent="0.3">
      <c r="A135" s="8">
        <v>134</v>
      </c>
      <c r="B135" s="8"/>
      <c r="C135" s="8"/>
      <c r="D135" s="11"/>
      <c r="E135" s="12"/>
      <c r="F135" s="12"/>
      <c r="G135" s="12">
        <v>134</v>
      </c>
      <c r="H135" s="12" t="str">
        <f t="shared" si="2"/>
        <v>--134</v>
      </c>
      <c r="I135" s="18"/>
      <c r="J135" s="14"/>
      <c r="K135" s="36"/>
      <c r="L135" s="13"/>
    </row>
    <row r="136" spans="1:12" x14ac:dyDescent="0.3">
      <c r="A136" s="8">
        <v>135</v>
      </c>
      <c r="B136" s="8"/>
      <c r="C136" s="8"/>
      <c r="D136" s="11"/>
      <c r="E136" s="12"/>
      <c r="F136" s="12"/>
      <c r="G136" s="12">
        <v>135</v>
      </c>
      <c r="H136" s="12" t="str">
        <f t="shared" si="2"/>
        <v>--135</v>
      </c>
      <c r="I136" s="18"/>
      <c r="J136" s="14"/>
      <c r="K136" s="36"/>
      <c r="L136" s="13"/>
    </row>
    <row r="137" spans="1:12" x14ac:dyDescent="0.3">
      <c r="A137" s="8">
        <v>136</v>
      </c>
      <c r="B137" s="8"/>
      <c r="C137" s="8"/>
      <c r="D137" s="11"/>
      <c r="E137" s="12"/>
      <c r="F137" s="12"/>
      <c r="G137" s="12">
        <v>136</v>
      </c>
      <c r="H137" s="12" t="str">
        <f t="shared" si="2"/>
        <v>--136</v>
      </c>
      <c r="I137" s="18"/>
      <c r="J137" s="14"/>
      <c r="K137" s="36"/>
      <c r="L137" s="13"/>
    </row>
    <row r="138" spans="1:12" x14ac:dyDescent="0.3">
      <c r="A138" s="8">
        <v>137</v>
      </c>
      <c r="B138" s="8"/>
      <c r="C138" s="8"/>
      <c r="D138" s="11"/>
      <c r="E138" s="12"/>
      <c r="F138" s="12"/>
      <c r="G138" s="12">
        <v>137</v>
      </c>
      <c r="H138" s="12" t="str">
        <f t="shared" si="2"/>
        <v>--137</v>
      </c>
      <c r="I138" s="18"/>
      <c r="J138" s="14"/>
      <c r="K138" s="36"/>
      <c r="L138" s="13"/>
    </row>
    <row r="139" spans="1:12" x14ac:dyDescent="0.3">
      <c r="A139" s="8">
        <v>138</v>
      </c>
      <c r="B139" s="8"/>
      <c r="C139" s="8"/>
      <c r="D139" s="11"/>
      <c r="E139" s="12"/>
      <c r="F139" s="12"/>
      <c r="G139" s="12">
        <v>138</v>
      </c>
      <c r="H139" s="12" t="str">
        <f t="shared" si="2"/>
        <v>--138</v>
      </c>
      <c r="I139" s="18"/>
      <c r="J139" s="14"/>
      <c r="K139" s="36"/>
      <c r="L139" s="13"/>
    </row>
    <row r="140" spans="1:12" x14ac:dyDescent="0.3">
      <c r="A140" s="8">
        <v>139</v>
      </c>
      <c r="B140" s="8"/>
      <c r="C140" s="8"/>
      <c r="D140" s="11"/>
      <c r="E140" s="12"/>
      <c r="F140" s="12"/>
      <c r="G140" s="12">
        <v>139</v>
      </c>
      <c r="H140" s="12" t="str">
        <f t="shared" si="2"/>
        <v>--139</v>
      </c>
      <c r="I140" s="18"/>
      <c r="J140" s="14"/>
      <c r="K140" s="36"/>
      <c r="L140" s="13"/>
    </row>
    <row r="141" spans="1:12" x14ac:dyDescent="0.3">
      <c r="A141" s="8">
        <v>140</v>
      </c>
      <c r="B141" s="8"/>
      <c r="C141" s="8"/>
      <c r="D141" s="11"/>
      <c r="E141" s="12"/>
      <c r="F141" s="12"/>
      <c r="G141" s="12">
        <v>140</v>
      </c>
      <c r="H141" s="12" t="str">
        <f t="shared" si="2"/>
        <v>--140</v>
      </c>
      <c r="I141" s="18"/>
      <c r="J141" s="14"/>
      <c r="K141" s="36"/>
      <c r="L141" s="13"/>
    </row>
    <row r="142" spans="1:12" x14ac:dyDescent="0.3">
      <c r="A142" s="8">
        <v>141</v>
      </c>
      <c r="B142" s="8"/>
      <c r="C142" s="8"/>
      <c r="D142" s="11"/>
      <c r="E142" s="12"/>
      <c r="F142" s="12"/>
      <c r="G142" s="12">
        <v>141</v>
      </c>
      <c r="H142" s="12" t="str">
        <f t="shared" si="2"/>
        <v>--141</v>
      </c>
      <c r="I142" s="18"/>
      <c r="J142" s="14"/>
      <c r="K142" s="36"/>
      <c r="L142" s="13"/>
    </row>
    <row r="143" spans="1:12" x14ac:dyDescent="0.3">
      <c r="A143" s="8">
        <v>142</v>
      </c>
      <c r="B143" s="8"/>
      <c r="C143" s="8"/>
      <c r="D143" s="11"/>
      <c r="E143" s="12"/>
      <c r="F143" s="12"/>
      <c r="G143" s="12">
        <v>142</v>
      </c>
      <c r="H143" s="12" t="str">
        <f t="shared" si="2"/>
        <v>--142</v>
      </c>
      <c r="I143" s="18"/>
      <c r="J143" s="14"/>
      <c r="K143" s="36"/>
      <c r="L143" s="13"/>
    </row>
    <row r="144" spans="1:12" x14ac:dyDescent="0.3">
      <c r="A144" s="8">
        <v>143</v>
      </c>
      <c r="B144" s="8"/>
      <c r="C144" s="8"/>
      <c r="D144" s="11"/>
      <c r="E144" s="12"/>
      <c r="F144" s="12"/>
      <c r="G144" s="12">
        <v>143</v>
      </c>
      <c r="H144" s="12" t="str">
        <f t="shared" si="2"/>
        <v>--143</v>
      </c>
      <c r="I144" s="18"/>
      <c r="J144" s="14"/>
      <c r="K144" s="36"/>
      <c r="L144" s="13"/>
    </row>
    <row r="145" spans="1:12" x14ac:dyDescent="0.3">
      <c r="A145" s="8">
        <v>144</v>
      </c>
      <c r="B145" s="8"/>
      <c r="C145" s="8"/>
      <c r="D145" s="11"/>
      <c r="E145" s="12"/>
      <c r="F145" s="12"/>
      <c r="G145" s="12">
        <v>144</v>
      </c>
      <c r="H145" s="12" t="str">
        <f t="shared" si="2"/>
        <v>--144</v>
      </c>
      <c r="I145" s="18"/>
      <c r="J145" s="14"/>
      <c r="K145" s="36"/>
      <c r="L145" s="13"/>
    </row>
    <row r="146" spans="1:12" x14ac:dyDescent="0.3">
      <c r="A146" s="8">
        <v>145</v>
      </c>
      <c r="B146" s="8"/>
      <c r="C146" s="8"/>
      <c r="D146" s="11"/>
      <c r="E146" s="12"/>
      <c r="F146" s="12"/>
      <c r="G146" s="12">
        <v>145</v>
      </c>
      <c r="H146" s="12" t="str">
        <f t="shared" si="2"/>
        <v>--145</v>
      </c>
      <c r="I146" s="18"/>
      <c r="J146" s="14"/>
      <c r="K146" s="36"/>
      <c r="L146" s="13"/>
    </row>
    <row r="147" spans="1:12" x14ac:dyDescent="0.3">
      <c r="A147" s="8">
        <v>146</v>
      </c>
      <c r="B147" s="8"/>
      <c r="C147" s="8"/>
      <c r="D147" s="11"/>
      <c r="E147" s="12"/>
      <c r="F147" s="12"/>
      <c r="G147" s="12">
        <v>146</v>
      </c>
      <c r="H147" s="12" t="str">
        <f t="shared" si="2"/>
        <v>--146</v>
      </c>
      <c r="I147" s="18"/>
      <c r="J147" s="14"/>
      <c r="K147" s="36"/>
      <c r="L147" s="13"/>
    </row>
    <row r="148" spans="1:12" x14ac:dyDescent="0.3">
      <c r="A148" s="8">
        <v>147</v>
      </c>
      <c r="B148" s="8"/>
      <c r="C148" s="8"/>
      <c r="D148" s="11"/>
      <c r="E148" s="12"/>
      <c r="F148" s="12"/>
      <c r="G148" s="12">
        <v>147</v>
      </c>
      <c r="H148" s="12" t="str">
        <f t="shared" si="2"/>
        <v>--147</v>
      </c>
      <c r="I148" s="18"/>
      <c r="J148" s="14"/>
      <c r="K148" s="36"/>
      <c r="L148" s="13"/>
    </row>
    <row r="149" spans="1:12" x14ac:dyDescent="0.3">
      <c r="A149" s="8">
        <v>148</v>
      </c>
      <c r="B149" s="8"/>
      <c r="C149" s="8"/>
      <c r="D149" s="11"/>
      <c r="E149" s="12"/>
      <c r="F149" s="12"/>
      <c r="G149" s="12">
        <v>148</v>
      </c>
      <c r="H149" s="12" t="str">
        <f t="shared" si="2"/>
        <v>--148</v>
      </c>
      <c r="I149" s="18"/>
      <c r="J149" s="14"/>
      <c r="K149" s="36"/>
      <c r="L149" s="13"/>
    </row>
    <row r="150" spans="1:12" x14ac:dyDescent="0.3">
      <c r="A150" s="8">
        <v>149</v>
      </c>
      <c r="B150" s="8"/>
      <c r="C150" s="8"/>
      <c r="D150" s="11"/>
      <c r="E150" s="12"/>
      <c r="F150" s="12"/>
      <c r="G150" s="12">
        <v>149</v>
      </c>
      <c r="H150" s="12" t="str">
        <f t="shared" si="2"/>
        <v>--149</v>
      </c>
      <c r="I150" s="18"/>
      <c r="J150" s="14"/>
      <c r="K150" s="36"/>
      <c r="L150" s="13"/>
    </row>
    <row r="151" spans="1:12" x14ac:dyDescent="0.3">
      <c r="A151" s="8">
        <v>150</v>
      </c>
      <c r="B151" s="8"/>
      <c r="C151" s="8"/>
      <c r="D151" s="11"/>
      <c r="E151" s="12"/>
      <c r="F151" s="12"/>
      <c r="G151" s="12">
        <v>150</v>
      </c>
      <c r="H151" s="12" t="str">
        <f t="shared" si="2"/>
        <v>--150</v>
      </c>
      <c r="I151" s="18"/>
      <c r="J151" s="14"/>
      <c r="K151" s="36"/>
      <c r="L151" s="13"/>
    </row>
    <row r="152" spans="1:12" x14ac:dyDescent="0.3">
      <c r="A152" s="8">
        <v>151</v>
      </c>
      <c r="B152" s="8"/>
      <c r="C152" s="8"/>
      <c r="D152" s="11"/>
      <c r="E152" s="12"/>
      <c r="F152" s="12"/>
      <c r="G152" s="12">
        <v>151</v>
      </c>
      <c r="H152" s="12" t="str">
        <f t="shared" si="2"/>
        <v>--151</v>
      </c>
      <c r="I152" s="18"/>
      <c r="J152" s="14"/>
      <c r="K152" s="36"/>
      <c r="L152" s="13"/>
    </row>
    <row r="153" spans="1:12" x14ac:dyDescent="0.3">
      <c r="A153" s="8">
        <v>152</v>
      </c>
      <c r="B153" s="8"/>
      <c r="C153" s="8"/>
      <c r="D153" s="11"/>
      <c r="E153" s="12"/>
      <c r="F153" s="12"/>
      <c r="G153" s="12">
        <v>152</v>
      </c>
      <c r="H153" s="12" t="str">
        <f t="shared" si="2"/>
        <v>--152</v>
      </c>
      <c r="I153" s="18"/>
      <c r="J153" s="14"/>
      <c r="K153" s="36"/>
      <c r="L153" s="13"/>
    </row>
    <row r="154" spans="1:12" x14ac:dyDescent="0.3">
      <c r="A154" s="8">
        <v>153</v>
      </c>
      <c r="B154" s="8"/>
      <c r="C154" s="8"/>
      <c r="D154" s="11"/>
      <c r="E154" s="12"/>
      <c r="F154" s="12"/>
      <c r="G154" s="12">
        <v>153</v>
      </c>
      <c r="H154" s="12" t="str">
        <f t="shared" si="2"/>
        <v>--153</v>
      </c>
      <c r="I154" s="18"/>
      <c r="J154" s="14"/>
      <c r="K154" s="36"/>
      <c r="L154" s="13"/>
    </row>
    <row r="155" spans="1:12" x14ac:dyDescent="0.3">
      <c r="A155" s="8">
        <v>154</v>
      </c>
      <c r="B155" s="8"/>
      <c r="C155" s="8"/>
      <c r="D155" s="11"/>
      <c r="E155" s="12"/>
      <c r="F155" s="12"/>
      <c r="G155" s="12">
        <v>154</v>
      </c>
      <c r="H155" s="12" t="str">
        <f t="shared" si="2"/>
        <v>--154</v>
      </c>
      <c r="I155" s="18"/>
      <c r="J155" s="14"/>
      <c r="K155" s="36"/>
      <c r="L155" s="13"/>
    </row>
    <row r="156" spans="1:12" x14ac:dyDescent="0.3">
      <c r="A156" s="8">
        <v>155</v>
      </c>
      <c r="B156" s="8"/>
      <c r="C156" s="8"/>
      <c r="D156" s="11"/>
      <c r="E156" s="12"/>
      <c r="F156" s="12"/>
      <c r="G156" s="12">
        <v>155</v>
      </c>
      <c r="H156" s="12" t="str">
        <f t="shared" si="2"/>
        <v>--155</v>
      </c>
      <c r="I156" s="18"/>
      <c r="J156" s="14"/>
      <c r="K156" s="36"/>
      <c r="L156" s="13"/>
    </row>
    <row r="157" spans="1:12" x14ac:dyDescent="0.3">
      <c r="A157" s="8">
        <v>156</v>
      </c>
      <c r="B157" s="8"/>
      <c r="C157" s="8"/>
      <c r="D157" s="11"/>
      <c r="E157" s="12"/>
      <c r="F157" s="12"/>
      <c r="G157" s="12">
        <v>156</v>
      </c>
      <c r="H157" s="12" t="str">
        <f t="shared" si="2"/>
        <v>--156</v>
      </c>
      <c r="I157" s="18"/>
      <c r="J157" s="14"/>
      <c r="K157" s="36"/>
      <c r="L157" s="13"/>
    </row>
    <row r="158" spans="1:12" x14ac:dyDescent="0.3">
      <c r="A158" s="8">
        <v>157</v>
      </c>
      <c r="B158" s="8"/>
      <c r="C158" s="8"/>
      <c r="D158" s="11"/>
      <c r="E158" s="12"/>
      <c r="F158" s="12"/>
      <c r="G158" s="12">
        <v>157</v>
      </c>
      <c r="H158" s="12" t="str">
        <f t="shared" si="2"/>
        <v>--157</v>
      </c>
      <c r="I158" s="18"/>
      <c r="J158" s="14"/>
      <c r="K158" s="36"/>
      <c r="L158" s="13"/>
    </row>
    <row r="159" spans="1:12" x14ac:dyDescent="0.3">
      <c r="A159" s="8">
        <v>158</v>
      </c>
      <c r="B159" s="8"/>
      <c r="C159" s="8"/>
      <c r="D159" s="11"/>
      <c r="E159" s="12"/>
      <c r="F159" s="12"/>
      <c r="G159" s="12">
        <v>158</v>
      </c>
      <c r="H159" s="12" t="str">
        <f t="shared" si="2"/>
        <v>--158</v>
      </c>
      <c r="I159" s="18"/>
      <c r="J159" s="14"/>
      <c r="K159" s="36"/>
      <c r="L159" s="13"/>
    </row>
    <row r="160" spans="1:12" x14ac:dyDescent="0.3">
      <c r="A160" s="8">
        <v>159</v>
      </c>
      <c r="B160" s="8"/>
      <c r="C160" s="8"/>
      <c r="D160" s="11"/>
      <c r="E160" s="12"/>
      <c r="F160" s="12"/>
      <c r="G160" s="12">
        <v>159</v>
      </c>
      <c r="H160" s="12" t="str">
        <f t="shared" si="2"/>
        <v>--159</v>
      </c>
      <c r="I160" s="18"/>
      <c r="J160" s="14"/>
      <c r="K160" s="36"/>
      <c r="L160" s="13"/>
    </row>
    <row r="161" spans="1:12" x14ac:dyDescent="0.3">
      <c r="A161" s="8">
        <v>160</v>
      </c>
      <c r="B161" s="8"/>
      <c r="C161" s="8"/>
      <c r="D161" s="11"/>
      <c r="E161" s="12"/>
      <c r="F161" s="12"/>
      <c r="G161" s="12">
        <v>160</v>
      </c>
      <c r="H161" s="12" t="str">
        <f t="shared" si="2"/>
        <v>--160</v>
      </c>
      <c r="I161" s="18"/>
      <c r="J161" s="14"/>
      <c r="K161" s="36"/>
      <c r="L161" s="13"/>
    </row>
    <row r="162" spans="1:12" x14ac:dyDescent="0.3">
      <c r="A162" s="8">
        <v>161</v>
      </c>
      <c r="B162" s="8"/>
      <c r="C162" s="8"/>
      <c r="D162" s="11"/>
      <c r="E162" s="12"/>
      <c r="F162" s="12"/>
      <c r="G162" s="12">
        <v>161</v>
      </c>
      <c r="H162" s="12" t="str">
        <f t="shared" si="2"/>
        <v>--161</v>
      </c>
      <c r="I162" s="18"/>
      <c r="J162" s="14"/>
      <c r="K162" s="36"/>
      <c r="L162" s="13"/>
    </row>
    <row r="163" spans="1:12" x14ac:dyDescent="0.3">
      <c r="A163" s="8">
        <v>162</v>
      </c>
      <c r="B163" s="8"/>
      <c r="C163" s="8"/>
      <c r="D163" s="11"/>
      <c r="E163" s="12"/>
      <c r="F163" s="12"/>
      <c r="G163" s="12">
        <v>162</v>
      </c>
      <c r="H163" s="12" t="str">
        <f t="shared" si="2"/>
        <v>--162</v>
      </c>
      <c r="I163" s="18"/>
      <c r="J163" s="14"/>
      <c r="K163" s="36"/>
      <c r="L163" s="13"/>
    </row>
    <row r="164" spans="1:12" x14ac:dyDescent="0.3">
      <c r="A164" s="8">
        <v>163</v>
      </c>
      <c r="B164" s="8"/>
      <c r="C164" s="8"/>
      <c r="D164" s="11"/>
      <c r="E164" s="12"/>
      <c r="F164" s="12"/>
      <c r="G164" s="12">
        <v>163</v>
      </c>
      <c r="H164" s="12" t="str">
        <f t="shared" si="2"/>
        <v>--163</v>
      </c>
      <c r="I164" s="18"/>
      <c r="J164" s="14"/>
      <c r="K164" s="36"/>
      <c r="L164" s="13"/>
    </row>
    <row r="165" spans="1:12" x14ac:dyDescent="0.3">
      <c r="A165" s="8">
        <v>164</v>
      </c>
      <c r="B165" s="8"/>
      <c r="C165" s="8"/>
      <c r="D165" s="11"/>
      <c r="E165" s="12"/>
      <c r="F165" s="12"/>
      <c r="G165" s="12">
        <v>164</v>
      </c>
      <c r="H165" s="12" t="str">
        <f t="shared" si="2"/>
        <v>--164</v>
      </c>
      <c r="I165" s="18"/>
      <c r="J165" s="14"/>
      <c r="K165" s="36"/>
      <c r="L165" s="13"/>
    </row>
    <row r="166" spans="1:12" x14ac:dyDescent="0.3">
      <c r="A166" s="8">
        <v>165</v>
      </c>
      <c r="B166" s="8"/>
      <c r="C166" s="8"/>
      <c r="D166" s="11"/>
      <c r="E166" s="12"/>
      <c r="F166" s="12"/>
      <c r="G166" s="12">
        <v>165</v>
      </c>
      <c r="H166" s="12" t="str">
        <f t="shared" si="2"/>
        <v>--165</v>
      </c>
      <c r="I166" s="18"/>
      <c r="J166" s="14"/>
      <c r="K166" s="36"/>
      <c r="L166" s="13"/>
    </row>
    <row r="167" spans="1:12" x14ac:dyDescent="0.3">
      <c r="A167" s="8">
        <v>166</v>
      </c>
      <c r="B167" s="8"/>
      <c r="C167" s="8"/>
      <c r="D167" s="11"/>
      <c r="E167" s="12"/>
      <c r="F167" s="12"/>
      <c r="G167" s="12">
        <v>166</v>
      </c>
      <c r="H167" s="12" t="str">
        <f t="shared" si="2"/>
        <v>--166</v>
      </c>
      <c r="I167" s="18"/>
      <c r="J167" s="14"/>
      <c r="K167" s="36"/>
      <c r="L167" s="13"/>
    </row>
    <row r="168" spans="1:12" x14ac:dyDescent="0.3">
      <c r="A168" s="8">
        <v>167</v>
      </c>
      <c r="B168" s="8"/>
      <c r="C168" s="8"/>
      <c r="D168" s="11"/>
      <c r="E168" s="12"/>
      <c r="F168" s="12"/>
      <c r="G168" s="12">
        <v>167</v>
      </c>
      <c r="H168" s="12" t="str">
        <f t="shared" si="2"/>
        <v>--167</v>
      </c>
      <c r="I168" s="18"/>
      <c r="J168" s="14"/>
      <c r="K168" s="36"/>
      <c r="L168" s="13"/>
    </row>
    <row r="169" spans="1:12" x14ac:dyDescent="0.3">
      <c r="A169" s="8">
        <v>168</v>
      </c>
      <c r="B169" s="8"/>
      <c r="C169" s="8"/>
      <c r="D169" s="11"/>
      <c r="E169" s="12"/>
      <c r="F169" s="12"/>
      <c r="G169" s="12">
        <v>168</v>
      </c>
      <c r="H169" s="12" t="str">
        <f t="shared" si="2"/>
        <v>--168</v>
      </c>
      <c r="I169" s="18"/>
      <c r="J169" s="14"/>
      <c r="K169" s="36"/>
      <c r="L169" s="13"/>
    </row>
    <row r="170" spans="1:12" x14ac:dyDescent="0.3">
      <c r="A170" s="8">
        <v>169</v>
      </c>
      <c r="B170" s="8"/>
      <c r="C170" s="8"/>
      <c r="D170" s="11"/>
      <c r="E170" s="12"/>
      <c r="F170" s="12"/>
      <c r="G170" s="12">
        <v>169</v>
      </c>
      <c r="H170" s="12" t="str">
        <f t="shared" si="2"/>
        <v>--169</v>
      </c>
      <c r="I170" s="18"/>
      <c r="J170" s="14"/>
      <c r="K170" s="36"/>
      <c r="L170" s="13"/>
    </row>
    <row r="171" spans="1:12" x14ac:dyDescent="0.3">
      <c r="A171" s="8">
        <v>170</v>
      </c>
      <c r="B171" s="8"/>
      <c r="C171" s="8"/>
      <c r="D171" s="11"/>
      <c r="E171" s="12"/>
      <c r="F171" s="12"/>
      <c r="G171" s="12">
        <v>170</v>
      </c>
      <c r="H171" s="12" t="str">
        <f t="shared" si="2"/>
        <v>--170</v>
      </c>
      <c r="I171" s="18"/>
      <c r="J171" s="14"/>
      <c r="K171" s="36"/>
      <c r="L171" s="13"/>
    </row>
    <row r="172" spans="1:12" x14ac:dyDescent="0.3">
      <c r="A172" s="8">
        <v>171</v>
      </c>
      <c r="B172" s="8"/>
      <c r="C172" s="8"/>
      <c r="D172" s="11"/>
      <c r="E172" s="12"/>
      <c r="F172" s="12"/>
      <c r="G172" s="12">
        <v>171</v>
      </c>
      <c r="H172" s="12" t="str">
        <f t="shared" si="2"/>
        <v>--171</v>
      </c>
      <c r="I172" s="18"/>
      <c r="J172" s="14"/>
      <c r="K172" s="36"/>
      <c r="L172" s="13"/>
    </row>
    <row r="173" spans="1:12" x14ac:dyDescent="0.3">
      <c r="A173" s="8">
        <v>172</v>
      </c>
      <c r="B173" s="8"/>
      <c r="C173" s="8"/>
      <c r="D173" s="11"/>
      <c r="E173" s="12"/>
      <c r="F173" s="12"/>
      <c r="G173" s="12">
        <v>172</v>
      </c>
      <c r="H173" s="12" t="str">
        <f t="shared" si="2"/>
        <v>--172</v>
      </c>
      <c r="I173" s="18"/>
      <c r="J173" s="14"/>
      <c r="K173" s="36"/>
      <c r="L173" s="13"/>
    </row>
    <row r="174" spans="1:12" x14ac:dyDescent="0.3">
      <c r="A174" s="8">
        <v>173</v>
      </c>
      <c r="B174" s="8"/>
      <c r="C174" s="8"/>
      <c r="D174" s="11"/>
      <c r="E174" s="12"/>
      <c r="F174" s="12"/>
      <c r="G174" s="12">
        <v>173</v>
      </c>
      <c r="H174" s="12" t="str">
        <f t="shared" si="2"/>
        <v>--173</v>
      </c>
      <c r="I174" s="18"/>
      <c r="J174" s="14"/>
      <c r="K174" s="36"/>
      <c r="L174" s="13"/>
    </row>
    <row r="175" spans="1:12" x14ac:dyDescent="0.3">
      <c r="A175" s="8">
        <v>174</v>
      </c>
      <c r="B175" s="8"/>
      <c r="C175" s="8"/>
      <c r="D175" s="11"/>
      <c r="E175" s="12"/>
      <c r="F175" s="12"/>
      <c r="G175" s="12">
        <v>174</v>
      </c>
      <c r="H175" s="12" t="str">
        <f t="shared" si="2"/>
        <v>--174</v>
      </c>
      <c r="I175" s="18"/>
      <c r="J175" s="14"/>
      <c r="K175" s="36"/>
      <c r="L175" s="13"/>
    </row>
    <row r="176" spans="1:12" x14ac:dyDescent="0.3">
      <c r="A176" s="8">
        <v>175</v>
      </c>
      <c r="B176" s="8"/>
      <c r="C176" s="8"/>
      <c r="D176" s="11"/>
      <c r="E176" s="12"/>
      <c r="F176" s="12"/>
      <c r="G176" s="12">
        <v>175</v>
      </c>
      <c r="H176" s="12" t="str">
        <f t="shared" si="2"/>
        <v>--175</v>
      </c>
      <c r="I176" s="18"/>
      <c r="J176" s="14"/>
      <c r="K176" s="36"/>
      <c r="L176" s="13"/>
    </row>
    <row r="177" spans="1:12" x14ac:dyDescent="0.3">
      <c r="A177" s="8">
        <v>176</v>
      </c>
      <c r="B177" s="8"/>
      <c r="C177" s="8"/>
      <c r="D177" s="11"/>
      <c r="E177" s="12"/>
      <c r="F177" s="12"/>
      <c r="G177" s="12">
        <v>176</v>
      </c>
      <c r="H177" s="12" t="str">
        <f t="shared" si="2"/>
        <v>--176</v>
      </c>
      <c r="I177" s="18"/>
      <c r="J177" s="14"/>
      <c r="K177" s="36"/>
      <c r="L177" s="13"/>
    </row>
    <row r="178" spans="1:12" x14ac:dyDescent="0.3">
      <c r="A178" s="8">
        <v>177</v>
      </c>
      <c r="B178" s="8"/>
      <c r="C178" s="8"/>
      <c r="D178" s="11"/>
      <c r="E178" s="12"/>
      <c r="F178" s="12"/>
      <c r="G178" s="12">
        <v>177</v>
      </c>
      <c r="H178" s="12" t="str">
        <f t="shared" si="2"/>
        <v>--177</v>
      </c>
      <c r="I178" s="18"/>
      <c r="J178" s="14"/>
      <c r="K178" s="36"/>
      <c r="L178" s="13"/>
    </row>
    <row r="179" spans="1:12" x14ac:dyDescent="0.3">
      <c r="A179" s="8">
        <v>178</v>
      </c>
      <c r="B179" s="8"/>
      <c r="C179" s="8"/>
      <c r="D179" s="11" t="s">
        <v>41</v>
      </c>
      <c r="E179" s="12">
        <v>7</v>
      </c>
      <c r="F179" s="12">
        <v>20</v>
      </c>
      <c r="G179" s="12">
        <v>178</v>
      </c>
      <c r="H179" s="12" t="str">
        <f t="shared" si="2"/>
        <v>7-20-178</v>
      </c>
      <c r="I179" s="18" t="s">
        <v>100</v>
      </c>
      <c r="J179" s="14" t="s">
        <v>8</v>
      </c>
      <c r="K179" s="36"/>
      <c r="L179" s="13" t="s">
        <v>49</v>
      </c>
    </row>
    <row r="180" spans="1:12" x14ac:dyDescent="0.3">
      <c r="A180" s="8">
        <v>179</v>
      </c>
      <c r="B180" s="8"/>
      <c r="C180" s="8"/>
      <c r="D180" s="11" t="s">
        <v>40</v>
      </c>
      <c r="E180" s="12">
        <v>7</v>
      </c>
      <c r="F180" s="12">
        <v>20</v>
      </c>
      <c r="G180" s="12">
        <v>179</v>
      </c>
      <c r="H180" s="12" t="str">
        <f t="shared" si="2"/>
        <v>7-20-179</v>
      </c>
      <c r="I180" s="18" t="s">
        <v>101</v>
      </c>
      <c r="J180" s="14" t="s">
        <v>8</v>
      </c>
      <c r="K180" s="36"/>
      <c r="L180" s="13" t="s">
        <v>49</v>
      </c>
    </row>
    <row r="181" spans="1:12" x14ac:dyDescent="0.3">
      <c r="A181" s="8">
        <v>180</v>
      </c>
      <c r="B181" s="8"/>
      <c r="C181" s="8"/>
      <c r="D181" s="11" t="s">
        <v>52</v>
      </c>
      <c r="E181" s="12">
        <v>13</v>
      </c>
      <c r="F181" s="12">
        <v>21</v>
      </c>
      <c r="G181" s="12">
        <v>180</v>
      </c>
      <c r="H181" s="12" t="str">
        <f t="shared" si="2"/>
        <v>13-21-180</v>
      </c>
      <c r="I181" s="18" t="s">
        <v>54</v>
      </c>
      <c r="J181" s="14" t="s">
        <v>8</v>
      </c>
      <c r="K181" s="36" t="s">
        <v>55</v>
      </c>
      <c r="L181" s="13"/>
    </row>
    <row r="182" spans="1:12" x14ac:dyDescent="0.3">
      <c r="A182" s="8">
        <v>181</v>
      </c>
      <c r="B182" s="8"/>
      <c r="C182" s="8"/>
      <c r="D182" s="11" t="s">
        <v>53</v>
      </c>
      <c r="E182" s="12">
        <v>13</v>
      </c>
      <c r="F182" s="12">
        <v>21</v>
      </c>
      <c r="G182" s="12">
        <v>181</v>
      </c>
      <c r="H182" s="12" t="str">
        <f t="shared" si="2"/>
        <v>13-21-181</v>
      </c>
      <c r="I182" s="18" t="s">
        <v>56</v>
      </c>
      <c r="J182" s="14" t="s">
        <v>8</v>
      </c>
      <c r="K182" s="36" t="s">
        <v>55</v>
      </c>
      <c r="L182" s="13"/>
    </row>
    <row r="183" spans="1:12" x14ac:dyDescent="0.3">
      <c r="A183" s="8">
        <v>182</v>
      </c>
      <c r="B183" s="8"/>
      <c r="C183" s="8"/>
      <c r="D183" s="11" t="s">
        <v>58</v>
      </c>
      <c r="E183" s="12">
        <v>13</v>
      </c>
      <c r="F183" s="12">
        <v>22</v>
      </c>
      <c r="G183" s="12">
        <v>182</v>
      </c>
      <c r="H183" s="12" t="str">
        <f t="shared" si="2"/>
        <v>13-22-182</v>
      </c>
      <c r="I183" s="18" t="s">
        <v>58</v>
      </c>
      <c r="J183" s="14" t="s">
        <v>8</v>
      </c>
      <c r="K183" s="36" t="s">
        <v>55</v>
      </c>
      <c r="L183" s="13"/>
    </row>
    <row r="184" spans="1:12" x14ac:dyDescent="0.3">
      <c r="A184" s="8">
        <v>183</v>
      </c>
      <c r="B184" s="8"/>
      <c r="C184" s="8"/>
      <c r="D184" s="11" t="s">
        <v>59</v>
      </c>
      <c r="E184" s="12">
        <v>13</v>
      </c>
      <c r="F184" s="12">
        <v>22</v>
      </c>
      <c r="G184" s="12">
        <v>183</v>
      </c>
      <c r="H184" s="12" t="str">
        <f t="shared" si="2"/>
        <v>13-22-183</v>
      </c>
      <c r="I184" s="18" t="s">
        <v>59</v>
      </c>
      <c r="J184" s="14" t="s">
        <v>8</v>
      </c>
      <c r="K184" s="36" t="s">
        <v>55</v>
      </c>
      <c r="L184" s="13"/>
    </row>
    <row r="185" spans="1:12" x14ac:dyDescent="0.3">
      <c r="A185" s="8">
        <v>184</v>
      </c>
      <c r="B185" s="8"/>
      <c r="C185" s="8"/>
      <c r="D185" s="11" t="s">
        <v>60</v>
      </c>
      <c r="E185" s="12">
        <v>13</v>
      </c>
      <c r="F185" s="12">
        <v>22</v>
      </c>
      <c r="G185" s="12">
        <v>184</v>
      </c>
      <c r="H185" s="12" t="str">
        <f t="shared" si="2"/>
        <v>13-22-184</v>
      </c>
      <c r="I185" s="18" t="s">
        <v>60</v>
      </c>
      <c r="J185" s="14" t="s">
        <v>8</v>
      </c>
      <c r="K185" s="36" t="s">
        <v>55</v>
      </c>
      <c r="L185" s="13"/>
    </row>
    <row r="186" spans="1:12" x14ac:dyDescent="0.3">
      <c r="A186" s="8">
        <v>185</v>
      </c>
      <c r="B186" s="8"/>
      <c r="C186" s="8"/>
      <c r="D186" s="11" t="s">
        <v>64</v>
      </c>
      <c r="E186" s="12">
        <v>13</v>
      </c>
      <c r="F186" s="12">
        <v>23</v>
      </c>
      <c r="G186" s="12">
        <v>185</v>
      </c>
      <c r="H186" s="12" t="str">
        <f t="shared" si="2"/>
        <v>13-23-185</v>
      </c>
      <c r="I186" s="18" t="s">
        <v>64</v>
      </c>
      <c r="J186" s="14" t="s">
        <v>8</v>
      </c>
      <c r="K186" s="36" t="s">
        <v>55</v>
      </c>
      <c r="L186" s="13"/>
    </row>
    <row r="187" spans="1:12" x14ac:dyDescent="0.3">
      <c r="A187" s="8">
        <v>186</v>
      </c>
      <c r="B187" s="8"/>
      <c r="C187" s="8"/>
      <c r="D187" s="11" t="s">
        <v>65</v>
      </c>
      <c r="E187" s="12">
        <v>13</v>
      </c>
      <c r="F187" s="12">
        <v>23</v>
      </c>
      <c r="G187" s="12">
        <v>186</v>
      </c>
      <c r="H187" s="12" t="str">
        <f t="shared" si="2"/>
        <v>13-23-186</v>
      </c>
      <c r="I187" s="18" t="s">
        <v>65</v>
      </c>
      <c r="J187" s="14" t="s">
        <v>8</v>
      </c>
      <c r="K187" s="36" t="s">
        <v>55</v>
      </c>
      <c r="L187" s="13"/>
    </row>
    <row r="188" spans="1:12" ht="28.8" x14ac:dyDescent="0.3">
      <c r="A188" s="8">
        <v>187</v>
      </c>
      <c r="B188" s="8"/>
      <c r="C188" s="8"/>
      <c r="D188" s="11" t="s">
        <v>66</v>
      </c>
      <c r="E188" s="12">
        <v>13</v>
      </c>
      <c r="F188" s="12">
        <v>23</v>
      </c>
      <c r="G188" s="12">
        <v>187</v>
      </c>
      <c r="H188" s="12" t="str">
        <f t="shared" si="2"/>
        <v>13-23-187</v>
      </c>
      <c r="I188" s="18" t="s">
        <v>66</v>
      </c>
      <c r="J188" s="14" t="s">
        <v>8</v>
      </c>
      <c r="K188" s="36" t="s">
        <v>55</v>
      </c>
      <c r="L188" s="13"/>
    </row>
    <row r="189" spans="1:12" x14ac:dyDescent="0.3">
      <c r="A189" s="8">
        <v>188</v>
      </c>
      <c r="B189" s="8"/>
      <c r="C189" s="8"/>
      <c r="D189" s="11" t="s">
        <v>67</v>
      </c>
      <c r="E189" s="12">
        <v>13</v>
      </c>
      <c r="F189" s="12">
        <v>23</v>
      </c>
      <c r="G189" s="12">
        <v>188</v>
      </c>
      <c r="H189" s="12" t="str">
        <f t="shared" si="2"/>
        <v>13-23-188</v>
      </c>
      <c r="I189" s="18" t="s">
        <v>67</v>
      </c>
      <c r="J189" s="14" t="s">
        <v>8</v>
      </c>
      <c r="K189" s="36" t="s">
        <v>55</v>
      </c>
      <c r="L189" s="13"/>
    </row>
    <row r="190" spans="1:12" x14ac:dyDescent="0.3">
      <c r="A190" s="8">
        <v>189</v>
      </c>
      <c r="B190" s="8"/>
      <c r="C190" s="8"/>
      <c r="D190" s="11" t="s">
        <v>68</v>
      </c>
      <c r="E190" s="12">
        <v>13</v>
      </c>
      <c r="F190" s="12">
        <v>23</v>
      </c>
      <c r="G190" s="12">
        <v>189</v>
      </c>
      <c r="H190" s="12" t="str">
        <f t="shared" si="2"/>
        <v>13-23-189</v>
      </c>
      <c r="I190" s="18" t="s">
        <v>68</v>
      </c>
      <c r="J190" s="14" t="s">
        <v>8</v>
      </c>
      <c r="K190" s="36" t="s">
        <v>55</v>
      </c>
      <c r="L190" s="13"/>
    </row>
    <row r="191" spans="1:12" x14ac:dyDescent="0.3">
      <c r="A191" s="8">
        <v>190</v>
      </c>
      <c r="B191" s="8"/>
      <c r="C191" s="8"/>
      <c r="D191" s="11" t="s">
        <v>62</v>
      </c>
      <c r="E191" s="12">
        <v>13</v>
      </c>
      <c r="F191" s="12">
        <v>23</v>
      </c>
      <c r="G191" s="12">
        <v>190</v>
      </c>
      <c r="H191" s="12" t="str">
        <f t="shared" si="2"/>
        <v>13-23-190</v>
      </c>
      <c r="I191" s="18" t="s">
        <v>62</v>
      </c>
      <c r="J191" s="14" t="s">
        <v>8</v>
      </c>
      <c r="K191" s="36" t="s">
        <v>55</v>
      </c>
      <c r="L191" s="13"/>
    </row>
    <row r="192" spans="1:12" x14ac:dyDescent="0.3">
      <c r="A192" s="8">
        <v>191</v>
      </c>
      <c r="B192" s="8"/>
      <c r="C192" s="8"/>
      <c r="D192" s="11" t="s">
        <v>63</v>
      </c>
      <c r="E192" s="12">
        <v>13</v>
      </c>
      <c r="F192" s="12">
        <v>23</v>
      </c>
      <c r="G192" s="12">
        <v>191</v>
      </c>
      <c r="H192" s="12" t="str">
        <f t="shared" si="2"/>
        <v>13-23-191</v>
      </c>
      <c r="I192" s="18" t="s">
        <v>63</v>
      </c>
      <c r="J192" s="14" t="s">
        <v>8</v>
      </c>
      <c r="K192" s="36" t="s">
        <v>55</v>
      </c>
      <c r="L192" s="13"/>
    </row>
    <row r="193" spans="1:12" ht="28.8" x14ac:dyDescent="0.3">
      <c r="A193" s="8">
        <v>192</v>
      </c>
      <c r="B193" s="8"/>
      <c r="C193" s="8"/>
      <c r="D193" s="11" t="s">
        <v>69</v>
      </c>
      <c r="E193" s="12">
        <v>6</v>
      </c>
      <c r="F193" s="12">
        <v>23</v>
      </c>
      <c r="G193" s="12">
        <v>192</v>
      </c>
      <c r="H193" s="12" t="str">
        <f t="shared" si="2"/>
        <v>6-23-192</v>
      </c>
      <c r="I193" s="18" t="s">
        <v>69</v>
      </c>
      <c r="J193" s="14" t="s">
        <v>8</v>
      </c>
      <c r="K193" s="36" t="s">
        <v>55</v>
      </c>
      <c r="L193" s="13"/>
    </row>
    <row r="194" spans="1:12" x14ac:dyDescent="0.3">
      <c r="A194" s="8">
        <v>193</v>
      </c>
      <c r="B194" s="8"/>
      <c r="C194" s="8"/>
      <c r="D194" s="11" t="s">
        <v>72</v>
      </c>
      <c r="E194" s="12">
        <v>14</v>
      </c>
      <c r="F194" s="12">
        <v>24</v>
      </c>
      <c r="G194" s="12">
        <v>193</v>
      </c>
      <c r="H194" s="12" t="str">
        <f t="shared" si="2"/>
        <v>14-24-193</v>
      </c>
      <c r="I194" s="18" t="s">
        <v>72</v>
      </c>
      <c r="J194" s="14" t="s">
        <v>8</v>
      </c>
      <c r="K194" s="36" t="s">
        <v>55</v>
      </c>
      <c r="L194" s="13"/>
    </row>
    <row r="195" spans="1:12" ht="28.8" x14ac:dyDescent="0.3">
      <c r="A195" s="8">
        <v>194</v>
      </c>
      <c r="B195" s="8"/>
      <c r="C195" s="8"/>
      <c r="D195" s="11" t="s">
        <v>76</v>
      </c>
      <c r="E195" s="12">
        <v>13</v>
      </c>
      <c r="F195" s="12">
        <v>25</v>
      </c>
      <c r="G195" s="12">
        <v>194</v>
      </c>
      <c r="H195" s="12" t="str">
        <f t="shared" ref="H195:H462" si="3">CONCATENATE(E195,"-",F195,"-",G195)</f>
        <v>13-25-194</v>
      </c>
      <c r="I195" s="18" t="s">
        <v>76</v>
      </c>
      <c r="J195" s="14" t="s">
        <v>8</v>
      </c>
      <c r="K195" s="36" t="s">
        <v>74</v>
      </c>
      <c r="L195" s="13"/>
    </row>
    <row r="196" spans="1:12" ht="28.8" x14ac:dyDescent="0.3">
      <c r="A196" s="8">
        <v>195</v>
      </c>
      <c r="B196" s="8"/>
      <c r="C196" s="8"/>
      <c r="D196" s="11" t="s">
        <v>77</v>
      </c>
      <c r="E196" s="12">
        <v>15</v>
      </c>
      <c r="F196" s="12">
        <v>25</v>
      </c>
      <c r="G196" s="12">
        <v>195</v>
      </c>
      <c r="H196" s="12" t="str">
        <f t="shared" si="3"/>
        <v>15-25-195</v>
      </c>
      <c r="I196" s="18" t="s">
        <v>77</v>
      </c>
      <c r="J196" s="14" t="s">
        <v>8</v>
      </c>
      <c r="K196" s="36" t="s">
        <v>74</v>
      </c>
      <c r="L196" s="13"/>
    </row>
    <row r="197" spans="1:12" ht="28.8" x14ac:dyDescent="0.3">
      <c r="A197" s="8">
        <v>196</v>
      </c>
      <c r="B197" s="8"/>
      <c r="C197" s="8"/>
      <c r="D197" s="11" t="s">
        <v>79</v>
      </c>
      <c r="E197" s="12">
        <v>7</v>
      </c>
      <c r="F197" s="12">
        <v>26</v>
      </c>
      <c r="G197" s="12">
        <v>196</v>
      </c>
      <c r="H197" s="12" t="str">
        <f t="shared" si="3"/>
        <v>7-26-196</v>
      </c>
      <c r="I197" s="18" t="s">
        <v>79</v>
      </c>
      <c r="J197" s="14" t="s">
        <v>8</v>
      </c>
      <c r="K197" s="36" t="s">
        <v>80</v>
      </c>
      <c r="L197" s="13"/>
    </row>
    <row r="198" spans="1:12" ht="32.4" customHeight="1" x14ac:dyDescent="0.3">
      <c r="A198" s="8">
        <v>197</v>
      </c>
      <c r="B198" s="8"/>
      <c r="C198" s="8"/>
      <c r="D198" s="11" t="s">
        <v>82</v>
      </c>
      <c r="E198" s="12">
        <v>4</v>
      </c>
      <c r="F198" s="12">
        <v>27</v>
      </c>
      <c r="G198" s="12">
        <v>197</v>
      </c>
      <c r="H198" s="12" t="str">
        <f t="shared" si="3"/>
        <v>4-27-197</v>
      </c>
      <c r="I198" s="18" t="s">
        <v>82</v>
      </c>
      <c r="J198" s="14" t="s">
        <v>8</v>
      </c>
      <c r="K198" s="36" t="s">
        <v>55</v>
      </c>
      <c r="L198" s="13"/>
    </row>
    <row r="199" spans="1:12" ht="30.6" customHeight="1" x14ac:dyDescent="0.3">
      <c r="A199" s="8">
        <v>198</v>
      </c>
      <c r="B199" s="8"/>
      <c r="C199" s="8"/>
      <c r="D199" s="11" t="s">
        <v>84</v>
      </c>
      <c r="E199" s="12">
        <v>4</v>
      </c>
      <c r="F199" s="12">
        <v>27</v>
      </c>
      <c r="G199" s="12">
        <v>198</v>
      </c>
      <c r="H199" s="12" t="str">
        <f t="shared" si="3"/>
        <v>4-27-198</v>
      </c>
      <c r="I199" s="18" t="s">
        <v>84</v>
      </c>
      <c r="J199" s="14" t="s">
        <v>8</v>
      </c>
      <c r="K199" s="36" t="s">
        <v>55</v>
      </c>
      <c r="L199" s="13"/>
    </row>
    <row r="200" spans="1:12" ht="43.2" x14ac:dyDescent="0.3">
      <c r="A200" s="8">
        <v>199</v>
      </c>
      <c r="B200" s="8"/>
      <c r="C200" s="8"/>
      <c r="D200" s="11" t="s">
        <v>83</v>
      </c>
      <c r="E200" s="12">
        <v>4</v>
      </c>
      <c r="F200" s="12">
        <v>27</v>
      </c>
      <c r="G200" s="12">
        <v>199</v>
      </c>
      <c r="H200" s="12" t="str">
        <f t="shared" si="3"/>
        <v>4-27-199</v>
      </c>
      <c r="I200" s="18" t="s">
        <v>83</v>
      </c>
      <c r="J200" s="14" t="s">
        <v>8</v>
      </c>
      <c r="K200" s="36" t="s">
        <v>55</v>
      </c>
      <c r="L200" s="13"/>
    </row>
    <row r="201" spans="1:12" x14ac:dyDescent="0.3">
      <c r="A201" s="8">
        <v>200</v>
      </c>
      <c r="B201" s="8"/>
      <c r="C201" s="8"/>
      <c r="D201" s="11" t="s">
        <v>86</v>
      </c>
      <c r="E201" s="12">
        <v>8</v>
      </c>
      <c r="F201" s="12">
        <v>28</v>
      </c>
      <c r="G201" s="12">
        <v>200</v>
      </c>
      <c r="H201" s="12" t="str">
        <f t="shared" si="3"/>
        <v>8-28-200</v>
      </c>
      <c r="I201" s="18" t="s">
        <v>86</v>
      </c>
      <c r="J201" s="14" t="s">
        <v>8</v>
      </c>
      <c r="K201" s="36" t="s">
        <v>55</v>
      </c>
      <c r="L201" s="13"/>
    </row>
    <row r="202" spans="1:12" x14ac:dyDescent="0.3">
      <c r="A202" s="8">
        <v>201</v>
      </c>
      <c r="B202" s="8"/>
      <c r="C202" s="8"/>
      <c r="D202" s="11" t="s">
        <v>87</v>
      </c>
      <c r="E202" s="12">
        <v>8</v>
      </c>
      <c r="F202" s="12">
        <v>28</v>
      </c>
      <c r="G202" s="12">
        <v>201</v>
      </c>
      <c r="H202" s="12" t="str">
        <f t="shared" si="3"/>
        <v>8-28-201</v>
      </c>
      <c r="I202" s="18" t="s">
        <v>87</v>
      </c>
      <c r="J202" s="14" t="s">
        <v>8</v>
      </c>
      <c r="K202" s="36" t="s">
        <v>55</v>
      </c>
      <c r="L202" s="13"/>
    </row>
    <row r="203" spans="1:12" ht="28.8" x14ac:dyDescent="0.3">
      <c r="A203" s="8">
        <v>202</v>
      </c>
      <c r="B203" s="8"/>
      <c r="C203" s="8"/>
      <c r="D203" s="11" t="s">
        <v>88</v>
      </c>
      <c r="E203" s="12">
        <v>4</v>
      </c>
      <c r="F203" s="12">
        <v>27</v>
      </c>
      <c r="G203" s="12">
        <v>202</v>
      </c>
      <c r="H203" s="12" t="str">
        <f t="shared" si="3"/>
        <v>4-27-202</v>
      </c>
      <c r="I203" s="18" t="s">
        <v>88</v>
      </c>
      <c r="J203" s="14" t="s">
        <v>8</v>
      </c>
      <c r="K203" s="36" t="s">
        <v>55</v>
      </c>
      <c r="L203" s="13"/>
    </row>
    <row r="204" spans="1:12" ht="28.8" x14ac:dyDescent="0.3">
      <c r="A204" s="8">
        <v>203</v>
      </c>
      <c r="B204" s="8"/>
      <c r="C204" s="8"/>
      <c r="D204" s="11" t="s">
        <v>89</v>
      </c>
      <c r="E204" s="12">
        <v>8</v>
      </c>
      <c r="F204" s="12">
        <v>29</v>
      </c>
      <c r="G204" s="12">
        <v>202</v>
      </c>
      <c r="H204" s="12" t="str">
        <f t="shared" si="3"/>
        <v>8-29-202</v>
      </c>
      <c r="I204" s="18" t="s">
        <v>91</v>
      </c>
      <c r="J204" s="14" t="s">
        <v>8</v>
      </c>
      <c r="K204" s="36" t="s">
        <v>55</v>
      </c>
      <c r="L204" s="13"/>
    </row>
    <row r="205" spans="1:12" ht="43.2" x14ac:dyDescent="0.3">
      <c r="A205" s="8">
        <v>204</v>
      </c>
      <c r="B205" s="8"/>
      <c r="C205" s="8"/>
      <c r="D205" s="11" t="s">
        <v>92</v>
      </c>
      <c r="E205" s="12">
        <v>8</v>
      </c>
      <c r="F205" s="12">
        <v>27</v>
      </c>
      <c r="G205" s="12">
        <v>203</v>
      </c>
      <c r="H205" s="12" t="str">
        <f t="shared" si="3"/>
        <v>8-27-203</v>
      </c>
      <c r="I205" s="18" t="s">
        <v>92</v>
      </c>
      <c r="J205" s="14" t="s">
        <v>8</v>
      </c>
      <c r="K205" s="36" t="s">
        <v>55</v>
      </c>
      <c r="L205" s="13"/>
    </row>
    <row r="206" spans="1:12" ht="43.2" x14ac:dyDescent="0.3">
      <c r="A206" s="8">
        <v>205</v>
      </c>
      <c r="B206" s="8"/>
      <c r="C206" s="8"/>
      <c r="D206" s="11" t="s">
        <v>93</v>
      </c>
      <c r="E206" s="12">
        <v>8</v>
      </c>
      <c r="F206" s="12">
        <v>27</v>
      </c>
      <c r="G206" s="12">
        <v>204</v>
      </c>
      <c r="H206" s="12" t="str">
        <f t="shared" si="3"/>
        <v>8-27-204</v>
      </c>
      <c r="I206" s="18" t="s">
        <v>93</v>
      </c>
      <c r="J206" s="14" t="s">
        <v>8</v>
      </c>
      <c r="K206" s="36" t="s">
        <v>55</v>
      </c>
      <c r="L206" s="13"/>
    </row>
    <row r="207" spans="1:12" ht="28.8" x14ac:dyDescent="0.3">
      <c r="A207" s="8">
        <v>206</v>
      </c>
      <c r="B207" s="8"/>
      <c r="C207" s="8"/>
      <c r="D207" s="11" t="s">
        <v>94</v>
      </c>
      <c r="E207" s="12">
        <v>8</v>
      </c>
      <c r="F207" s="12">
        <v>4</v>
      </c>
      <c r="G207" s="12">
        <v>205</v>
      </c>
      <c r="H207" s="12" t="str">
        <f t="shared" si="3"/>
        <v>8-4-205</v>
      </c>
      <c r="I207" s="18" t="s">
        <v>94</v>
      </c>
      <c r="J207" s="14" t="s">
        <v>8</v>
      </c>
      <c r="K207" s="36" t="s">
        <v>55</v>
      </c>
      <c r="L207" s="13"/>
    </row>
    <row r="208" spans="1:12" ht="28.2" customHeight="1" x14ac:dyDescent="0.3">
      <c r="A208" s="8">
        <v>207</v>
      </c>
      <c r="B208" s="8"/>
      <c r="C208" s="8"/>
      <c r="D208" s="11" t="s">
        <v>95</v>
      </c>
      <c r="E208" s="12">
        <v>8</v>
      </c>
      <c r="F208" s="12">
        <v>30</v>
      </c>
      <c r="G208" s="12">
        <v>206</v>
      </c>
      <c r="H208" s="12" t="str">
        <f t="shared" si="3"/>
        <v>8-30-206</v>
      </c>
      <c r="I208" s="18" t="s">
        <v>95</v>
      </c>
      <c r="J208" s="14" t="s">
        <v>8</v>
      </c>
      <c r="K208" s="36" t="s">
        <v>55</v>
      </c>
      <c r="L208" s="13"/>
    </row>
    <row r="209" spans="1:12" ht="28.8" x14ac:dyDescent="0.3">
      <c r="A209" s="8">
        <v>208</v>
      </c>
      <c r="B209" s="8"/>
      <c r="C209" s="8"/>
      <c r="D209" s="11" t="s">
        <v>97</v>
      </c>
      <c r="E209" s="12">
        <v>1</v>
      </c>
      <c r="F209" s="12">
        <v>27</v>
      </c>
      <c r="G209" s="12">
        <v>207</v>
      </c>
      <c r="H209" s="12" t="str">
        <f t="shared" si="3"/>
        <v>1-27-207</v>
      </c>
      <c r="I209" s="18" t="s">
        <v>97</v>
      </c>
      <c r="J209" s="14" t="s">
        <v>8</v>
      </c>
      <c r="K209" s="36" t="s">
        <v>55</v>
      </c>
      <c r="L209" s="13"/>
    </row>
    <row r="210" spans="1:12" ht="28.8" x14ac:dyDescent="0.3">
      <c r="A210" s="8">
        <v>209</v>
      </c>
      <c r="B210" s="8"/>
      <c r="C210" s="8"/>
      <c r="D210" s="11" t="s">
        <v>99</v>
      </c>
      <c r="E210" s="12">
        <v>1</v>
      </c>
      <c r="F210" s="12">
        <v>27</v>
      </c>
      <c r="G210" s="12">
        <v>208</v>
      </c>
      <c r="H210" s="12" t="str">
        <f t="shared" si="3"/>
        <v>1-27-208</v>
      </c>
      <c r="I210" s="18" t="s">
        <v>99</v>
      </c>
      <c r="J210" s="14" t="s">
        <v>8</v>
      </c>
      <c r="K210" s="36" t="s">
        <v>55</v>
      </c>
      <c r="L210" s="13"/>
    </row>
    <row r="211" spans="1:12" ht="28.8" x14ac:dyDescent="0.3">
      <c r="A211" s="8">
        <v>210</v>
      </c>
      <c r="B211" s="8"/>
      <c r="C211" s="8"/>
      <c r="D211" s="11" t="s">
        <v>103</v>
      </c>
      <c r="E211" s="12">
        <v>3</v>
      </c>
      <c r="F211" s="12">
        <v>31</v>
      </c>
      <c r="G211" s="12">
        <v>209</v>
      </c>
      <c r="H211" s="12" t="str">
        <f t="shared" si="3"/>
        <v>3-31-209</v>
      </c>
      <c r="I211" s="18" t="s">
        <v>103</v>
      </c>
      <c r="J211" s="14" t="s">
        <v>108</v>
      </c>
      <c r="K211" s="36" t="s">
        <v>109</v>
      </c>
      <c r="L211" s="13"/>
    </row>
    <row r="212" spans="1:12" ht="28.8" x14ac:dyDescent="0.3">
      <c r="A212" s="8">
        <v>211</v>
      </c>
      <c r="B212" s="8"/>
      <c r="C212" s="8"/>
      <c r="D212" s="11" t="s">
        <v>104</v>
      </c>
      <c r="E212" s="12">
        <v>3</v>
      </c>
      <c r="F212" s="12">
        <v>31</v>
      </c>
      <c r="G212" s="12">
        <v>210</v>
      </c>
      <c r="H212" s="12" t="str">
        <f t="shared" si="3"/>
        <v>3-31-210</v>
      </c>
      <c r="I212" s="18" t="s">
        <v>104</v>
      </c>
      <c r="J212" s="14" t="s">
        <v>108</v>
      </c>
      <c r="K212" s="36" t="s">
        <v>109</v>
      </c>
      <c r="L212" s="13"/>
    </row>
    <row r="213" spans="1:12" ht="28.8" x14ac:dyDescent="0.3">
      <c r="A213" s="8">
        <v>212</v>
      </c>
      <c r="B213" s="8"/>
      <c r="C213" s="8"/>
      <c r="D213" s="11" t="s">
        <v>105</v>
      </c>
      <c r="E213" s="12">
        <v>3</v>
      </c>
      <c r="F213" s="12">
        <v>31</v>
      </c>
      <c r="G213" s="12">
        <v>211</v>
      </c>
      <c r="H213" s="12" t="str">
        <f t="shared" si="3"/>
        <v>3-31-211</v>
      </c>
      <c r="I213" s="18" t="s">
        <v>105</v>
      </c>
      <c r="J213" s="14" t="s">
        <v>108</v>
      </c>
      <c r="K213" s="36" t="s">
        <v>109</v>
      </c>
      <c r="L213" s="13"/>
    </row>
    <row r="214" spans="1:12" ht="28.8" x14ac:dyDescent="0.3">
      <c r="A214" s="8">
        <v>213</v>
      </c>
      <c r="B214" s="8"/>
      <c r="C214" s="8"/>
      <c r="D214" s="11" t="s">
        <v>106</v>
      </c>
      <c r="E214" s="12">
        <v>3</v>
      </c>
      <c r="F214" s="12">
        <v>31</v>
      </c>
      <c r="G214" s="12">
        <v>212</v>
      </c>
      <c r="H214" s="12" t="str">
        <f t="shared" si="3"/>
        <v>3-31-212</v>
      </c>
      <c r="I214" s="18" t="s">
        <v>106</v>
      </c>
      <c r="J214" s="14" t="s">
        <v>108</v>
      </c>
      <c r="K214" s="36" t="s">
        <v>109</v>
      </c>
      <c r="L214" s="13"/>
    </row>
    <row r="215" spans="1:12" ht="28.8" x14ac:dyDescent="0.3">
      <c r="A215" s="8">
        <v>214</v>
      </c>
      <c r="B215" s="8"/>
      <c r="C215" s="8"/>
      <c r="D215" s="11" t="s">
        <v>107</v>
      </c>
      <c r="E215" s="12">
        <v>3</v>
      </c>
      <c r="F215" s="12">
        <v>31</v>
      </c>
      <c r="G215" s="12">
        <v>213</v>
      </c>
      <c r="H215" s="12" t="str">
        <f t="shared" si="3"/>
        <v>3-31-213</v>
      </c>
      <c r="I215" s="18" t="s">
        <v>107</v>
      </c>
      <c r="J215" s="14" t="s">
        <v>108</v>
      </c>
      <c r="K215" s="36" t="s">
        <v>109</v>
      </c>
      <c r="L215" s="13"/>
    </row>
    <row r="216" spans="1:12" ht="28.8" x14ac:dyDescent="0.3">
      <c r="A216" s="8">
        <v>215</v>
      </c>
      <c r="B216" s="8"/>
      <c r="C216" s="8"/>
      <c r="D216" s="11" t="s">
        <v>111</v>
      </c>
      <c r="E216" s="12">
        <v>3</v>
      </c>
      <c r="F216" s="12">
        <v>31</v>
      </c>
      <c r="G216" s="12">
        <v>214</v>
      </c>
      <c r="H216" s="12" t="str">
        <f t="shared" si="3"/>
        <v>3-31-214</v>
      </c>
      <c r="I216" s="18" t="s">
        <v>111</v>
      </c>
      <c r="J216" s="14" t="s">
        <v>108</v>
      </c>
      <c r="K216" s="36" t="s">
        <v>109</v>
      </c>
      <c r="L216" s="13"/>
    </row>
    <row r="217" spans="1:12" ht="28.8" x14ac:dyDescent="0.3">
      <c r="A217" s="8">
        <v>216</v>
      </c>
      <c r="B217" s="8"/>
      <c r="C217" s="8"/>
      <c r="D217" s="11" t="s">
        <v>110</v>
      </c>
      <c r="E217" s="12">
        <v>3</v>
      </c>
      <c r="F217" s="12">
        <v>31</v>
      </c>
      <c r="G217" s="12">
        <v>215</v>
      </c>
      <c r="H217" s="12" t="str">
        <f t="shared" si="3"/>
        <v>3-31-215</v>
      </c>
      <c r="I217" s="18" t="s">
        <v>110</v>
      </c>
      <c r="J217" s="14" t="s">
        <v>108</v>
      </c>
      <c r="K217" s="36" t="s">
        <v>109</v>
      </c>
      <c r="L217" s="13"/>
    </row>
    <row r="218" spans="1:12" ht="28.8" x14ac:dyDescent="0.3">
      <c r="A218" s="8">
        <v>217</v>
      </c>
      <c r="B218" s="8"/>
      <c r="C218" s="8"/>
      <c r="D218" s="11" t="s">
        <v>112</v>
      </c>
      <c r="E218" s="12">
        <v>3</v>
      </c>
      <c r="F218" s="12">
        <v>31</v>
      </c>
      <c r="G218" s="12">
        <v>216</v>
      </c>
      <c r="H218" s="12" t="str">
        <f t="shared" si="3"/>
        <v>3-31-216</v>
      </c>
      <c r="I218" s="18" t="s">
        <v>112</v>
      </c>
      <c r="J218" s="14" t="s">
        <v>108</v>
      </c>
      <c r="K218" s="36" t="s">
        <v>109</v>
      </c>
      <c r="L218" s="13"/>
    </row>
    <row r="219" spans="1:12" ht="28.8" x14ac:dyDescent="0.3">
      <c r="A219" s="8">
        <v>218</v>
      </c>
      <c r="B219" s="8"/>
      <c r="C219" s="8"/>
      <c r="D219" s="11" t="s">
        <v>113</v>
      </c>
      <c r="E219" s="12">
        <v>3</v>
      </c>
      <c r="F219" s="12">
        <v>31</v>
      </c>
      <c r="G219" s="12">
        <v>217</v>
      </c>
      <c r="H219" s="12" t="str">
        <f t="shared" si="3"/>
        <v>3-31-217</v>
      </c>
      <c r="I219" s="18" t="s">
        <v>113</v>
      </c>
      <c r="J219" s="14" t="s">
        <v>108</v>
      </c>
      <c r="K219" s="36" t="s">
        <v>109</v>
      </c>
      <c r="L219" s="13"/>
    </row>
    <row r="220" spans="1:12" ht="28.8" x14ac:dyDescent="0.3">
      <c r="A220" s="8">
        <v>219</v>
      </c>
      <c r="B220" s="8"/>
      <c r="C220" s="8"/>
      <c r="D220" s="11" t="s">
        <v>114</v>
      </c>
      <c r="E220" s="12">
        <v>3</v>
      </c>
      <c r="F220" s="12">
        <v>31</v>
      </c>
      <c r="G220" s="12">
        <v>218</v>
      </c>
      <c r="H220" s="12" t="str">
        <f t="shared" si="3"/>
        <v>3-31-218</v>
      </c>
      <c r="I220" s="18" t="s">
        <v>114</v>
      </c>
      <c r="J220" s="14" t="s">
        <v>108</v>
      </c>
      <c r="K220" s="36" t="s">
        <v>109</v>
      </c>
      <c r="L220" s="13"/>
    </row>
    <row r="221" spans="1:12" ht="28.8" x14ac:dyDescent="0.3">
      <c r="A221" s="8">
        <v>220</v>
      </c>
      <c r="B221" s="8"/>
      <c r="C221" s="8"/>
      <c r="D221" s="11" t="s">
        <v>115</v>
      </c>
      <c r="E221" s="12">
        <v>3</v>
      </c>
      <c r="F221" s="12">
        <v>31</v>
      </c>
      <c r="G221" s="12">
        <v>219</v>
      </c>
      <c r="H221" s="12" t="str">
        <f t="shared" si="3"/>
        <v>3-31-219</v>
      </c>
      <c r="I221" s="18" t="s">
        <v>115</v>
      </c>
      <c r="J221" s="14" t="s">
        <v>108</v>
      </c>
      <c r="K221" s="36" t="s">
        <v>109</v>
      </c>
      <c r="L221" s="13"/>
    </row>
    <row r="222" spans="1:12" ht="28.8" x14ac:dyDescent="0.3">
      <c r="A222" s="8">
        <v>221</v>
      </c>
      <c r="B222" s="8"/>
      <c r="C222" s="8"/>
      <c r="D222" s="11" t="s">
        <v>116</v>
      </c>
      <c r="E222" s="12">
        <v>3</v>
      </c>
      <c r="F222" s="12">
        <v>31</v>
      </c>
      <c r="G222" s="12">
        <v>220</v>
      </c>
      <c r="H222" s="12" t="str">
        <f t="shared" si="3"/>
        <v>3-31-220</v>
      </c>
      <c r="I222" s="18" t="s">
        <v>116</v>
      </c>
      <c r="J222" s="14" t="s">
        <v>108</v>
      </c>
      <c r="K222" s="36" t="s">
        <v>109</v>
      </c>
      <c r="L222" s="13"/>
    </row>
    <row r="223" spans="1:12" ht="28.8" x14ac:dyDescent="0.3">
      <c r="A223" s="8">
        <v>222</v>
      </c>
      <c r="B223" s="8"/>
      <c r="C223" s="8"/>
      <c r="D223" s="11" t="s">
        <v>117</v>
      </c>
      <c r="E223" s="12">
        <v>3</v>
      </c>
      <c r="F223" s="12">
        <v>31</v>
      </c>
      <c r="G223" s="12">
        <v>221</v>
      </c>
      <c r="H223" s="12" t="str">
        <f t="shared" si="3"/>
        <v>3-31-221</v>
      </c>
      <c r="I223" s="18" t="s">
        <v>117</v>
      </c>
      <c r="J223" s="14" t="s">
        <v>108</v>
      </c>
      <c r="K223" s="36" t="s">
        <v>109</v>
      </c>
      <c r="L223" s="13"/>
    </row>
    <row r="224" spans="1:12" ht="28.8" x14ac:dyDescent="0.3">
      <c r="A224" s="8">
        <v>223</v>
      </c>
      <c r="B224" s="8"/>
      <c r="C224" s="8"/>
      <c r="D224" s="11" t="s">
        <v>118</v>
      </c>
      <c r="E224" s="12">
        <v>3</v>
      </c>
      <c r="F224" s="12">
        <v>31</v>
      </c>
      <c r="G224" s="12">
        <v>222</v>
      </c>
      <c r="H224" s="12" t="str">
        <f t="shared" si="3"/>
        <v>3-31-222</v>
      </c>
      <c r="I224" s="18" t="s">
        <v>118</v>
      </c>
      <c r="J224" s="14" t="s">
        <v>108</v>
      </c>
      <c r="K224" s="36" t="s">
        <v>109</v>
      </c>
      <c r="L224" s="13"/>
    </row>
    <row r="225" spans="1:12" ht="28.8" x14ac:dyDescent="0.3">
      <c r="A225" s="8">
        <v>224</v>
      </c>
      <c r="B225" s="8"/>
      <c r="C225" s="8"/>
      <c r="D225" s="11" t="s">
        <v>119</v>
      </c>
      <c r="E225" s="12">
        <v>9</v>
      </c>
      <c r="F225" s="12">
        <v>32</v>
      </c>
      <c r="G225" s="12">
        <v>223</v>
      </c>
      <c r="H225" s="12" t="str">
        <f t="shared" si="3"/>
        <v>9-32-223</v>
      </c>
      <c r="I225" s="18" t="s">
        <v>119</v>
      </c>
      <c r="J225" s="14" t="s">
        <v>8</v>
      </c>
      <c r="K225" s="36" t="s">
        <v>109</v>
      </c>
      <c r="L225" s="13"/>
    </row>
    <row r="226" spans="1:12" ht="28.8" x14ac:dyDescent="0.3">
      <c r="A226" s="8">
        <v>225</v>
      </c>
      <c r="B226" s="8"/>
      <c r="C226" s="8"/>
      <c r="D226" s="11" t="s">
        <v>120</v>
      </c>
      <c r="E226" s="12">
        <v>9</v>
      </c>
      <c r="F226" s="12">
        <v>32</v>
      </c>
      <c r="G226" s="12">
        <v>224</v>
      </c>
      <c r="H226" s="12" t="str">
        <f t="shared" si="3"/>
        <v>9-32-224</v>
      </c>
      <c r="I226" s="18" t="s">
        <v>120</v>
      </c>
      <c r="J226" s="14" t="s">
        <v>8</v>
      </c>
      <c r="K226" s="36" t="s">
        <v>109</v>
      </c>
      <c r="L226" s="13"/>
    </row>
    <row r="227" spans="1:12" ht="28.8" x14ac:dyDescent="0.3">
      <c r="A227" s="8">
        <v>226</v>
      </c>
      <c r="B227" s="8"/>
      <c r="C227" s="8"/>
      <c r="D227" s="11" t="s">
        <v>122</v>
      </c>
      <c r="E227" s="12">
        <v>9</v>
      </c>
      <c r="F227" s="12">
        <v>32</v>
      </c>
      <c r="G227" s="12">
        <v>225</v>
      </c>
      <c r="H227" s="12" t="str">
        <f t="shared" si="3"/>
        <v>9-32-225</v>
      </c>
      <c r="I227" s="18" t="s">
        <v>122</v>
      </c>
      <c r="J227" s="14" t="s">
        <v>8</v>
      </c>
      <c r="K227" s="36" t="s">
        <v>109</v>
      </c>
      <c r="L227" s="13"/>
    </row>
    <row r="228" spans="1:12" x14ac:dyDescent="0.3">
      <c r="A228" s="8">
        <v>227</v>
      </c>
      <c r="B228" s="8"/>
      <c r="C228" s="8"/>
      <c r="D228" s="11" t="s">
        <v>124</v>
      </c>
      <c r="E228" s="12">
        <v>16</v>
      </c>
      <c r="F228" s="12">
        <v>33</v>
      </c>
      <c r="G228" s="12">
        <v>226</v>
      </c>
      <c r="H228" s="12" t="str">
        <f t="shared" si="3"/>
        <v>16-33-226</v>
      </c>
      <c r="I228" s="18" t="s">
        <v>124</v>
      </c>
      <c r="J228" s="14" t="s">
        <v>8</v>
      </c>
      <c r="K228" s="36" t="s">
        <v>126</v>
      </c>
      <c r="L228" s="13"/>
    </row>
    <row r="229" spans="1:12" ht="28.8" x14ac:dyDescent="0.3">
      <c r="A229" s="8">
        <v>228</v>
      </c>
      <c r="B229" s="8"/>
      <c r="C229" s="8"/>
      <c r="D229" s="11" t="s">
        <v>128</v>
      </c>
      <c r="E229" s="12">
        <v>10</v>
      </c>
      <c r="F229" s="12">
        <v>34</v>
      </c>
      <c r="G229" s="12">
        <v>227</v>
      </c>
      <c r="H229" s="12" t="str">
        <f t="shared" si="3"/>
        <v>10-34-227</v>
      </c>
      <c r="I229" s="18" t="s">
        <v>128</v>
      </c>
      <c r="J229" s="14" t="s">
        <v>8</v>
      </c>
      <c r="K229" s="36" t="s">
        <v>129</v>
      </c>
      <c r="L229" s="13"/>
    </row>
    <row r="230" spans="1:12" ht="28.8" x14ac:dyDescent="0.3">
      <c r="A230" s="8">
        <v>229</v>
      </c>
      <c r="B230" s="8"/>
      <c r="C230" s="8"/>
      <c r="D230" s="11" t="s">
        <v>131</v>
      </c>
      <c r="E230" s="12">
        <v>7</v>
      </c>
      <c r="F230" s="12">
        <v>35</v>
      </c>
      <c r="G230" s="12">
        <v>228</v>
      </c>
      <c r="H230" s="12" t="str">
        <f t="shared" si="3"/>
        <v>7-35-228</v>
      </c>
      <c r="I230" s="18" t="s">
        <v>131</v>
      </c>
      <c r="J230" s="14" t="s">
        <v>8</v>
      </c>
      <c r="K230" s="36" t="s">
        <v>126</v>
      </c>
      <c r="L230" s="13"/>
    </row>
    <row r="231" spans="1:12" ht="28.8" x14ac:dyDescent="0.3">
      <c r="A231" s="8">
        <v>230</v>
      </c>
      <c r="B231" s="8"/>
      <c r="C231" s="8"/>
      <c r="D231" s="11" t="s">
        <v>132</v>
      </c>
      <c r="E231" s="12">
        <v>7</v>
      </c>
      <c r="F231" s="12">
        <v>35</v>
      </c>
      <c r="G231" s="12">
        <v>229</v>
      </c>
      <c r="H231" s="12" t="str">
        <f t="shared" si="3"/>
        <v>7-35-229</v>
      </c>
      <c r="I231" s="18" t="s">
        <v>132</v>
      </c>
      <c r="J231" s="14" t="s">
        <v>8</v>
      </c>
      <c r="K231" s="36" t="s">
        <v>126</v>
      </c>
      <c r="L231" s="13"/>
    </row>
    <row r="232" spans="1:12" ht="28.8" x14ac:dyDescent="0.3">
      <c r="A232" s="8">
        <v>231</v>
      </c>
      <c r="B232" s="8"/>
      <c r="C232" s="8"/>
      <c r="D232" s="11" t="s">
        <v>133</v>
      </c>
      <c r="E232" s="12">
        <v>7</v>
      </c>
      <c r="F232" s="12">
        <v>35</v>
      </c>
      <c r="G232" s="12">
        <v>230</v>
      </c>
      <c r="H232" s="12" t="str">
        <f t="shared" si="3"/>
        <v>7-35-230</v>
      </c>
      <c r="I232" s="18" t="s">
        <v>133</v>
      </c>
      <c r="J232" s="14" t="s">
        <v>8</v>
      </c>
      <c r="K232" s="36" t="s">
        <v>134</v>
      </c>
      <c r="L232" s="13"/>
    </row>
    <row r="233" spans="1:12" ht="28.8" x14ac:dyDescent="0.3">
      <c r="A233" s="8">
        <v>232</v>
      </c>
      <c r="B233" s="8"/>
      <c r="C233" s="8"/>
      <c r="D233" s="11" t="s">
        <v>136</v>
      </c>
      <c r="E233" s="12">
        <v>7</v>
      </c>
      <c r="F233" s="12">
        <v>36</v>
      </c>
      <c r="G233" s="12">
        <v>231</v>
      </c>
      <c r="H233" s="12" t="str">
        <f t="shared" si="3"/>
        <v>7-36-231</v>
      </c>
      <c r="I233" s="18" t="str">
        <f>+D233</f>
        <v>CONTROLADOR SMART SOLAR MPPT 250/100-TR VICTROM ENERGY</v>
      </c>
      <c r="J233" s="14" t="s">
        <v>8</v>
      </c>
      <c r="K233" s="36" t="s">
        <v>134</v>
      </c>
      <c r="L233" s="13"/>
    </row>
    <row r="234" spans="1:12" ht="28.8" x14ac:dyDescent="0.3">
      <c r="A234" s="8">
        <v>233</v>
      </c>
      <c r="B234" s="8"/>
      <c r="C234" s="8"/>
      <c r="D234" s="11" t="s">
        <v>137</v>
      </c>
      <c r="E234" s="12">
        <v>10</v>
      </c>
      <c r="F234" s="12">
        <v>37</v>
      </c>
      <c r="G234" s="12">
        <v>232</v>
      </c>
      <c r="H234" s="12" t="str">
        <f t="shared" si="3"/>
        <v>10-37-232</v>
      </c>
      <c r="I234" s="18" t="str">
        <f t="shared" ref="I234:I461" si="4">+D234</f>
        <v>SOPORTE CENTRAL NEGRO</v>
      </c>
      <c r="J234" s="14" t="s">
        <v>8</v>
      </c>
      <c r="K234" s="36" t="s">
        <v>129</v>
      </c>
      <c r="L234" s="13"/>
    </row>
    <row r="235" spans="1:12" ht="43.2" x14ac:dyDescent="0.3">
      <c r="A235" s="8">
        <v>234</v>
      </c>
      <c r="B235" s="8"/>
      <c r="C235" s="8"/>
      <c r="D235" s="11" t="s">
        <v>140</v>
      </c>
      <c r="E235" s="12">
        <v>7</v>
      </c>
      <c r="F235" s="12">
        <v>38</v>
      </c>
      <c r="G235" s="12">
        <v>233</v>
      </c>
      <c r="H235" s="12" t="str">
        <f t="shared" si="3"/>
        <v>7-38-233</v>
      </c>
      <c r="I235" s="18" t="str">
        <f t="shared" si="4"/>
        <v>PLACA SOLAR EX-275P-60 275W / 31.50V</v>
      </c>
      <c r="J235" s="14" t="s">
        <v>8</v>
      </c>
      <c r="K235" s="36" t="s">
        <v>164</v>
      </c>
      <c r="L235" s="13"/>
    </row>
    <row r="236" spans="1:12" ht="28.8" x14ac:dyDescent="0.3">
      <c r="A236" s="8">
        <v>235</v>
      </c>
      <c r="B236" s="8"/>
      <c r="C236" s="8"/>
      <c r="D236" s="11" t="s">
        <v>141</v>
      </c>
      <c r="E236" s="12">
        <v>7</v>
      </c>
      <c r="F236" s="12">
        <v>38</v>
      </c>
      <c r="G236" s="12">
        <f>+G235+1</f>
        <v>234</v>
      </c>
      <c r="H236" s="12" t="str">
        <f t="shared" si="3"/>
        <v>7-38-234</v>
      </c>
      <c r="I236" s="18" t="str">
        <f t="shared" si="4"/>
        <v>PLACA SOLAR CSP-6P-345W / 38.3C</v>
      </c>
      <c r="J236" s="14" t="s">
        <v>8</v>
      </c>
      <c r="K236" s="36" t="s">
        <v>165</v>
      </c>
      <c r="L236" s="13"/>
    </row>
    <row r="237" spans="1:12" ht="28.8" x14ac:dyDescent="0.3">
      <c r="A237" s="8">
        <v>236</v>
      </c>
      <c r="B237" s="8"/>
      <c r="C237" s="8"/>
      <c r="D237" s="11" t="s">
        <v>142</v>
      </c>
      <c r="E237" s="12">
        <v>7</v>
      </c>
      <c r="F237" s="12">
        <v>38</v>
      </c>
      <c r="G237" s="12">
        <f t="shared" ref="G237:G251" si="5">+G236+1</f>
        <v>235</v>
      </c>
      <c r="H237" s="12" t="str">
        <f t="shared" si="3"/>
        <v>7-38-235</v>
      </c>
      <c r="I237" s="18" t="str">
        <f t="shared" si="4"/>
        <v>PLACA SOLAR CS6L-450MS 450W / 34.4V</v>
      </c>
      <c r="J237" s="14" t="s">
        <v>8</v>
      </c>
      <c r="K237" s="36" t="s">
        <v>160</v>
      </c>
      <c r="L237" s="13"/>
    </row>
    <row r="238" spans="1:12" ht="28.8" x14ac:dyDescent="0.3">
      <c r="A238" s="8">
        <v>237</v>
      </c>
      <c r="B238" s="8"/>
      <c r="C238" s="8"/>
      <c r="D238" s="11" t="s">
        <v>143</v>
      </c>
      <c r="E238" s="12">
        <v>7</v>
      </c>
      <c r="F238" s="12">
        <v>38</v>
      </c>
      <c r="G238" s="12">
        <f t="shared" si="5"/>
        <v>236</v>
      </c>
      <c r="H238" s="12" t="str">
        <f t="shared" si="3"/>
        <v>7-38-236</v>
      </c>
      <c r="I238" s="18" t="str">
        <f t="shared" si="4"/>
        <v>PLACA SOLAR JAM66S30-505MR 505W / 45.72V</v>
      </c>
      <c r="J238" s="14" t="s">
        <v>8</v>
      </c>
      <c r="K238" s="36" t="s">
        <v>158</v>
      </c>
      <c r="L238" s="13"/>
    </row>
    <row r="239" spans="1:12" ht="28.8" x14ac:dyDescent="0.3">
      <c r="A239" s="8">
        <v>238</v>
      </c>
      <c r="B239" s="8"/>
      <c r="C239" s="8"/>
      <c r="D239" s="11" t="s">
        <v>144</v>
      </c>
      <c r="E239" s="12">
        <v>7</v>
      </c>
      <c r="F239" s="12">
        <v>38</v>
      </c>
      <c r="G239" s="12">
        <f t="shared" si="5"/>
        <v>237</v>
      </c>
      <c r="H239" s="12" t="str">
        <f t="shared" si="3"/>
        <v>7-38-237</v>
      </c>
      <c r="I239" s="18" t="str">
        <f t="shared" si="4"/>
        <v>PLACA SOLAR CS6.1-60TB-505 505W / 43.4V</v>
      </c>
      <c r="J239" s="14" t="s">
        <v>8</v>
      </c>
      <c r="K239" s="36" t="s">
        <v>160</v>
      </c>
      <c r="L239" s="13"/>
    </row>
    <row r="240" spans="1:12" ht="28.8" x14ac:dyDescent="0.3">
      <c r="A240" s="8">
        <v>239</v>
      </c>
      <c r="B240" s="8"/>
      <c r="C240" s="8"/>
      <c r="D240" s="11" t="s">
        <v>145</v>
      </c>
      <c r="E240" s="12">
        <v>7</v>
      </c>
      <c r="F240" s="12">
        <v>38</v>
      </c>
      <c r="G240" s="12">
        <f t="shared" si="5"/>
        <v>238</v>
      </c>
      <c r="H240" s="12" t="str">
        <f t="shared" si="3"/>
        <v>7-38-238</v>
      </c>
      <c r="I240" s="18" t="str">
        <f t="shared" si="4"/>
        <v>PLACA SOLAR SPR-P3-375-BLK-E4-AC 375W / 35.5V</v>
      </c>
      <c r="J240" s="14" t="s">
        <v>8</v>
      </c>
      <c r="K240" s="36" t="s">
        <v>157</v>
      </c>
      <c r="L240" s="13"/>
    </row>
    <row r="241" spans="1:12" ht="28.8" x14ac:dyDescent="0.3">
      <c r="A241" s="8">
        <v>240</v>
      </c>
      <c r="B241" s="8"/>
      <c r="C241" s="8"/>
      <c r="D241" s="11" t="s">
        <v>146</v>
      </c>
      <c r="E241" s="12">
        <v>7</v>
      </c>
      <c r="F241" s="12">
        <v>38</v>
      </c>
      <c r="G241" s="12">
        <f t="shared" si="5"/>
        <v>239</v>
      </c>
      <c r="H241" s="12" t="str">
        <f t="shared" si="3"/>
        <v>7-38-239</v>
      </c>
      <c r="I241" s="18" t="str">
        <f t="shared" si="4"/>
        <v>PLACA SOLAR JAMS0D42-520LB 520W / 43.53V</v>
      </c>
      <c r="J241" s="14" t="s">
        <v>8</v>
      </c>
      <c r="K241" s="36" t="s">
        <v>158</v>
      </c>
      <c r="L241" s="13"/>
    </row>
    <row r="242" spans="1:12" ht="28.8" x14ac:dyDescent="0.3">
      <c r="A242" s="8">
        <v>241</v>
      </c>
      <c r="B242" s="8"/>
      <c r="C242" s="8"/>
      <c r="D242" s="11" t="s">
        <v>147</v>
      </c>
      <c r="E242" s="12">
        <v>7</v>
      </c>
      <c r="F242" s="12">
        <v>38</v>
      </c>
      <c r="G242" s="12">
        <f t="shared" si="5"/>
        <v>240</v>
      </c>
      <c r="H242" s="12" t="str">
        <f t="shared" si="3"/>
        <v>7-38-240</v>
      </c>
      <c r="I242" s="18" t="str">
        <f t="shared" si="4"/>
        <v>PLACA SOLAR JAM72D30-545MB 545W / 49.75V</v>
      </c>
      <c r="J242" s="14" t="s">
        <v>8</v>
      </c>
      <c r="K242" s="36" t="s">
        <v>158</v>
      </c>
      <c r="L242" s="13"/>
    </row>
    <row r="243" spans="1:12" ht="28.8" x14ac:dyDescent="0.3">
      <c r="A243" s="8">
        <v>242</v>
      </c>
      <c r="B243" s="8"/>
      <c r="C243" s="8"/>
      <c r="D243" s="11" t="s">
        <v>148</v>
      </c>
      <c r="E243" s="12">
        <v>7</v>
      </c>
      <c r="F243" s="12">
        <v>38</v>
      </c>
      <c r="G243" s="12">
        <f t="shared" si="5"/>
        <v>241</v>
      </c>
      <c r="H243" s="12" t="str">
        <f t="shared" si="3"/>
        <v>7-38-241</v>
      </c>
      <c r="I243" s="18" t="str">
        <f t="shared" si="4"/>
        <v>PLACA SOLAR PS555M6H-24TH 555W / 41.64V</v>
      </c>
      <c r="J243" s="14" t="s">
        <v>8</v>
      </c>
      <c r="K243" s="36" t="s">
        <v>159</v>
      </c>
      <c r="L243" s="13"/>
    </row>
    <row r="244" spans="1:12" ht="28.8" x14ac:dyDescent="0.3">
      <c r="A244" s="8">
        <v>243</v>
      </c>
      <c r="B244" s="8"/>
      <c r="C244" s="8"/>
      <c r="D244" s="11" t="s">
        <v>149</v>
      </c>
      <c r="E244" s="12">
        <v>7</v>
      </c>
      <c r="F244" s="12">
        <v>38</v>
      </c>
      <c r="G244" s="12">
        <f t="shared" si="5"/>
        <v>242</v>
      </c>
      <c r="H244" s="12" t="str">
        <f t="shared" si="3"/>
        <v>7-38-242</v>
      </c>
      <c r="I244" s="18" t="str">
        <f t="shared" si="4"/>
        <v>PLACA SOLAR CS6W-585T 585W / 52.4V</v>
      </c>
      <c r="J244" s="14" t="s">
        <v>8</v>
      </c>
      <c r="K244" s="36" t="s">
        <v>160</v>
      </c>
      <c r="L244" s="13"/>
    </row>
    <row r="245" spans="1:12" ht="28.8" x14ac:dyDescent="0.3">
      <c r="A245" s="8">
        <v>244</v>
      </c>
      <c r="B245" s="8"/>
      <c r="C245" s="8"/>
      <c r="D245" s="11" t="s">
        <v>150</v>
      </c>
      <c r="E245" s="12">
        <v>7</v>
      </c>
      <c r="F245" s="12">
        <v>38</v>
      </c>
      <c r="G245" s="12">
        <f t="shared" si="5"/>
        <v>243</v>
      </c>
      <c r="H245" s="12" t="str">
        <f t="shared" si="3"/>
        <v>7-38-243</v>
      </c>
      <c r="I245" s="18" t="str">
        <f t="shared" si="4"/>
        <v>PLACA SOLAR YL550D-49e 1500V 1/2 550W / 42.0V</v>
      </c>
      <c r="J245" s="14" t="s">
        <v>8</v>
      </c>
      <c r="K245" s="36" t="s">
        <v>161</v>
      </c>
      <c r="L245" s="13"/>
    </row>
    <row r="246" spans="1:12" ht="28.8" x14ac:dyDescent="0.3">
      <c r="A246" s="8">
        <v>245</v>
      </c>
      <c r="B246" s="8"/>
      <c r="C246" s="8"/>
      <c r="D246" s="11" t="s">
        <v>151</v>
      </c>
      <c r="E246" s="12">
        <v>7</v>
      </c>
      <c r="F246" s="12">
        <v>38</v>
      </c>
      <c r="G246" s="12">
        <f t="shared" si="5"/>
        <v>244</v>
      </c>
      <c r="H246" s="12" t="str">
        <f t="shared" si="3"/>
        <v>7-38-244</v>
      </c>
      <c r="I246" s="18" t="str">
        <f t="shared" si="4"/>
        <v>PLACA SOLAR SK9612MHVC-550 550W / 42.16V</v>
      </c>
      <c r="J246" s="14" t="s">
        <v>8</v>
      </c>
      <c r="K246" s="36" t="s">
        <v>162</v>
      </c>
      <c r="L246" s="13"/>
    </row>
    <row r="247" spans="1:12" ht="28.8" x14ac:dyDescent="0.3">
      <c r="A247" s="8">
        <v>246</v>
      </c>
      <c r="B247" s="8"/>
      <c r="C247" s="8"/>
      <c r="D247" s="11" t="s">
        <v>152</v>
      </c>
      <c r="E247" s="12">
        <v>7</v>
      </c>
      <c r="F247" s="12">
        <v>38</v>
      </c>
      <c r="G247" s="12">
        <f t="shared" si="5"/>
        <v>245</v>
      </c>
      <c r="H247" s="12" t="str">
        <f t="shared" si="3"/>
        <v>7-38-245</v>
      </c>
      <c r="I247" s="18" t="str">
        <f t="shared" si="4"/>
        <v>PLACA SOLAR JAM72D40-590MB 590W / 52.37V</v>
      </c>
      <c r="J247" s="14" t="s">
        <v>8</v>
      </c>
      <c r="K247" s="36" t="s">
        <v>158</v>
      </c>
      <c r="L247" s="13"/>
    </row>
    <row r="248" spans="1:12" ht="28.8" x14ac:dyDescent="0.3">
      <c r="A248" s="8">
        <v>247</v>
      </c>
      <c r="B248" s="8"/>
      <c r="C248" s="8"/>
      <c r="D248" s="11" t="s">
        <v>153</v>
      </c>
      <c r="E248" s="12">
        <v>7</v>
      </c>
      <c r="F248" s="12">
        <v>38</v>
      </c>
      <c r="G248" s="12">
        <f t="shared" si="5"/>
        <v>246</v>
      </c>
      <c r="H248" s="12" t="str">
        <f t="shared" si="3"/>
        <v>7-38-246</v>
      </c>
      <c r="I248" s="18" t="str">
        <f t="shared" si="4"/>
        <v>PLACA SOLAR TSM-505DE18M.08(II) 505W / 43.0V</v>
      </c>
      <c r="J248" s="14" t="s">
        <v>8</v>
      </c>
      <c r="K248" s="36" t="s">
        <v>163</v>
      </c>
      <c r="L248" s="13"/>
    </row>
    <row r="249" spans="1:12" ht="28.8" x14ac:dyDescent="0.3">
      <c r="A249" s="8">
        <v>248</v>
      </c>
      <c r="B249" s="8"/>
      <c r="C249" s="8"/>
      <c r="D249" s="11" t="s">
        <v>154</v>
      </c>
      <c r="E249" s="12">
        <v>7</v>
      </c>
      <c r="F249" s="12">
        <v>38</v>
      </c>
      <c r="G249" s="12">
        <f t="shared" si="5"/>
        <v>247</v>
      </c>
      <c r="H249" s="12" t="str">
        <f t="shared" si="3"/>
        <v>7-38-247</v>
      </c>
      <c r="I249" s="18" t="str">
        <f t="shared" si="4"/>
        <v>PLACA SOLAR JAM60D42-535LB 535W / 44.13V</v>
      </c>
      <c r="J249" s="14" t="s">
        <v>8</v>
      </c>
      <c r="K249" s="36" t="s">
        <v>158</v>
      </c>
      <c r="L249" s="13"/>
    </row>
    <row r="250" spans="1:12" ht="28.8" x14ac:dyDescent="0.3">
      <c r="A250" s="8">
        <v>249</v>
      </c>
      <c r="B250" s="8"/>
      <c r="C250" s="8"/>
      <c r="D250" s="11" t="s">
        <v>155</v>
      </c>
      <c r="E250" s="12">
        <v>7</v>
      </c>
      <c r="F250" s="12">
        <v>38</v>
      </c>
      <c r="G250" s="12">
        <f t="shared" si="5"/>
        <v>248</v>
      </c>
      <c r="H250" s="12" t="str">
        <f t="shared" si="3"/>
        <v>7-38-248</v>
      </c>
      <c r="I250" s="18" t="str">
        <f t="shared" si="4"/>
        <v>PLACA SOLAR TSM-505NEG 18R.28 505W / 33.5V</v>
      </c>
      <c r="J250" s="14" t="s">
        <v>8</v>
      </c>
      <c r="K250" s="36" t="s">
        <v>163</v>
      </c>
      <c r="L250" s="13"/>
    </row>
    <row r="251" spans="1:12" ht="28.8" x14ac:dyDescent="0.3">
      <c r="A251" s="8">
        <v>250</v>
      </c>
      <c r="B251" s="8"/>
      <c r="C251" s="8"/>
      <c r="D251" s="11" t="s">
        <v>156</v>
      </c>
      <c r="E251" s="12">
        <v>7</v>
      </c>
      <c r="F251" s="12">
        <v>38</v>
      </c>
      <c r="G251" s="12">
        <f t="shared" si="5"/>
        <v>249</v>
      </c>
      <c r="H251" s="12" t="str">
        <f t="shared" si="3"/>
        <v>7-38-249</v>
      </c>
      <c r="I251" s="18" t="str">
        <f t="shared" si="4"/>
        <v>PLACA SOLAR JAM72S30-570LR 570W / 50.68V</v>
      </c>
      <c r="J251" s="14" t="s">
        <v>8</v>
      </c>
      <c r="K251" s="36" t="s">
        <v>158</v>
      </c>
      <c r="L251" s="13"/>
    </row>
    <row r="252" spans="1:12" x14ac:dyDescent="0.3">
      <c r="A252" s="8"/>
      <c r="B252" s="8"/>
      <c r="C252" s="8"/>
      <c r="D252" s="11" t="s">
        <v>238</v>
      </c>
      <c r="E252" s="12">
        <v>4</v>
      </c>
      <c r="F252" s="12">
        <v>39</v>
      </c>
      <c r="G252" s="12">
        <v>250</v>
      </c>
      <c r="H252" s="12" t="str">
        <f t="shared" si="3"/>
        <v>4-39-250</v>
      </c>
      <c r="I252" s="18" t="str">
        <f t="shared" si="4"/>
        <v>CASQUILLO ESPACIADOR GALV M8X25</v>
      </c>
      <c r="J252" s="14" t="s">
        <v>8</v>
      </c>
      <c r="K252" s="36" t="s">
        <v>55</v>
      </c>
      <c r="L252" s="13"/>
    </row>
    <row r="253" spans="1:12" x14ac:dyDescent="0.3">
      <c r="A253" s="8"/>
      <c r="B253" s="8"/>
      <c r="C253" s="8"/>
      <c r="D253" s="11" t="s">
        <v>239</v>
      </c>
      <c r="E253" s="12">
        <v>4</v>
      </c>
      <c r="F253" s="12">
        <v>40</v>
      </c>
      <c r="G253" s="12">
        <v>251</v>
      </c>
      <c r="H253" s="12" t="str">
        <f t="shared" si="3"/>
        <v>4-40-251</v>
      </c>
      <c r="I253" s="18" t="str">
        <f t="shared" si="4"/>
        <v>TORNILLO ESPARRAGO GALV TX25 M8X80</v>
      </c>
      <c r="J253" s="14" t="s">
        <v>8</v>
      </c>
      <c r="K253" s="36" t="s">
        <v>55</v>
      </c>
      <c r="L253" s="13"/>
    </row>
    <row r="254" spans="1:12" ht="28.8" x14ac:dyDescent="0.3">
      <c r="A254" s="8"/>
      <c r="B254" s="8"/>
      <c r="C254" s="8"/>
      <c r="D254" s="11" t="s">
        <v>240</v>
      </c>
      <c r="E254" s="12">
        <v>13</v>
      </c>
      <c r="F254" s="12">
        <v>25</v>
      </c>
      <c r="G254" s="12">
        <v>252</v>
      </c>
      <c r="H254" s="12" t="str">
        <f t="shared" si="3"/>
        <v>13-25-252</v>
      </c>
      <c r="I254" s="18" t="str">
        <f t="shared" si="4"/>
        <v>ANCLAJE PLASTICO MULTIUSO NYLON 2ALAS 14X100</v>
      </c>
      <c r="J254" s="14" t="s">
        <v>8</v>
      </c>
      <c r="K254" s="36" t="s">
        <v>55</v>
      </c>
      <c r="L254" s="13"/>
    </row>
    <row r="255" spans="1:12" ht="28.8" x14ac:dyDescent="0.3">
      <c r="A255" s="8"/>
      <c r="B255" s="8"/>
      <c r="C255" s="8"/>
      <c r="D255" s="11" t="s">
        <v>241</v>
      </c>
      <c r="E255" s="12">
        <v>13</v>
      </c>
      <c r="F255" s="12">
        <v>25</v>
      </c>
      <c r="G255" s="12">
        <v>253</v>
      </c>
      <c r="H255" s="12" t="str">
        <f t="shared" si="3"/>
        <v>13-25-253</v>
      </c>
      <c r="I255" s="18" t="str">
        <f t="shared" si="4"/>
        <v>ANCLAJE PLASTICO MULTIUSO C/COLLARIN 6X36MM</v>
      </c>
      <c r="J255" s="14" t="s">
        <v>8</v>
      </c>
      <c r="K255" s="36" t="s">
        <v>55</v>
      </c>
      <c r="L255" s="13"/>
    </row>
    <row r="256" spans="1:12" ht="28.8" x14ac:dyDescent="0.3">
      <c r="A256" s="8"/>
      <c r="B256" s="8"/>
      <c r="C256" s="8"/>
      <c r="D256" s="11" t="s">
        <v>242</v>
      </c>
      <c r="E256" s="12">
        <v>13</v>
      </c>
      <c r="F256" s="12">
        <v>25</v>
      </c>
      <c r="G256" s="12">
        <v>254</v>
      </c>
      <c r="H256" s="12" t="str">
        <f t="shared" si="3"/>
        <v>13-25-254</v>
      </c>
      <c r="I256" s="18" t="str">
        <f t="shared" si="4"/>
        <v>ANCLAJE PLASTICO MULTIUSO C/COLLARIN 8X51MM</v>
      </c>
      <c r="J256" s="14" t="s">
        <v>8</v>
      </c>
      <c r="K256" s="36" t="s">
        <v>55</v>
      </c>
      <c r="L256" s="13"/>
    </row>
    <row r="257" spans="1:12" ht="28.8" x14ac:dyDescent="0.3">
      <c r="A257" s="8"/>
      <c r="B257" s="8"/>
      <c r="C257" s="8"/>
      <c r="D257" s="11" t="s">
        <v>243</v>
      </c>
      <c r="E257" s="12">
        <v>13</v>
      </c>
      <c r="F257" s="12">
        <v>25</v>
      </c>
      <c r="G257" s="12">
        <v>255</v>
      </c>
      <c r="H257" s="12" t="str">
        <f t="shared" si="3"/>
        <v>13-25-255</v>
      </c>
      <c r="I257" s="18" t="str">
        <f t="shared" si="4"/>
        <v>ANCLAJE PLASTICO MULTIUSO C/COLLARIN 10X61MM</v>
      </c>
      <c r="J257" s="14" t="s">
        <v>8</v>
      </c>
      <c r="K257" s="36" t="s">
        <v>55</v>
      </c>
      <c r="L257" s="13"/>
    </row>
    <row r="258" spans="1:12" ht="28.8" x14ac:dyDescent="0.3">
      <c r="A258" s="8"/>
      <c r="B258" s="8"/>
      <c r="C258" s="8"/>
      <c r="D258" s="11" t="s">
        <v>244</v>
      </c>
      <c r="E258" s="12">
        <v>13</v>
      </c>
      <c r="F258" s="12">
        <v>25</v>
      </c>
      <c r="G258" s="12">
        <v>256</v>
      </c>
      <c r="H258" s="12" t="str">
        <f t="shared" si="3"/>
        <v>13-25-256</v>
      </c>
      <c r="I258" s="18" t="str">
        <f t="shared" si="4"/>
        <v>ANCLAJE PLASTICO MULTIUSO C/COLLARIN 12X71MM</v>
      </c>
      <c r="J258" s="14" t="s">
        <v>8</v>
      </c>
      <c r="K258" s="36" t="s">
        <v>55</v>
      </c>
      <c r="L258" s="13"/>
    </row>
    <row r="259" spans="1:12" ht="28.8" x14ac:dyDescent="0.3">
      <c r="A259" s="8"/>
      <c r="B259" s="8"/>
      <c r="C259" s="8"/>
      <c r="D259" s="11" t="s">
        <v>245</v>
      </c>
      <c r="E259" s="12">
        <v>8</v>
      </c>
      <c r="F259" s="12">
        <v>28</v>
      </c>
      <c r="G259" s="12">
        <v>257</v>
      </c>
      <c r="H259" s="12" t="str">
        <f t="shared" si="3"/>
        <v>8-28-257</v>
      </c>
      <c r="I259" s="18" t="str">
        <f t="shared" si="4"/>
        <v>ARANDELA A/GALVANIZADO P/CARROCERIA 8.4X30X1.5</v>
      </c>
      <c r="J259" s="14" t="s">
        <v>8</v>
      </c>
      <c r="K259" s="36" t="s">
        <v>55</v>
      </c>
      <c r="L259" s="13"/>
    </row>
    <row r="260" spans="1:12" ht="28.8" x14ac:dyDescent="0.3">
      <c r="A260" s="8"/>
      <c r="B260" s="8"/>
      <c r="C260" s="8"/>
      <c r="D260" s="11" t="s">
        <v>246</v>
      </c>
      <c r="E260" s="12">
        <v>8</v>
      </c>
      <c r="F260" s="12">
        <v>28</v>
      </c>
      <c r="G260" s="12">
        <v>258</v>
      </c>
      <c r="H260" s="12" t="str">
        <f t="shared" si="3"/>
        <v>8-28-258</v>
      </c>
      <c r="I260" s="18" t="str">
        <f t="shared" si="4"/>
        <v>ARANDELA A/GALVANIZADO P/CARROCERIA 8.4X25X1.25</v>
      </c>
      <c r="J260" s="14" t="s">
        <v>8</v>
      </c>
      <c r="K260" s="36" t="s">
        <v>55</v>
      </c>
      <c r="L260" s="13"/>
    </row>
    <row r="261" spans="1:12" ht="43.2" x14ac:dyDescent="0.3">
      <c r="A261" s="8"/>
      <c r="B261" s="8"/>
      <c r="C261" s="8"/>
      <c r="D261" s="11" t="s">
        <v>247</v>
      </c>
      <c r="E261" s="12">
        <v>8</v>
      </c>
      <c r="F261" s="12">
        <v>13</v>
      </c>
      <c r="G261" s="12">
        <v>259</v>
      </c>
      <c r="H261" s="12" t="str">
        <f t="shared" si="3"/>
        <v>8-13-259</v>
      </c>
      <c r="I261" s="18" t="str">
        <f t="shared" si="4"/>
        <v>KIT TORNILLO TIPO T 18X30mm CON ARANDELA Y T/HEXAGONAL M8X25MM A/GALV</v>
      </c>
      <c r="J261" s="14" t="s">
        <v>8</v>
      </c>
      <c r="K261" s="36" t="s">
        <v>55</v>
      </c>
      <c r="L261" s="13"/>
    </row>
    <row r="262" spans="1:12" ht="43.2" x14ac:dyDescent="0.3">
      <c r="A262" s="8"/>
      <c r="B262" s="8"/>
      <c r="C262" s="8"/>
      <c r="D262" s="11" t="s">
        <v>248</v>
      </c>
      <c r="E262" s="12">
        <v>1</v>
      </c>
      <c r="F262" s="12">
        <v>13</v>
      </c>
      <c r="G262" s="12">
        <v>260</v>
      </c>
      <c r="H262" s="12" t="str">
        <f t="shared" si="3"/>
        <v>1-13-260</v>
      </c>
      <c r="I262" s="18" t="str">
        <f t="shared" si="4"/>
        <v>KIT TORNILLO TIPO T 10X23mm CON ARANDELA DE PRESION, ARANDELA LISA Y T/HEXAGONAL M8X20MM A/INOX</v>
      </c>
      <c r="J262" s="14" t="s">
        <v>8</v>
      </c>
      <c r="K262" s="36" t="s">
        <v>55</v>
      </c>
      <c r="L262" s="13"/>
    </row>
    <row r="263" spans="1:12" ht="28.8" x14ac:dyDescent="0.3">
      <c r="A263" s="8"/>
      <c r="B263" s="8"/>
      <c r="C263" s="8"/>
      <c r="D263" s="11" t="s">
        <v>249</v>
      </c>
      <c r="E263" s="12">
        <v>1</v>
      </c>
      <c r="F263" s="12">
        <v>28</v>
      </c>
      <c r="G263" s="12">
        <v>261</v>
      </c>
      <c r="H263" s="12" t="str">
        <f t="shared" si="3"/>
        <v>1-28-261</v>
      </c>
      <c r="I263" s="18" t="str">
        <f t="shared" si="4"/>
        <v>ARANDELA DE PRESION A/INOX PARA TORN. M8</v>
      </c>
      <c r="J263" s="14" t="s">
        <v>8</v>
      </c>
      <c r="K263" s="36" t="s">
        <v>55</v>
      </c>
      <c r="L263" s="13"/>
    </row>
    <row r="264" spans="1:12" ht="43.2" x14ac:dyDescent="0.3">
      <c r="A264" s="8"/>
      <c r="B264" s="8"/>
      <c r="C264" s="8"/>
      <c r="D264" s="11" t="s">
        <v>250</v>
      </c>
      <c r="E264" s="12">
        <v>8</v>
      </c>
      <c r="F264" s="12">
        <v>13</v>
      </c>
      <c r="G264" s="12">
        <v>262</v>
      </c>
      <c r="H264" s="12" t="str">
        <f t="shared" si="3"/>
        <v>8-13-262</v>
      </c>
      <c r="I264" s="18" t="str">
        <f t="shared" si="4"/>
        <v>KIT TORNILLO TIPO T 18X30mm CON ARANDELA Y T/HEXAGONAL M8X35MM A/GALV</v>
      </c>
      <c r="J264" s="14" t="s">
        <v>8</v>
      </c>
      <c r="K264" s="36" t="s">
        <v>55</v>
      </c>
      <c r="L264" s="13"/>
    </row>
    <row r="265" spans="1:12" x14ac:dyDescent="0.3">
      <c r="A265" s="8"/>
      <c r="B265" s="8"/>
      <c r="C265" s="8"/>
      <c r="D265" s="11" t="s">
        <v>251</v>
      </c>
      <c r="E265" s="12">
        <v>1</v>
      </c>
      <c r="F265" s="12">
        <v>28</v>
      </c>
      <c r="G265" s="12">
        <v>263</v>
      </c>
      <c r="H265" s="12" t="str">
        <f t="shared" si="3"/>
        <v>1-28-263</v>
      </c>
      <c r="I265" s="18" t="str">
        <f t="shared" si="4"/>
        <v>ARANDELA A/INOX 9X1.5 PARA TORN. M8</v>
      </c>
      <c r="J265" s="14" t="s">
        <v>8</v>
      </c>
      <c r="K265" s="36" t="s">
        <v>55</v>
      </c>
      <c r="L265" s="13"/>
    </row>
    <row r="266" spans="1:12" ht="28.8" x14ac:dyDescent="0.3">
      <c r="A266" s="8"/>
      <c r="B266" s="8"/>
      <c r="C266" s="8"/>
      <c r="D266" s="11" t="s">
        <v>252</v>
      </c>
      <c r="E266" s="12">
        <v>1</v>
      </c>
      <c r="F266" s="12">
        <v>28</v>
      </c>
      <c r="G266" s="12">
        <v>264</v>
      </c>
      <c r="H266" s="12" t="str">
        <f t="shared" si="3"/>
        <v>1-28-264</v>
      </c>
      <c r="I266" s="18" t="str">
        <f t="shared" si="4"/>
        <v>ARANDELA A/INOX 11X20mm PARA TORN. M8/M10</v>
      </c>
      <c r="J266" s="14" t="s">
        <v>8</v>
      </c>
      <c r="K266" s="36" t="s">
        <v>55</v>
      </c>
      <c r="L266" s="13"/>
    </row>
    <row r="267" spans="1:12" ht="28.8" x14ac:dyDescent="0.3">
      <c r="A267" s="8"/>
      <c r="B267" s="8"/>
      <c r="C267" s="8"/>
      <c r="D267" s="11" t="s">
        <v>253</v>
      </c>
      <c r="E267" s="12">
        <v>8</v>
      </c>
      <c r="F267" s="12">
        <v>41</v>
      </c>
      <c r="G267" s="12">
        <v>265</v>
      </c>
      <c r="H267" s="12" t="str">
        <f t="shared" si="3"/>
        <v>8-41-265</v>
      </c>
      <c r="I267" s="18" t="str">
        <f t="shared" si="4"/>
        <v>TUERCA HEXAGONAL CLASE RESISTENCIA DIN 934 M8 A/GALV.</v>
      </c>
      <c r="J267" s="14" t="s">
        <v>8</v>
      </c>
      <c r="K267" s="36" t="s">
        <v>55</v>
      </c>
      <c r="L267" s="13"/>
    </row>
    <row r="268" spans="1:12" ht="28.8" x14ac:dyDescent="0.3">
      <c r="A268" s="8"/>
      <c r="B268" s="8"/>
      <c r="C268" s="8"/>
      <c r="D268" s="11" t="s">
        <v>254</v>
      </c>
      <c r="E268" s="12">
        <v>4</v>
      </c>
      <c r="F268" s="12">
        <v>40</v>
      </c>
      <c r="G268" s="12">
        <v>266</v>
      </c>
      <c r="H268" s="12" t="str">
        <f t="shared" si="3"/>
        <v>4-40-266</v>
      </c>
      <c r="I268" s="18" t="str">
        <f t="shared" si="4"/>
        <v>TORNILLO ESPARRAGO GALV TX25 M8X120</v>
      </c>
      <c r="J268" s="14" t="s">
        <v>8</v>
      </c>
      <c r="K268" s="36" t="s">
        <v>55</v>
      </c>
      <c r="L268" s="13"/>
    </row>
    <row r="269" spans="1:12" ht="28.8" x14ac:dyDescent="0.3">
      <c r="A269" s="8"/>
      <c r="B269" s="8"/>
      <c r="C269" s="8"/>
      <c r="D269" s="11" t="s">
        <v>267</v>
      </c>
      <c r="E269" s="12">
        <v>4</v>
      </c>
      <c r="F269" s="12">
        <v>15</v>
      </c>
      <c r="G269" s="12">
        <v>267</v>
      </c>
      <c r="H269" s="12" t="str">
        <f t="shared" si="3"/>
        <v>4-15-267</v>
      </c>
      <c r="I269" s="18" t="str">
        <f t="shared" si="4"/>
        <v>BARRA PERFORADA PARA REFUERZO 20X10X2MT GALV.</v>
      </c>
      <c r="J269" s="14" t="s">
        <v>8</v>
      </c>
      <c r="K269" s="36" t="s">
        <v>268</v>
      </c>
      <c r="L269" s="13"/>
    </row>
    <row r="270" spans="1:12" ht="28.8" x14ac:dyDescent="0.3">
      <c r="A270" s="8"/>
      <c r="B270" s="8"/>
      <c r="C270" s="8"/>
      <c r="D270" s="11" t="s">
        <v>269</v>
      </c>
      <c r="E270" s="12">
        <v>10</v>
      </c>
      <c r="F270" s="12">
        <v>42</v>
      </c>
      <c r="G270" s="12">
        <v>268</v>
      </c>
      <c r="H270" s="12" t="str">
        <f t="shared" si="3"/>
        <v>10-42-268</v>
      </c>
      <c r="I270" s="18" t="str">
        <f t="shared" si="4"/>
        <v>PATA ALUMINIO PARA ESTRUCTURA PLACA SOLAR</v>
      </c>
      <c r="J270" s="14" t="s">
        <v>8</v>
      </c>
      <c r="K270" s="36" t="s">
        <v>129</v>
      </c>
      <c r="L270" s="13"/>
    </row>
    <row r="271" spans="1:12" x14ac:dyDescent="0.3">
      <c r="A271" s="8"/>
      <c r="B271" s="8"/>
      <c r="C271" s="8"/>
      <c r="D271" s="11"/>
      <c r="E271" s="12"/>
      <c r="F271" s="12"/>
      <c r="G271" s="12"/>
      <c r="H271" s="12" t="str">
        <f t="shared" si="3"/>
        <v>--</v>
      </c>
      <c r="I271" s="18">
        <f t="shared" si="4"/>
        <v>0</v>
      </c>
      <c r="J271" s="14"/>
      <c r="K271" s="36"/>
      <c r="L271" s="13"/>
    </row>
    <row r="272" spans="1:12" x14ac:dyDescent="0.3">
      <c r="A272" s="8"/>
      <c r="B272" s="8"/>
      <c r="C272" s="8"/>
      <c r="D272" s="11"/>
      <c r="E272" s="12"/>
      <c r="F272" s="12"/>
      <c r="G272" s="12"/>
      <c r="H272" s="12" t="str">
        <f t="shared" si="3"/>
        <v>--</v>
      </c>
      <c r="I272" s="18">
        <f t="shared" si="4"/>
        <v>0</v>
      </c>
      <c r="J272" s="14"/>
      <c r="K272" s="36"/>
      <c r="L272" s="13"/>
    </row>
    <row r="273" spans="1:12" x14ac:dyDescent="0.3">
      <c r="A273" s="8"/>
      <c r="B273" s="8"/>
      <c r="C273" s="8"/>
      <c r="D273" s="11"/>
      <c r="E273" s="12"/>
      <c r="F273" s="12"/>
      <c r="G273" s="12"/>
      <c r="H273" s="12" t="str">
        <f t="shared" si="3"/>
        <v>--</v>
      </c>
      <c r="I273" s="18">
        <f t="shared" si="4"/>
        <v>0</v>
      </c>
      <c r="J273" s="14"/>
      <c r="K273" s="36"/>
      <c r="L273" s="13"/>
    </row>
    <row r="274" spans="1:12" x14ac:dyDescent="0.3">
      <c r="A274" s="8"/>
      <c r="B274" s="8"/>
      <c r="C274" s="8"/>
      <c r="D274" s="11"/>
      <c r="E274" s="12"/>
      <c r="F274" s="12"/>
      <c r="G274" s="12"/>
      <c r="H274" s="12" t="str">
        <f t="shared" si="3"/>
        <v>--</v>
      </c>
      <c r="I274" s="18">
        <f t="shared" si="4"/>
        <v>0</v>
      </c>
      <c r="J274" s="14"/>
      <c r="K274" s="36"/>
      <c r="L274" s="13"/>
    </row>
    <row r="275" spans="1:12" x14ac:dyDescent="0.3">
      <c r="A275" s="8"/>
      <c r="B275" s="8"/>
      <c r="C275" s="8"/>
      <c r="D275" s="11"/>
      <c r="E275" s="12"/>
      <c r="F275" s="12"/>
      <c r="G275" s="12"/>
      <c r="H275" s="12" t="str">
        <f t="shared" si="3"/>
        <v>--</v>
      </c>
      <c r="I275" s="18">
        <f t="shared" si="4"/>
        <v>0</v>
      </c>
      <c r="J275" s="14"/>
      <c r="K275" s="36"/>
      <c r="L275" s="13"/>
    </row>
    <row r="276" spans="1:12" x14ac:dyDescent="0.3">
      <c r="A276" s="8"/>
      <c r="B276" s="8"/>
      <c r="C276" s="8"/>
      <c r="D276" s="11"/>
      <c r="E276" s="12"/>
      <c r="F276" s="12"/>
      <c r="G276" s="12"/>
      <c r="H276" s="12" t="str">
        <f t="shared" si="3"/>
        <v>--</v>
      </c>
      <c r="I276" s="18">
        <f t="shared" si="4"/>
        <v>0</v>
      </c>
      <c r="J276" s="14"/>
      <c r="K276" s="36"/>
      <c r="L276" s="13"/>
    </row>
    <row r="277" spans="1:12" x14ac:dyDescent="0.3">
      <c r="A277" s="8"/>
      <c r="B277" s="8"/>
      <c r="C277" s="8"/>
      <c r="D277" s="11"/>
      <c r="E277" s="12"/>
      <c r="F277" s="12"/>
      <c r="G277" s="12"/>
      <c r="H277" s="12" t="str">
        <f t="shared" si="3"/>
        <v>--</v>
      </c>
      <c r="I277" s="18">
        <f t="shared" si="4"/>
        <v>0</v>
      </c>
      <c r="J277" s="14"/>
      <c r="K277" s="36"/>
      <c r="L277" s="13"/>
    </row>
    <row r="278" spans="1:12" x14ac:dyDescent="0.3">
      <c r="A278" s="8"/>
      <c r="B278" s="8"/>
      <c r="C278" s="8"/>
      <c r="D278" s="11"/>
      <c r="E278" s="12"/>
      <c r="F278" s="12"/>
      <c r="G278" s="12"/>
      <c r="H278" s="12" t="str">
        <f t="shared" si="3"/>
        <v>--</v>
      </c>
      <c r="I278" s="18">
        <f t="shared" si="4"/>
        <v>0</v>
      </c>
      <c r="J278" s="14"/>
      <c r="K278" s="36"/>
      <c r="L278" s="13"/>
    </row>
    <row r="279" spans="1:12" x14ac:dyDescent="0.3">
      <c r="A279" s="8"/>
      <c r="B279" s="8"/>
      <c r="C279" s="8"/>
      <c r="D279" s="11"/>
      <c r="E279" s="12"/>
      <c r="F279" s="12"/>
      <c r="G279" s="12"/>
      <c r="H279" s="12" t="str">
        <f t="shared" si="3"/>
        <v>--</v>
      </c>
      <c r="I279" s="18">
        <f t="shared" si="4"/>
        <v>0</v>
      </c>
      <c r="J279" s="14"/>
      <c r="K279" s="36"/>
      <c r="L279" s="13"/>
    </row>
    <row r="280" spans="1:12" x14ac:dyDescent="0.3">
      <c r="A280" s="8"/>
      <c r="B280" s="8"/>
      <c r="C280" s="8"/>
      <c r="D280" s="11"/>
      <c r="E280" s="12"/>
      <c r="F280" s="12"/>
      <c r="G280" s="12"/>
      <c r="H280" s="12" t="str">
        <f t="shared" si="3"/>
        <v>--</v>
      </c>
      <c r="I280" s="18">
        <f t="shared" si="4"/>
        <v>0</v>
      </c>
      <c r="J280" s="14"/>
      <c r="K280" s="36"/>
      <c r="L280" s="13"/>
    </row>
    <row r="281" spans="1:12" x14ac:dyDescent="0.3">
      <c r="A281" s="8"/>
      <c r="B281" s="8"/>
      <c r="C281" s="8"/>
      <c r="D281" s="11"/>
      <c r="E281" s="12"/>
      <c r="F281" s="12"/>
      <c r="G281" s="12"/>
      <c r="H281" s="12" t="str">
        <f t="shared" si="3"/>
        <v>--</v>
      </c>
      <c r="I281" s="18">
        <f t="shared" si="4"/>
        <v>0</v>
      </c>
      <c r="J281" s="14"/>
      <c r="K281" s="36"/>
      <c r="L281" s="13"/>
    </row>
    <row r="282" spans="1:12" x14ac:dyDescent="0.3">
      <c r="A282" s="8"/>
      <c r="B282" s="8"/>
      <c r="C282" s="8"/>
      <c r="D282" s="11"/>
      <c r="E282" s="12"/>
      <c r="F282" s="12"/>
      <c r="G282" s="12"/>
      <c r="H282" s="12" t="str">
        <f t="shared" si="3"/>
        <v>--</v>
      </c>
      <c r="I282" s="18">
        <f t="shared" si="4"/>
        <v>0</v>
      </c>
      <c r="J282" s="14"/>
      <c r="K282" s="36"/>
      <c r="L282" s="13"/>
    </row>
    <row r="283" spans="1:12" x14ac:dyDescent="0.3">
      <c r="A283" s="8"/>
      <c r="B283" s="8"/>
      <c r="C283" s="8"/>
      <c r="D283" s="11"/>
      <c r="E283" s="12"/>
      <c r="F283" s="12"/>
      <c r="G283" s="12"/>
      <c r="H283" s="12" t="str">
        <f t="shared" si="3"/>
        <v>--</v>
      </c>
      <c r="I283" s="18">
        <f t="shared" si="4"/>
        <v>0</v>
      </c>
      <c r="J283" s="14"/>
      <c r="K283" s="36"/>
      <c r="L283" s="13"/>
    </row>
    <row r="284" spans="1:12" x14ac:dyDescent="0.3">
      <c r="A284" s="8"/>
      <c r="B284" s="8"/>
      <c r="C284" s="8"/>
      <c r="D284" s="11"/>
      <c r="E284" s="12"/>
      <c r="F284" s="12"/>
      <c r="G284" s="12"/>
      <c r="H284" s="12" t="str">
        <f t="shared" si="3"/>
        <v>--</v>
      </c>
      <c r="I284" s="18">
        <f t="shared" si="4"/>
        <v>0</v>
      </c>
      <c r="J284" s="14"/>
      <c r="K284" s="36"/>
      <c r="L284" s="13"/>
    </row>
    <row r="285" spans="1:12" x14ac:dyDescent="0.3">
      <c r="A285" s="8"/>
      <c r="B285" s="8"/>
      <c r="C285" s="8"/>
      <c r="D285" s="11"/>
      <c r="E285" s="12"/>
      <c r="F285" s="12"/>
      <c r="G285" s="12"/>
      <c r="H285" s="12" t="str">
        <f t="shared" si="3"/>
        <v>--</v>
      </c>
      <c r="I285" s="18">
        <f t="shared" si="4"/>
        <v>0</v>
      </c>
      <c r="J285" s="14"/>
      <c r="K285" s="36"/>
      <c r="L285" s="13"/>
    </row>
    <row r="286" spans="1:12" x14ac:dyDescent="0.3">
      <c r="A286" s="8"/>
      <c r="B286" s="8"/>
      <c r="C286" s="8"/>
      <c r="D286" s="11"/>
      <c r="E286" s="12"/>
      <c r="F286" s="12"/>
      <c r="G286" s="12"/>
      <c r="H286" s="12" t="str">
        <f t="shared" si="3"/>
        <v>--</v>
      </c>
      <c r="I286" s="18">
        <f t="shared" si="4"/>
        <v>0</v>
      </c>
      <c r="J286" s="14"/>
      <c r="K286" s="36"/>
      <c r="L286" s="13"/>
    </row>
    <row r="287" spans="1:12" x14ac:dyDescent="0.3">
      <c r="A287" s="8"/>
      <c r="B287" s="8"/>
      <c r="C287" s="8"/>
      <c r="D287" s="11"/>
      <c r="E287" s="12"/>
      <c r="F287" s="12"/>
      <c r="G287" s="12"/>
      <c r="H287" s="12" t="str">
        <f t="shared" si="3"/>
        <v>--</v>
      </c>
      <c r="I287" s="18">
        <f t="shared" si="4"/>
        <v>0</v>
      </c>
      <c r="J287" s="14"/>
      <c r="K287" s="36"/>
      <c r="L287" s="13"/>
    </row>
    <row r="288" spans="1:12" x14ac:dyDescent="0.3">
      <c r="A288" s="8"/>
      <c r="B288" s="8"/>
      <c r="C288" s="8"/>
      <c r="D288" s="11"/>
      <c r="E288" s="12"/>
      <c r="F288" s="12"/>
      <c r="G288" s="12"/>
      <c r="H288" s="12" t="str">
        <f t="shared" si="3"/>
        <v>--</v>
      </c>
      <c r="I288" s="18">
        <f t="shared" si="4"/>
        <v>0</v>
      </c>
      <c r="J288" s="14"/>
      <c r="K288" s="36"/>
      <c r="L288" s="13"/>
    </row>
    <row r="289" spans="1:12" x14ac:dyDescent="0.3">
      <c r="A289" s="8"/>
      <c r="B289" s="8"/>
      <c r="C289" s="8"/>
      <c r="D289" s="11"/>
      <c r="E289" s="12"/>
      <c r="F289" s="12"/>
      <c r="G289" s="12"/>
      <c r="H289" s="12" t="str">
        <f t="shared" si="3"/>
        <v>--</v>
      </c>
      <c r="I289" s="18">
        <f t="shared" si="4"/>
        <v>0</v>
      </c>
      <c r="J289" s="14"/>
      <c r="K289" s="36"/>
      <c r="L289" s="13"/>
    </row>
    <row r="290" spans="1:12" x14ac:dyDescent="0.3">
      <c r="A290" s="8"/>
      <c r="B290" s="8"/>
      <c r="C290" s="8"/>
      <c r="D290" s="11"/>
      <c r="E290" s="12"/>
      <c r="F290" s="12"/>
      <c r="G290" s="12"/>
      <c r="H290" s="12" t="str">
        <f t="shared" si="3"/>
        <v>--</v>
      </c>
      <c r="I290" s="18">
        <f t="shared" si="4"/>
        <v>0</v>
      </c>
      <c r="J290" s="14"/>
      <c r="K290" s="36"/>
      <c r="L290" s="13"/>
    </row>
    <row r="291" spans="1:12" x14ac:dyDescent="0.3">
      <c r="A291" s="8"/>
      <c r="B291" s="8"/>
      <c r="C291" s="8"/>
      <c r="D291" s="11"/>
      <c r="E291" s="12"/>
      <c r="F291" s="12"/>
      <c r="G291" s="12"/>
      <c r="H291" s="12" t="str">
        <f t="shared" si="3"/>
        <v>--</v>
      </c>
      <c r="I291" s="18">
        <f t="shared" si="4"/>
        <v>0</v>
      </c>
      <c r="J291" s="14"/>
      <c r="K291" s="36"/>
      <c r="L291" s="13"/>
    </row>
    <row r="292" spans="1:12" x14ac:dyDescent="0.3">
      <c r="A292" s="8"/>
      <c r="B292" s="8"/>
      <c r="C292" s="8"/>
      <c r="D292" s="11"/>
      <c r="E292" s="12"/>
      <c r="F292" s="12"/>
      <c r="G292" s="12"/>
      <c r="H292" s="12" t="str">
        <f t="shared" si="3"/>
        <v>--</v>
      </c>
      <c r="I292" s="18">
        <f t="shared" si="4"/>
        <v>0</v>
      </c>
      <c r="J292" s="14"/>
      <c r="K292" s="36"/>
      <c r="L292" s="13"/>
    </row>
    <row r="293" spans="1:12" x14ac:dyDescent="0.3">
      <c r="A293" s="8"/>
      <c r="B293" s="8"/>
      <c r="C293" s="8"/>
      <c r="D293" s="11"/>
      <c r="E293" s="12"/>
      <c r="F293" s="12"/>
      <c r="G293" s="12"/>
      <c r="H293" s="12" t="str">
        <f t="shared" si="3"/>
        <v>--</v>
      </c>
      <c r="I293" s="18">
        <f t="shared" si="4"/>
        <v>0</v>
      </c>
      <c r="J293" s="14"/>
      <c r="K293" s="36"/>
      <c r="L293" s="13"/>
    </row>
    <row r="294" spans="1:12" x14ac:dyDescent="0.3">
      <c r="A294" s="8"/>
      <c r="B294" s="8"/>
      <c r="C294" s="8"/>
      <c r="D294" s="11"/>
      <c r="E294" s="12"/>
      <c r="F294" s="12"/>
      <c r="G294" s="12"/>
      <c r="H294" s="12" t="str">
        <f t="shared" si="3"/>
        <v>--</v>
      </c>
      <c r="I294" s="18">
        <f t="shared" si="4"/>
        <v>0</v>
      </c>
      <c r="J294" s="14"/>
      <c r="K294" s="36"/>
      <c r="L294" s="13"/>
    </row>
    <row r="295" spans="1:12" x14ac:dyDescent="0.3">
      <c r="A295" s="8"/>
      <c r="B295" s="8"/>
      <c r="C295" s="8"/>
      <c r="D295" s="11"/>
      <c r="E295" s="12"/>
      <c r="F295" s="12"/>
      <c r="G295" s="12"/>
      <c r="H295" s="12" t="str">
        <f t="shared" si="3"/>
        <v>--</v>
      </c>
      <c r="I295" s="18">
        <f t="shared" si="4"/>
        <v>0</v>
      </c>
      <c r="J295" s="14"/>
      <c r="K295" s="36"/>
      <c r="L295" s="13"/>
    </row>
    <row r="296" spans="1:12" x14ac:dyDescent="0.3">
      <c r="A296" s="8"/>
      <c r="B296" s="8"/>
      <c r="C296" s="8"/>
      <c r="D296" s="11"/>
      <c r="E296" s="12"/>
      <c r="F296" s="12"/>
      <c r="G296" s="12"/>
      <c r="H296" s="12" t="str">
        <f t="shared" si="3"/>
        <v>--</v>
      </c>
      <c r="I296" s="18">
        <f t="shared" si="4"/>
        <v>0</v>
      </c>
      <c r="J296" s="14"/>
      <c r="K296" s="36"/>
      <c r="L296" s="13"/>
    </row>
    <row r="297" spans="1:12" x14ac:dyDescent="0.3">
      <c r="A297" s="8"/>
      <c r="B297" s="8"/>
      <c r="C297" s="8"/>
      <c r="D297" s="11"/>
      <c r="E297" s="12"/>
      <c r="F297" s="12"/>
      <c r="G297" s="12"/>
      <c r="H297" s="12" t="str">
        <f t="shared" si="3"/>
        <v>--</v>
      </c>
      <c r="I297" s="18">
        <f t="shared" si="4"/>
        <v>0</v>
      </c>
      <c r="J297" s="14"/>
      <c r="K297" s="36"/>
      <c r="L297" s="13"/>
    </row>
    <row r="298" spans="1:12" x14ac:dyDescent="0.3">
      <c r="A298" s="8"/>
      <c r="B298" s="8"/>
      <c r="C298" s="8"/>
      <c r="D298" s="11"/>
      <c r="E298" s="12"/>
      <c r="F298" s="12"/>
      <c r="G298" s="12"/>
      <c r="H298" s="12" t="str">
        <f t="shared" si="3"/>
        <v>--</v>
      </c>
      <c r="I298" s="18">
        <f t="shared" si="4"/>
        <v>0</v>
      </c>
      <c r="J298" s="14"/>
      <c r="K298" s="36"/>
      <c r="L298" s="13"/>
    </row>
    <row r="299" spans="1:12" x14ac:dyDescent="0.3">
      <c r="A299" s="8"/>
      <c r="B299" s="8"/>
      <c r="C299" s="8"/>
      <c r="D299" s="11"/>
      <c r="E299" s="12"/>
      <c r="F299" s="12"/>
      <c r="G299" s="12"/>
      <c r="H299" s="12" t="str">
        <f t="shared" si="3"/>
        <v>--</v>
      </c>
      <c r="I299" s="18">
        <f t="shared" si="4"/>
        <v>0</v>
      </c>
      <c r="J299" s="14"/>
      <c r="K299" s="36"/>
      <c r="L299" s="13"/>
    </row>
    <row r="300" spans="1:12" x14ac:dyDescent="0.3">
      <c r="A300" s="8"/>
      <c r="B300" s="8"/>
      <c r="C300" s="8"/>
      <c r="D300" s="11"/>
      <c r="E300" s="12"/>
      <c r="F300" s="12"/>
      <c r="G300" s="12"/>
      <c r="H300" s="12" t="str">
        <f t="shared" si="3"/>
        <v>--</v>
      </c>
      <c r="I300" s="18">
        <f t="shared" si="4"/>
        <v>0</v>
      </c>
      <c r="J300" s="14"/>
      <c r="K300" s="36"/>
      <c r="L300" s="13"/>
    </row>
    <row r="301" spans="1:12" x14ac:dyDescent="0.3">
      <c r="A301" s="8"/>
      <c r="B301" s="8"/>
      <c r="C301" s="8"/>
      <c r="D301" s="11"/>
      <c r="E301" s="12"/>
      <c r="F301" s="12"/>
      <c r="G301" s="12"/>
      <c r="H301" s="12" t="str">
        <f t="shared" si="3"/>
        <v>--</v>
      </c>
      <c r="I301" s="18">
        <f t="shared" si="4"/>
        <v>0</v>
      </c>
      <c r="J301" s="14"/>
      <c r="K301" s="36"/>
      <c r="L301" s="13"/>
    </row>
    <row r="302" spans="1:12" x14ac:dyDescent="0.3">
      <c r="A302" s="8"/>
      <c r="B302" s="8"/>
      <c r="C302" s="8"/>
      <c r="D302" s="11"/>
      <c r="E302" s="12"/>
      <c r="F302" s="12"/>
      <c r="G302" s="12"/>
      <c r="H302" s="12" t="str">
        <f t="shared" si="3"/>
        <v>--</v>
      </c>
      <c r="I302" s="18">
        <f t="shared" si="4"/>
        <v>0</v>
      </c>
      <c r="J302" s="14"/>
      <c r="K302" s="36"/>
      <c r="L302" s="13"/>
    </row>
    <row r="303" spans="1:12" x14ac:dyDescent="0.3">
      <c r="A303" s="8"/>
      <c r="B303" s="8"/>
      <c r="C303" s="8"/>
      <c r="D303" s="11"/>
      <c r="E303" s="12"/>
      <c r="F303" s="12"/>
      <c r="G303" s="12"/>
      <c r="H303" s="12" t="str">
        <f t="shared" si="3"/>
        <v>--</v>
      </c>
      <c r="I303" s="18">
        <f t="shared" si="4"/>
        <v>0</v>
      </c>
      <c r="J303" s="14"/>
      <c r="K303" s="36"/>
      <c r="L303" s="13"/>
    </row>
    <row r="304" spans="1:12" x14ac:dyDescent="0.3">
      <c r="A304" s="8"/>
      <c r="B304" s="8"/>
      <c r="C304" s="8"/>
      <c r="D304" s="11"/>
      <c r="E304" s="12"/>
      <c r="F304" s="12"/>
      <c r="G304" s="12"/>
      <c r="H304" s="12" t="str">
        <f t="shared" si="3"/>
        <v>--</v>
      </c>
      <c r="I304" s="18">
        <f t="shared" si="4"/>
        <v>0</v>
      </c>
      <c r="J304" s="14"/>
      <c r="K304" s="36"/>
      <c r="L304" s="13"/>
    </row>
    <row r="305" spans="1:12" x14ac:dyDescent="0.3">
      <c r="A305" s="8"/>
      <c r="B305" s="8"/>
      <c r="C305" s="8"/>
      <c r="D305" s="11"/>
      <c r="E305" s="12"/>
      <c r="F305" s="12"/>
      <c r="G305" s="12"/>
      <c r="H305" s="12" t="str">
        <f t="shared" si="3"/>
        <v>--</v>
      </c>
      <c r="I305" s="18">
        <f t="shared" si="4"/>
        <v>0</v>
      </c>
      <c r="J305" s="14"/>
      <c r="K305" s="36"/>
      <c r="L305" s="13"/>
    </row>
    <row r="306" spans="1:12" x14ac:dyDescent="0.3">
      <c r="A306" s="8"/>
      <c r="B306" s="8"/>
      <c r="C306" s="8"/>
      <c r="D306" s="11"/>
      <c r="E306" s="12"/>
      <c r="F306" s="12"/>
      <c r="G306" s="12"/>
      <c r="H306" s="12" t="str">
        <f t="shared" si="3"/>
        <v>--</v>
      </c>
      <c r="I306" s="18">
        <f t="shared" si="4"/>
        <v>0</v>
      </c>
      <c r="J306" s="14"/>
      <c r="K306" s="36"/>
      <c r="L306" s="13"/>
    </row>
    <row r="307" spans="1:12" x14ac:dyDescent="0.3">
      <c r="A307" s="8"/>
      <c r="B307" s="8"/>
      <c r="C307" s="8"/>
      <c r="D307" s="11"/>
      <c r="E307" s="12"/>
      <c r="F307" s="12"/>
      <c r="G307" s="12"/>
      <c r="H307" s="12" t="str">
        <f t="shared" si="3"/>
        <v>--</v>
      </c>
      <c r="I307" s="18">
        <f t="shared" si="4"/>
        <v>0</v>
      </c>
      <c r="J307" s="14"/>
      <c r="K307" s="36"/>
      <c r="L307" s="13"/>
    </row>
    <row r="308" spans="1:12" x14ac:dyDescent="0.3">
      <c r="A308" s="8"/>
      <c r="B308" s="8"/>
      <c r="C308" s="8"/>
      <c r="D308" s="11"/>
      <c r="E308" s="12"/>
      <c r="F308" s="12"/>
      <c r="G308" s="12"/>
      <c r="H308" s="12" t="str">
        <f t="shared" si="3"/>
        <v>--</v>
      </c>
      <c r="I308" s="18">
        <f t="shared" si="4"/>
        <v>0</v>
      </c>
      <c r="J308" s="14"/>
      <c r="K308" s="36"/>
      <c r="L308" s="13"/>
    </row>
    <row r="309" spans="1:12" x14ac:dyDescent="0.3">
      <c r="A309" s="8"/>
      <c r="B309" s="8"/>
      <c r="C309" s="8"/>
      <c r="D309" s="11"/>
      <c r="E309" s="12"/>
      <c r="F309" s="12"/>
      <c r="G309" s="12"/>
      <c r="H309" s="12" t="str">
        <f t="shared" si="3"/>
        <v>--</v>
      </c>
      <c r="I309" s="18">
        <f t="shared" si="4"/>
        <v>0</v>
      </c>
      <c r="J309" s="14"/>
      <c r="K309" s="36"/>
      <c r="L309" s="13"/>
    </row>
    <row r="310" spans="1:12" x14ac:dyDescent="0.3">
      <c r="A310" s="8"/>
      <c r="B310" s="8"/>
      <c r="C310" s="8"/>
      <c r="D310" s="11"/>
      <c r="E310" s="12"/>
      <c r="F310" s="12"/>
      <c r="G310" s="12"/>
      <c r="H310" s="12" t="str">
        <f t="shared" si="3"/>
        <v>--</v>
      </c>
      <c r="I310" s="18">
        <f t="shared" si="4"/>
        <v>0</v>
      </c>
      <c r="J310" s="14"/>
      <c r="K310" s="36"/>
      <c r="L310" s="13"/>
    </row>
    <row r="311" spans="1:12" x14ac:dyDescent="0.3">
      <c r="A311" s="8"/>
      <c r="B311" s="8"/>
      <c r="C311" s="8"/>
      <c r="D311" s="11"/>
      <c r="E311" s="12"/>
      <c r="F311" s="12"/>
      <c r="G311" s="12"/>
      <c r="H311" s="12" t="str">
        <f t="shared" si="3"/>
        <v>--</v>
      </c>
      <c r="I311" s="18">
        <f t="shared" si="4"/>
        <v>0</v>
      </c>
      <c r="J311" s="14"/>
      <c r="K311" s="36"/>
      <c r="L311" s="13"/>
    </row>
    <row r="312" spans="1:12" x14ac:dyDescent="0.3">
      <c r="A312" s="8"/>
      <c r="B312" s="8"/>
      <c r="C312" s="8"/>
      <c r="D312" s="11"/>
      <c r="E312" s="12"/>
      <c r="F312" s="12"/>
      <c r="G312" s="12"/>
      <c r="H312" s="12" t="str">
        <f t="shared" si="3"/>
        <v>--</v>
      </c>
      <c r="I312" s="18">
        <f t="shared" si="4"/>
        <v>0</v>
      </c>
      <c r="J312" s="14"/>
      <c r="K312" s="36"/>
      <c r="L312" s="13"/>
    </row>
    <row r="313" spans="1:12" x14ac:dyDescent="0.3">
      <c r="A313" s="8"/>
      <c r="B313" s="8"/>
      <c r="C313" s="8"/>
      <c r="D313" s="11"/>
      <c r="E313" s="12"/>
      <c r="F313" s="12"/>
      <c r="G313" s="12"/>
      <c r="H313" s="12" t="str">
        <f t="shared" si="3"/>
        <v>--</v>
      </c>
      <c r="I313" s="18">
        <f t="shared" si="4"/>
        <v>0</v>
      </c>
      <c r="J313" s="14"/>
      <c r="K313" s="36"/>
      <c r="L313" s="13"/>
    </row>
    <row r="314" spans="1:12" x14ac:dyDescent="0.3">
      <c r="A314" s="8"/>
      <c r="B314" s="8"/>
      <c r="C314" s="8"/>
      <c r="D314" s="11"/>
      <c r="E314" s="12"/>
      <c r="F314" s="12"/>
      <c r="G314" s="12"/>
      <c r="H314" s="12" t="str">
        <f t="shared" si="3"/>
        <v>--</v>
      </c>
      <c r="I314" s="18">
        <f t="shared" si="4"/>
        <v>0</v>
      </c>
      <c r="J314" s="14"/>
      <c r="K314" s="36"/>
      <c r="L314" s="13"/>
    </row>
    <row r="315" spans="1:12" x14ac:dyDescent="0.3">
      <c r="A315" s="8"/>
      <c r="B315" s="8"/>
      <c r="C315" s="8"/>
      <c r="D315" s="11"/>
      <c r="E315" s="12"/>
      <c r="F315" s="12"/>
      <c r="G315" s="12"/>
      <c r="H315" s="12" t="str">
        <f t="shared" si="3"/>
        <v>--</v>
      </c>
      <c r="I315" s="18">
        <f t="shared" si="4"/>
        <v>0</v>
      </c>
      <c r="J315" s="14"/>
      <c r="K315" s="36"/>
      <c r="L315" s="13"/>
    </row>
    <row r="316" spans="1:12" x14ac:dyDescent="0.3">
      <c r="A316" s="8"/>
      <c r="B316" s="8"/>
      <c r="C316" s="8"/>
      <c r="D316" s="11"/>
      <c r="E316" s="12"/>
      <c r="F316" s="12"/>
      <c r="G316" s="12"/>
      <c r="H316" s="12" t="str">
        <f t="shared" si="3"/>
        <v>--</v>
      </c>
      <c r="I316" s="18">
        <f t="shared" si="4"/>
        <v>0</v>
      </c>
      <c r="J316" s="14"/>
      <c r="K316" s="36"/>
      <c r="L316" s="13"/>
    </row>
    <row r="317" spans="1:12" x14ac:dyDescent="0.3">
      <c r="A317" s="8"/>
      <c r="B317" s="8"/>
      <c r="C317" s="8"/>
      <c r="D317" s="11"/>
      <c r="E317" s="12"/>
      <c r="F317" s="12"/>
      <c r="G317" s="12"/>
      <c r="H317" s="12" t="str">
        <f t="shared" si="3"/>
        <v>--</v>
      </c>
      <c r="I317" s="18">
        <f t="shared" si="4"/>
        <v>0</v>
      </c>
      <c r="J317" s="14"/>
      <c r="K317" s="36"/>
      <c r="L317" s="13"/>
    </row>
    <row r="318" spans="1:12" x14ac:dyDescent="0.3">
      <c r="A318" s="8"/>
      <c r="B318" s="8"/>
      <c r="C318" s="8"/>
      <c r="D318" s="11"/>
      <c r="E318" s="12"/>
      <c r="F318" s="12"/>
      <c r="G318" s="12"/>
      <c r="H318" s="12" t="str">
        <f t="shared" si="3"/>
        <v>--</v>
      </c>
      <c r="I318" s="18">
        <f t="shared" si="4"/>
        <v>0</v>
      </c>
      <c r="J318" s="14"/>
      <c r="K318" s="36"/>
      <c r="L318" s="13"/>
    </row>
    <row r="319" spans="1:12" x14ac:dyDescent="0.3">
      <c r="A319" s="8"/>
      <c r="B319" s="8"/>
      <c r="C319" s="8"/>
      <c r="D319" s="11"/>
      <c r="E319" s="12"/>
      <c r="F319" s="12"/>
      <c r="G319" s="12"/>
      <c r="H319" s="12" t="str">
        <f t="shared" si="3"/>
        <v>--</v>
      </c>
      <c r="I319" s="18">
        <f t="shared" si="4"/>
        <v>0</v>
      </c>
      <c r="J319" s="14"/>
      <c r="K319" s="36"/>
      <c r="L319" s="13"/>
    </row>
    <row r="320" spans="1:12" x14ac:dyDescent="0.3">
      <c r="A320" s="8"/>
      <c r="B320" s="8"/>
      <c r="C320" s="8"/>
      <c r="D320" s="11"/>
      <c r="E320" s="12"/>
      <c r="F320" s="12"/>
      <c r="G320" s="12"/>
      <c r="H320" s="12" t="str">
        <f t="shared" si="3"/>
        <v>--</v>
      </c>
      <c r="I320" s="18">
        <f t="shared" si="4"/>
        <v>0</v>
      </c>
      <c r="J320" s="14"/>
      <c r="K320" s="36"/>
      <c r="L320" s="13"/>
    </row>
    <row r="321" spans="1:12" x14ac:dyDescent="0.3">
      <c r="A321" s="8"/>
      <c r="B321" s="8"/>
      <c r="C321" s="8"/>
      <c r="D321" s="11"/>
      <c r="E321" s="12"/>
      <c r="F321" s="12"/>
      <c r="G321" s="12"/>
      <c r="H321" s="12" t="str">
        <f t="shared" si="3"/>
        <v>--</v>
      </c>
      <c r="I321" s="18">
        <f t="shared" si="4"/>
        <v>0</v>
      </c>
      <c r="J321" s="14"/>
      <c r="K321" s="36"/>
      <c r="L321" s="13"/>
    </row>
    <row r="322" spans="1:12" x14ac:dyDescent="0.3">
      <c r="A322" s="8"/>
      <c r="B322" s="8"/>
      <c r="C322" s="8"/>
      <c r="D322" s="11"/>
      <c r="E322" s="12"/>
      <c r="F322" s="12"/>
      <c r="G322" s="12"/>
      <c r="H322" s="12" t="str">
        <f t="shared" si="3"/>
        <v>--</v>
      </c>
      <c r="I322" s="18">
        <f t="shared" si="4"/>
        <v>0</v>
      </c>
      <c r="J322" s="14"/>
      <c r="K322" s="36"/>
      <c r="L322" s="13"/>
    </row>
    <row r="323" spans="1:12" x14ac:dyDescent="0.3">
      <c r="A323" s="8"/>
      <c r="B323" s="8"/>
      <c r="C323" s="8"/>
      <c r="D323" s="11"/>
      <c r="E323" s="12"/>
      <c r="F323" s="12"/>
      <c r="G323" s="12"/>
      <c r="H323" s="12" t="str">
        <f t="shared" si="3"/>
        <v>--</v>
      </c>
      <c r="I323" s="18">
        <f t="shared" si="4"/>
        <v>0</v>
      </c>
      <c r="J323" s="14"/>
      <c r="K323" s="36"/>
      <c r="L323" s="13"/>
    </row>
    <row r="324" spans="1:12" x14ac:dyDescent="0.3">
      <c r="A324" s="8"/>
      <c r="B324" s="8"/>
      <c r="C324" s="8"/>
      <c r="D324" s="11"/>
      <c r="E324" s="12"/>
      <c r="F324" s="12"/>
      <c r="G324" s="12"/>
      <c r="H324" s="12" t="str">
        <f t="shared" si="3"/>
        <v>--</v>
      </c>
      <c r="I324" s="18">
        <f t="shared" si="4"/>
        <v>0</v>
      </c>
      <c r="J324" s="14"/>
      <c r="K324" s="36"/>
      <c r="L324" s="13"/>
    </row>
    <row r="325" spans="1:12" x14ac:dyDescent="0.3">
      <c r="A325" s="8"/>
      <c r="B325" s="8"/>
      <c r="C325" s="8"/>
      <c r="D325" s="11"/>
      <c r="E325" s="12"/>
      <c r="F325" s="12"/>
      <c r="G325" s="12"/>
      <c r="H325" s="12" t="str">
        <f t="shared" si="3"/>
        <v>--</v>
      </c>
      <c r="I325" s="18">
        <f t="shared" si="4"/>
        <v>0</v>
      </c>
      <c r="J325" s="14"/>
      <c r="K325" s="36"/>
      <c r="L325" s="13"/>
    </row>
    <row r="326" spans="1:12" x14ac:dyDescent="0.3">
      <c r="A326" s="8"/>
      <c r="B326" s="8"/>
      <c r="C326" s="8"/>
      <c r="D326" s="11"/>
      <c r="E326" s="12"/>
      <c r="F326" s="12"/>
      <c r="G326" s="12"/>
      <c r="H326" s="12" t="str">
        <f t="shared" si="3"/>
        <v>--</v>
      </c>
      <c r="I326" s="18">
        <f t="shared" si="4"/>
        <v>0</v>
      </c>
      <c r="J326" s="14"/>
      <c r="K326" s="36"/>
      <c r="L326" s="13"/>
    </row>
    <row r="327" spans="1:12" x14ac:dyDescent="0.3">
      <c r="A327" s="8"/>
      <c r="B327" s="8"/>
      <c r="C327" s="8"/>
      <c r="D327" s="11"/>
      <c r="E327" s="12"/>
      <c r="F327" s="12"/>
      <c r="G327" s="12"/>
      <c r="H327" s="12" t="str">
        <f t="shared" si="3"/>
        <v>--</v>
      </c>
      <c r="I327" s="18">
        <f t="shared" si="4"/>
        <v>0</v>
      </c>
      <c r="J327" s="14"/>
      <c r="K327" s="36"/>
      <c r="L327" s="13"/>
    </row>
    <row r="328" spans="1:12" x14ac:dyDescent="0.3">
      <c r="A328" s="8"/>
      <c r="B328" s="8"/>
      <c r="C328" s="8"/>
      <c r="D328" s="11"/>
      <c r="E328" s="12"/>
      <c r="F328" s="12"/>
      <c r="G328" s="12"/>
      <c r="H328" s="12" t="str">
        <f t="shared" si="3"/>
        <v>--</v>
      </c>
      <c r="I328" s="18">
        <f t="shared" si="4"/>
        <v>0</v>
      </c>
      <c r="J328" s="14"/>
      <c r="K328" s="36"/>
      <c r="L328" s="13"/>
    </row>
    <row r="329" spans="1:12" x14ac:dyDescent="0.3">
      <c r="A329" s="8"/>
      <c r="B329" s="8"/>
      <c r="C329" s="8"/>
      <c r="D329" s="11"/>
      <c r="E329" s="12"/>
      <c r="F329" s="12"/>
      <c r="G329" s="12"/>
      <c r="H329" s="12" t="str">
        <f t="shared" si="3"/>
        <v>--</v>
      </c>
      <c r="I329" s="18">
        <f t="shared" si="4"/>
        <v>0</v>
      </c>
      <c r="J329" s="14"/>
      <c r="K329" s="36"/>
      <c r="L329" s="13"/>
    </row>
    <row r="330" spans="1:12" x14ac:dyDescent="0.3">
      <c r="A330" s="8"/>
      <c r="B330" s="8"/>
      <c r="C330" s="8"/>
      <c r="D330" s="11"/>
      <c r="E330" s="12"/>
      <c r="F330" s="12"/>
      <c r="G330" s="12"/>
      <c r="H330" s="12" t="str">
        <f t="shared" si="3"/>
        <v>--</v>
      </c>
      <c r="I330" s="18">
        <f t="shared" si="4"/>
        <v>0</v>
      </c>
      <c r="J330" s="14"/>
      <c r="K330" s="36"/>
      <c r="L330" s="13"/>
    </row>
    <row r="331" spans="1:12" x14ac:dyDescent="0.3">
      <c r="A331" s="8"/>
      <c r="B331" s="8"/>
      <c r="C331" s="8"/>
      <c r="D331" s="11"/>
      <c r="E331" s="12"/>
      <c r="F331" s="12"/>
      <c r="G331" s="12"/>
      <c r="H331" s="12" t="str">
        <f t="shared" si="3"/>
        <v>--</v>
      </c>
      <c r="I331" s="18">
        <f t="shared" si="4"/>
        <v>0</v>
      </c>
      <c r="J331" s="14"/>
      <c r="K331" s="36"/>
      <c r="L331" s="13"/>
    </row>
    <row r="332" spans="1:12" x14ac:dyDescent="0.3">
      <c r="A332" s="8"/>
      <c r="B332" s="8"/>
      <c r="C332" s="8"/>
      <c r="D332" s="11"/>
      <c r="E332" s="12"/>
      <c r="F332" s="12"/>
      <c r="G332" s="12"/>
      <c r="H332" s="12" t="str">
        <f t="shared" si="3"/>
        <v>--</v>
      </c>
      <c r="I332" s="18">
        <f t="shared" si="4"/>
        <v>0</v>
      </c>
      <c r="J332" s="14"/>
      <c r="K332" s="36"/>
      <c r="L332" s="13"/>
    </row>
    <row r="333" spans="1:12" x14ac:dyDescent="0.3">
      <c r="A333" s="8"/>
      <c r="B333" s="8"/>
      <c r="C333" s="8"/>
      <c r="D333" s="11"/>
      <c r="E333" s="12"/>
      <c r="F333" s="12"/>
      <c r="G333" s="12"/>
      <c r="H333" s="12" t="str">
        <f t="shared" si="3"/>
        <v>--</v>
      </c>
      <c r="I333" s="18">
        <f t="shared" si="4"/>
        <v>0</v>
      </c>
      <c r="J333" s="14"/>
      <c r="K333" s="36"/>
      <c r="L333" s="13"/>
    </row>
    <row r="334" spans="1:12" x14ac:dyDescent="0.3">
      <c r="A334" s="8"/>
      <c r="B334" s="8"/>
      <c r="C334" s="8"/>
      <c r="D334" s="11"/>
      <c r="E334" s="12"/>
      <c r="F334" s="12"/>
      <c r="G334" s="12"/>
      <c r="H334" s="12" t="str">
        <f t="shared" si="3"/>
        <v>--</v>
      </c>
      <c r="I334" s="18">
        <f t="shared" si="4"/>
        <v>0</v>
      </c>
      <c r="J334" s="14"/>
      <c r="K334" s="36"/>
      <c r="L334" s="13"/>
    </row>
    <row r="335" spans="1:12" x14ac:dyDescent="0.3">
      <c r="A335" s="8"/>
      <c r="B335" s="8"/>
      <c r="C335" s="8"/>
      <c r="D335" s="11"/>
      <c r="E335" s="12"/>
      <c r="F335" s="12"/>
      <c r="G335" s="12"/>
      <c r="H335" s="12" t="str">
        <f t="shared" si="3"/>
        <v>--</v>
      </c>
      <c r="I335" s="18">
        <f t="shared" si="4"/>
        <v>0</v>
      </c>
      <c r="J335" s="14"/>
      <c r="K335" s="36"/>
      <c r="L335" s="13"/>
    </row>
    <row r="336" spans="1:12" x14ac:dyDescent="0.3">
      <c r="A336" s="8"/>
      <c r="B336" s="8"/>
      <c r="C336" s="8"/>
      <c r="D336" s="11"/>
      <c r="E336" s="12"/>
      <c r="F336" s="12"/>
      <c r="G336" s="12"/>
      <c r="H336" s="12" t="str">
        <f t="shared" si="3"/>
        <v>--</v>
      </c>
      <c r="I336" s="18">
        <f t="shared" si="4"/>
        <v>0</v>
      </c>
      <c r="J336" s="14"/>
      <c r="K336" s="36"/>
      <c r="L336" s="13"/>
    </row>
    <row r="337" spans="1:12" x14ac:dyDescent="0.3">
      <c r="A337" s="8"/>
      <c r="B337" s="8"/>
      <c r="C337" s="8"/>
      <c r="D337" s="11"/>
      <c r="E337" s="12"/>
      <c r="F337" s="12"/>
      <c r="G337" s="12"/>
      <c r="H337" s="12" t="str">
        <f t="shared" si="3"/>
        <v>--</v>
      </c>
      <c r="I337" s="18">
        <f t="shared" si="4"/>
        <v>0</v>
      </c>
      <c r="J337" s="14"/>
      <c r="K337" s="36"/>
      <c r="L337" s="13"/>
    </row>
    <row r="338" spans="1:12" x14ac:dyDescent="0.3">
      <c r="A338" s="8"/>
      <c r="B338" s="8"/>
      <c r="C338" s="8"/>
      <c r="D338" s="11"/>
      <c r="E338" s="12"/>
      <c r="F338" s="12"/>
      <c r="G338" s="12"/>
      <c r="H338" s="12" t="str">
        <f t="shared" si="3"/>
        <v>--</v>
      </c>
      <c r="I338" s="18">
        <f t="shared" si="4"/>
        <v>0</v>
      </c>
      <c r="J338" s="14"/>
      <c r="K338" s="36"/>
      <c r="L338" s="13"/>
    </row>
    <row r="339" spans="1:12" x14ac:dyDescent="0.3">
      <c r="A339" s="8"/>
      <c r="B339" s="8"/>
      <c r="C339" s="8"/>
      <c r="D339" s="11"/>
      <c r="E339" s="12"/>
      <c r="F339" s="12"/>
      <c r="G339" s="12"/>
      <c r="H339" s="12" t="str">
        <f t="shared" si="3"/>
        <v>--</v>
      </c>
      <c r="I339" s="18">
        <f t="shared" si="4"/>
        <v>0</v>
      </c>
      <c r="J339" s="14"/>
      <c r="K339" s="36"/>
      <c r="L339" s="13"/>
    </row>
    <row r="340" spans="1:12" x14ac:dyDescent="0.3">
      <c r="A340" s="8"/>
      <c r="B340" s="8"/>
      <c r="C340" s="8"/>
      <c r="D340" s="11"/>
      <c r="E340" s="12"/>
      <c r="F340" s="12"/>
      <c r="G340" s="12"/>
      <c r="H340" s="12" t="str">
        <f t="shared" si="3"/>
        <v>--</v>
      </c>
      <c r="I340" s="18">
        <f t="shared" si="4"/>
        <v>0</v>
      </c>
      <c r="J340" s="14"/>
      <c r="K340" s="36"/>
      <c r="L340" s="13"/>
    </row>
    <row r="341" spans="1:12" x14ac:dyDescent="0.3">
      <c r="A341" s="8"/>
      <c r="B341" s="8"/>
      <c r="C341" s="8"/>
      <c r="D341" s="11"/>
      <c r="E341" s="12"/>
      <c r="F341" s="12"/>
      <c r="G341" s="12"/>
      <c r="H341" s="12" t="str">
        <f t="shared" si="3"/>
        <v>--</v>
      </c>
      <c r="I341" s="18">
        <f t="shared" si="4"/>
        <v>0</v>
      </c>
      <c r="J341" s="14"/>
      <c r="K341" s="36"/>
      <c r="L341" s="13"/>
    </row>
    <row r="342" spans="1:12" x14ac:dyDescent="0.3">
      <c r="A342" s="8"/>
      <c r="B342" s="8"/>
      <c r="C342" s="8"/>
      <c r="D342" s="11"/>
      <c r="E342" s="12"/>
      <c r="F342" s="12"/>
      <c r="G342" s="12"/>
      <c r="H342" s="12" t="str">
        <f t="shared" si="3"/>
        <v>--</v>
      </c>
      <c r="I342" s="18">
        <f t="shared" si="4"/>
        <v>0</v>
      </c>
      <c r="J342" s="14"/>
      <c r="K342" s="36"/>
      <c r="L342" s="13"/>
    </row>
    <row r="343" spans="1:12" x14ac:dyDescent="0.3">
      <c r="A343" s="8"/>
      <c r="B343" s="8"/>
      <c r="C343" s="8"/>
      <c r="D343" s="11"/>
      <c r="E343" s="12"/>
      <c r="F343" s="12"/>
      <c r="G343" s="12"/>
      <c r="H343" s="12" t="str">
        <f t="shared" si="3"/>
        <v>--</v>
      </c>
      <c r="I343" s="18">
        <f t="shared" si="4"/>
        <v>0</v>
      </c>
      <c r="J343" s="14"/>
      <c r="K343" s="36"/>
      <c r="L343" s="13"/>
    </row>
    <row r="344" spans="1:12" x14ac:dyDescent="0.3">
      <c r="A344" s="8"/>
      <c r="B344" s="8"/>
      <c r="C344" s="8"/>
      <c r="D344" s="11"/>
      <c r="E344" s="12"/>
      <c r="F344" s="12"/>
      <c r="G344" s="12"/>
      <c r="H344" s="12" t="str">
        <f t="shared" si="3"/>
        <v>--</v>
      </c>
      <c r="I344" s="18">
        <f t="shared" si="4"/>
        <v>0</v>
      </c>
      <c r="J344" s="14"/>
      <c r="K344" s="36"/>
      <c r="L344" s="13"/>
    </row>
    <row r="345" spans="1:12" x14ac:dyDescent="0.3">
      <c r="A345" s="8"/>
      <c r="B345" s="8"/>
      <c r="C345" s="8"/>
      <c r="D345" s="11"/>
      <c r="E345" s="12"/>
      <c r="F345" s="12"/>
      <c r="G345" s="12"/>
      <c r="H345" s="12" t="str">
        <f t="shared" si="3"/>
        <v>--</v>
      </c>
      <c r="I345" s="18">
        <f t="shared" si="4"/>
        <v>0</v>
      </c>
      <c r="J345" s="14"/>
      <c r="K345" s="36"/>
      <c r="L345" s="13"/>
    </row>
    <row r="346" spans="1:12" x14ac:dyDescent="0.3">
      <c r="A346" s="8"/>
      <c r="B346" s="8"/>
      <c r="C346" s="8"/>
      <c r="D346" s="11"/>
      <c r="E346" s="12"/>
      <c r="F346" s="12"/>
      <c r="G346" s="12"/>
      <c r="H346" s="12" t="str">
        <f t="shared" si="3"/>
        <v>--</v>
      </c>
      <c r="I346" s="18">
        <f t="shared" si="4"/>
        <v>0</v>
      </c>
      <c r="J346" s="14"/>
      <c r="K346" s="36"/>
      <c r="L346" s="13"/>
    </row>
    <row r="347" spans="1:12" x14ac:dyDescent="0.3">
      <c r="A347" s="8"/>
      <c r="B347" s="8"/>
      <c r="C347" s="8"/>
      <c r="D347" s="11"/>
      <c r="E347" s="12"/>
      <c r="F347" s="12"/>
      <c r="G347" s="12"/>
      <c r="H347" s="12" t="str">
        <f t="shared" si="3"/>
        <v>--</v>
      </c>
      <c r="I347" s="18">
        <f t="shared" si="4"/>
        <v>0</v>
      </c>
      <c r="J347" s="14"/>
      <c r="K347" s="36"/>
      <c r="L347" s="13"/>
    </row>
    <row r="348" spans="1:12" x14ac:dyDescent="0.3">
      <c r="A348" s="8"/>
      <c r="B348" s="8"/>
      <c r="C348" s="8"/>
      <c r="D348" s="11"/>
      <c r="E348" s="12"/>
      <c r="F348" s="12"/>
      <c r="G348" s="12"/>
      <c r="H348" s="12" t="str">
        <f t="shared" si="3"/>
        <v>--</v>
      </c>
      <c r="I348" s="18">
        <f t="shared" si="4"/>
        <v>0</v>
      </c>
      <c r="J348" s="14"/>
      <c r="K348" s="36"/>
      <c r="L348" s="13"/>
    </row>
    <row r="349" spans="1:12" x14ac:dyDescent="0.3">
      <c r="A349" s="8"/>
      <c r="B349" s="8"/>
      <c r="C349" s="8"/>
      <c r="D349" s="11"/>
      <c r="E349" s="12"/>
      <c r="F349" s="12"/>
      <c r="G349" s="12"/>
      <c r="H349" s="12" t="str">
        <f t="shared" si="3"/>
        <v>--</v>
      </c>
      <c r="I349" s="18">
        <f t="shared" si="4"/>
        <v>0</v>
      </c>
      <c r="J349" s="14"/>
      <c r="K349" s="36"/>
      <c r="L349" s="13"/>
    </row>
    <row r="350" spans="1:12" x14ac:dyDescent="0.3">
      <c r="A350" s="8"/>
      <c r="B350" s="8"/>
      <c r="C350" s="8"/>
      <c r="D350" s="11"/>
      <c r="E350" s="12"/>
      <c r="F350" s="12"/>
      <c r="G350" s="12"/>
      <c r="H350" s="12" t="str">
        <f t="shared" si="3"/>
        <v>--</v>
      </c>
      <c r="I350" s="18">
        <f t="shared" si="4"/>
        <v>0</v>
      </c>
      <c r="J350" s="14"/>
      <c r="K350" s="36"/>
      <c r="L350" s="13"/>
    </row>
    <row r="351" spans="1:12" x14ac:dyDescent="0.3">
      <c r="A351" s="8"/>
      <c r="B351" s="8"/>
      <c r="C351" s="8"/>
      <c r="D351" s="11"/>
      <c r="E351" s="12"/>
      <c r="F351" s="12"/>
      <c r="G351" s="12"/>
      <c r="H351" s="12" t="str">
        <f t="shared" si="3"/>
        <v>--</v>
      </c>
      <c r="I351" s="18">
        <f t="shared" si="4"/>
        <v>0</v>
      </c>
      <c r="J351" s="14"/>
      <c r="K351" s="36"/>
      <c r="L351" s="13"/>
    </row>
    <row r="352" spans="1:12" x14ac:dyDescent="0.3">
      <c r="A352" s="8"/>
      <c r="B352" s="8"/>
      <c r="C352" s="8"/>
      <c r="D352" s="11"/>
      <c r="E352" s="12"/>
      <c r="F352" s="12"/>
      <c r="G352" s="12"/>
      <c r="H352" s="12" t="str">
        <f t="shared" si="3"/>
        <v>--</v>
      </c>
      <c r="I352" s="18">
        <f t="shared" si="4"/>
        <v>0</v>
      </c>
      <c r="J352" s="14"/>
      <c r="K352" s="36"/>
      <c r="L352" s="13"/>
    </row>
    <row r="353" spans="1:12" x14ac:dyDescent="0.3">
      <c r="A353" s="8"/>
      <c r="B353" s="8"/>
      <c r="C353" s="8"/>
      <c r="D353" s="11"/>
      <c r="E353" s="12"/>
      <c r="F353" s="12"/>
      <c r="G353" s="12"/>
      <c r="H353" s="12" t="str">
        <f t="shared" si="3"/>
        <v>--</v>
      </c>
      <c r="I353" s="18">
        <f t="shared" si="4"/>
        <v>0</v>
      </c>
      <c r="J353" s="14"/>
      <c r="K353" s="36"/>
      <c r="L353" s="13"/>
    </row>
    <row r="354" spans="1:12" x14ac:dyDescent="0.3">
      <c r="A354" s="8"/>
      <c r="B354" s="8"/>
      <c r="C354" s="8"/>
      <c r="D354" s="11"/>
      <c r="E354" s="12"/>
      <c r="F354" s="12"/>
      <c r="G354" s="12"/>
      <c r="H354" s="12" t="str">
        <f t="shared" si="3"/>
        <v>--</v>
      </c>
      <c r="I354" s="18">
        <f t="shared" si="4"/>
        <v>0</v>
      </c>
      <c r="J354" s="14"/>
      <c r="K354" s="36"/>
      <c r="L354" s="13"/>
    </row>
    <row r="355" spans="1:12" x14ac:dyDescent="0.3">
      <c r="A355" s="8"/>
      <c r="B355" s="8"/>
      <c r="C355" s="8"/>
      <c r="D355" s="11"/>
      <c r="E355" s="12"/>
      <c r="F355" s="12"/>
      <c r="G355" s="12"/>
      <c r="H355" s="12" t="str">
        <f t="shared" si="3"/>
        <v>--</v>
      </c>
      <c r="I355" s="18">
        <f t="shared" si="4"/>
        <v>0</v>
      </c>
      <c r="J355" s="14"/>
      <c r="K355" s="36"/>
      <c r="L355" s="13"/>
    </row>
    <row r="356" spans="1:12" x14ac:dyDescent="0.3">
      <c r="A356" s="8"/>
      <c r="B356" s="8"/>
      <c r="C356" s="8"/>
      <c r="D356" s="11"/>
      <c r="E356" s="12"/>
      <c r="F356" s="12"/>
      <c r="G356" s="12"/>
      <c r="H356" s="12" t="str">
        <f t="shared" si="3"/>
        <v>--</v>
      </c>
      <c r="I356" s="18">
        <f t="shared" si="4"/>
        <v>0</v>
      </c>
      <c r="J356" s="14"/>
      <c r="K356" s="36"/>
      <c r="L356" s="13"/>
    </row>
    <row r="357" spans="1:12" x14ac:dyDescent="0.3">
      <c r="A357" s="8"/>
      <c r="B357" s="8"/>
      <c r="C357" s="8"/>
      <c r="D357" s="11"/>
      <c r="E357" s="12"/>
      <c r="F357" s="12"/>
      <c r="G357" s="12"/>
      <c r="H357" s="12" t="str">
        <f t="shared" si="3"/>
        <v>--</v>
      </c>
      <c r="I357" s="18">
        <f t="shared" si="4"/>
        <v>0</v>
      </c>
      <c r="J357" s="14"/>
      <c r="K357" s="36"/>
      <c r="L357" s="13"/>
    </row>
    <row r="358" spans="1:12" x14ac:dyDescent="0.3">
      <c r="A358" s="8"/>
      <c r="B358" s="8"/>
      <c r="C358" s="8"/>
      <c r="D358" s="11"/>
      <c r="E358" s="12"/>
      <c r="F358" s="12"/>
      <c r="G358" s="12"/>
      <c r="H358" s="12" t="str">
        <f t="shared" si="3"/>
        <v>--</v>
      </c>
      <c r="I358" s="18">
        <f t="shared" si="4"/>
        <v>0</v>
      </c>
      <c r="J358" s="14"/>
      <c r="K358" s="36"/>
      <c r="L358" s="13"/>
    </row>
    <row r="359" spans="1:12" x14ac:dyDescent="0.3">
      <c r="A359" s="8"/>
      <c r="B359" s="8"/>
      <c r="C359" s="8"/>
      <c r="D359" s="11"/>
      <c r="E359" s="12"/>
      <c r="F359" s="12"/>
      <c r="G359" s="12"/>
      <c r="H359" s="12" t="str">
        <f t="shared" si="3"/>
        <v>--</v>
      </c>
      <c r="I359" s="18">
        <f t="shared" si="4"/>
        <v>0</v>
      </c>
      <c r="J359" s="14"/>
      <c r="K359" s="36"/>
      <c r="L359" s="13"/>
    </row>
    <row r="360" spans="1:12" x14ac:dyDescent="0.3">
      <c r="A360" s="8"/>
      <c r="B360" s="8"/>
      <c r="C360" s="8"/>
      <c r="D360" s="11"/>
      <c r="E360" s="12"/>
      <c r="F360" s="12"/>
      <c r="G360" s="12"/>
      <c r="H360" s="12" t="str">
        <f t="shared" si="3"/>
        <v>--</v>
      </c>
      <c r="I360" s="18">
        <f t="shared" si="4"/>
        <v>0</v>
      </c>
      <c r="J360" s="14"/>
      <c r="K360" s="36"/>
      <c r="L360" s="13"/>
    </row>
    <row r="361" spans="1:12" x14ac:dyDescent="0.3">
      <c r="A361" s="8"/>
      <c r="B361" s="8"/>
      <c r="C361" s="8"/>
      <c r="D361" s="11"/>
      <c r="E361" s="12"/>
      <c r="F361" s="12"/>
      <c r="G361" s="12"/>
      <c r="H361" s="12" t="str">
        <f t="shared" si="3"/>
        <v>--</v>
      </c>
      <c r="I361" s="18">
        <f t="shared" si="4"/>
        <v>0</v>
      </c>
      <c r="J361" s="14"/>
      <c r="K361" s="36"/>
      <c r="L361" s="13"/>
    </row>
    <row r="362" spans="1:12" x14ac:dyDescent="0.3">
      <c r="A362" s="8"/>
      <c r="B362" s="8"/>
      <c r="C362" s="8"/>
      <c r="D362" s="11"/>
      <c r="E362" s="12"/>
      <c r="F362" s="12"/>
      <c r="G362" s="12"/>
      <c r="H362" s="12" t="str">
        <f t="shared" si="3"/>
        <v>--</v>
      </c>
      <c r="I362" s="18">
        <f t="shared" si="4"/>
        <v>0</v>
      </c>
      <c r="J362" s="14"/>
      <c r="K362" s="36"/>
      <c r="L362" s="13"/>
    </row>
    <row r="363" spans="1:12" x14ac:dyDescent="0.3">
      <c r="A363" s="8"/>
      <c r="B363" s="8"/>
      <c r="C363" s="8"/>
      <c r="D363" s="11"/>
      <c r="E363" s="12"/>
      <c r="F363" s="12"/>
      <c r="G363" s="12"/>
      <c r="H363" s="12" t="str">
        <f t="shared" si="3"/>
        <v>--</v>
      </c>
      <c r="I363" s="18">
        <f t="shared" si="4"/>
        <v>0</v>
      </c>
      <c r="J363" s="14"/>
      <c r="K363" s="36"/>
      <c r="L363" s="13"/>
    </row>
    <row r="364" spans="1:12" x14ac:dyDescent="0.3">
      <c r="A364" s="8"/>
      <c r="B364" s="8"/>
      <c r="C364" s="8"/>
      <c r="D364" s="11"/>
      <c r="E364" s="12"/>
      <c r="F364" s="12"/>
      <c r="G364" s="12"/>
      <c r="H364" s="12" t="str">
        <f t="shared" si="3"/>
        <v>--</v>
      </c>
      <c r="I364" s="18">
        <f t="shared" si="4"/>
        <v>0</v>
      </c>
      <c r="J364" s="14"/>
      <c r="K364" s="36"/>
      <c r="L364" s="13"/>
    </row>
    <row r="365" spans="1:12" x14ac:dyDescent="0.3">
      <c r="A365" s="8"/>
      <c r="B365" s="8"/>
      <c r="C365" s="8"/>
      <c r="D365" s="11"/>
      <c r="E365" s="12"/>
      <c r="F365" s="12"/>
      <c r="G365" s="12"/>
      <c r="H365" s="12" t="str">
        <f t="shared" si="3"/>
        <v>--</v>
      </c>
      <c r="I365" s="18">
        <f t="shared" si="4"/>
        <v>0</v>
      </c>
      <c r="J365" s="14"/>
      <c r="K365" s="36"/>
      <c r="L365" s="13"/>
    </row>
    <row r="366" spans="1:12" x14ac:dyDescent="0.3">
      <c r="A366" s="8"/>
      <c r="B366" s="8"/>
      <c r="C366" s="8"/>
      <c r="D366" s="11"/>
      <c r="E366" s="12"/>
      <c r="F366" s="12"/>
      <c r="G366" s="12"/>
      <c r="H366" s="12" t="str">
        <f t="shared" si="3"/>
        <v>--</v>
      </c>
      <c r="I366" s="18">
        <f t="shared" si="4"/>
        <v>0</v>
      </c>
      <c r="J366" s="14"/>
      <c r="K366" s="36"/>
      <c r="L366" s="13"/>
    </row>
    <row r="367" spans="1:12" x14ac:dyDescent="0.3">
      <c r="A367" s="8"/>
      <c r="B367" s="8"/>
      <c r="C367" s="8"/>
      <c r="D367" s="11"/>
      <c r="E367" s="12"/>
      <c r="F367" s="12"/>
      <c r="G367" s="12"/>
      <c r="H367" s="12" t="str">
        <f t="shared" si="3"/>
        <v>--</v>
      </c>
      <c r="I367" s="18">
        <f t="shared" si="4"/>
        <v>0</v>
      </c>
      <c r="J367" s="14"/>
      <c r="K367" s="36"/>
      <c r="L367" s="13"/>
    </row>
    <row r="368" spans="1:12" x14ac:dyDescent="0.3">
      <c r="A368" s="8"/>
      <c r="B368" s="8"/>
      <c r="C368" s="8"/>
      <c r="D368" s="11"/>
      <c r="E368" s="12"/>
      <c r="F368" s="12"/>
      <c r="G368" s="12"/>
      <c r="H368" s="12" t="str">
        <f t="shared" si="3"/>
        <v>--</v>
      </c>
      <c r="I368" s="18">
        <f t="shared" si="4"/>
        <v>0</v>
      </c>
      <c r="J368" s="14"/>
      <c r="K368" s="36"/>
      <c r="L368" s="13"/>
    </row>
    <row r="369" spans="1:12" x14ac:dyDescent="0.3">
      <c r="A369" s="8"/>
      <c r="B369" s="8"/>
      <c r="C369" s="8"/>
      <c r="D369" s="11"/>
      <c r="E369" s="12"/>
      <c r="F369" s="12"/>
      <c r="G369" s="12"/>
      <c r="H369" s="12" t="str">
        <f t="shared" si="3"/>
        <v>--</v>
      </c>
      <c r="I369" s="18">
        <f t="shared" si="4"/>
        <v>0</v>
      </c>
      <c r="J369" s="14"/>
      <c r="K369" s="36"/>
      <c r="L369" s="13"/>
    </row>
    <row r="370" spans="1:12" x14ac:dyDescent="0.3">
      <c r="A370" s="8"/>
      <c r="B370" s="8"/>
      <c r="C370" s="8"/>
      <c r="D370" s="11"/>
      <c r="E370" s="12"/>
      <c r="F370" s="12"/>
      <c r="G370" s="12"/>
      <c r="H370" s="12" t="str">
        <f t="shared" si="3"/>
        <v>--</v>
      </c>
      <c r="I370" s="18">
        <f t="shared" si="4"/>
        <v>0</v>
      </c>
      <c r="J370" s="14"/>
      <c r="K370" s="36"/>
      <c r="L370" s="13"/>
    </row>
    <row r="371" spans="1:12" x14ac:dyDescent="0.3">
      <c r="A371" s="8"/>
      <c r="B371" s="8"/>
      <c r="C371" s="8"/>
      <c r="D371" s="11"/>
      <c r="E371" s="12"/>
      <c r="F371" s="12"/>
      <c r="G371" s="12"/>
      <c r="H371" s="12" t="str">
        <f t="shared" si="3"/>
        <v>--</v>
      </c>
      <c r="I371" s="18">
        <f t="shared" si="4"/>
        <v>0</v>
      </c>
      <c r="J371" s="14"/>
      <c r="K371" s="36"/>
      <c r="L371" s="13"/>
    </row>
    <row r="372" spans="1:12" x14ac:dyDescent="0.3">
      <c r="A372" s="8"/>
      <c r="B372" s="8"/>
      <c r="C372" s="8"/>
      <c r="D372" s="11"/>
      <c r="E372" s="12"/>
      <c r="F372" s="12"/>
      <c r="G372" s="12"/>
      <c r="H372" s="12" t="str">
        <f t="shared" si="3"/>
        <v>--</v>
      </c>
      <c r="I372" s="18">
        <f t="shared" si="4"/>
        <v>0</v>
      </c>
      <c r="J372" s="14"/>
      <c r="K372" s="36"/>
      <c r="L372" s="13"/>
    </row>
    <row r="373" spans="1:12" x14ac:dyDescent="0.3">
      <c r="A373" s="8"/>
      <c r="B373" s="8"/>
      <c r="C373" s="8"/>
      <c r="D373" s="11"/>
      <c r="E373" s="12"/>
      <c r="F373" s="12"/>
      <c r="G373" s="12"/>
      <c r="H373" s="12" t="str">
        <f t="shared" si="3"/>
        <v>--</v>
      </c>
      <c r="I373" s="18">
        <f t="shared" si="4"/>
        <v>0</v>
      </c>
      <c r="J373" s="14"/>
      <c r="K373" s="36"/>
      <c r="L373" s="13"/>
    </row>
    <row r="374" spans="1:12" x14ac:dyDescent="0.3">
      <c r="A374" s="8"/>
      <c r="B374" s="8"/>
      <c r="C374" s="8"/>
      <c r="D374" s="11"/>
      <c r="E374" s="12"/>
      <c r="F374" s="12"/>
      <c r="G374" s="12"/>
      <c r="H374" s="12" t="str">
        <f t="shared" si="3"/>
        <v>--</v>
      </c>
      <c r="I374" s="18">
        <f t="shared" si="4"/>
        <v>0</v>
      </c>
      <c r="J374" s="14"/>
      <c r="K374" s="36"/>
      <c r="L374" s="13"/>
    </row>
    <row r="375" spans="1:12" x14ac:dyDescent="0.3">
      <c r="A375" s="8"/>
      <c r="B375" s="8"/>
      <c r="C375" s="8"/>
      <c r="D375" s="11"/>
      <c r="E375" s="12"/>
      <c r="F375" s="12"/>
      <c r="G375" s="12"/>
      <c r="H375" s="12" t="str">
        <f t="shared" si="3"/>
        <v>--</v>
      </c>
      <c r="I375" s="18">
        <f t="shared" si="4"/>
        <v>0</v>
      </c>
      <c r="J375" s="14"/>
      <c r="K375" s="36"/>
      <c r="L375" s="13"/>
    </row>
    <row r="376" spans="1:12" x14ac:dyDescent="0.3">
      <c r="A376" s="8"/>
      <c r="B376" s="8"/>
      <c r="C376" s="8"/>
      <c r="D376" s="11"/>
      <c r="E376" s="12"/>
      <c r="F376" s="12"/>
      <c r="G376" s="12"/>
      <c r="H376" s="12" t="str">
        <f t="shared" si="3"/>
        <v>--</v>
      </c>
      <c r="I376" s="18">
        <f t="shared" si="4"/>
        <v>0</v>
      </c>
      <c r="J376" s="14"/>
      <c r="K376" s="36"/>
      <c r="L376" s="13"/>
    </row>
    <row r="377" spans="1:12" x14ac:dyDescent="0.3">
      <c r="A377" s="8"/>
      <c r="B377" s="8"/>
      <c r="C377" s="8"/>
      <c r="D377" s="11"/>
      <c r="E377" s="12"/>
      <c r="F377" s="12"/>
      <c r="G377" s="12"/>
      <c r="H377" s="12" t="str">
        <f t="shared" si="3"/>
        <v>--</v>
      </c>
      <c r="I377" s="18">
        <f t="shared" si="4"/>
        <v>0</v>
      </c>
      <c r="J377" s="14"/>
      <c r="K377" s="36"/>
      <c r="L377" s="13"/>
    </row>
    <row r="378" spans="1:12" x14ac:dyDescent="0.3">
      <c r="A378" s="8"/>
      <c r="B378" s="8"/>
      <c r="C378" s="8"/>
      <c r="D378" s="11"/>
      <c r="E378" s="12"/>
      <c r="F378" s="12"/>
      <c r="G378" s="12"/>
      <c r="H378" s="12" t="str">
        <f t="shared" si="3"/>
        <v>--</v>
      </c>
      <c r="I378" s="18">
        <f t="shared" si="4"/>
        <v>0</v>
      </c>
      <c r="J378" s="14"/>
      <c r="K378" s="36"/>
      <c r="L378" s="13"/>
    </row>
    <row r="379" spans="1:12" x14ac:dyDescent="0.3">
      <c r="A379" s="8"/>
      <c r="B379" s="8"/>
      <c r="C379" s="8"/>
      <c r="D379" s="11"/>
      <c r="E379" s="12"/>
      <c r="F379" s="12"/>
      <c r="G379" s="12"/>
      <c r="H379" s="12" t="str">
        <f t="shared" si="3"/>
        <v>--</v>
      </c>
      <c r="I379" s="18">
        <f t="shared" si="4"/>
        <v>0</v>
      </c>
      <c r="J379" s="14"/>
      <c r="K379" s="36"/>
      <c r="L379" s="13"/>
    </row>
    <row r="380" spans="1:12" x14ac:dyDescent="0.3">
      <c r="A380" s="8"/>
      <c r="B380" s="8"/>
      <c r="C380" s="8"/>
      <c r="D380" s="11"/>
      <c r="E380" s="12"/>
      <c r="F380" s="12"/>
      <c r="G380" s="12"/>
      <c r="H380" s="12" t="str">
        <f t="shared" si="3"/>
        <v>--</v>
      </c>
      <c r="I380" s="18">
        <f t="shared" si="4"/>
        <v>0</v>
      </c>
      <c r="J380" s="14"/>
      <c r="K380" s="36"/>
      <c r="L380" s="13"/>
    </row>
    <row r="381" spans="1:12" x14ac:dyDescent="0.3">
      <c r="A381" s="8"/>
      <c r="B381" s="8"/>
      <c r="C381" s="8"/>
      <c r="D381" s="11"/>
      <c r="E381" s="12"/>
      <c r="F381" s="12"/>
      <c r="G381" s="12"/>
      <c r="H381" s="12" t="str">
        <f t="shared" si="3"/>
        <v>--</v>
      </c>
      <c r="I381" s="18">
        <f t="shared" si="4"/>
        <v>0</v>
      </c>
      <c r="J381" s="14"/>
      <c r="K381" s="36"/>
      <c r="L381" s="13"/>
    </row>
    <row r="382" spans="1:12" x14ac:dyDescent="0.3">
      <c r="A382" s="8"/>
      <c r="B382" s="8"/>
      <c r="C382" s="8"/>
      <c r="D382" s="11"/>
      <c r="E382" s="12"/>
      <c r="F382" s="12"/>
      <c r="G382" s="12"/>
      <c r="H382" s="12" t="str">
        <f t="shared" si="3"/>
        <v>--</v>
      </c>
      <c r="I382" s="18">
        <f t="shared" si="4"/>
        <v>0</v>
      </c>
      <c r="J382" s="14"/>
      <c r="K382" s="36"/>
      <c r="L382" s="13"/>
    </row>
    <row r="383" spans="1:12" x14ac:dyDescent="0.3">
      <c r="A383" s="8"/>
      <c r="B383" s="8"/>
      <c r="C383" s="8"/>
      <c r="D383" s="11"/>
      <c r="E383" s="12"/>
      <c r="F383" s="12"/>
      <c r="G383" s="12"/>
      <c r="H383" s="12" t="str">
        <f t="shared" si="3"/>
        <v>--</v>
      </c>
      <c r="I383" s="18">
        <f t="shared" si="4"/>
        <v>0</v>
      </c>
      <c r="J383" s="14"/>
      <c r="K383" s="36"/>
      <c r="L383" s="13"/>
    </row>
    <row r="384" spans="1:12" x14ac:dyDescent="0.3">
      <c r="A384" s="8"/>
      <c r="B384" s="8"/>
      <c r="C384" s="8"/>
      <c r="D384" s="11"/>
      <c r="E384" s="12"/>
      <c r="F384" s="12"/>
      <c r="G384" s="12"/>
      <c r="H384" s="12" t="str">
        <f t="shared" si="3"/>
        <v>--</v>
      </c>
      <c r="I384" s="18">
        <f t="shared" si="4"/>
        <v>0</v>
      </c>
      <c r="J384" s="14"/>
      <c r="K384" s="36"/>
      <c r="L384" s="13"/>
    </row>
    <row r="385" spans="1:12" x14ac:dyDescent="0.3">
      <c r="A385" s="8"/>
      <c r="B385" s="8"/>
      <c r="C385" s="8"/>
      <c r="D385" s="11"/>
      <c r="E385" s="12"/>
      <c r="F385" s="12"/>
      <c r="G385" s="12"/>
      <c r="H385" s="12" t="str">
        <f t="shared" si="3"/>
        <v>--</v>
      </c>
      <c r="I385" s="18">
        <f t="shared" si="4"/>
        <v>0</v>
      </c>
      <c r="J385" s="14"/>
      <c r="K385" s="36"/>
      <c r="L385" s="13"/>
    </row>
    <row r="386" spans="1:12" x14ac:dyDescent="0.3">
      <c r="A386" s="8"/>
      <c r="B386" s="8"/>
      <c r="C386" s="8"/>
      <c r="D386" s="11"/>
      <c r="E386" s="12"/>
      <c r="F386" s="12"/>
      <c r="G386" s="12"/>
      <c r="H386" s="12" t="str">
        <f t="shared" si="3"/>
        <v>--</v>
      </c>
      <c r="I386" s="18">
        <f t="shared" si="4"/>
        <v>0</v>
      </c>
      <c r="J386" s="14"/>
      <c r="K386" s="36"/>
      <c r="L386" s="13"/>
    </row>
    <row r="387" spans="1:12" x14ac:dyDescent="0.3">
      <c r="A387" s="8"/>
      <c r="B387" s="8"/>
      <c r="C387" s="8"/>
      <c r="D387" s="11"/>
      <c r="E387" s="12"/>
      <c r="F387" s="12"/>
      <c r="G387" s="12"/>
      <c r="H387" s="12" t="str">
        <f t="shared" si="3"/>
        <v>--</v>
      </c>
      <c r="I387" s="18">
        <f t="shared" si="4"/>
        <v>0</v>
      </c>
      <c r="J387" s="14"/>
      <c r="K387" s="36"/>
      <c r="L387" s="13"/>
    </row>
    <row r="388" spans="1:12" x14ac:dyDescent="0.3">
      <c r="A388" s="8"/>
      <c r="B388" s="8"/>
      <c r="C388" s="8"/>
      <c r="D388" s="11"/>
      <c r="E388" s="12"/>
      <c r="F388" s="12"/>
      <c r="G388" s="12"/>
      <c r="H388" s="12" t="str">
        <f t="shared" si="3"/>
        <v>--</v>
      </c>
      <c r="I388" s="18">
        <f t="shared" si="4"/>
        <v>0</v>
      </c>
      <c r="J388" s="14"/>
      <c r="K388" s="36"/>
      <c r="L388" s="13"/>
    </row>
    <row r="389" spans="1:12" x14ac:dyDescent="0.3">
      <c r="A389" s="8"/>
      <c r="B389" s="8"/>
      <c r="C389" s="8"/>
      <c r="D389" s="11"/>
      <c r="E389" s="12"/>
      <c r="F389" s="12"/>
      <c r="G389" s="12"/>
      <c r="H389" s="12" t="str">
        <f t="shared" si="3"/>
        <v>--</v>
      </c>
      <c r="I389" s="18">
        <f t="shared" si="4"/>
        <v>0</v>
      </c>
      <c r="J389" s="14"/>
      <c r="K389" s="36"/>
      <c r="L389" s="13"/>
    </row>
    <row r="390" spans="1:12" x14ac:dyDescent="0.3">
      <c r="A390" s="8"/>
      <c r="B390" s="8"/>
      <c r="C390" s="8"/>
      <c r="D390" s="11"/>
      <c r="E390" s="12"/>
      <c r="F390" s="12"/>
      <c r="G390" s="12"/>
      <c r="H390" s="12" t="str">
        <f t="shared" si="3"/>
        <v>--</v>
      </c>
      <c r="I390" s="18">
        <f t="shared" si="4"/>
        <v>0</v>
      </c>
      <c r="J390" s="14"/>
      <c r="K390" s="36"/>
      <c r="L390" s="13"/>
    </row>
    <row r="391" spans="1:12" x14ac:dyDescent="0.3">
      <c r="A391" s="8"/>
      <c r="B391" s="8"/>
      <c r="C391" s="8"/>
      <c r="D391" s="11"/>
      <c r="E391" s="12"/>
      <c r="F391" s="12"/>
      <c r="G391" s="12"/>
      <c r="H391" s="12" t="str">
        <f t="shared" si="3"/>
        <v>--</v>
      </c>
      <c r="I391" s="18">
        <f t="shared" si="4"/>
        <v>0</v>
      </c>
      <c r="J391" s="14"/>
      <c r="K391" s="36"/>
      <c r="L391" s="13"/>
    </row>
    <row r="392" spans="1:12" x14ac:dyDescent="0.3">
      <c r="A392" s="8"/>
      <c r="B392" s="8"/>
      <c r="C392" s="8"/>
      <c r="D392" s="11"/>
      <c r="E392" s="12"/>
      <c r="F392" s="12"/>
      <c r="G392" s="12"/>
      <c r="H392" s="12" t="str">
        <f t="shared" si="3"/>
        <v>--</v>
      </c>
      <c r="I392" s="18">
        <f t="shared" si="4"/>
        <v>0</v>
      </c>
      <c r="J392" s="14"/>
      <c r="K392" s="36"/>
      <c r="L392" s="13"/>
    </row>
    <row r="393" spans="1:12" x14ac:dyDescent="0.3">
      <c r="A393" s="8"/>
      <c r="B393" s="8"/>
      <c r="C393" s="8"/>
      <c r="D393" s="11"/>
      <c r="E393" s="12"/>
      <c r="F393" s="12"/>
      <c r="G393" s="12"/>
      <c r="H393" s="12" t="str">
        <f t="shared" si="3"/>
        <v>--</v>
      </c>
      <c r="I393" s="18">
        <f t="shared" si="4"/>
        <v>0</v>
      </c>
      <c r="J393" s="14"/>
      <c r="K393" s="36"/>
      <c r="L393" s="13"/>
    </row>
    <row r="394" spans="1:12" x14ac:dyDescent="0.3">
      <c r="A394" s="8"/>
      <c r="B394" s="8"/>
      <c r="C394" s="8"/>
      <c r="D394" s="11"/>
      <c r="E394" s="12"/>
      <c r="F394" s="12"/>
      <c r="G394" s="12"/>
      <c r="H394" s="12" t="str">
        <f t="shared" si="3"/>
        <v>--</v>
      </c>
      <c r="I394" s="18">
        <f t="shared" si="4"/>
        <v>0</v>
      </c>
      <c r="J394" s="14"/>
      <c r="K394" s="36"/>
      <c r="L394" s="13"/>
    </row>
    <row r="395" spans="1:12" x14ac:dyDescent="0.3">
      <c r="A395" s="8"/>
      <c r="B395" s="8"/>
      <c r="C395" s="8"/>
      <c r="D395" s="11"/>
      <c r="E395" s="12"/>
      <c r="F395" s="12"/>
      <c r="G395" s="12"/>
      <c r="H395" s="12" t="str">
        <f t="shared" si="3"/>
        <v>--</v>
      </c>
      <c r="I395" s="18">
        <f t="shared" si="4"/>
        <v>0</v>
      </c>
      <c r="J395" s="14"/>
      <c r="K395" s="36"/>
      <c r="L395" s="13"/>
    </row>
    <row r="396" spans="1:12" x14ac:dyDescent="0.3">
      <c r="A396" s="8"/>
      <c r="B396" s="8"/>
      <c r="C396" s="8"/>
      <c r="D396" s="11"/>
      <c r="E396" s="12"/>
      <c r="F396" s="12"/>
      <c r="G396" s="12"/>
      <c r="H396" s="12" t="str">
        <f t="shared" si="3"/>
        <v>--</v>
      </c>
      <c r="I396" s="18">
        <f t="shared" si="4"/>
        <v>0</v>
      </c>
      <c r="J396" s="14"/>
      <c r="K396" s="36"/>
      <c r="L396" s="13"/>
    </row>
    <row r="397" spans="1:12" x14ac:dyDescent="0.3">
      <c r="A397" s="8"/>
      <c r="B397" s="8"/>
      <c r="C397" s="8"/>
      <c r="D397" s="11"/>
      <c r="E397" s="12"/>
      <c r="F397" s="12"/>
      <c r="G397" s="12"/>
      <c r="H397" s="12" t="str">
        <f t="shared" si="3"/>
        <v>--</v>
      </c>
      <c r="I397" s="18">
        <f t="shared" si="4"/>
        <v>0</v>
      </c>
      <c r="J397" s="14"/>
      <c r="K397" s="36"/>
      <c r="L397" s="13"/>
    </row>
    <row r="398" spans="1:12" x14ac:dyDescent="0.3">
      <c r="A398" s="8"/>
      <c r="B398" s="8"/>
      <c r="C398" s="8"/>
      <c r="D398" s="11"/>
      <c r="E398" s="12"/>
      <c r="F398" s="12"/>
      <c r="G398" s="12"/>
      <c r="H398" s="12" t="str">
        <f t="shared" si="3"/>
        <v>--</v>
      </c>
      <c r="I398" s="18">
        <f t="shared" si="4"/>
        <v>0</v>
      </c>
      <c r="J398" s="14"/>
      <c r="K398" s="36"/>
      <c r="L398" s="13"/>
    </row>
    <row r="399" spans="1:12" x14ac:dyDescent="0.3">
      <c r="A399" s="8"/>
      <c r="B399" s="8"/>
      <c r="C399" s="8"/>
      <c r="D399" s="11"/>
      <c r="E399" s="12"/>
      <c r="F399" s="12"/>
      <c r="G399" s="12"/>
      <c r="H399" s="12" t="str">
        <f t="shared" si="3"/>
        <v>--</v>
      </c>
      <c r="I399" s="18">
        <f t="shared" si="4"/>
        <v>0</v>
      </c>
      <c r="J399" s="14"/>
      <c r="K399" s="36"/>
      <c r="L399" s="13"/>
    </row>
    <row r="400" spans="1:12" x14ac:dyDescent="0.3">
      <c r="A400" s="8"/>
      <c r="B400" s="8"/>
      <c r="C400" s="8"/>
      <c r="D400" s="11"/>
      <c r="E400" s="12"/>
      <c r="F400" s="12"/>
      <c r="G400" s="12"/>
      <c r="H400" s="12" t="str">
        <f t="shared" si="3"/>
        <v>--</v>
      </c>
      <c r="I400" s="18">
        <f t="shared" si="4"/>
        <v>0</v>
      </c>
      <c r="J400" s="14"/>
      <c r="K400" s="36"/>
      <c r="L400" s="13"/>
    </row>
    <row r="401" spans="1:12" x14ac:dyDescent="0.3">
      <c r="A401" s="8"/>
      <c r="B401" s="8"/>
      <c r="C401" s="8"/>
      <c r="D401" s="11"/>
      <c r="E401" s="12"/>
      <c r="F401" s="12"/>
      <c r="G401" s="12"/>
      <c r="H401" s="12" t="str">
        <f t="shared" si="3"/>
        <v>--</v>
      </c>
      <c r="I401" s="18">
        <f t="shared" si="4"/>
        <v>0</v>
      </c>
      <c r="J401" s="14"/>
      <c r="K401" s="36"/>
      <c r="L401" s="13"/>
    </row>
    <row r="402" spans="1:12" x14ac:dyDescent="0.3">
      <c r="A402" s="8"/>
      <c r="B402" s="8"/>
      <c r="C402" s="8"/>
      <c r="D402" s="11"/>
      <c r="E402" s="12"/>
      <c r="F402" s="12"/>
      <c r="G402" s="12"/>
      <c r="H402" s="12" t="str">
        <f t="shared" si="3"/>
        <v>--</v>
      </c>
      <c r="I402" s="18">
        <f t="shared" si="4"/>
        <v>0</v>
      </c>
      <c r="J402" s="14"/>
      <c r="K402" s="36"/>
      <c r="L402" s="13"/>
    </row>
    <row r="403" spans="1:12" x14ac:dyDescent="0.3">
      <c r="A403" s="8"/>
      <c r="B403" s="8"/>
      <c r="C403" s="8"/>
      <c r="D403" s="11"/>
      <c r="E403" s="12"/>
      <c r="F403" s="12"/>
      <c r="G403" s="12"/>
      <c r="H403" s="12" t="str">
        <f t="shared" si="3"/>
        <v>--</v>
      </c>
      <c r="I403" s="18">
        <f t="shared" si="4"/>
        <v>0</v>
      </c>
      <c r="J403" s="14"/>
      <c r="K403" s="36"/>
      <c r="L403" s="13"/>
    </row>
    <row r="404" spans="1:12" x14ac:dyDescent="0.3">
      <c r="A404" s="8"/>
      <c r="B404" s="8"/>
      <c r="C404" s="8"/>
      <c r="D404" s="11"/>
      <c r="E404" s="12"/>
      <c r="F404" s="12"/>
      <c r="G404" s="12"/>
      <c r="H404" s="12" t="str">
        <f t="shared" si="3"/>
        <v>--</v>
      </c>
      <c r="I404" s="18">
        <f t="shared" si="4"/>
        <v>0</v>
      </c>
      <c r="J404" s="14"/>
      <c r="K404" s="36"/>
      <c r="L404" s="13"/>
    </row>
    <row r="405" spans="1:12" x14ac:dyDescent="0.3">
      <c r="A405" s="8"/>
      <c r="B405" s="8"/>
      <c r="C405" s="8"/>
      <c r="D405" s="11"/>
      <c r="E405" s="12"/>
      <c r="F405" s="12"/>
      <c r="G405" s="12"/>
      <c r="H405" s="12" t="str">
        <f t="shared" si="3"/>
        <v>--</v>
      </c>
      <c r="I405" s="18">
        <f t="shared" si="4"/>
        <v>0</v>
      </c>
      <c r="J405" s="14"/>
      <c r="K405" s="36"/>
      <c r="L405" s="13"/>
    </row>
    <row r="406" spans="1:12" x14ac:dyDescent="0.3">
      <c r="A406" s="8"/>
      <c r="B406" s="8"/>
      <c r="C406" s="8"/>
      <c r="D406" s="11"/>
      <c r="E406" s="12"/>
      <c r="F406" s="12"/>
      <c r="G406" s="12"/>
      <c r="H406" s="12" t="str">
        <f t="shared" si="3"/>
        <v>--</v>
      </c>
      <c r="I406" s="18">
        <f t="shared" si="4"/>
        <v>0</v>
      </c>
      <c r="J406" s="14"/>
      <c r="K406" s="36"/>
      <c r="L406" s="13"/>
    </row>
    <row r="407" spans="1:12" x14ac:dyDescent="0.3">
      <c r="A407" s="8"/>
      <c r="B407" s="8"/>
      <c r="C407" s="8"/>
      <c r="D407" s="11"/>
      <c r="E407" s="12"/>
      <c r="F407" s="12"/>
      <c r="G407" s="12"/>
      <c r="H407" s="12" t="str">
        <f t="shared" si="3"/>
        <v>--</v>
      </c>
      <c r="I407" s="18">
        <f t="shared" si="4"/>
        <v>0</v>
      </c>
      <c r="J407" s="14"/>
      <c r="K407" s="36"/>
      <c r="L407" s="13"/>
    </row>
    <row r="408" spans="1:12" x14ac:dyDescent="0.3">
      <c r="A408" s="8"/>
      <c r="B408" s="8"/>
      <c r="C408" s="8"/>
      <c r="D408" s="11"/>
      <c r="E408" s="12"/>
      <c r="F408" s="12"/>
      <c r="G408" s="12"/>
      <c r="H408" s="12" t="str">
        <f t="shared" si="3"/>
        <v>--</v>
      </c>
      <c r="I408" s="18">
        <f t="shared" si="4"/>
        <v>0</v>
      </c>
      <c r="J408" s="14"/>
      <c r="K408" s="36"/>
      <c r="L408" s="13"/>
    </row>
    <row r="409" spans="1:12" x14ac:dyDescent="0.3">
      <c r="A409" s="8"/>
      <c r="B409" s="8"/>
      <c r="C409" s="8"/>
      <c r="D409" s="11"/>
      <c r="E409" s="12"/>
      <c r="F409" s="12"/>
      <c r="G409" s="12"/>
      <c r="H409" s="12" t="str">
        <f t="shared" si="3"/>
        <v>--</v>
      </c>
      <c r="I409" s="18">
        <f t="shared" si="4"/>
        <v>0</v>
      </c>
      <c r="J409" s="14"/>
      <c r="K409" s="36"/>
      <c r="L409" s="13"/>
    </row>
    <row r="410" spans="1:12" x14ac:dyDescent="0.3">
      <c r="A410" s="8"/>
      <c r="B410" s="8"/>
      <c r="C410" s="8"/>
      <c r="D410" s="11"/>
      <c r="E410" s="12"/>
      <c r="F410" s="12"/>
      <c r="G410" s="12"/>
      <c r="H410" s="12" t="str">
        <f t="shared" si="3"/>
        <v>--</v>
      </c>
      <c r="I410" s="18">
        <f t="shared" si="4"/>
        <v>0</v>
      </c>
      <c r="J410" s="14"/>
      <c r="K410" s="36"/>
      <c r="L410" s="13"/>
    </row>
    <row r="411" spans="1:12" x14ac:dyDescent="0.3">
      <c r="A411" s="8"/>
      <c r="B411" s="8"/>
      <c r="C411" s="8"/>
      <c r="D411" s="11"/>
      <c r="E411" s="12"/>
      <c r="F411" s="12"/>
      <c r="G411" s="12"/>
      <c r="H411" s="12" t="str">
        <f t="shared" si="3"/>
        <v>--</v>
      </c>
      <c r="I411" s="18">
        <f t="shared" si="4"/>
        <v>0</v>
      </c>
      <c r="J411" s="14"/>
      <c r="K411" s="36"/>
      <c r="L411" s="13"/>
    </row>
    <row r="412" spans="1:12" x14ac:dyDescent="0.3">
      <c r="A412" s="8"/>
      <c r="B412" s="8"/>
      <c r="C412" s="8"/>
      <c r="D412" s="11"/>
      <c r="E412" s="12"/>
      <c r="F412" s="12"/>
      <c r="G412" s="12"/>
      <c r="H412" s="12" t="str">
        <f t="shared" si="3"/>
        <v>--</v>
      </c>
      <c r="I412" s="18">
        <f t="shared" si="4"/>
        <v>0</v>
      </c>
      <c r="J412" s="14"/>
      <c r="K412" s="36"/>
      <c r="L412" s="13"/>
    </row>
    <row r="413" spans="1:12" x14ac:dyDescent="0.3">
      <c r="A413" s="8"/>
      <c r="B413" s="8"/>
      <c r="C413" s="8"/>
      <c r="D413" s="11"/>
      <c r="E413" s="12"/>
      <c r="F413" s="12"/>
      <c r="G413" s="12"/>
      <c r="H413" s="12" t="str">
        <f t="shared" si="3"/>
        <v>--</v>
      </c>
      <c r="I413" s="18">
        <f t="shared" si="4"/>
        <v>0</v>
      </c>
      <c r="J413" s="14"/>
      <c r="K413" s="36"/>
      <c r="L413" s="13"/>
    </row>
    <row r="414" spans="1:12" x14ac:dyDescent="0.3">
      <c r="A414" s="8"/>
      <c r="B414" s="8"/>
      <c r="C414" s="8"/>
      <c r="D414" s="11"/>
      <c r="E414" s="12"/>
      <c r="F414" s="12"/>
      <c r="G414" s="12"/>
      <c r="H414" s="12" t="str">
        <f t="shared" si="3"/>
        <v>--</v>
      </c>
      <c r="I414" s="18">
        <f t="shared" si="4"/>
        <v>0</v>
      </c>
      <c r="J414" s="14"/>
      <c r="K414" s="36"/>
      <c r="L414" s="13"/>
    </row>
    <row r="415" spans="1:12" x14ac:dyDescent="0.3">
      <c r="A415" s="8"/>
      <c r="B415" s="8"/>
      <c r="C415" s="8"/>
      <c r="D415" s="11"/>
      <c r="E415" s="12"/>
      <c r="F415" s="12"/>
      <c r="G415" s="12"/>
      <c r="H415" s="12" t="str">
        <f t="shared" si="3"/>
        <v>--</v>
      </c>
      <c r="I415" s="18">
        <f t="shared" si="4"/>
        <v>0</v>
      </c>
      <c r="J415" s="14"/>
      <c r="K415" s="36"/>
      <c r="L415" s="13"/>
    </row>
    <row r="416" spans="1:12" x14ac:dyDescent="0.3">
      <c r="A416" s="8"/>
      <c r="B416" s="8"/>
      <c r="C416" s="8"/>
      <c r="D416" s="11"/>
      <c r="E416" s="12"/>
      <c r="F416" s="12"/>
      <c r="G416" s="12"/>
      <c r="H416" s="12" t="str">
        <f t="shared" si="3"/>
        <v>--</v>
      </c>
      <c r="I416" s="18">
        <f t="shared" si="4"/>
        <v>0</v>
      </c>
      <c r="J416" s="14"/>
      <c r="K416" s="36"/>
      <c r="L416" s="13"/>
    </row>
    <row r="417" spans="1:12" x14ac:dyDescent="0.3">
      <c r="A417" s="8"/>
      <c r="B417" s="8"/>
      <c r="C417" s="8"/>
      <c r="D417" s="11"/>
      <c r="E417" s="12"/>
      <c r="F417" s="12"/>
      <c r="G417" s="12"/>
      <c r="H417" s="12" t="str">
        <f t="shared" si="3"/>
        <v>--</v>
      </c>
      <c r="I417" s="18">
        <f t="shared" si="4"/>
        <v>0</v>
      </c>
      <c r="J417" s="14"/>
      <c r="K417" s="36"/>
      <c r="L417" s="13"/>
    </row>
    <row r="418" spans="1:12" x14ac:dyDescent="0.3">
      <c r="A418" s="8"/>
      <c r="B418" s="8"/>
      <c r="C418" s="8"/>
      <c r="D418" s="11"/>
      <c r="E418" s="12"/>
      <c r="F418" s="12"/>
      <c r="G418" s="12"/>
      <c r="H418" s="12" t="str">
        <f t="shared" si="3"/>
        <v>--</v>
      </c>
      <c r="I418" s="18">
        <f t="shared" si="4"/>
        <v>0</v>
      </c>
      <c r="J418" s="14"/>
      <c r="K418" s="36"/>
      <c r="L418" s="13"/>
    </row>
    <row r="419" spans="1:12" x14ac:dyDescent="0.3">
      <c r="A419" s="8"/>
      <c r="B419" s="8"/>
      <c r="C419" s="8"/>
      <c r="D419" s="11"/>
      <c r="E419" s="12"/>
      <c r="F419" s="12"/>
      <c r="G419" s="12"/>
      <c r="H419" s="12" t="str">
        <f t="shared" si="3"/>
        <v>--</v>
      </c>
      <c r="I419" s="18">
        <f t="shared" si="4"/>
        <v>0</v>
      </c>
      <c r="J419" s="14"/>
      <c r="K419" s="36"/>
      <c r="L419" s="13"/>
    </row>
    <row r="420" spans="1:12" x14ac:dyDescent="0.3">
      <c r="A420" s="8"/>
      <c r="B420" s="8"/>
      <c r="C420" s="8"/>
      <c r="D420" s="11"/>
      <c r="E420" s="12"/>
      <c r="F420" s="12"/>
      <c r="G420" s="12"/>
      <c r="H420" s="12" t="str">
        <f t="shared" si="3"/>
        <v>--</v>
      </c>
      <c r="I420" s="18">
        <f t="shared" si="4"/>
        <v>0</v>
      </c>
      <c r="J420" s="14"/>
      <c r="K420" s="36"/>
      <c r="L420" s="13"/>
    </row>
    <row r="421" spans="1:12" x14ac:dyDescent="0.3">
      <c r="A421" s="8"/>
      <c r="B421" s="8"/>
      <c r="C421" s="8"/>
      <c r="D421" s="11"/>
      <c r="E421" s="12"/>
      <c r="F421" s="12"/>
      <c r="G421" s="12"/>
      <c r="H421" s="12" t="str">
        <f t="shared" si="3"/>
        <v>--</v>
      </c>
      <c r="I421" s="18">
        <f t="shared" si="4"/>
        <v>0</v>
      </c>
      <c r="J421" s="14"/>
      <c r="K421" s="36"/>
      <c r="L421" s="13"/>
    </row>
    <row r="422" spans="1:12" x14ac:dyDescent="0.3">
      <c r="A422" s="8"/>
      <c r="B422" s="8"/>
      <c r="C422" s="8"/>
      <c r="D422" s="11"/>
      <c r="E422" s="12"/>
      <c r="F422" s="12"/>
      <c r="G422" s="12"/>
      <c r="H422" s="12" t="str">
        <f t="shared" si="3"/>
        <v>--</v>
      </c>
      <c r="I422" s="18">
        <f t="shared" si="4"/>
        <v>0</v>
      </c>
      <c r="J422" s="14"/>
      <c r="K422" s="36"/>
      <c r="L422" s="13"/>
    </row>
    <row r="423" spans="1:12" x14ac:dyDescent="0.3">
      <c r="A423" s="8"/>
      <c r="B423" s="8"/>
      <c r="C423" s="8"/>
      <c r="D423" s="11"/>
      <c r="E423" s="12"/>
      <c r="F423" s="12"/>
      <c r="G423" s="12"/>
      <c r="H423" s="12" t="str">
        <f t="shared" si="3"/>
        <v>--</v>
      </c>
      <c r="I423" s="18">
        <f t="shared" si="4"/>
        <v>0</v>
      </c>
      <c r="J423" s="14"/>
      <c r="K423" s="36"/>
      <c r="L423" s="13"/>
    </row>
    <row r="424" spans="1:12" x14ac:dyDescent="0.3">
      <c r="A424" s="8"/>
      <c r="B424" s="8"/>
      <c r="C424" s="8"/>
      <c r="D424" s="11"/>
      <c r="E424" s="12"/>
      <c r="F424" s="12"/>
      <c r="G424" s="12"/>
      <c r="H424" s="12" t="str">
        <f t="shared" si="3"/>
        <v>--</v>
      </c>
      <c r="I424" s="18">
        <f t="shared" si="4"/>
        <v>0</v>
      </c>
      <c r="J424" s="14"/>
      <c r="K424" s="36"/>
      <c r="L424" s="13"/>
    </row>
    <row r="425" spans="1:12" x14ac:dyDescent="0.3">
      <c r="A425" s="8"/>
      <c r="B425" s="8"/>
      <c r="C425" s="8"/>
      <c r="D425" s="11"/>
      <c r="E425" s="12"/>
      <c r="F425" s="12"/>
      <c r="G425" s="12"/>
      <c r="H425" s="12" t="str">
        <f t="shared" si="3"/>
        <v>--</v>
      </c>
      <c r="I425" s="18">
        <f t="shared" si="4"/>
        <v>0</v>
      </c>
      <c r="J425" s="14"/>
      <c r="K425" s="36"/>
      <c r="L425" s="13"/>
    </row>
    <row r="426" spans="1:12" x14ac:dyDescent="0.3">
      <c r="A426" s="8"/>
      <c r="B426" s="8"/>
      <c r="C426" s="8"/>
      <c r="D426" s="11"/>
      <c r="E426" s="12"/>
      <c r="F426" s="12"/>
      <c r="G426" s="12"/>
      <c r="H426" s="12" t="str">
        <f t="shared" si="3"/>
        <v>--</v>
      </c>
      <c r="I426" s="18">
        <f t="shared" si="4"/>
        <v>0</v>
      </c>
      <c r="J426" s="14"/>
      <c r="K426" s="36"/>
      <c r="L426" s="13"/>
    </row>
    <row r="427" spans="1:12" x14ac:dyDescent="0.3">
      <c r="A427" s="8"/>
      <c r="B427" s="8"/>
      <c r="C427" s="8"/>
      <c r="D427" s="11"/>
      <c r="E427" s="12"/>
      <c r="F427" s="12"/>
      <c r="G427" s="12"/>
      <c r="H427" s="12" t="str">
        <f t="shared" si="3"/>
        <v>--</v>
      </c>
      <c r="I427" s="18">
        <f t="shared" si="4"/>
        <v>0</v>
      </c>
      <c r="J427" s="14"/>
      <c r="K427" s="36"/>
      <c r="L427" s="13"/>
    </row>
    <row r="428" spans="1:12" x14ac:dyDescent="0.3">
      <c r="A428" s="8"/>
      <c r="B428" s="8"/>
      <c r="C428" s="8"/>
      <c r="D428" s="11"/>
      <c r="E428" s="12"/>
      <c r="F428" s="12"/>
      <c r="G428" s="12"/>
      <c r="H428" s="12" t="str">
        <f t="shared" si="3"/>
        <v>--</v>
      </c>
      <c r="I428" s="18">
        <f t="shared" si="4"/>
        <v>0</v>
      </c>
      <c r="J428" s="14"/>
      <c r="K428" s="36"/>
      <c r="L428" s="13"/>
    </row>
    <row r="429" spans="1:12" x14ac:dyDescent="0.3">
      <c r="A429" s="8"/>
      <c r="B429" s="8"/>
      <c r="C429" s="8"/>
      <c r="D429" s="11"/>
      <c r="E429" s="12"/>
      <c r="F429" s="12"/>
      <c r="G429" s="12"/>
      <c r="H429" s="12" t="str">
        <f t="shared" si="3"/>
        <v>--</v>
      </c>
      <c r="I429" s="18">
        <f t="shared" si="4"/>
        <v>0</v>
      </c>
      <c r="J429" s="14"/>
      <c r="K429" s="36"/>
      <c r="L429" s="13"/>
    </row>
    <row r="430" spans="1:12" x14ac:dyDescent="0.3">
      <c r="A430" s="8"/>
      <c r="B430" s="8"/>
      <c r="C430" s="8"/>
      <c r="D430" s="11"/>
      <c r="E430" s="12"/>
      <c r="F430" s="12"/>
      <c r="G430" s="12"/>
      <c r="H430" s="12" t="str">
        <f t="shared" si="3"/>
        <v>--</v>
      </c>
      <c r="I430" s="18">
        <f t="shared" si="4"/>
        <v>0</v>
      </c>
      <c r="J430" s="14"/>
      <c r="K430" s="36"/>
      <c r="L430" s="13"/>
    </row>
    <row r="431" spans="1:12" x14ac:dyDescent="0.3">
      <c r="A431" s="8"/>
      <c r="B431" s="8"/>
      <c r="C431" s="8"/>
      <c r="D431" s="11"/>
      <c r="E431" s="12"/>
      <c r="F431" s="12"/>
      <c r="G431" s="12"/>
      <c r="H431" s="12" t="str">
        <f t="shared" si="3"/>
        <v>--</v>
      </c>
      <c r="I431" s="18">
        <f t="shared" si="4"/>
        <v>0</v>
      </c>
      <c r="J431" s="14"/>
      <c r="K431" s="36"/>
      <c r="L431" s="13"/>
    </row>
    <row r="432" spans="1:12" x14ac:dyDescent="0.3">
      <c r="A432" s="8"/>
      <c r="B432" s="8"/>
      <c r="C432" s="8"/>
      <c r="D432" s="11"/>
      <c r="E432" s="12"/>
      <c r="F432" s="12"/>
      <c r="G432" s="12"/>
      <c r="H432" s="12" t="str">
        <f t="shared" si="3"/>
        <v>--</v>
      </c>
      <c r="I432" s="18">
        <f t="shared" si="4"/>
        <v>0</v>
      </c>
      <c r="J432" s="14"/>
      <c r="K432" s="36"/>
      <c r="L432" s="13"/>
    </row>
    <row r="433" spans="1:12" x14ac:dyDescent="0.3">
      <c r="A433" s="8"/>
      <c r="B433" s="8"/>
      <c r="C433" s="8"/>
      <c r="D433" s="11"/>
      <c r="E433" s="12"/>
      <c r="F433" s="12"/>
      <c r="G433" s="12"/>
      <c r="H433" s="12" t="str">
        <f t="shared" si="3"/>
        <v>--</v>
      </c>
      <c r="I433" s="18">
        <f t="shared" si="4"/>
        <v>0</v>
      </c>
      <c r="J433" s="14"/>
      <c r="K433" s="36"/>
      <c r="L433" s="13"/>
    </row>
    <row r="434" spans="1:12" x14ac:dyDescent="0.3">
      <c r="A434" s="8"/>
      <c r="B434" s="8"/>
      <c r="C434" s="8"/>
      <c r="D434" s="11"/>
      <c r="E434" s="12"/>
      <c r="F434" s="12"/>
      <c r="G434" s="12"/>
      <c r="H434" s="12" t="str">
        <f t="shared" si="3"/>
        <v>--</v>
      </c>
      <c r="I434" s="18">
        <f t="shared" si="4"/>
        <v>0</v>
      </c>
      <c r="J434" s="14"/>
      <c r="K434" s="36"/>
      <c r="L434" s="13"/>
    </row>
    <row r="435" spans="1:12" x14ac:dyDescent="0.3">
      <c r="A435" s="8"/>
      <c r="B435" s="8"/>
      <c r="C435" s="8"/>
      <c r="D435" s="11"/>
      <c r="E435" s="12"/>
      <c r="F435" s="12"/>
      <c r="G435" s="12"/>
      <c r="H435" s="12" t="str">
        <f t="shared" si="3"/>
        <v>--</v>
      </c>
      <c r="I435" s="18">
        <f t="shared" si="4"/>
        <v>0</v>
      </c>
      <c r="J435" s="14"/>
      <c r="K435" s="36"/>
      <c r="L435" s="13"/>
    </row>
    <row r="436" spans="1:12" x14ac:dyDescent="0.3">
      <c r="A436" s="8"/>
      <c r="B436" s="8"/>
      <c r="C436" s="8"/>
      <c r="D436" s="11"/>
      <c r="E436" s="12"/>
      <c r="F436" s="12"/>
      <c r="G436" s="12"/>
      <c r="H436" s="12" t="str">
        <f t="shared" si="3"/>
        <v>--</v>
      </c>
      <c r="I436" s="18">
        <f t="shared" si="4"/>
        <v>0</v>
      </c>
      <c r="J436" s="14"/>
      <c r="K436" s="36"/>
      <c r="L436" s="13"/>
    </row>
    <row r="437" spans="1:12" x14ac:dyDescent="0.3">
      <c r="A437" s="8"/>
      <c r="B437" s="8"/>
      <c r="C437" s="8"/>
      <c r="D437" s="11"/>
      <c r="E437" s="12"/>
      <c r="F437" s="12"/>
      <c r="G437" s="12"/>
      <c r="H437" s="12" t="str">
        <f t="shared" si="3"/>
        <v>--</v>
      </c>
      <c r="I437" s="18">
        <f t="shared" si="4"/>
        <v>0</v>
      </c>
      <c r="J437" s="14"/>
      <c r="K437" s="36"/>
      <c r="L437" s="13"/>
    </row>
    <row r="438" spans="1:12" x14ac:dyDescent="0.3">
      <c r="A438" s="8"/>
      <c r="B438" s="8"/>
      <c r="C438" s="8"/>
      <c r="D438" s="11"/>
      <c r="E438" s="12"/>
      <c r="F438" s="12"/>
      <c r="G438" s="12"/>
      <c r="H438" s="12" t="str">
        <f t="shared" si="3"/>
        <v>--</v>
      </c>
      <c r="I438" s="18">
        <f t="shared" si="4"/>
        <v>0</v>
      </c>
      <c r="J438" s="14"/>
      <c r="K438" s="36"/>
      <c r="L438" s="13"/>
    </row>
    <row r="439" spans="1:12" x14ac:dyDescent="0.3">
      <c r="A439" s="8"/>
      <c r="B439" s="8"/>
      <c r="C439" s="8"/>
      <c r="D439" s="11"/>
      <c r="E439" s="12"/>
      <c r="F439" s="12"/>
      <c r="G439" s="12"/>
      <c r="H439" s="12" t="str">
        <f t="shared" si="3"/>
        <v>--</v>
      </c>
      <c r="I439" s="18">
        <f t="shared" si="4"/>
        <v>0</v>
      </c>
      <c r="J439" s="14"/>
      <c r="K439" s="36"/>
      <c r="L439" s="13"/>
    </row>
    <row r="440" spans="1:12" x14ac:dyDescent="0.3">
      <c r="A440" s="8"/>
      <c r="B440" s="8"/>
      <c r="C440" s="8"/>
      <c r="D440" s="11"/>
      <c r="E440" s="12"/>
      <c r="F440" s="12"/>
      <c r="G440" s="12"/>
      <c r="H440" s="12" t="str">
        <f t="shared" si="3"/>
        <v>--</v>
      </c>
      <c r="I440" s="18">
        <f t="shared" si="4"/>
        <v>0</v>
      </c>
      <c r="J440" s="14"/>
      <c r="K440" s="36"/>
      <c r="L440" s="13"/>
    </row>
    <row r="441" spans="1:12" x14ac:dyDescent="0.3">
      <c r="A441" s="8"/>
      <c r="B441" s="8"/>
      <c r="C441" s="8"/>
      <c r="D441" s="11"/>
      <c r="E441" s="12"/>
      <c r="F441" s="12"/>
      <c r="G441" s="12"/>
      <c r="H441" s="12" t="str">
        <f t="shared" si="3"/>
        <v>--</v>
      </c>
      <c r="I441" s="18">
        <f t="shared" si="4"/>
        <v>0</v>
      </c>
      <c r="J441" s="14"/>
      <c r="K441" s="36"/>
      <c r="L441" s="13"/>
    </row>
    <row r="442" spans="1:12" x14ac:dyDescent="0.3">
      <c r="A442" s="8"/>
      <c r="B442" s="8"/>
      <c r="C442" s="8"/>
      <c r="D442" s="11"/>
      <c r="E442" s="12"/>
      <c r="F442" s="12"/>
      <c r="G442" s="12"/>
      <c r="H442" s="12" t="str">
        <f t="shared" si="3"/>
        <v>--</v>
      </c>
      <c r="I442" s="18">
        <f t="shared" si="4"/>
        <v>0</v>
      </c>
      <c r="J442" s="14"/>
      <c r="K442" s="36"/>
      <c r="L442" s="13"/>
    </row>
    <row r="443" spans="1:12" x14ac:dyDescent="0.3">
      <c r="A443" s="8"/>
      <c r="B443" s="8"/>
      <c r="C443" s="8"/>
      <c r="D443" s="11"/>
      <c r="E443" s="12"/>
      <c r="F443" s="12"/>
      <c r="G443" s="12"/>
      <c r="H443" s="12" t="str">
        <f t="shared" si="3"/>
        <v>--</v>
      </c>
      <c r="I443" s="18">
        <f t="shared" si="4"/>
        <v>0</v>
      </c>
      <c r="J443" s="14"/>
      <c r="K443" s="36"/>
      <c r="L443" s="13"/>
    </row>
    <row r="444" spans="1:12" x14ac:dyDescent="0.3">
      <c r="A444" s="8"/>
      <c r="B444" s="8"/>
      <c r="C444" s="8"/>
      <c r="D444" s="11"/>
      <c r="E444" s="12"/>
      <c r="F444" s="12"/>
      <c r="G444" s="12"/>
      <c r="H444" s="12" t="str">
        <f t="shared" si="3"/>
        <v>--</v>
      </c>
      <c r="I444" s="18">
        <f t="shared" si="4"/>
        <v>0</v>
      </c>
      <c r="J444" s="14"/>
      <c r="K444" s="36"/>
      <c r="L444" s="13"/>
    </row>
    <row r="445" spans="1:12" x14ac:dyDescent="0.3">
      <c r="A445" s="8"/>
      <c r="B445" s="8"/>
      <c r="C445" s="8"/>
      <c r="D445" s="11"/>
      <c r="E445" s="12"/>
      <c r="F445" s="12"/>
      <c r="G445" s="12"/>
      <c r="H445" s="12" t="str">
        <f t="shared" si="3"/>
        <v>--</v>
      </c>
      <c r="I445" s="18">
        <f t="shared" si="4"/>
        <v>0</v>
      </c>
      <c r="J445" s="14"/>
      <c r="K445" s="36"/>
      <c r="L445" s="13"/>
    </row>
    <row r="446" spans="1:12" x14ac:dyDescent="0.3">
      <c r="A446" s="8"/>
      <c r="B446" s="8"/>
      <c r="C446" s="8"/>
      <c r="D446" s="11"/>
      <c r="E446" s="12"/>
      <c r="F446" s="12"/>
      <c r="G446" s="12"/>
      <c r="H446" s="12" t="str">
        <f t="shared" si="3"/>
        <v>--</v>
      </c>
      <c r="I446" s="18">
        <f t="shared" si="4"/>
        <v>0</v>
      </c>
      <c r="J446" s="14"/>
      <c r="K446" s="36"/>
      <c r="L446" s="13"/>
    </row>
    <row r="447" spans="1:12" x14ac:dyDescent="0.3">
      <c r="A447" s="8"/>
      <c r="B447" s="8"/>
      <c r="C447" s="8"/>
      <c r="D447" s="11"/>
      <c r="E447" s="12"/>
      <c r="F447" s="12"/>
      <c r="G447" s="12"/>
      <c r="H447" s="12" t="str">
        <f t="shared" ref="H447:H459" si="6">CONCATENATE(E447,"-",F447,"-",G447)</f>
        <v>--</v>
      </c>
      <c r="I447" s="18">
        <f t="shared" si="4"/>
        <v>0</v>
      </c>
      <c r="J447" s="14"/>
      <c r="K447" s="36"/>
      <c r="L447" s="13"/>
    </row>
    <row r="448" spans="1:12" x14ac:dyDescent="0.3">
      <c r="A448" s="8"/>
      <c r="B448" s="8"/>
      <c r="C448" s="8"/>
      <c r="D448" s="11"/>
      <c r="E448" s="12"/>
      <c r="F448" s="12"/>
      <c r="G448" s="12"/>
      <c r="H448" s="12" t="str">
        <f t="shared" si="6"/>
        <v>--</v>
      </c>
      <c r="I448" s="18">
        <f t="shared" si="4"/>
        <v>0</v>
      </c>
      <c r="J448" s="14"/>
      <c r="K448" s="36"/>
      <c r="L448" s="13"/>
    </row>
    <row r="449" spans="1:20" x14ac:dyDescent="0.3">
      <c r="A449" s="8"/>
      <c r="B449" s="8"/>
      <c r="C449" s="8"/>
      <c r="D449" s="11"/>
      <c r="E449" s="12"/>
      <c r="F449" s="12"/>
      <c r="G449" s="12"/>
      <c r="H449" s="12" t="str">
        <f t="shared" si="6"/>
        <v>--</v>
      </c>
      <c r="I449" s="18">
        <f t="shared" si="4"/>
        <v>0</v>
      </c>
      <c r="J449" s="14"/>
      <c r="K449" s="36"/>
      <c r="L449" s="13"/>
    </row>
    <row r="450" spans="1:20" x14ac:dyDescent="0.3">
      <c r="A450" s="8"/>
      <c r="B450" s="8"/>
      <c r="C450" s="8"/>
      <c r="D450" s="11"/>
      <c r="E450" s="12"/>
      <c r="F450" s="12"/>
      <c r="G450" s="12"/>
      <c r="H450" s="12" t="str">
        <f t="shared" si="6"/>
        <v>--</v>
      </c>
      <c r="I450" s="18">
        <f t="shared" si="4"/>
        <v>0</v>
      </c>
      <c r="J450" s="14"/>
      <c r="K450" s="36"/>
      <c r="L450" s="13"/>
    </row>
    <row r="451" spans="1:20" x14ac:dyDescent="0.3">
      <c r="A451" s="8"/>
      <c r="B451" s="8"/>
      <c r="C451" s="8"/>
      <c r="D451" s="11"/>
      <c r="E451" s="12"/>
      <c r="F451" s="12"/>
      <c r="G451" s="12"/>
      <c r="H451" s="12" t="str">
        <f t="shared" si="6"/>
        <v>--</v>
      </c>
      <c r="I451" s="18">
        <f t="shared" si="4"/>
        <v>0</v>
      </c>
      <c r="J451" s="14"/>
      <c r="K451" s="36"/>
      <c r="L451" s="13"/>
    </row>
    <row r="452" spans="1:20" x14ac:dyDescent="0.3">
      <c r="A452" s="8"/>
      <c r="B452" s="8"/>
      <c r="C452" s="8"/>
      <c r="D452" s="11"/>
      <c r="E452" s="12"/>
      <c r="F452" s="12"/>
      <c r="G452" s="12"/>
      <c r="H452" s="12" t="str">
        <f t="shared" si="6"/>
        <v>--</v>
      </c>
      <c r="I452" s="18">
        <f t="shared" si="4"/>
        <v>0</v>
      </c>
      <c r="J452" s="14"/>
      <c r="K452" s="36"/>
      <c r="L452" s="13"/>
    </row>
    <row r="453" spans="1:20" x14ac:dyDescent="0.3">
      <c r="A453" s="8"/>
      <c r="B453" s="8"/>
      <c r="C453" s="8"/>
      <c r="D453" s="11"/>
      <c r="E453" s="12"/>
      <c r="F453" s="12"/>
      <c r="G453" s="12"/>
      <c r="H453" s="12" t="str">
        <f t="shared" si="6"/>
        <v>--</v>
      </c>
      <c r="I453" s="18">
        <f t="shared" si="4"/>
        <v>0</v>
      </c>
      <c r="J453" s="14"/>
      <c r="K453" s="36"/>
      <c r="L453" s="13"/>
    </row>
    <row r="454" spans="1:20" x14ac:dyDescent="0.3">
      <c r="A454" s="8"/>
      <c r="B454" s="8"/>
      <c r="C454" s="8"/>
      <c r="D454" s="11"/>
      <c r="E454" s="12"/>
      <c r="F454" s="12"/>
      <c r="G454" s="12"/>
      <c r="H454" s="12" t="str">
        <f t="shared" si="6"/>
        <v>--</v>
      </c>
      <c r="I454" s="18">
        <f t="shared" si="4"/>
        <v>0</v>
      </c>
      <c r="J454" s="14"/>
      <c r="K454" s="36"/>
      <c r="L454" s="13"/>
    </row>
    <row r="455" spans="1:20" x14ac:dyDescent="0.3">
      <c r="A455" s="8"/>
      <c r="B455" s="8"/>
      <c r="C455" s="8"/>
      <c r="D455" s="11"/>
      <c r="E455" s="12"/>
      <c r="F455" s="12"/>
      <c r="G455" s="12"/>
      <c r="H455" s="12" t="str">
        <f t="shared" si="6"/>
        <v>--</v>
      </c>
      <c r="I455" s="18">
        <f t="shared" si="4"/>
        <v>0</v>
      </c>
      <c r="J455" s="14"/>
      <c r="K455" s="36"/>
      <c r="L455" s="13"/>
    </row>
    <row r="456" spans="1:20" x14ac:dyDescent="0.3">
      <c r="A456" s="8"/>
      <c r="B456" s="8"/>
      <c r="C456" s="8"/>
      <c r="D456" s="11"/>
      <c r="E456" s="12"/>
      <c r="F456" s="12"/>
      <c r="G456" s="12"/>
      <c r="H456" s="12" t="str">
        <f t="shared" si="6"/>
        <v>--</v>
      </c>
      <c r="I456" s="18">
        <f t="shared" si="4"/>
        <v>0</v>
      </c>
      <c r="J456" s="14"/>
      <c r="K456" s="36"/>
      <c r="L456" s="13"/>
    </row>
    <row r="457" spans="1:20" x14ac:dyDescent="0.3">
      <c r="A457" s="8"/>
      <c r="B457" s="8"/>
      <c r="C457" s="8"/>
      <c r="D457" s="11"/>
      <c r="E457" s="12"/>
      <c r="F457" s="12"/>
      <c r="G457" s="12"/>
      <c r="H457" s="12" t="str">
        <f t="shared" si="6"/>
        <v>--</v>
      </c>
      <c r="I457" s="18">
        <f t="shared" si="4"/>
        <v>0</v>
      </c>
      <c r="J457" s="14"/>
      <c r="K457" s="36"/>
      <c r="L457" s="13"/>
    </row>
    <row r="458" spans="1:20" x14ac:dyDescent="0.3">
      <c r="A458" s="8"/>
      <c r="B458" s="8"/>
      <c r="C458" s="8"/>
      <c r="D458" s="11"/>
      <c r="E458" s="12"/>
      <c r="F458" s="12"/>
      <c r="G458" s="12"/>
      <c r="H458" s="12" t="str">
        <f t="shared" si="6"/>
        <v>--</v>
      </c>
      <c r="I458" s="18">
        <f t="shared" si="4"/>
        <v>0</v>
      </c>
      <c r="J458" s="14"/>
      <c r="K458" s="36"/>
      <c r="L458" s="13"/>
    </row>
    <row r="459" spans="1:20" x14ac:dyDescent="0.3">
      <c r="A459" s="8"/>
      <c r="B459" s="8"/>
      <c r="C459" s="8"/>
      <c r="D459" s="11"/>
      <c r="E459" s="12"/>
      <c r="F459" s="12"/>
      <c r="G459" s="12"/>
      <c r="H459" s="12" t="str">
        <f t="shared" si="6"/>
        <v>--</v>
      </c>
      <c r="I459" s="18">
        <f t="shared" si="4"/>
        <v>0</v>
      </c>
      <c r="J459" s="14"/>
      <c r="K459" s="36"/>
      <c r="L459" s="13"/>
    </row>
    <row r="460" spans="1:20" x14ac:dyDescent="0.3">
      <c r="A460" s="8">
        <v>251</v>
      </c>
      <c r="B460" s="8"/>
      <c r="C460" s="8"/>
      <c r="D460" s="11"/>
      <c r="E460" s="12"/>
      <c r="F460" s="12"/>
      <c r="G460" s="12"/>
      <c r="H460" s="12" t="str">
        <f t="shared" si="3"/>
        <v>--</v>
      </c>
      <c r="I460" s="18">
        <f t="shared" si="4"/>
        <v>0</v>
      </c>
      <c r="J460" s="14" t="s">
        <v>8</v>
      </c>
      <c r="K460" s="36"/>
      <c r="L460" s="13"/>
    </row>
    <row r="461" spans="1:20" x14ac:dyDescent="0.3">
      <c r="A461" s="8">
        <v>252</v>
      </c>
      <c r="B461" s="8"/>
      <c r="C461" s="8"/>
      <c r="D461" s="11"/>
      <c r="E461" s="12"/>
      <c r="F461" s="12"/>
      <c r="G461" s="12"/>
      <c r="H461" s="12" t="str">
        <f t="shared" si="3"/>
        <v>--</v>
      </c>
      <c r="I461" s="18">
        <f t="shared" si="4"/>
        <v>0</v>
      </c>
      <c r="J461" s="14" t="s">
        <v>8</v>
      </c>
      <c r="K461" s="36"/>
      <c r="L461" s="13"/>
    </row>
    <row r="462" spans="1:20" x14ac:dyDescent="0.3">
      <c r="A462" s="8">
        <v>253</v>
      </c>
      <c r="B462" s="8" t="s">
        <v>7</v>
      </c>
      <c r="C462" s="8" t="s">
        <v>7</v>
      </c>
      <c r="D462" s="11" t="s">
        <v>7</v>
      </c>
      <c r="E462" s="12" t="s">
        <v>7</v>
      </c>
      <c r="F462" s="12" t="s">
        <v>7</v>
      </c>
      <c r="G462" s="12" t="s">
        <v>7</v>
      </c>
      <c r="H462" s="12" t="str">
        <f t="shared" si="3"/>
        <v>X-X-X</v>
      </c>
      <c r="I462" s="18" t="s">
        <v>7</v>
      </c>
      <c r="J462" s="14" t="s">
        <v>7</v>
      </c>
      <c r="K462" s="36" t="s">
        <v>7</v>
      </c>
      <c r="L462" s="13" t="s">
        <v>7</v>
      </c>
      <c r="M462" s="15" t="s">
        <v>7</v>
      </c>
      <c r="N462" s="15" t="s">
        <v>7</v>
      </c>
      <c r="O462" s="15" t="s">
        <v>7</v>
      </c>
      <c r="P462" s="15" t="s">
        <v>7</v>
      </c>
      <c r="Q462" s="15" t="s">
        <v>7</v>
      </c>
      <c r="R462" s="15" t="s">
        <v>7</v>
      </c>
      <c r="S462" s="15" t="s">
        <v>7</v>
      </c>
      <c r="T462" s="15" t="s">
        <v>7</v>
      </c>
    </row>
  </sheetData>
  <autoFilter ref="A1:D462" xr:uid="{2FD0E3F9-D8C7-4D6B-AD24-3EDE902493F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41</vt:i4>
      </vt:variant>
      <vt:variant>
        <vt:lpstr>Rangos con nombre</vt:lpstr>
      </vt:variant>
      <vt:variant>
        <vt:i4>33</vt:i4>
      </vt:variant>
    </vt:vector>
  </HeadingPairs>
  <TitlesOfParts>
    <vt:vector size="74" baseType="lpstr">
      <vt:lpstr>LISTA ITEMS</vt:lpstr>
      <vt:lpstr>FMT BASE TECNICOS</vt:lpstr>
      <vt:lpstr>FMT BASE</vt:lpstr>
      <vt:lpstr>Hector 05feb</vt:lpstr>
      <vt:lpstr>HECTOR-JAVI 06FEB</vt:lpstr>
      <vt:lpstr>SALI FEBRE 2026</vt:lpstr>
      <vt:lpstr>CONSOLIDADO V2</vt:lpstr>
      <vt:lpstr>LISTA ITEMS (2)</vt:lpstr>
      <vt:lpstr>FMT BASE ALMACENISTA</vt:lpstr>
      <vt:lpstr>CONSOLIDADO</vt:lpstr>
      <vt:lpstr>ANTONIO-JESUS 06FEB</vt:lpstr>
      <vt:lpstr>ANTONIO 05FEB</vt:lpstr>
      <vt:lpstr>JAVI CARDENAS 09FEB</vt:lpstr>
      <vt:lpstr>HECTOR Y MANUEL 09FEB</vt:lpstr>
      <vt:lpstr>CRISTOBAL 09FEB</vt:lpstr>
      <vt:lpstr>JUANJO 10FEB</vt:lpstr>
      <vt:lpstr>#10 11FEB</vt:lpstr>
      <vt:lpstr>#11 12FEB</vt:lpstr>
      <vt:lpstr>#12 12FEB</vt:lpstr>
      <vt:lpstr>#13 13FEB</vt:lpstr>
      <vt:lpstr>#14 16FEB</vt:lpstr>
      <vt:lpstr>TABLA UNIFICADA</vt:lpstr>
      <vt:lpstr>#15 17FEB</vt:lpstr>
      <vt:lpstr>#16 17FEB</vt:lpstr>
      <vt:lpstr>#17 17FEB</vt:lpstr>
      <vt:lpstr>#18 17FEB</vt:lpstr>
      <vt:lpstr>#19 18FEB</vt:lpstr>
      <vt:lpstr>#20 18FEB</vt:lpstr>
      <vt:lpstr>#21 19FEB</vt:lpstr>
      <vt:lpstr>#22 19FEB</vt:lpstr>
      <vt:lpstr>#23 20FEB</vt:lpstr>
      <vt:lpstr>#24 23FEB</vt:lpstr>
      <vt:lpstr>#25 20FEB</vt:lpstr>
      <vt:lpstr>#26 24FEB</vt:lpstr>
      <vt:lpstr>#27 24FEB</vt:lpstr>
      <vt:lpstr>#28 25FEB</vt:lpstr>
      <vt:lpstr>#29 25FEB</vt:lpstr>
      <vt:lpstr>#30 26FEB</vt:lpstr>
      <vt:lpstr>#31 27FEB</vt:lpstr>
      <vt:lpstr>#32 27FEB</vt:lpstr>
      <vt:lpstr>ESTRUCTURA CODIGO</vt:lpstr>
      <vt:lpstr>'#10 11FEB'!Títulos_a_imprimir</vt:lpstr>
      <vt:lpstr>'#11 12FEB'!Títulos_a_imprimir</vt:lpstr>
      <vt:lpstr>'#12 12FEB'!Títulos_a_imprimir</vt:lpstr>
      <vt:lpstr>'#13 13FEB'!Títulos_a_imprimir</vt:lpstr>
      <vt:lpstr>'#14 16FEB'!Títulos_a_imprimir</vt:lpstr>
      <vt:lpstr>'#15 17FEB'!Títulos_a_imprimir</vt:lpstr>
      <vt:lpstr>'#16 17FEB'!Títulos_a_imprimir</vt:lpstr>
      <vt:lpstr>'#17 17FEB'!Títulos_a_imprimir</vt:lpstr>
      <vt:lpstr>'#18 17FEB'!Títulos_a_imprimir</vt:lpstr>
      <vt:lpstr>'#19 18FEB'!Títulos_a_imprimir</vt:lpstr>
      <vt:lpstr>'#20 18FEB'!Títulos_a_imprimir</vt:lpstr>
      <vt:lpstr>'#21 19FEB'!Títulos_a_imprimir</vt:lpstr>
      <vt:lpstr>'#22 19FEB'!Títulos_a_imprimir</vt:lpstr>
      <vt:lpstr>'#23 20FEB'!Títulos_a_imprimir</vt:lpstr>
      <vt:lpstr>'#24 23FEB'!Títulos_a_imprimir</vt:lpstr>
      <vt:lpstr>'#25 20FEB'!Títulos_a_imprimir</vt:lpstr>
      <vt:lpstr>'#26 24FEB'!Títulos_a_imprimir</vt:lpstr>
      <vt:lpstr>'#27 24FEB'!Títulos_a_imprimir</vt:lpstr>
      <vt:lpstr>'#28 25FEB'!Títulos_a_imprimir</vt:lpstr>
      <vt:lpstr>'#29 25FEB'!Títulos_a_imprimir</vt:lpstr>
      <vt:lpstr>'#30 26FEB'!Títulos_a_imprimir</vt:lpstr>
      <vt:lpstr>'#31 27FEB'!Títulos_a_imprimir</vt:lpstr>
      <vt:lpstr>'#32 27FEB'!Títulos_a_imprimir</vt:lpstr>
      <vt:lpstr>'ANTONIO 05FEB'!Títulos_a_imprimir</vt:lpstr>
      <vt:lpstr>'ANTONIO-JESUS 06FEB'!Títulos_a_imprimir</vt:lpstr>
      <vt:lpstr>'CRISTOBAL 09FEB'!Títulos_a_imprimir</vt:lpstr>
      <vt:lpstr>'FMT BASE'!Títulos_a_imprimir</vt:lpstr>
      <vt:lpstr>'FMT BASE ALMACENISTA'!Títulos_a_imprimir</vt:lpstr>
      <vt:lpstr>'Hector 05feb'!Títulos_a_imprimir</vt:lpstr>
      <vt:lpstr>'HECTOR Y MANUEL 09FEB'!Títulos_a_imprimir</vt:lpstr>
      <vt:lpstr>'HECTOR-JAVI 06FEB'!Títulos_a_imprimir</vt:lpstr>
      <vt:lpstr>'JAVI CARDENAS 09FEB'!Títulos_a_imprimir</vt:lpstr>
      <vt:lpstr>'JUANJO 10FEB'!Títulos_a_imprimir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 Renovables</dc:creator>
  <cp:lastModifiedBy>AFC Renovables</cp:lastModifiedBy>
  <cp:lastPrinted>2026-02-11T10:06:31Z</cp:lastPrinted>
  <dcterms:created xsi:type="dcterms:W3CDTF">2025-11-26T16:13:08Z</dcterms:created>
  <dcterms:modified xsi:type="dcterms:W3CDTF">2026-03-12T21:40:17Z</dcterms:modified>
</cp:coreProperties>
</file>